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f501263d49f667bf/Documents/AMDARI/"/>
    </mc:Choice>
  </mc:AlternateContent>
  <xr:revisionPtr revIDLastSave="171" documentId="8_{895B3543-5CDE-410C-8990-E0B784B31A93}" xr6:coauthVersionLast="47" xr6:coauthVersionMax="47" xr10:uidLastSave="{4B5004B0-C91F-4697-A4D7-25A364A56B92}"/>
  <bookViews>
    <workbookView minimized="1" xWindow="3432" yWindow="1536" windowWidth="17280" windowHeight="8880" firstSheet="2" activeTab="6" xr2:uid="{00000000-000D-0000-FFFF-FFFF00000000}"/>
  </bookViews>
  <sheets>
    <sheet name="Delivery data" sheetId="1" r:id="rId1"/>
    <sheet name="FORCASTSHEET" sheetId="11" r:id="rId2"/>
    <sheet name="FORCAST" sheetId="10" r:id="rId3"/>
    <sheet name="Allocation Rule explained" sheetId="2" r:id="rId4"/>
    <sheet name="Pivot Table KPI" sheetId="4" r:id="rId5"/>
    <sheet name="PIVOT TABLE" sheetId="3" r:id="rId6"/>
    <sheet name="PERFORMANCE DASHBOARD" sheetId="9" r:id="rId7"/>
  </sheets>
  <definedNames>
    <definedName name="Slicer_Customer_Feedback">#N/A</definedName>
    <definedName name="Slicer_Delivery_date">#N/A</definedName>
    <definedName name="Slicer_Order_Status">#N/A</definedName>
    <definedName name="Slicer_Vehicle_Info">#N/A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0" l="1"/>
  <c r="W4" i="10"/>
  <c r="W5" i="10"/>
  <c r="W6" i="10"/>
  <c r="W7" i="10"/>
  <c r="W8" i="10"/>
  <c r="W9" i="10"/>
  <c r="W10" i="10"/>
  <c r="W11" i="10"/>
  <c r="W12" i="10"/>
  <c r="W13" i="10"/>
  <c r="W14" i="10"/>
  <c r="W15" i="10"/>
  <c r="W16" i="10"/>
  <c r="W17" i="10"/>
  <c r="W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W106" i="10"/>
  <c r="W107" i="10"/>
  <c r="W108" i="10"/>
  <c r="W109" i="10"/>
  <c r="W110" i="10"/>
  <c r="W111" i="10"/>
  <c r="W112" i="10"/>
  <c r="W113" i="10"/>
  <c r="W114" i="10"/>
  <c r="W115" i="10"/>
  <c r="W116" i="10"/>
  <c r="W117" i="10"/>
  <c r="W118" i="10"/>
  <c r="W119" i="10"/>
  <c r="W120" i="10"/>
  <c r="W121" i="10"/>
  <c r="W122" i="10"/>
  <c r="W123" i="10"/>
  <c r="W124" i="10"/>
  <c r="W125" i="10"/>
  <c r="W126" i="10"/>
  <c r="W127" i="10"/>
  <c r="W128" i="10"/>
  <c r="W129" i="10"/>
  <c r="W130" i="10"/>
  <c r="W131" i="10"/>
  <c r="W132" i="10"/>
  <c r="W133" i="10"/>
  <c r="W134" i="10"/>
  <c r="W135" i="10"/>
  <c r="W136" i="10"/>
  <c r="W137" i="10"/>
  <c r="W138" i="10"/>
  <c r="W139" i="10"/>
  <c r="W140" i="10"/>
  <c r="W141" i="10"/>
  <c r="W142" i="10"/>
  <c r="W143" i="10"/>
  <c r="W144" i="10"/>
  <c r="W145" i="10"/>
  <c r="W146" i="10"/>
  <c r="W147" i="10"/>
  <c r="W148" i="10"/>
  <c r="W149" i="10"/>
  <c r="W150" i="10"/>
  <c r="W151" i="10"/>
  <c r="W152" i="10"/>
  <c r="W153" i="10"/>
  <c r="W154" i="10"/>
  <c r="W155" i="10"/>
  <c r="W156" i="10"/>
  <c r="W157" i="10"/>
  <c r="W158" i="10"/>
  <c r="W159" i="10"/>
  <c r="W160" i="10"/>
  <c r="W161" i="10"/>
  <c r="W162" i="10"/>
  <c r="W163" i="10"/>
  <c r="W164" i="10"/>
  <c r="W165" i="10"/>
  <c r="W166" i="10"/>
  <c r="W167" i="10"/>
  <c r="W168" i="10"/>
  <c r="W169" i="10"/>
  <c r="W170" i="10"/>
  <c r="W171" i="10"/>
  <c r="W172" i="10"/>
  <c r="W173" i="10"/>
  <c r="W174" i="10"/>
  <c r="W175" i="10"/>
  <c r="W176" i="10"/>
  <c r="W177" i="10"/>
  <c r="W178" i="10"/>
  <c r="W179" i="10"/>
  <c r="W180" i="10"/>
  <c r="W181" i="10"/>
  <c r="W182" i="10"/>
  <c r="W183" i="10"/>
  <c r="W184" i="10"/>
  <c r="W185" i="10"/>
  <c r="W186" i="10"/>
  <c r="W187" i="10"/>
  <c r="W188" i="10"/>
  <c r="W189" i="10"/>
  <c r="W190" i="10"/>
  <c r="W191" i="10"/>
  <c r="W192" i="10"/>
  <c r="W193" i="10"/>
  <c r="W194" i="10"/>
  <c r="W195" i="10"/>
  <c r="W196" i="10"/>
  <c r="W197" i="10"/>
  <c r="W198" i="10"/>
  <c r="W199" i="10"/>
  <c r="W200" i="10"/>
  <c r="W201" i="10"/>
  <c r="W202" i="10"/>
  <c r="W203" i="10"/>
  <c r="W204" i="10"/>
  <c r="W205" i="10"/>
  <c r="W206" i="10"/>
  <c r="W207" i="10"/>
  <c r="W208" i="10"/>
  <c r="W209" i="10"/>
  <c r="W210" i="10"/>
  <c r="W211" i="10"/>
  <c r="W212" i="10"/>
  <c r="W213" i="10"/>
  <c r="W214" i="10"/>
  <c r="W215" i="10"/>
  <c r="W216" i="10"/>
  <c r="W217" i="10"/>
  <c r="W218" i="10"/>
  <c r="W219" i="10"/>
  <c r="W220" i="10"/>
  <c r="W221" i="10"/>
  <c r="W222" i="10"/>
  <c r="W223" i="10"/>
  <c r="W224" i="10"/>
  <c r="W225" i="10"/>
  <c r="W226" i="10"/>
  <c r="W227" i="10"/>
  <c r="W228" i="10"/>
  <c r="W229" i="10"/>
  <c r="W230" i="10"/>
  <c r="W231" i="10"/>
  <c r="W232" i="10"/>
  <c r="W233" i="10"/>
  <c r="W234" i="10"/>
  <c r="W235" i="10"/>
  <c r="W236" i="10"/>
  <c r="W237" i="10"/>
  <c r="W238" i="10"/>
  <c r="W239" i="10"/>
  <c r="W240" i="10"/>
  <c r="W241" i="10"/>
  <c r="W242" i="10"/>
  <c r="W243" i="10"/>
  <c r="W244" i="10"/>
  <c r="W245" i="10"/>
  <c r="W246" i="10"/>
  <c r="W247" i="10"/>
  <c r="W248" i="10"/>
  <c r="W249" i="10"/>
  <c r="W250" i="10"/>
  <c r="W251" i="10"/>
  <c r="W252" i="10"/>
  <c r="W253" i="10"/>
  <c r="W254" i="10"/>
  <c r="W255" i="10"/>
  <c r="W256" i="10"/>
  <c r="W257" i="10"/>
  <c r="W258" i="10"/>
  <c r="W259" i="10"/>
  <c r="W260" i="10"/>
  <c r="W261" i="10"/>
  <c r="W262" i="10"/>
  <c r="W263" i="10"/>
  <c r="W264" i="10"/>
  <c r="W265" i="10"/>
  <c r="W266" i="10"/>
  <c r="W267" i="10"/>
  <c r="W268" i="10"/>
  <c r="W269" i="10"/>
  <c r="W270" i="10"/>
  <c r="W271" i="10"/>
  <c r="W272" i="10"/>
  <c r="W273" i="10"/>
  <c r="W274" i="10"/>
  <c r="W275" i="10"/>
  <c r="W276" i="10"/>
  <c r="W277" i="10"/>
  <c r="W278" i="10"/>
  <c r="W279" i="10"/>
  <c r="W280" i="10"/>
  <c r="W281" i="10"/>
  <c r="W282" i="10"/>
  <c r="W283" i="10"/>
  <c r="W284" i="10"/>
  <c r="W285" i="10"/>
  <c r="W286" i="10"/>
  <c r="W287" i="10"/>
  <c r="W288" i="10"/>
  <c r="W289" i="10"/>
  <c r="W290" i="10"/>
  <c r="W291" i="10"/>
  <c r="W292" i="10"/>
  <c r="W293" i="10"/>
  <c r="W294" i="10"/>
  <c r="W295" i="10"/>
  <c r="W296" i="10"/>
  <c r="W297" i="10"/>
  <c r="W298" i="10"/>
  <c r="W299" i="10"/>
  <c r="W300" i="10"/>
  <c r="W301" i="10"/>
  <c r="W302" i="10"/>
  <c r="W303" i="10"/>
  <c r="W304" i="10"/>
  <c r="W305" i="10"/>
  <c r="W306" i="10"/>
  <c r="W307" i="10"/>
  <c r="W308" i="10"/>
  <c r="W309" i="10"/>
  <c r="W310" i="10"/>
  <c r="W311" i="10"/>
  <c r="W312" i="10"/>
  <c r="W313" i="10"/>
  <c r="W314" i="10"/>
  <c r="W315" i="10"/>
  <c r="W316" i="10"/>
  <c r="W317" i="10"/>
  <c r="W318" i="10"/>
  <c r="W319" i="10"/>
  <c r="W320" i="10"/>
  <c r="W321" i="10"/>
  <c r="W322" i="10"/>
  <c r="W323" i="10"/>
  <c r="W324" i="10"/>
  <c r="W325" i="10"/>
  <c r="W326" i="10"/>
  <c r="W327" i="10"/>
  <c r="W328" i="10"/>
  <c r="W329" i="10"/>
  <c r="W330" i="10"/>
  <c r="W331" i="10"/>
  <c r="W332" i="10"/>
  <c r="W333" i="10"/>
  <c r="W334" i="10"/>
  <c r="W335" i="10"/>
  <c r="W336" i="10"/>
  <c r="W337" i="10"/>
  <c r="W338" i="10"/>
  <c r="W339" i="10"/>
  <c r="W340" i="10"/>
  <c r="W341" i="10"/>
  <c r="W342" i="10"/>
  <c r="W343" i="10"/>
  <c r="W344" i="10"/>
  <c r="W345" i="10"/>
  <c r="W346" i="10"/>
  <c r="W347" i="10"/>
  <c r="W348" i="10"/>
  <c r="W349" i="10"/>
  <c r="W350" i="10"/>
  <c r="W351" i="10"/>
  <c r="W352" i="10"/>
  <c r="W353" i="10"/>
  <c r="W354" i="10"/>
  <c r="W355" i="10"/>
  <c r="W356" i="10"/>
  <c r="W357" i="10"/>
  <c r="W358" i="10"/>
  <c r="W359" i="10"/>
  <c r="W360" i="10"/>
  <c r="W361" i="10"/>
  <c r="W362" i="10"/>
  <c r="W363" i="10"/>
  <c r="W364" i="10"/>
  <c r="W365" i="10"/>
  <c r="W366" i="10"/>
  <c r="W367" i="10"/>
  <c r="W368" i="10"/>
  <c r="W369" i="10"/>
  <c r="W370" i="10"/>
  <c r="W371" i="10"/>
  <c r="W372" i="10"/>
  <c r="W373" i="10"/>
  <c r="W374" i="10"/>
  <c r="W375" i="10"/>
  <c r="W376" i="10"/>
  <c r="W377" i="10"/>
  <c r="W378" i="10"/>
  <c r="W379" i="10"/>
  <c r="W380" i="10"/>
  <c r="W381" i="10"/>
  <c r="W382" i="10"/>
  <c r="W383" i="10"/>
  <c r="W384" i="10"/>
  <c r="W385" i="10"/>
  <c r="W386" i="10"/>
  <c r="W387" i="10"/>
  <c r="W388" i="10"/>
  <c r="W389" i="10"/>
  <c r="W390" i="10"/>
  <c r="W391" i="10"/>
  <c r="W392" i="10"/>
  <c r="W393" i="10"/>
  <c r="W394" i="10"/>
  <c r="W395" i="10"/>
  <c r="W396" i="10"/>
  <c r="W397" i="10"/>
  <c r="W398" i="10"/>
  <c r="W399" i="10"/>
  <c r="W400" i="10"/>
  <c r="W401" i="10"/>
  <c r="W402" i="10"/>
  <c r="W403" i="10"/>
  <c r="W404" i="10"/>
  <c r="W405" i="10"/>
  <c r="W406" i="10"/>
  <c r="W407" i="10"/>
  <c r="W408" i="10"/>
  <c r="W409" i="10"/>
  <c r="W410" i="10"/>
  <c r="W411" i="10"/>
  <c r="W412" i="10"/>
  <c r="W413" i="10"/>
  <c r="W414" i="10"/>
  <c r="W415" i="10"/>
  <c r="W416" i="10"/>
  <c r="W417" i="10"/>
  <c r="W418" i="10"/>
  <c r="W419" i="10"/>
  <c r="W420" i="10"/>
  <c r="W421" i="10"/>
  <c r="W422" i="10"/>
  <c r="W423" i="10"/>
  <c r="W424" i="10"/>
  <c r="W425" i="10"/>
  <c r="W426" i="10"/>
  <c r="W427" i="10"/>
  <c r="W428" i="10"/>
  <c r="W429" i="10"/>
  <c r="W430" i="10"/>
  <c r="W431" i="10"/>
  <c r="W432" i="10"/>
  <c r="W433" i="10"/>
  <c r="W434" i="10"/>
  <c r="W435" i="10"/>
  <c r="W436" i="10"/>
  <c r="W437" i="10"/>
  <c r="W438" i="10"/>
  <c r="W439" i="10"/>
  <c r="W440" i="10"/>
  <c r="W441" i="10"/>
  <c r="W442" i="10"/>
  <c r="W443" i="10"/>
  <c r="W444" i="10"/>
  <c r="W445" i="10"/>
  <c r="W446" i="10"/>
  <c r="W447" i="10"/>
  <c r="W448" i="10"/>
  <c r="W449" i="10"/>
  <c r="W450" i="10"/>
  <c r="W451" i="10"/>
  <c r="W452" i="10"/>
  <c r="W453" i="10"/>
  <c r="W454" i="10"/>
  <c r="W455" i="10"/>
  <c r="W456" i="10"/>
  <c r="W457" i="10"/>
  <c r="W458" i="10"/>
  <c r="W459" i="10"/>
  <c r="W460" i="10"/>
  <c r="W461" i="10"/>
  <c r="W462" i="10"/>
  <c r="W463" i="10"/>
  <c r="W464" i="10"/>
  <c r="W465" i="10"/>
  <c r="W466" i="10"/>
  <c r="W467" i="10"/>
  <c r="W468" i="10"/>
  <c r="W469" i="10"/>
  <c r="W470" i="10"/>
  <c r="W471" i="10"/>
  <c r="W472" i="10"/>
  <c r="W473" i="10"/>
  <c r="W474" i="10"/>
  <c r="W475" i="10"/>
  <c r="W476" i="10"/>
  <c r="W477" i="10"/>
  <c r="W478" i="10"/>
  <c r="W479" i="10"/>
  <c r="W480" i="10"/>
  <c r="W481" i="10"/>
  <c r="W482" i="10"/>
  <c r="W483" i="10"/>
  <c r="W484" i="10"/>
  <c r="W485" i="10"/>
  <c r="W486" i="10"/>
  <c r="W487" i="10"/>
  <c r="W488" i="10"/>
  <c r="W489" i="10"/>
  <c r="W490" i="10"/>
  <c r="W491" i="10"/>
  <c r="W492" i="10"/>
  <c r="W493" i="10"/>
  <c r="W494" i="10"/>
  <c r="W495" i="10"/>
  <c r="W496" i="10"/>
  <c r="W497" i="10"/>
  <c r="W498" i="10"/>
  <c r="W499" i="10"/>
  <c r="W500" i="10"/>
  <c r="W501" i="10"/>
  <c r="W502" i="10"/>
  <c r="W503" i="10"/>
  <c r="W504" i="10"/>
  <c r="W505" i="10"/>
  <c r="W506" i="10"/>
  <c r="W507" i="10"/>
  <c r="W508" i="10"/>
  <c r="W509" i="10"/>
  <c r="W510" i="10"/>
  <c r="W511" i="10"/>
  <c r="W512" i="10"/>
  <c r="W513" i="10"/>
  <c r="W514" i="10"/>
  <c r="W515" i="10"/>
  <c r="W516" i="10"/>
  <c r="W517" i="10"/>
  <c r="W518" i="10"/>
  <c r="W519" i="10"/>
  <c r="W520" i="10"/>
  <c r="W521" i="10"/>
  <c r="W522" i="10"/>
  <c r="W523" i="10"/>
  <c r="W524" i="10"/>
  <c r="W525" i="10"/>
  <c r="W526" i="10"/>
  <c r="W527" i="10"/>
  <c r="W528" i="10"/>
  <c r="W529" i="10"/>
  <c r="W530" i="10"/>
  <c r="W531" i="10"/>
  <c r="W532" i="10"/>
  <c r="W533" i="10"/>
  <c r="W534" i="10"/>
  <c r="W535" i="10"/>
  <c r="W536" i="10"/>
  <c r="W537" i="10"/>
  <c r="W538" i="10"/>
  <c r="W539" i="10"/>
  <c r="W540" i="10"/>
  <c r="W541" i="10"/>
  <c r="W542" i="10"/>
  <c r="W543" i="10"/>
  <c r="W544" i="10"/>
  <c r="W545" i="10"/>
  <c r="W546" i="10"/>
  <c r="W547" i="10"/>
  <c r="W548" i="10"/>
  <c r="W549" i="10"/>
  <c r="W550" i="10"/>
  <c r="W551" i="10"/>
  <c r="W552" i="10"/>
  <c r="W553" i="10"/>
  <c r="W554" i="10"/>
  <c r="W555" i="10"/>
  <c r="W556" i="10"/>
  <c r="W557" i="10"/>
  <c r="W558" i="10"/>
  <c r="W559" i="10"/>
  <c r="W560" i="10"/>
  <c r="W561" i="10"/>
  <c r="W562" i="10"/>
  <c r="W563" i="10"/>
  <c r="W564" i="10"/>
  <c r="W565" i="10"/>
  <c r="W566" i="10"/>
  <c r="W567" i="10"/>
  <c r="W568" i="10"/>
  <c r="W569" i="10"/>
  <c r="W570" i="10"/>
  <c r="W571" i="10"/>
  <c r="W572" i="10"/>
  <c r="W573" i="10"/>
  <c r="W574" i="10"/>
  <c r="W575" i="10"/>
  <c r="W576" i="10"/>
  <c r="W577" i="10"/>
  <c r="W578" i="10"/>
  <c r="W579" i="10"/>
  <c r="W580" i="10"/>
  <c r="W581" i="10"/>
  <c r="W582" i="10"/>
  <c r="W583" i="10"/>
  <c r="W584" i="10"/>
  <c r="W585" i="10"/>
  <c r="W586" i="10"/>
  <c r="W587" i="10"/>
  <c r="W588" i="10"/>
  <c r="W589" i="10"/>
  <c r="W590" i="10"/>
  <c r="W591" i="10"/>
  <c r="W592" i="10"/>
  <c r="W593" i="10"/>
  <c r="W594" i="10"/>
  <c r="W595" i="10"/>
  <c r="W596" i="10"/>
  <c r="W597" i="10"/>
  <c r="W598" i="10"/>
  <c r="W599" i="10"/>
  <c r="W600" i="10"/>
  <c r="W601" i="10"/>
  <c r="W602" i="10"/>
  <c r="W603" i="10"/>
  <c r="W604" i="10"/>
  <c r="W605" i="10"/>
  <c r="W606" i="10"/>
  <c r="W607" i="10"/>
  <c r="W608" i="10"/>
  <c r="W609" i="10"/>
  <c r="W610" i="10"/>
  <c r="W611" i="10"/>
  <c r="W612" i="10"/>
  <c r="W613" i="10"/>
  <c r="W614" i="10"/>
  <c r="W615" i="10"/>
  <c r="W616" i="10"/>
  <c r="W617" i="10"/>
  <c r="W618" i="10"/>
  <c r="W619" i="10"/>
  <c r="W620" i="10"/>
  <c r="W621" i="10"/>
  <c r="W622" i="10"/>
  <c r="W623" i="10"/>
  <c r="W624" i="10"/>
  <c r="W625" i="10"/>
  <c r="W626" i="10"/>
  <c r="W627" i="10"/>
  <c r="W628" i="10"/>
  <c r="W629" i="10"/>
  <c r="W630" i="10"/>
  <c r="W631" i="10"/>
  <c r="W632" i="10"/>
  <c r="W633" i="10"/>
  <c r="W634" i="10"/>
  <c r="W635" i="10"/>
  <c r="W636" i="10"/>
  <c r="W637" i="10"/>
  <c r="W638" i="10"/>
  <c r="W639" i="10"/>
  <c r="W640" i="10"/>
  <c r="W641" i="10"/>
  <c r="W642" i="10"/>
  <c r="W643" i="10"/>
  <c r="W644" i="10"/>
  <c r="W645" i="10"/>
  <c r="W646" i="10"/>
  <c r="W647" i="10"/>
  <c r="W648" i="10"/>
  <c r="W649" i="10"/>
  <c r="W650" i="10"/>
  <c r="W651" i="10"/>
  <c r="W652" i="10"/>
  <c r="W653" i="10"/>
  <c r="W654" i="10"/>
  <c r="W655" i="10"/>
  <c r="W656" i="10"/>
  <c r="W657" i="10"/>
  <c r="W658" i="10"/>
  <c r="W659" i="10"/>
  <c r="W660" i="10"/>
  <c r="W661" i="10"/>
  <c r="W662" i="10"/>
  <c r="W663" i="10"/>
  <c r="W664" i="10"/>
  <c r="W665" i="10"/>
  <c r="W666" i="10"/>
  <c r="W667" i="10"/>
  <c r="W668" i="10"/>
  <c r="W669" i="10"/>
  <c r="W670" i="10"/>
  <c r="W671" i="10"/>
  <c r="W672" i="10"/>
  <c r="W673" i="10"/>
  <c r="W674" i="10"/>
  <c r="W675" i="10"/>
  <c r="W676" i="10"/>
  <c r="W677" i="10"/>
  <c r="W678" i="10"/>
  <c r="W679" i="10"/>
  <c r="W680" i="10"/>
  <c r="W681" i="10"/>
  <c r="W682" i="10"/>
  <c r="W683" i="10"/>
  <c r="W684" i="10"/>
  <c r="W685" i="10"/>
  <c r="W686" i="10"/>
  <c r="W687" i="10"/>
  <c r="W688" i="10"/>
  <c r="W689" i="10"/>
  <c r="W690" i="10"/>
  <c r="W691" i="10"/>
  <c r="W692" i="10"/>
  <c r="W693" i="10"/>
  <c r="W694" i="10"/>
  <c r="W695" i="10"/>
  <c r="W696" i="10"/>
  <c r="W697" i="10"/>
  <c r="W698" i="10"/>
  <c r="W699" i="10"/>
  <c r="W700" i="10"/>
  <c r="W701" i="10"/>
  <c r="W702" i="10"/>
  <c r="W703" i="10"/>
  <c r="W704" i="10"/>
  <c r="W705" i="10"/>
  <c r="W706" i="10"/>
  <c r="W707" i="10"/>
  <c r="W708" i="10"/>
  <c r="W709" i="10"/>
  <c r="W710" i="10"/>
  <c r="W711" i="10"/>
  <c r="W712" i="10"/>
  <c r="W713" i="10"/>
  <c r="W714" i="10"/>
  <c r="W715" i="10"/>
  <c r="W716" i="10"/>
  <c r="W717" i="10"/>
  <c r="W718" i="10"/>
  <c r="W719" i="10"/>
  <c r="W720" i="10"/>
  <c r="W721" i="10"/>
  <c r="W722" i="10"/>
  <c r="W723" i="10"/>
  <c r="W724" i="10"/>
  <c r="W725" i="10"/>
  <c r="W726" i="10"/>
  <c r="W727" i="10"/>
  <c r="W728" i="10"/>
  <c r="W729" i="10"/>
  <c r="W730" i="10"/>
  <c r="W731" i="10"/>
  <c r="W732" i="10"/>
  <c r="W733" i="10"/>
  <c r="W734" i="10"/>
  <c r="W735" i="10"/>
  <c r="W736" i="10"/>
  <c r="W737" i="10"/>
  <c r="W738" i="10"/>
  <c r="W739" i="10"/>
  <c r="W740" i="10"/>
  <c r="W741" i="10"/>
  <c r="W742" i="10"/>
  <c r="W743" i="10"/>
  <c r="W744" i="10"/>
  <c r="W745" i="10"/>
  <c r="W746" i="10"/>
  <c r="W747" i="10"/>
  <c r="W748" i="10"/>
  <c r="W749" i="10"/>
  <c r="W750" i="10"/>
  <c r="W751" i="10"/>
  <c r="W752" i="10"/>
  <c r="W753" i="10"/>
  <c r="W754" i="10"/>
  <c r="W755" i="10"/>
  <c r="W756" i="10"/>
  <c r="W757" i="10"/>
  <c r="W758" i="10"/>
  <c r="W759" i="10"/>
  <c r="W760" i="10"/>
  <c r="W761" i="10"/>
  <c r="W762" i="10"/>
  <c r="W763" i="10"/>
  <c r="W764" i="10"/>
  <c r="W765" i="10"/>
  <c r="W766" i="10"/>
  <c r="W767" i="10"/>
  <c r="W768" i="10"/>
  <c r="W769" i="10"/>
  <c r="W770" i="10"/>
  <c r="W771" i="10"/>
  <c r="W772" i="10"/>
  <c r="W773" i="10"/>
  <c r="W774" i="10"/>
  <c r="W775" i="10"/>
  <c r="W776" i="10"/>
  <c r="W777" i="10"/>
  <c r="W778" i="10"/>
  <c r="W779" i="10"/>
  <c r="W780" i="10"/>
  <c r="W781" i="10"/>
  <c r="W782" i="10"/>
  <c r="W783" i="10"/>
  <c r="W784" i="10"/>
  <c r="W785" i="10"/>
  <c r="W786" i="10"/>
  <c r="W787" i="10"/>
  <c r="W788" i="10"/>
  <c r="W789" i="10"/>
  <c r="W790" i="10"/>
  <c r="W791" i="10"/>
  <c r="W792" i="10"/>
  <c r="W793" i="10"/>
  <c r="W794" i="10"/>
  <c r="W795" i="10"/>
  <c r="W796" i="10"/>
  <c r="W797" i="10"/>
  <c r="W798" i="10"/>
  <c r="W799" i="10"/>
  <c r="W800" i="10"/>
  <c r="W801" i="10"/>
  <c r="W802" i="10"/>
  <c r="W803" i="10"/>
  <c r="W804" i="10"/>
  <c r="W805" i="10"/>
  <c r="W806" i="10"/>
  <c r="W807" i="10"/>
  <c r="W808" i="10"/>
  <c r="W809" i="10"/>
  <c r="W810" i="10"/>
  <c r="W811" i="10"/>
  <c r="W812" i="10"/>
  <c r="W813" i="10"/>
  <c r="W814" i="10"/>
  <c r="W815" i="10"/>
  <c r="W816" i="10"/>
  <c r="W817" i="10"/>
  <c r="W818" i="10"/>
  <c r="W819" i="10"/>
  <c r="W820" i="10"/>
  <c r="W821" i="10"/>
  <c r="W822" i="10"/>
  <c r="W823" i="10"/>
  <c r="W824" i="10"/>
  <c r="W825" i="10"/>
  <c r="W826" i="10"/>
  <c r="W827" i="10"/>
  <c r="W828" i="10"/>
  <c r="W829" i="10"/>
  <c r="W830" i="10"/>
  <c r="W831" i="10"/>
  <c r="W832" i="10"/>
  <c r="W833" i="10"/>
  <c r="W834" i="10"/>
  <c r="W835" i="10"/>
  <c r="W836" i="10"/>
  <c r="W837" i="10"/>
  <c r="W838" i="10"/>
  <c r="W839" i="10"/>
  <c r="W840" i="10"/>
  <c r="W841" i="10"/>
  <c r="W842" i="10"/>
  <c r="W843" i="10"/>
  <c r="W844" i="10"/>
  <c r="W845" i="10"/>
  <c r="W846" i="10"/>
  <c r="W847" i="10"/>
  <c r="W848" i="10"/>
  <c r="W849" i="10"/>
  <c r="W850" i="10"/>
  <c r="W851" i="10"/>
  <c r="W852" i="10"/>
  <c r="W853" i="10"/>
  <c r="W854" i="10"/>
  <c r="W855" i="10"/>
  <c r="W856" i="10"/>
  <c r="W857" i="10"/>
  <c r="W858" i="10"/>
  <c r="W859" i="10"/>
  <c r="W860" i="10"/>
  <c r="W861" i="10"/>
  <c r="W862" i="10"/>
  <c r="W863" i="10"/>
  <c r="W864" i="10"/>
  <c r="W865" i="10"/>
  <c r="W866" i="10"/>
  <c r="W867" i="10"/>
  <c r="W868" i="10"/>
  <c r="W869" i="10"/>
  <c r="W870" i="10"/>
  <c r="W871" i="10"/>
  <c r="W872" i="10"/>
  <c r="W873" i="10"/>
  <c r="W874" i="10"/>
  <c r="W875" i="10"/>
  <c r="W876" i="10"/>
  <c r="W877" i="10"/>
  <c r="W878" i="10"/>
  <c r="W879" i="10"/>
  <c r="W880" i="10"/>
  <c r="W881" i="10"/>
  <c r="W882" i="10"/>
  <c r="W883" i="10"/>
  <c r="W884" i="10"/>
  <c r="W885" i="10"/>
  <c r="W886" i="10"/>
  <c r="W887" i="10"/>
  <c r="W888" i="10"/>
  <c r="W889" i="10"/>
  <c r="W890" i="10"/>
  <c r="W891" i="10"/>
  <c r="W892" i="10"/>
  <c r="W893" i="10"/>
  <c r="W894" i="10"/>
  <c r="W895" i="10"/>
  <c r="W896" i="10"/>
  <c r="W897" i="10"/>
  <c r="W898" i="10"/>
  <c r="W899" i="10"/>
  <c r="W900" i="10"/>
  <c r="W901" i="10"/>
  <c r="W902" i="10"/>
  <c r="W903" i="10"/>
  <c r="W904" i="10"/>
  <c r="W905" i="10"/>
  <c r="W906" i="10"/>
  <c r="W907" i="10"/>
  <c r="W908" i="10"/>
  <c r="W909" i="10"/>
  <c r="W910" i="10"/>
  <c r="W911" i="10"/>
  <c r="W912" i="10"/>
  <c r="W913" i="10"/>
  <c r="W914" i="10"/>
  <c r="W915" i="10"/>
  <c r="W916" i="10"/>
  <c r="W917" i="10"/>
  <c r="W918" i="10"/>
  <c r="W919" i="10"/>
  <c r="W920" i="10"/>
  <c r="W921" i="10"/>
  <c r="W922" i="10"/>
  <c r="W923" i="10"/>
  <c r="W924" i="10"/>
  <c r="W925" i="10"/>
  <c r="W926" i="10"/>
  <c r="W927" i="10"/>
  <c r="W928" i="10"/>
  <c r="W929" i="10"/>
  <c r="W930" i="10"/>
  <c r="W931" i="10"/>
  <c r="W932" i="10"/>
  <c r="W933" i="10"/>
  <c r="W934" i="10"/>
  <c r="W935" i="10"/>
  <c r="W936" i="10"/>
  <c r="W937" i="10"/>
  <c r="W938" i="10"/>
  <c r="W939" i="10"/>
  <c r="W940" i="10"/>
  <c r="W941" i="10"/>
  <c r="W942" i="10"/>
  <c r="W943" i="10"/>
  <c r="W944" i="10"/>
  <c r="W945" i="10"/>
  <c r="W946" i="10"/>
  <c r="W947" i="10"/>
  <c r="W948" i="10"/>
  <c r="W949" i="10"/>
  <c r="W950" i="10"/>
  <c r="W951" i="10"/>
  <c r="W952" i="10"/>
  <c r="W953" i="10"/>
  <c r="W954" i="10"/>
  <c r="W955" i="10"/>
  <c r="W956" i="10"/>
  <c r="W957" i="10"/>
  <c r="W958" i="10"/>
  <c r="W959" i="10"/>
  <c r="W960" i="10"/>
  <c r="W961" i="10"/>
  <c r="W962" i="10"/>
  <c r="W963" i="10"/>
  <c r="W964" i="10"/>
  <c r="W965" i="10"/>
  <c r="W966" i="10"/>
  <c r="W967" i="10"/>
  <c r="W968" i="10"/>
  <c r="W969" i="10"/>
  <c r="W970" i="10"/>
  <c r="W971" i="10"/>
  <c r="W972" i="10"/>
  <c r="W973" i="10"/>
  <c r="W974" i="10"/>
  <c r="W975" i="10"/>
  <c r="W976" i="10"/>
  <c r="W977" i="10"/>
  <c r="W978" i="10"/>
  <c r="W979" i="10"/>
  <c r="W980" i="10"/>
  <c r="W981" i="10"/>
  <c r="W982" i="10"/>
  <c r="W983" i="10"/>
  <c r="W984" i="10"/>
  <c r="W985" i="10"/>
  <c r="W986" i="10"/>
  <c r="W987" i="10"/>
  <c r="W988" i="10"/>
  <c r="W989" i="10"/>
  <c r="W990" i="10"/>
  <c r="W991" i="10"/>
  <c r="W992" i="10"/>
  <c r="W993" i="10"/>
  <c r="W994" i="10"/>
  <c r="W995" i="10"/>
  <c r="W996" i="10"/>
  <c r="W997" i="10"/>
  <c r="W998" i="10"/>
  <c r="W999" i="10"/>
  <c r="W1000" i="10"/>
  <c r="W1001" i="10"/>
  <c r="W1002" i="10"/>
  <c r="W1003" i="10"/>
  <c r="W1004" i="10"/>
  <c r="W1005" i="10"/>
  <c r="W1006" i="10"/>
  <c r="W1007" i="10"/>
  <c r="W1008" i="10"/>
  <c r="W1009" i="10"/>
  <c r="W1010" i="10"/>
  <c r="W1011" i="10"/>
  <c r="W1012" i="10"/>
  <c r="W1013" i="10"/>
  <c r="W1014" i="10"/>
  <c r="W1015" i="10"/>
  <c r="W1016" i="10"/>
  <c r="W1017" i="10"/>
  <c r="W1018" i="10"/>
  <c r="W1019" i="10"/>
  <c r="W1020" i="10"/>
  <c r="W1021" i="10"/>
  <c r="W1022" i="10"/>
  <c r="W1023" i="10"/>
  <c r="W1024" i="10"/>
  <c r="W1025" i="10"/>
  <c r="W1026" i="10"/>
  <c r="W1027" i="10"/>
  <c r="W1028" i="10"/>
  <c r="W1029" i="10"/>
  <c r="W1030" i="10"/>
  <c r="W1031" i="10"/>
  <c r="W1032" i="10"/>
  <c r="W1033" i="10"/>
  <c r="W1034" i="10"/>
  <c r="W1035" i="10"/>
  <c r="W1036" i="10"/>
  <c r="W1037" i="10"/>
  <c r="W1038" i="10"/>
  <c r="W1039" i="10"/>
  <c r="W1040" i="10"/>
  <c r="W1041" i="10"/>
  <c r="W1042" i="10"/>
  <c r="W1043" i="10"/>
  <c r="W1044" i="10"/>
  <c r="W1045" i="10"/>
  <c r="W1046" i="10"/>
  <c r="W1047" i="10"/>
  <c r="W1048" i="10"/>
  <c r="W1049" i="10"/>
  <c r="W1050" i="10"/>
  <c r="W1051" i="10"/>
  <c r="W1052" i="10"/>
  <c r="W1053" i="10"/>
  <c r="W1054" i="10"/>
  <c r="W1055" i="10"/>
  <c r="W1056" i="10"/>
  <c r="W1057" i="10"/>
  <c r="W1058" i="10"/>
  <c r="W1059" i="10"/>
  <c r="W1060" i="10"/>
  <c r="W1061" i="10"/>
  <c r="W1062" i="10"/>
  <c r="W1063" i="10"/>
  <c r="W1064" i="10"/>
  <c r="W1065" i="10"/>
  <c r="W1066" i="10"/>
  <c r="W1067" i="10"/>
  <c r="W1068" i="10"/>
  <c r="W1069" i="10"/>
  <c r="W1070" i="10"/>
  <c r="W1071" i="10"/>
  <c r="W1072" i="10"/>
  <c r="W1073" i="10"/>
  <c r="W1074" i="10"/>
  <c r="W1075" i="10"/>
  <c r="W1076" i="10"/>
  <c r="W1077" i="10"/>
  <c r="W1078" i="10"/>
  <c r="W1079" i="10"/>
  <c r="W1080" i="10"/>
  <c r="W1081" i="10"/>
  <c r="W1082" i="10"/>
  <c r="W1083" i="10"/>
  <c r="W1084" i="10"/>
  <c r="W1085" i="10"/>
  <c r="W1086" i="10"/>
  <c r="W1087" i="10"/>
  <c r="W1088" i="10"/>
  <c r="W1089" i="10"/>
  <c r="W1090" i="10"/>
  <c r="W1091" i="10"/>
  <c r="W1092" i="10"/>
  <c r="W1093" i="10"/>
  <c r="W1094" i="10"/>
  <c r="W1095" i="10"/>
  <c r="W1096" i="10"/>
  <c r="W1097" i="10"/>
  <c r="W1098" i="10"/>
  <c r="W1099" i="10"/>
  <c r="W1100" i="10"/>
  <c r="W1101" i="10"/>
  <c r="W1102" i="10"/>
  <c r="W1103" i="10"/>
  <c r="W1104" i="10"/>
  <c r="W1105" i="10"/>
  <c r="W1106" i="10"/>
  <c r="W1107" i="10"/>
  <c r="W1108" i="10"/>
  <c r="W1109" i="10"/>
  <c r="W1110" i="10"/>
  <c r="W1111" i="10"/>
  <c r="W1112" i="10"/>
  <c r="W1113" i="10"/>
  <c r="W1114" i="10"/>
  <c r="W1115" i="10"/>
  <c r="W1116" i="10"/>
  <c r="W1117" i="10"/>
  <c r="W1118" i="10"/>
  <c r="W1119" i="10"/>
  <c r="W1120" i="10"/>
  <c r="W1121" i="10"/>
  <c r="W1122" i="10"/>
  <c r="W1123" i="10"/>
  <c r="W1124" i="10"/>
  <c r="W1125" i="10"/>
  <c r="W1126" i="10"/>
  <c r="W1127" i="10"/>
  <c r="W1128" i="10"/>
  <c r="W1129" i="10"/>
  <c r="W1130" i="10"/>
  <c r="W1131" i="10"/>
  <c r="W1132" i="10"/>
  <c r="W1133" i="10"/>
  <c r="W1134" i="10"/>
  <c r="W1135" i="10"/>
  <c r="W1136" i="10"/>
  <c r="W1137" i="10"/>
  <c r="W1138" i="10"/>
  <c r="W1139" i="10"/>
  <c r="W1140" i="10"/>
  <c r="W1141" i="10"/>
  <c r="W1142" i="10"/>
  <c r="W1143" i="10"/>
  <c r="W1144" i="10"/>
  <c r="W1145" i="10"/>
  <c r="W1146" i="10"/>
  <c r="W1147" i="10"/>
  <c r="W1148" i="10"/>
  <c r="W1149" i="10"/>
  <c r="W1150" i="10"/>
  <c r="W1151" i="10"/>
  <c r="W1152" i="10"/>
  <c r="W1153" i="10"/>
  <c r="W1154" i="10"/>
  <c r="W1155" i="10"/>
  <c r="W1156" i="10"/>
  <c r="W1157" i="10"/>
  <c r="W1158" i="10"/>
  <c r="W1159" i="10"/>
  <c r="W1160" i="10"/>
  <c r="W1161" i="10"/>
  <c r="W1162" i="10"/>
  <c r="W1163" i="10"/>
  <c r="W1164" i="10"/>
  <c r="W1165" i="10"/>
  <c r="W1166" i="10"/>
  <c r="W1167" i="10"/>
  <c r="W1168" i="10"/>
  <c r="W1169" i="10"/>
  <c r="W1170" i="10"/>
  <c r="W1171" i="10"/>
  <c r="W1172" i="10"/>
  <c r="W1173" i="10"/>
  <c r="W1174" i="10"/>
  <c r="W1175" i="10"/>
  <c r="W1176" i="10"/>
  <c r="W1177" i="10"/>
  <c r="W1178" i="10"/>
  <c r="W1179" i="10"/>
  <c r="W1180" i="10"/>
  <c r="W1181" i="10"/>
  <c r="W1182" i="10"/>
  <c r="W1183" i="10"/>
  <c r="W1184" i="10"/>
  <c r="W1185" i="10"/>
  <c r="W1186" i="10"/>
  <c r="W1187" i="10"/>
  <c r="W1188" i="10"/>
  <c r="W1189" i="10"/>
  <c r="W1190" i="10"/>
  <c r="W1191" i="10"/>
  <c r="W1192" i="10"/>
  <c r="W1193" i="10"/>
  <c r="W1194" i="10"/>
  <c r="W1195" i="10"/>
  <c r="W1196" i="10"/>
  <c r="W1197" i="10"/>
  <c r="W1198" i="10"/>
  <c r="W1199" i="10"/>
  <c r="W1200" i="10"/>
  <c r="W1201" i="10"/>
  <c r="W1202" i="10"/>
  <c r="W1203" i="10"/>
  <c r="W1204" i="10"/>
  <c r="W1205" i="10"/>
  <c r="W1206" i="10"/>
  <c r="W1207" i="10"/>
  <c r="W1208" i="10"/>
  <c r="W1209" i="10"/>
  <c r="W1210" i="10"/>
  <c r="W1211" i="10"/>
  <c r="W1212" i="10"/>
  <c r="W1213" i="10"/>
  <c r="W1214" i="10"/>
  <c r="W1215" i="10"/>
  <c r="W1216" i="10"/>
  <c r="W1217" i="10"/>
  <c r="W1218" i="10"/>
  <c r="W1219" i="10"/>
  <c r="W1220" i="10"/>
  <c r="W1221" i="10"/>
  <c r="W1222" i="10"/>
  <c r="W1223" i="10"/>
  <c r="W1224" i="10"/>
  <c r="W1225" i="10"/>
  <c r="W1226" i="10"/>
  <c r="W1227" i="10"/>
  <c r="W1228" i="10"/>
  <c r="W1229" i="10"/>
  <c r="W1230" i="10"/>
  <c r="W1231" i="10"/>
  <c r="W1232" i="10"/>
  <c r="W1233" i="10"/>
  <c r="W1234" i="10"/>
  <c r="W1235" i="10"/>
  <c r="W1236" i="10"/>
  <c r="W1237" i="10"/>
  <c r="W1238" i="10"/>
  <c r="W1239" i="10"/>
  <c r="W1240" i="10"/>
  <c r="W1241" i="10"/>
  <c r="W1242" i="10"/>
  <c r="W1243" i="10"/>
  <c r="W1244" i="10"/>
  <c r="W1245" i="10"/>
  <c r="W1246" i="10"/>
  <c r="W1247" i="10"/>
  <c r="W1248" i="10"/>
  <c r="W1249" i="10"/>
  <c r="W1250" i="10"/>
  <c r="W1251" i="10"/>
  <c r="W1252" i="10"/>
  <c r="W1253" i="10"/>
  <c r="W1254" i="10"/>
  <c r="W1255" i="10"/>
  <c r="W1256" i="10"/>
  <c r="W1257" i="10"/>
  <c r="W1258" i="10"/>
  <c r="W1259" i="10"/>
  <c r="W1260" i="10"/>
  <c r="W1261" i="10"/>
  <c r="W1262" i="10"/>
  <c r="W1263" i="10"/>
  <c r="W1264" i="10"/>
  <c r="W1265" i="10"/>
  <c r="W1266" i="10"/>
  <c r="W1267" i="10"/>
  <c r="W1268" i="10"/>
  <c r="W1269" i="10"/>
  <c r="W1270" i="10"/>
  <c r="W1271" i="10"/>
  <c r="W1272" i="10"/>
  <c r="W1273" i="10"/>
  <c r="W1274" i="10"/>
  <c r="W1275" i="10"/>
  <c r="W1276" i="10"/>
  <c r="W1277" i="10"/>
  <c r="W1278" i="10"/>
  <c r="W1279" i="10"/>
  <c r="W1280" i="10"/>
  <c r="W1281" i="10"/>
  <c r="W1282" i="10"/>
  <c r="W1283" i="10"/>
  <c r="W1284" i="10"/>
  <c r="W1285" i="10"/>
  <c r="W1286" i="10"/>
  <c r="W1287" i="10"/>
  <c r="W1288" i="10"/>
  <c r="W1289" i="10"/>
  <c r="W1290" i="10"/>
  <c r="W1291" i="10"/>
  <c r="W1292" i="10"/>
  <c r="W1293" i="10"/>
  <c r="W1294" i="10"/>
  <c r="W1295" i="10"/>
  <c r="W1296" i="10"/>
  <c r="W1297" i="10"/>
  <c r="W1298" i="10"/>
  <c r="W1299" i="10"/>
  <c r="W1300" i="10"/>
  <c r="W1301" i="10"/>
  <c r="W1302" i="10"/>
  <c r="W1303" i="10"/>
  <c r="W1304" i="10"/>
  <c r="W1305" i="10"/>
  <c r="W1306" i="10"/>
  <c r="W1307" i="10"/>
  <c r="W1308" i="10"/>
  <c r="W1309" i="10"/>
  <c r="W1310" i="10"/>
  <c r="W1311" i="10"/>
  <c r="W1312" i="10"/>
  <c r="W1313" i="10"/>
  <c r="W1314" i="10"/>
  <c r="W1315" i="10"/>
  <c r="W1316" i="10"/>
  <c r="W1317" i="10"/>
  <c r="W1318" i="10"/>
  <c r="W1319" i="10"/>
  <c r="W1320" i="10"/>
  <c r="W1321" i="10"/>
  <c r="W1322" i="10"/>
  <c r="W1323" i="10"/>
  <c r="W1324" i="10"/>
  <c r="W1325" i="10"/>
  <c r="W1326" i="10"/>
  <c r="W1327" i="10"/>
  <c r="W1328" i="10"/>
  <c r="W1329" i="10"/>
  <c r="W1330" i="10"/>
  <c r="W1331" i="10"/>
  <c r="W1332" i="10"/>
  <c r="W1333" i="10"/>
  <c r="W1334" i="10"/>
  <c r="W1335" i="10"/>
  <c r="W1336" i="10"/>
  <c r="W1337" i="10"/>
  <c r="W1338" i="10"/>
  <c r="W1339" i="10"/>
  <c r="W1340" i="10"/>
  <c r="W1341" i="10"/>
  <c r="W1342" i="10"/>
  <c r="W1343" i="10"/>
  <c r="W1344" i="10"/>
  <c r="W1345" i="10"/>
  <c r="W1346" i="10"/>
  <c r="W1347" i="10"/>
  <c r="W1348" i="10"/>
  <c r="W1349" i="10"/>
  <c r="W1350" i="10"/>
  <c r="W1351" i="10"/>
  <c r="W1352" i="10"/>
  <c r="W1353" i="10"/>
  <c r="W1354" i="10"/>
  <c r="W1355" i="10"/>
  <c r="W1356" i="10"/>
  <c r="W1357" i="10"/>
  <c r="W1358" i="10"/>
  <c r="W1359" i="10"/>
  <c r="W1360" i="10"/>
  <c r="W1361" i="10"/>
  <c r="W1362" i="10"/>
  <c r="W1363" i="10"/>
  <c r="W1364" i="10"/>
  <c r="W1365" i="10"/>
  <c r="W1366" i="10"/>
  <c r="W1367" i="10"/>
  <c r="W1368" i="10"/>
  <c r="W1369" i="10"/>
  <c r="W1370" i="10"/>
  <c r="W1371" i="10"/>
  <c r="W1372" i="10"/>
  <c r="W1373" i="10"/>
  <c r="W1374" i="10"/>
  <c r="W1375" i="10"/>
  <c r="W1376" i="10"/>
  <c r="W1377" i="10"/>
  <c r="W1378" i="10"/>
  <c r="W1379" i="10"/>
  <c r="W1380" i="10"/>
  <c r="W1381" i="10"/>
  <c r="W1382" i="10"/>
  <c r="W1383" i="10"/>
  <c r="W1384" i="10"/>
  <c r="W1385" i="10"/>
  <c r="W1386" i="10"/>
  <c r="W1387" i="10"/>
  <c r="W1388" i="10"/>
  <c r="W1389" i="10"/>
  <c r="W1390" i="10"/>
  <c r="W1391" i="10"/>
  <c r="W1392" i="10"/>
  <c r="W1393" i="10"/>
  <c r="W1394" i="10"/>
  <c r="W1395" i="10"/>
  <c r="W1396" i="10"/>
  <c r="W1397" i="10"/>
  <c r="W1398" i="10"/>
  <c r="W1399" i="10"/>
  <c r="W1400" i="10"/>
  <c r="W1401" i="10"/>
  <c r="W1402" i="10"/>
  <c r="W1403" i="10"/>
  <c r="W1404" i="10"/>
  <c r="W1405" i="10"/>
  <c r="W1406" i="10"/>
  <c r="W1407" i="10"/>
  <c r="W1408" i="10"/>
  <c r="W1409" i="10"/>
  <c r="W1410" i="10"/>
  <c r="W1411" i="10"/>
  <c r="W1412" i="10"/>
  <c r="W1413" i="10"/>
  <c r="W1414" i="10"/>
  <c r="W1415" i="10"/>
  <c r="W1416" i="10"/>
  <c r="W1417" i="10"/>
  <c r="W1418" i="10"/>
  <c r="W1419" i="10"/>
  <c r="W1420" i="10"/>
  <c r="W1421" i="10"/>
  <c r="W1422" i="10"/>
  <c r="W1423" i="10"/>
  <c r="W1424" i="10"/>
  <c r="W1425" i="10"/>
  <c r="W1426" i="10"/>
  <c r="W1427" i="10"/>
  <c r="W1428" i="10"/>
  <c r="W1429" i="10"/>
  <c r="W1430" i="10"/>
  <c r="W1431" i="10"/>
  <c r="W1432" i="10"/>
  <c r="W1433" i="10"/>
  <c r="W1434" i="10"/>
  <c r="W1435" i="10"/>
  <c r="W1436" i="10"/>
  <c r="W1437" i="10"/>
  <c r="W1438" i="10"/>
  <c r="W1439" i="10"/>
  <c r="W1440" i="10"/>
  <c r="W1441" i="10"/>
  <c r="W1442" i="10"/>
  <c r="W1443" i="10"/>
  <c r="W1444" i="10"/>
  <c r="W1445" i="10"/>
  <c r="W1446" i="10"/>
  <c r="W1447" i="10"/>
  <c r="W1448" i="10"/>
  <c r="W1449" i="10"/>
  <c r="W1450" i="10"/>
  <c r="W1451" i="10"/>
  <c r="W1452" i="10"/>
  <c r="W1453" i="10"/>
  <c r="W1454" i="10"/>
  <c r="W1455" i="10"/>
  <c r="W1456" i="10"/>
  <c r="W1457" i="10"/>
  <c r="W1458" i="10"/>
  <c r="W1459" i="10"/>
  <c r="W1460" i="10"/>
  <c r="W1461" i="10"/>
  <c r="W1462" i="10"/>
  <c r="W1463" i="10"/>
  <c r="W1464" i="10"/>
  <c r="W1465" i="10"/>
  <c r="W1466" i="10"/>
  <c r="W1467" i="10"/>
  <c r="W1468" i="10"/>
  <c r="W1469" i="10"/>
  <c r="W1470" i="10"/>
  <c r="W1471" i="10"/>
  <c r="W1472" i="10"/>
  <c r="W1473" i="10"/>
  <c r="W1474" i="10"/>
  <c r="W1475" i="10"/>
  <c r="W1476" i="10"/>
  <c r="W1477" i="10"/>
  <c r="W1478" i="10"/>
  <c r="W1479" i="10"/>
  <c r="W1480" i="10"/>
  <c r="W1481" i="10"/>
  <c r="W1482" i="10"/>
  <c r="W1483" i="10"/>
  <c r="W1484" i="10"/>
  <c r="W1485" i="10"/>
  <c r="W1486" i="10"/>
  <c r="W1487" i="10"/>
  <c r="W1488" i="10"/>
  <c r="W1489" i="10"/>
  <c r="W1490" i="10"/>
  <c r="W1491" i="10"/>
  <c r="W1492" i="10"/>
  <c r="W1493" i="10"/>
  <c r="W1494" i="10"/>
  <c r="W1495" i="10"/>
  <c r="W1496" i="10"/>
  <c r="W1497" i="10"/>
  <c r="W1498" i="10"/>
  <c r="W1499" i="10"/>
  <c r="W1500" i="10"/>
  <c r="W1501" i="10"/>
  <c r="W2" i="10"/>
  <c r="T1501" i="10"/>
  <c r="S1501" i="10"/>
  <c r="R1501" i="10"/>
  <c r="Q1501" i="10"/>
  <c r="P1501" i="10"/>
  <c r="O1501" i="10"/>
  <c r="N1501" i="10"/>
  <c r="T1500" i="10"/>
  <c r="S1500" i="10"/>
  <c r="R1500" i="10"/>
  <c r="Q1500" i="10"/>
  <c r="P1500" i="10"/>
  <c r="O1500" i="10"/>
  <c r="N1500" i="10"/>
  <c r="T1499" i="10"/>
  <c r="S1499" i="10"/>
  <c r="R1499" i="10"/>
  <c r="Q1499" i="10"/>
  <c r="P1499" i="10"/>
  <c r="O1499" i="10"/>
  <c r="N1499" i="10"/>
  <c r="T1498" i="10"/>
  <c r="S1498" i="10"/>
  <c r="R1498" i="10"/>
  <c r="Q1498" i="10"/>
  <c r="P1498" i="10"/>
  <c r="O1498" i="10"/>
  <c r="N1498" i="10"/>
  <c r="T1497" i="10"/>
  <c r="S1497" i="10"/>
  <c r="R1497" i="10"/>
  <c r="Q1497" i="10"/>
  <c r="P1497" i="10"/>
  <c r="O1497" i="10"/>
  <c r="N1497" i="10"/>
  <c r="T1496" i="10"/>
  <c r="S1496" i="10"/>
  <c r="R1496" i="10"/>
  <c r="Q1496" i="10"/>
  <c r="P1496" i="10"/>
  <c r="O1496" i="10"/>
  <c r="N1496" i="10"/>
  <c r="T1495" i="10"/>
  <c r="S1495" i="10"/>
  <c r="R1495" i="10"/>
  <c r="Q1495" i="10"/>
  <c r="P1495" i="10"/>
  <c r="O1495" i="10"/>
  <c r="N1495" i="10"/>
  <c r="T1494" i="10"/>
  <c r="S1494" i="10"/>
  <c r="R1494" i="10"/>
  <c r="Q1494" i="10"/>
  <c r="P1494" i="10"/>
  <c r="O1494" i="10"/>
  <c r="N1494" i="10"/>
  <c r="T1493" i="10"/>
  <c r="S1493" i="10"/>
  <c r="R1493" i="10"/>
  <c r="Q1493" i="10"/>
  <c r="P1493" i="10"/>
  <c r="O1493" i="10"/>
  <c r="N1493" i="10"/>
  <c r="T1492" i="10"/>
  <c r="S1492" i="10"/>
  <c r="R1492" i="10"/>
  <c r="Q1492" i="10"/>
  <c r="P1492" i="10"/>
  <c r="O1492" i="10"/>
  <c r="N1492" i="10"/>
  <c r="T1491" i="10"/>
  <c r="S1491" i="10"/>
  <c r="R1491" i="10"/>
  <c r="Q1491" i="10"/>
  <c r="P1491" i="10"/>
  <c r="O1491" i="10"/>
  <c r="N1491" i="10"/>
  <c r="T1490" i="10"/>
  <c r="S1490" i="10"/>
  <c r="R1490" i="10"/>
  <c r="Q1490" i="10"/>
  <c r="P1490" i="10"/>
  <c r="O1490" i="10"/>
  <c r="N1490" i="10"/>
  <c r="T1489" i="10"/>
  <c r="S1489" i="10"/>
  <c r="R1489" i="10"/>
  <c r="Q1489" i="10"/>
  <c r="P1489" i="10"/>
  <c r="O1489" i="10"/>
  <c r="N1489" i="10"/>
  <c r="T1488" i="10"/>
  <c r="S1488" i="10"/>
  <c r="R1488" i="10"/>
  <c r="Q1488" i="10"/>
  <c r="P1488" i="10"/>
  <c r="O1488" i="10"/>
  <c r="N1488" i="10"/>
  <c r="T1487" i="10"/>
  <c r="S1487" i="10"/>
  <c r="R1487" i="10"/>
  <c r="Q1487" i="10"/>
  <c r="P1487" i="10"/>
  <c r="O1487" i="10"/>
  <c r="N1487" i="10"/>
  <c r="T1486" i="10"/>
  <c r="S1486" i="10"/>
  <c r="R1486" i="10"/>
  <c r="Q1486" i="10"/>
  <c r="P1486" i="10"/>
  <c r="O1486" i="10"/>
  <c r="N1486" i="10"/>
  <c r="T1485" i="10"/>
  <c r="S1485" i="10"/>
  <c r="R1485" i="10"/>
  <c r="Q1485" i="10"/>
  <c r="P1485" i="10"/>
  <c r="O1485" i="10"/>
  <c r="N1485" i="10"/>
  <c r="T1484" i="10"/>
  <c r="S1484" i="10"/>
  <c r="R1484" i="10"/>
  <c r="Q1484" i="10"/>
  <c r="P1484" i="10"/>
  <c r="O1484" i="10"/>
  <c r="N1484" i="10"/>
  <c r="T1483" i="10"/>
  <c r="S1483" i="10"/>
  <c r="R1483" i="10"/>
  <c r="Q1483" i="10"/>
  <c r="P1483" i="10"/>
  <c r="O1483" i="10"/>
  <c r="N1483" i="10"/>
  <c r="T1482" i="10"/>
  <c r="S1482" i="10"/>
  <c r="R1482" i="10"/>
  <c r="Q1482" i="10"/>
  <c r="P1482" i="10"/>
  <c r="O1482" i="10"/>
  <c r="N1482" i="10"/>
  <c r="T1481" i="10"/>
  <c r="S1481" i="10"/>
  <c r="R1481" i="10"/>
  <c r="Q1481" i="10"/>
  <c r="P1481" i="10"/>
  <c r="O1481" i="10"/>
  <c r="N1481" i="10"/>
  <c r="T1480" i="10"/>
  <c r="S1480" i="10"/>
  <c r="R1480" i="10"/>
  <c r="Q1480" i="10"/>
  <c r="P1480" i="10"/>
  <c r="O1480" i="10"/>
  <c r="N1480" i="10"/>
  <c r="T1479" i="10"/>
  <c r="S1479" i="10"/>
  <c r="R1479" i="10"/>
  <c r="Q1479" i="10"/>
  <c r="P1479" i="10"/>
  <c r="O1479" i="10"/>
  <c r="N1479" i="10"/>
  <c r="T1478" i="10"/>
  <c r="S1478" i="10"/>
  <c r="R1478" i="10"/>
  <c r="Q1478" i="10"/>
  <c r="P1478" i="10"/>
  <c r="O1478" i="10"/>
  <c r="N1478" i="10"/>
  <c r="T1477" i="10"/>
  <c r="S1477" i="10"/>
  <c r="R1477" i="10"/>
  <c r="Q1477" i="10"/>
  <c r="P1477" i="10"/>
  <c r="O1477" i="10"/>
  <c r="N1477" i="10"/>
  <c r="T1476" i="10"/>
  <c r="S1476" i="10"/>
  <c r="R1476" i="10"/>
  <c r="Q1476" i="10"/>
  <c r="P1476" i="10"/>
  <c r="O1476" i="10"/>
  <c r="N1476" i="10"/>
  <c r="T1475" i="10"/>
  <c r="S1475" i="10"/>
  <c r="R1475" i="10"/>
  <c r="Q1475" i="10"/>
  <c r="P1475" i="10"/>
  <c r="O1475" i="10"/>
  <c r="N1475" i="10"/>
  <c r="T1474" i="10"/>
  <c r="S1474" i="10"/>
  <c r="R1474" i="10"/>
  <c r="Q1474" i="10"/>
  <c r="P1474" i="10"/>
  <c r="O1474" i="10"/>
  <c r="N1474" i="10"/>
  <c r="T1473" i="10"/>
  <c r="S1473" i="10"/>
  <c r="R1473" i="10"/>
  <c r="Q1473" i="10"/>
  <c r="P1473" i="10"/>
  <c r="O1473" i="10"/>
  <c r="N1473" i="10"/>
  <c r="T1472" i="10"/>
  <c r="S1472" i="10"/>
  <c r="R1472" i="10"/>
  <c r="Q1472" i="10"/>
  <c r="P1472" i="10"/>
  <c r="O1472" i="10"/>
  <c r="N1472" i="10"/>
  <c r="T1471" i="10"/>
  <c r="S1471" i="10"/>
  <c r="R1471" i="10"/>
  <c r="Q1471" i="10"/>
  <c r="P1471" i="10"/>
  <c r="O1471" i="10"/>
  <c r="N1471" i="10"/>
  <c r="T1470" i="10"/>
  <c r="S1470" i="10"/>
  <c r="R1470" i="10"/>
  <c r="Q1470" i="10"/>
  <c r="P1470" i="10"/>
  <c r="O1470" i="10"/>
  <c r="N1470" i="10"/>
  <c r="T1469" i="10"/>
  <c r="S1469" i="10"/>
  <c r="R1469" i="10"/>
  <c r="Q1469" i="10"/>
  <c r="P1469" i="10"/>
  <c r="O1469" i="10"/>
  <c r="N1469" i="10"/>
  <c r="T1468" i="10"/>
  <c r="S1468" i="10"/>
  <c r="R1468" i="10"/>
  <c r="Q1468" i="10"/>
  <c r="P1468" i="10"/>
  <c r="O1468" i="10"/>
  <c r="N1468" i="10"/>
  <c r="T1467" i="10"/>
  <c r="S1467" i="10"/>
  <c r="R1467" i="10"/>
  <c r="Q1467" i="10"/>
  <c r="P1467" i="10"/>
  <c r="O1467" i="10"/>
  <c r="N1467" i="10"/>
  <c r="T1466" i="10"/>
  <c r="S1466" i="10"/>
  <c r="R1466" i="10"/>
  <c r="Q1466" i="10"/>
  <c r="P1466" i="10"/>
  <c r="O1466" i="10"/>
  <c r="N1466" i="10"/>
  <c r="T1465" i="10"/>
  <c r="S1465" i="10"/>
  <c r="R1465" i="10"/>
  <c r="Q1465" i="10"/>
  <c r="P1465" i="10"/>
  <c r="O1465" i="10"/>
  <c r="N1465" i="10"/>
  <c r="T1464" i="10"/>
  <c r="S1464" i="10"/>
  <c r="R1464" i="10"/>
  <c r="Q1464" i="10"/>
  <c r="P1464" i="10"/>
  <c r="O1464" i="10"/>
  <c r="N1464" i="10"/>
  <c r="T1463" i="10"/>
  <c r="S1463" i="10"/>
  <c r="R1463" i="10"/>
  <c r="Q1463" i="10"/>
  <c r="P1463" i="10"/>
  <c r="O1463" i="10"/>
  <c r="N1463" i="10"/>
  <c r="T1462" i="10"/>
  <c r="S1462" i="10"/>
  <c r="R1462" i="10"/>
  <c r="Q1462" i="10"/>
  <c r="P1462" i="10"/>
  <c r="O1462" i="10"/>
  <c r="N1462" i="10"/>
  <c r="T1461" i="10"/>
  <c r="S1461" i="10"/>
  <c r="R1461" i="10"/>
  <c r="Q1461" i="10"/>
  <c r="P1461" i="10"/>
  <c r="O1461" i="10"/>
  <c r="N1461" i="10"/>
  <c r="T1460" i="10"/>
  <c r="S1460" i="10"/>
  <c r="R1460" i="10"/>
  <c r="Q1460" i="10"/>
  <c r="P1460" i="10"/>
  <c r="O1460" i="10"/>
  <c r="N1460" i="10"/>
  <c r="T1459" i="10"/>
  <c r="S1459" i="10"/>
  <c r="R1459" i="10"/>
  <c r="Q1459" i="10"/>
  <c r="P1459" i="10"/>
  <c r="O1459" i="10"/>
  <c r="N1459" i="10"/>
  <c r="T1458" i="10"/>
  <c r="S1458" i="10"/>
  <c r="R1458" i="10"/>
  <c r="Q1458" i="10"/>
  <c r="P1458" i="10"/>
  <c r="O1458" i="10"/>
  <c r="N1458" i="10"/>
  <c r="T1457" i="10"/>
  <c r="S1457" i="10"/>
  <c r="R1457" i="10"/>
  <c r="Q1457" i="10"/>
  <c r="P1457" i="10"/>
  <c r="O1457" i="10"/>
  <c r="N1457" i="10"/>
  <c r="T1456" i="10"/>
  <c r="S1456" i="10"/>
  <c r="R1456" i="10"/>
  <c r="Q1456" i="10"/>
  <c r="P1456" i="10"/>
  <c r="O1456" i="10"/>
  <c r="N1456" i="10"/>
  <c r="T1455" i="10"/>
  <c r="S1455" i="10"/>
  <c r="R1455" i="10"/>
  <c r="Q1455" i="10"/>
  <c r="P1455" i="10"/>
  <c r="O1455" i="10"/>
  <c r="N1455" i="10"/>
  <c r="T1454" i="10"/>
  <c r="S1454" i="10"/>
  <c r="R1454" i="10"/>
  <c r="Q1454" i="10"/>
  <c r="P1454" i="10"/>
  <c r="O1454" i="10"/>
  <c r="N1454" i="10"/>
  <c r="T1453" i="10"/>
  <c r="S1453" i="10"/>
  <c r="R1453" i="10"/>
  <c r="Q1453" i="10"/>
  <c r="P1453" i="10"/>
  <c r="O1453" i="10"/>
  <c r="N1453" i="10"/>
  <c r="T1452" i="10"/>
  <c r="S1452" i="10"/>
  <c r="R1452" i="10"/>
  <c r="Q1452" i="10"/>
  <c r="P1452" i="10"/>
  <c r="O1452" i="10"/>
  <c r="N1452" i="10"/>
  <c r="T1451" i="10"/>
  <c r="S1451" i="10"/>
  <c r="R1451" i="10"/>
  <c r="Q1451" i="10"/>
  <c r="P1451" i="10"/>
  <c r="O1451" i="10"/>
  <c r="N1451" i="10"/>
  <c r="T1450" i="10"/>
  <c r="S1450" i="10"/>
  <c r="R1450" i="10"/>
  <c r="Q1450" i="10"/>
  <c r="P1450" i="10"/>
  <c r="O1450" i="10"/>
  <c r="N1450" i="10"/>
  <c r="T1449" i="10"/>
  <c r="S1449" i="10"/>
  <c r="R1449" i="10"/>
  <c r="Q1449" i="10"/>
  <c r="P1449" i="10"/>
  <c r="O1449" i="10"/>
  <c r="N1449" i="10"/>
  <c r="T1448" i="10"/>
  <c r="S1448" i="10"/>
  <c r="R1448" i="10"/>
  <c r="Q1448" i="10"/>
  <c r="P1448" i="10"/>
  <c r="O1448" i="10"/>
  <c r="N1448" i="10"/>
  <c r="T1447" i="10"/>
  <c r="S1447" i="10"/>
  <c r="R1447" i="10"/>
  <c r="Q1447" i="10"/>
  <c r="P1447" i="10"/>
  <c r="O1447" i="10"/>
  <c r="N1447" i="10"/>
  <c r="T1446" i="10"/>
  <c r="S1446" i="10"/>
  <c r="R1446" i="10"/>
  <c r="Q1446" i="10"/>
  <c r="P1446" i="10"/>
  <c r="O1446" i="10"/>
  <c r="N1446" i="10"/>
  <c r="T1445" i="10"/>
  <c r="S1445" i="10"/>
  <c r="R1445" i="10"/>
  <c r="Q1445" i="10"/>
  <c r="P1445" i="10"/>
  <c r="O1445" i="10"/>
  <c r="N1445" i="10"/>
  <c r="T1444" i="10"/>
  <c r="S1444" i="10"/>
  <c r="R1444" i="10"/>
  <c r="Q1444" i="10"/>
  <c r="P1444" i="10"/>
  <c r="O1444" i="10"/>
  <c r="N1444" i="10"/>
  <c r="T1443" i="10"/>
  <c r="S1443" i="10"/>
  <c r="R1443" i="10"/>
  <c r="Q1443" i="10"/>
  <c r="P1443" i="10"/>
  <c r="O1443" i="10"/>
  <c r="N1443" i="10"/>
  <c r="T1442" i="10"/>
  <c r="S1442" i="10"/>
  <c r="R1442" i="10"/>
  <c r="Q1442" i="10"/>
  <c r="P1442" i="10"/>
  <c r="O1442" i="10"/>
  <c r="N1442" i="10"/>
  <c r="T1441" i="10"/>
  <c r="S1441" i="10"/>
  <c r="R1441" i="10"/>
  <c r="Q1441" i="10"/>
  <c r="P1441" i="10"/>
  <c r="O1441" i="10"/>
  <c r="N1441" i="10"/>
  <c r="T1440" i="10"/>
  <c r="S1440" i="10"/>
  <c r="R1440" i="10"/>
  <c r="Q1440" i="10"/>
  <c r="P1440" i="10"/>
  <c r="O1440" i="10"/>
  <c r="N1440" i="10"/>
  <c r="T1439" i="10"/>
  <c r="S1439" i="10"/>
  <c r="R1439" i="10"/>
  <c r="Q1439" i="10"/>
  <c r="P1439" i="10"/>
  <c r="O1439" i="10"/>
  <c r="N1439" i="10"/>
  <c r="T1438" i="10"/>
  <c r="S1438" i="10"/>
  <c r="R1438" i="10"/>
  <c r="Q1438" i="10"/>
  <c r="P1438" i="10"/>
  <c r="O1438" i="10"/>
  <c r="N1438" i="10"/>
  <c r="T1437" i="10"/>
  <c r="S1437" i="10"/>
  <c r="R1437" i="10"/>
  <c r="Q1437" i="10"/>
  <c r="P1437" i="10"/>
  <c r="O1437" i="10"/>
  <c r="N1437" i="10"/>
  <c r="T1436" i="10"/>
  <c r="S1436" i="10"/>
  <c r="R1436" i="10"/>
  <c r="Q1436" i="10"/>
  <c r="P1436" i="10"/>
  <c r="O1436" i="10"/>
  <c r="N1436" i="10"/>
  <c r="T1435" i="10"/>
  <c r="S1435" i="10"/>
  <c r="R1435" i="10"/>
  <c r="Q1435" i="10"/>
  <c r="P1435" i="10"/>
  <c r="O1435" i="10"/>
  <c r="N1435" i="10"/>
  <c r="T1434" i="10"/>
  <c r="S1434" i="10"/>
  <c r="R1434" i="10"/>
  <c r="Q1434" i="10"/>
  <c r="P1434" i="10"/>
  <c r="O1434" i="10"/>
  <c r="N1434" i="10"/>
  <c r="T1433" i="10"/>
  <c r="S1433" i="10"/>
  <c r="R1433" i="10"/>
  <c r="Q1433" i="10"/>
  <c r="P1433" i="10"/>
  <c r="O1433" i="10"/>
  <c r="N1433" i="10"/>
  <c r="T1432" i="10"/>
  <c r="S1432" i="10"/>
  <c r="R1432" i="10"/>
  <c r="Q1432" i="10"/>
  <c r="P1432" i="10"/>
  <c r="O1432" i="10"/>
  <c r="N1432" i="10"/>
  <c r="T1431" i="10"/>
  <c r="S1431" i="10"/>
  <c r="R1431" i="10"/>
  <c r="Q1431" i="10"/>
  <c r="P1431" i="10"/>
  <c r="O1431" i="10"/>
  <c r="N1431" i="10"/>
  <c r="T1430" i="10"/>
  <c r="S1430" i="10"/>
  <c r="R1430" i="10"/>
  <c r="Q1430" i="10"/>
  <c r="P1430" i="10"/>
  <c r="O1430" i="10"/>
  <c r="N1430" i="10"/>
  <c r="T1429" i="10"/>
  <c r="S1429" i="10"/>
  <c r="R1429" i="10"/>
  <c r="Q1429" i="10"/>
  <c r="P1429" i="10"/>
  <c r="O1429" i="10"/>
  <c r="N1429" i="10"/>
  <c r="T1428" i="10"/>
  <c r="S1428" i="10"/>
  <c r="R1428" i="10"/>
  <c r="Q1428" i="10"/>
  <c r="P1428" i="10"/>
  <c r="O1428" i="10"/>
  <c r="N1428" i="10"/>
  <c r="T1427" i="10"/>
  <c r="S1427" i="10"/>
  <c r="R1427" i="10"/>
  <c r="Q1427" i="10"/>
  <c r="P1427" i="10"/>
  <c r="O1427" i="10"/>
  <c r="N1427" i="10"/>
  <c r="T1426" i="10"/>
  <c r="S1426" i="10"/>
  <c r="R1426" i="10"/>
  <c r="Q1426" i="10"/>
  <c r="P1426" i="10"/>
  <c r="O1426" i="10"/>
  <c r="N1426" i="10"/>
  <c r="T1425" i="10"/>
  <c r="S1425" i="10"/>
  <c r="R1425" i="10"/>
  <c r="Q1425" i="10"/>
  <c r="P1425" i="10"/>
  <c r="O1425" i="10"/>
  <c r="N1425" i="10"/>
  <c r="T1424" i="10"/>
  <c r="S1424" i="10"/>
  <c r="R1424" i="10"/>
  <c r="Q1424" i="10"/>
  <c r="P1424" i="10"/>
  <c r="O1424" i="10"/>
  <c r="N1424" i="10"/>
  <c r="T1423" i="10"/>
  <c r="S1423" i="10"/>
  <c r="R1423" i="10"/>
  <c r="Q1423" i="10"/>
  <c r="P1423" i="10"/>
  <c r="O1423" i="10"/>
  <c r="N1423" i="10"/>
  <c r="T1422" i="10"/>
  <c r="S1422" i="10"/>
  <c r="R1422" i="10"/>
  <c r="Q1422" i="10"/>
  <c r="P1422" i="10"/>
  <c r="O1422" i="10"/>
  <c r="N1422" i="10"/>
  <c r="T1421" i="10"/>
  <c r="S1421" i="10"/>
  <c r="R1421" i="10"/>
  <c r="Q1421" i="10"/>
  <c r="P1421" i="10"/>
  <c r="O1421" i="10"/>
  <c r="N1421" i="10"/>
  <c r="T1420" i="10"/>
  <c r="S1420" i="10"/>
  <c r="R1420" i="10"/>
  <c r="Q1420" i="10"/>
  <c r="P1420" i="10"/>
  <c r="O1420" i="10"/>
  <c r="N1420" i="10"/>
  <c r="T1419" i="10"/>
  <c r="S1419" i="10"/>
  <c r="R1419" i="10"/>
  <c r="Q1419" i="10"/>
  <c r="P1419" i="10"/>
  <c r="O1419" i="10"/>
  <c r="N1419" i="10"/>
  <c r="T1418" i="10"/>
  <c r="S1418" i="10"/>
  <c r="R1418" i="10"/>
  <c r="Q1418" i="10"/>
  <c r="P1418" i="10"/>
  <c r="O1418" i="10"/>
  <c r="N1418" i="10"/>
  <c r="T1417" i="10"/>
  <c r="S1417" i="10"/>
  <c r="R1417" i="10"/>
  <c r="Q1417" i="10"/>
  <c r="P1417" i="10"/>
  <c r="O1417" i="10"/>
  <c r="N1417" i="10"/>
  <c r="T1416" i="10"/>
  <c r="S1416" i="10"/>
  <c r="R1416" i="10"/>
  <c r="Q1416" i="10"/>
  <c r="P1416" i="10"/>
  <c r="O1416" i="10"/>
  <c r="N1416" i="10"/>
  <c r="T1415" i="10"/>
  <c r="S1415" i="10"/>
  <c r="R1415" i="10"/>
  <c r="Q1415" i="10"/>
  <c r="P1415" i="10"/>
  <c r="O1415" i="10"/>
  <c r="N1415" i="10"/>
  <c r="T1414" i="10"/>
  <c r="S1414" i="10"/>
  <c r="R1414" i="10"/>
  <c r="Q1414" i="10"/>
  <c r="P1414" i="10"/>
  <c r="O1414" i="10"/>
  <c r="N1414" i="10"/>
  <c r="T1413" i="10"/>
  <c r="S1413" i="10"/>
  <c r="R1413" i="10"/>
  <c r="Q1413" i="10"/>
  <c r="P1413" i="10"/>
  <c r="O1413" i="10"/>
  <c r="N1413" i="10"/>
  <c r="T1412" i="10"/>
  <c r="S1412" i="10"/>
  <c r="R1412" i="10"/>
  <c r="Q1412" i="10"/>
  <c r="P1412" i="10"/>
  <c r="O1412" i="10"/>
  <c r="N1412" i="10"/>
  <c r="T1411" i="10"/>
  <c r="S1411" i="10"/>
  <c r="R1411" i="10"/>
  <c r="Q1411" i="10"/>
  <c r="P1411" i="10"/>
  <c r="O1411" i="10"/>
  <c r="N1411" i="10"/>
  <c r="T1410" i="10"/>
  <c r="S1410" i="10"/>
  <c r="R1410" i="10"/>
  <c r="Q1410" i="10"/>
  <c r="P1410" i="10"/>
  <c r="O1410" i="10"/>
  <c r="N1410" i="10"/>
  <c r="T1409" i="10"/>
  <c r="S1409" i="10"/>
  <c r="R1409" i="10"/>
  <c r="Q1409" i="10"/>
  <c r="P1409" i="10"/>
  <c r="O1409" i="10"/>
  <c r="N1409" i="10"/>
  <c r="T1408" i="10"/>
  <c r="S1408" i="10"/>
  <c r="R1408" i="10"/>
  <c r="Q1408" i="10"/>
  <c r="P1408" i="10"/>
  <c r="O1408" i="10"/>
  <c r="N1408" i="10"/>
  <c r="T1407" i="10"/>
  <c r="S1407" i="10"/>
  <c r="R1407" i="10"/>
  <c r="Q1407" i="10"/>
  <c r="P1407" i="10"/>
  <c r="O1407" i="10"/>
  <c r="N1407" i="10"/>
  <c r="T1406" i="10"/>
  <c r="S1406" i="10"/>
  <c r="R1406" i="10"/>
  <c r="Q1406" i="10"/>
  <c r="P1406" i="10"/>
  <c r="O1406" i="10"/>
  <c r="N1406" i="10"/>
  <c r="T1405" i="10"/>
  <c r="S1405" i="10"/>
  <c r="R1405" i="10"/>
  <c r="Q1405" i="10"/>
  <c r="P1405" i="10"/>
  <c r="O1405" i="10"/>
  <c r="N1405" i="10"/>
  <c r="T1404" i="10"/>
  <c r="S1404" i="10"/>
  <c r="R1404" i="10"/>
  <c r="Q1404" i="10"/>
  <c r="P1404" i="10"/>
  <c r="O1404" i="10"/>
  <c r="N1404" i="10"/>
  <c r="T1403" i="10"/>
  <c r="S1403" i="10"/>
  <c r="R1403" i="10"/>
  <c r="Q1403" i="10"/>
  <c r="P1403" i="10"/>
  <c r="O1403" i="10"/>
  <c r="N1403" i="10"/>
  <c r="T1402" i="10"/>
  <c r="S1402" i="10"/>
  <c r="R1402" i="10"/>
  <c r="Q1402" i="10"/>
  <c r="P1402" i="10"/>
  <c r="O1402" i="10"/>
  <c r="N1402" i="10"/>
  <c r="T1401" i="10"/>
  <c r="S1401" i="10"/>
  <c r="R1401" i="10"/>
  <c r="Q1401" i="10"/>
  <c r="P1401" i="10"/>
  <c r="O1401" i="10"/>
  <c r="N1401" i="10"/>
  <c r="T1400" i="10"/>
  <c r="S1400" i="10"/>
  <c r="R1400" i="10"/>
  <c r="Q1400" i="10"/>
  <c r="P1400" i="10"/>
  <c r="O1400" i="10"/>
  <c r="N1400" i="10"/>
  <c r="T1399" i="10"/>
  <c r="S1399" i="10"/>
  <c r="R1399" i="10"/>
  <c r="Q1399" i="10"/>
  <c r="P1399" i="10"/>
  <c r="O1399" i="10"/>
  <c r="N1399" i="10"/>
  <c r="T1398" i="10"/>
  <c r="S1398" i="10"/>
  <c r="R1398" i="10"/>
  <c r="Q1398" i="10"/>
  <c r="P1398" i="10"/>
  <c r="O1398" i="10"/>
  <c r="N1398" i="10"/>
  <c r="T1397" i="10"/>
  <c r="S1397" i="10"/>
  <c r="R1397" i="10"/>
  <c r="Q1397" i="10"/>
  <c r="P1397" i="10"/>
  <c r="O1397" i="10"/>
  <c r="N1397" i="10"/>
  <c r="T1396" i="10"/>
  <c r="S1396" i="10"/>
  <c r="R1396" i="10"/>
  <c r="Q1396" i="10"/>
  <c r="P1396" i="10"/>
  <c r="O1396" i="10"/>
  <c r="N1396" i="10"/>
  <c r="T1395" i="10"/>
  <c r="S1395" i="10"/>
  <c r="R1395" i="10"/>
  <c r="Q1395" i="10"/>
  <c r="P1395" i="10"/>
  <c r="O1395" i="10"/>
  <c r="N1395" i="10"/>
  <c r="T1394" i="10"/>
  <c r="S1394" i="10"/>
  <c r="R1394" i="10"/>
  <c r="Q1394" i="10"/>
  <c r="P1394" i="10"/>
  <c r="O1394" i="10"/>
  <c r="N1394" i="10"/>
  <c r="T1393" i="10"/>
  <c r="S1393" i="10"/>
  <c r="R1393" i="10"/>
  <c r="Q1393" i="10"/>
  <c r="P1393" i="10"/>
  <c r="O1393" i="10"/>
  <c r="N1393" i="10"/>
  <c r="T1392" i="10"/>
  <c r="S1392" i="10"/>
  <c r="R1392" i="10"/>
  <c r="Q1392" i="10"/>
  <c r="P1392" i="10"/>
  <c r="O1392" i="10"/>
  <c r="N1392" i="10"/>
  <c r="T1391" i="10"/>
  <c r="S1391" i="10"/>
  <c r="R1391" i="10"/>
  <c r="Q1391" i="10"/>
  <c r="P1391" i="10"/>
  <c r="O1391" i="10"/>
  <c r="N1391" i="10"/>
  <c r="T1390" i="10"/>
  <c r="S1390" i="10"/>
  <c r="R1390" i="10"/>
  <c r="Q1390" i="10"/>
  <c r="P1390" i="10"/>
  <c r="O1390" i="10"/>
  <c r="N1390" i="10"/>
  <c r="T1389" i="10"/>
  <c r="S1389" i="10"/>
  <c r="R1389" i="10"/>
  <c r="Q1389" i="10"/>
  <c r="P1389" i="10"/>
  <c r="O1389" i="10"/>
  <c r="N1389" i="10"/>
  <c r="T1388" i="10"/>
  <c r="S1388" i="10"/>
  <c r="R1388" i="10"/>
  <c r="Q1388" i="10"/>
  <c r="P1388" i="10"/>
  <c r="O1388" i="10"/>
  <c r="N1388" i="10"/>
  <c r="T1387" i="10"/>
  <c r="S1387" i="10"/>
  <c r="R1387" i="10"/>
  <c r="Q1387" i="10"/>
  <c r="P1387" i="10"/>
  <c r="O1387" i="10"/>
  <c r="N1387" i="10"/>
  <c r="T1386" i="10"/>
  <c r="S1386" i="10"/>
  <c r="R1386" i="10"/>
  <c r="Q1386" i="10"/>
  <c r="P1386" i="10"/>
  <c r="O1386" i="10"/>
  <c r="N1386" i="10"/>
  <c r="T1385" i="10"/>
  <c r="S1385" i="10"/>
  <c r="R1385" i="10"/>
  <c r="Q1385" i="10"/>
  <c r="P1385" i="10"/>
  <c r="O1385" i="10"/>
  <c r="N1385" i="10"/>
  <c r="T1384" i="10"/>
  <c r="S1384" i="10"/>
  <c r="R1384" i="10"/>
  <c r="Q1384" i="10"/>
  <c r="P1384" i="10"/>
  <c r="O1384" i="10"/>
  <c r="N1384" i="10"/>
  <c r="T1383" i="10"/>
  <c r="S1383" i="10"/>
  <c r="R1383" i="10"/>
  <c r="Q1383" i="10"/>
  <c r="P1383" i="10"/>
  <c r="O1383" i="10"/>
  <c r="N1383" i="10"/>
  <c r="T1382" i="10"/>
  <c r="S1382" i="10"/>
  <c r="R1382" i="10"/>
  <c r="Q1382" i="10"/>
  <c r="P1382" i="10"/>
  <c r="O1382" i="10"/>
  <c r="N1382" i="10"/>
  <c r="T1381" i="10"/>
  <c r="S1381" i="10"/>
  <c r="R1381" i="10"/>
  <c r="Q1381" i="10"/>
  <c r="P1381" i="10"/>
  <c r="O1381" i="10"/>
  <c r="N1381" i="10"/>
  <c r="T1380" i="10"/>
  <c r="S1380" i="10"/>
  <c r="R1380" i="10"/>
  <c r="Q1380" i="10"/>
  <c r="P1380" i="10"/>
  <c r="O1380" i="10"/>
  <c r="N1380" i="10"/>
  <c r="T1379" i="10"/>
  <c r="S1379" i="10"/>
  <c r="R1379" i="10"/>
  <c r="Q1379" i="10"/>
  <c r="P1379" i="10"/>
  <c r="O1379" i="10"/>
  <c r="N1379" i="10"/>
  <c r="T1378" i="10"/>
  <c r="S1378" i="10"/>
  <c r="R1378" i="10"/>
  <c r="Q1378" i="10"/>
  <c r="P1378" i="10"/>
  <c r="O1378" i="10"/>
  <c r="N1378" i="10"/>
  <c r="T1377" i="10"/>
  <c r="S1377" i="10"/>
  <c r="R1377" i="10"/>
  <c r="Q1377" i="10"/>
  <c r="P1377" i="10"/>
  <c r="O1377" i="10"/>
  <c r="N1377" i="10"/>
  <c r="T1376" i="10"/>
  <c r="S1376" i="10"/>
  <c r="R1376" i="10"/>
  <c r="Q1376" i="10"/>
  <c r="P1376" i="10"/>
  <c r="O1376" i="10"/>
  <c r="N1376" i="10"/>
  <c r="T1375" i="10"/>
  <c r="S1375" i="10"/>
  <c r="R1375" i="10"/>
  <c r="Q1375" i="10"/>
  <c r="P1375" i="10"/>
  <c r="O1375" i="10"/>
  <c r="N1375" i="10"/>
  <c r="T1374" i="10"/>
  <c r="S1374" i="10"/>
  <c r="R1374" i="10"/>
  <c r="Q1374" i="10"/>
  <c r="P1374" i="10"/>
  <c r="O1374" i="10"/>
  <c r="N1374" i="10"/>
  <c r="T1373" i="10"/>
  <c r="S1373" i="10"/>
  <c r="R1373" i="10"/>
  <c r="Q1373" i="10"/>
  <c r="P1373" i="10"/>
  <c r="O1373" i="10"/>
  <c r="N1373" i="10"/>
  <c r="T1372" i="10"/>
  <c r="S1372" i="10"/>
  <c r="R1372" i="10"/>
  <c r="Q1372" i="10"/>
  <c r="P1372" i="10"/>
  <c r="O1372" i="10"/>
  <c r="N1372" i="10"/>
  <c r="T1371" i="10"/>
  <c r="S1371" i="10"/>
  <c r="R1371" i="10"/>
  <c r="Q1371" i="10"/>
  <c r="P1371" i="10"/>
  <c r="O1371" i="10"/>
  <c r="N1371" i="10"/>
  <c r="T1370" i="10"/>
  <c r="S1370" i="10"/>
  <c r="R1370" i="10"/>
  <c r="Q1370" i="10"/>
  <c r="P1370" i="10"/>
  <c r="O1370" i="10"/>
  <c r="N1370" i="10"/>
  <c r="T1369" i="10"/>
  <c r="S1369" i="10"/>
  <c r="R1369" i="10"/>
  <c r="Q1369" i="10"/>
  <c r="P1369" i="10"/>
  <c r="O1369" i="10"/>
  <c r="N1369" i="10"/>
  <c r="T1368" i="10"/>
  <c r="S1368" i="10"/>
  <c r="R1368" i="10"/>
  <c r="Q1368" i="10"/>
  <c r="P1368" i="10"/>
  <c r="O1368" i="10"/>
  <c r="N1368" i="10"/>
  <c r="T1367" i="10"/>
  <c r="S1367" i="10"/>
  <c r="R1367" i="10"/>
  <c r="Q1367" i="10"/>
  <c r="P1367" i="10"/>
  <c r="O1367" i="10"/>
  <c r="N1367" i="10"/>
  <c r="T1366" i="10"/>
  <c r="S1366" i="10"/>
  <c r="R1366" i="10"/>
  <c r="Q1366" i="10"/>
  <c r="P1366" i="10"/>
  <c r="O1366" i="10"/>
  <c r="N1366" i="10"/>
  <c r="T1365" i="10"/>
  <c r="S1365" i="10"/>
  <c r="R1365" i="10"/>
  <c r="Q1365" i="10"/>
  <c r="P1365" i="10"/>
  <c r="O1365" i="10"/>
  <c r="N1365" i="10"/>
  <c r="T1364" i="10"/>
  <c r="S1364" i="10"/>
  <c r="R1364" i="10"/>
  <c r="Q1364" i="10"/>
  <c r="P1364" i="10"/>
  <c r="O1364" i="10"/>
  <c r="N1364" i="10"/>
  <c r="T1363" i="10"/>
  <c r="S1363" i="10"/>
  <c r="R1363" i="10"/>
  <c r="Q1363" i="10"/>
  <c r="P1363" i="10"/>
  <c r="O1363" i="10"/>
  <c r="N1363" i="10"/>
  <c r="T1362" i="10"/>
  <c r="S1362" i="10"/>
  <c r="R1362" i="10"/>
  <c r="Q1362" i="10"/>
  <c r="P1362" i="10"/>
  <c r="O1362" i="10"/>
  <c r="N1362" i="10"/>
  <c r="T1361" i="10"/>
  <c r="S1361" i="10"/>
  <c r="R1361" i="10"/>
  <c r="Q1361" i="10"/>
  <c r="P1361" i="10"/>
  <c r="O1361" i="10"/>
  <c r="N1361" i="10"/>
  <c r="T1360" i="10"/>
  <c r="S1360" i="10"/>
  <c r="R1360" i="10"/>
  <c r="Q1360" i="10"/>
  <c r="P1360" i="10"/>
  <c r="O1360" i="10"/>
  <c r="N1360" i="10"/>
  <c r="T1359" i="10"/>
  <c r="S1359" i="10"/>
  <c r="R1359" i="10"/>
  <c r="Q1359" i="10"/>
  <c r="P1359" i="10"/>
  <c r="O1359" i="10"/>
  <c r="N1359" i="10"/>
  <c r="T1358" i="10"/>
  <c r="S1358" i="10"/>
  <c r="R1358" i="10"/>
  <c r="Q1358" i="10"/>
  <c r="P1358" i="10"/>
  <c r="O1358" i="10"/>
  <c r="N1358" i="10"/>
  <c r="T1357" i="10"/>
  <c r="S1357" i="10"/>
  <c r="R1357" i="10"/>
  <c r="Q1357" i="10"/>
  <c r="P1357" i="10"/>
  <c r="O1357" i="10"/>
  <c r="N1357" i="10"/>
  <c r="T1356" i="10"/>
  <c r="S1356" i="10"/>
  <c r="R1356" i="10"/>
  <c r="Q1356" i="10"/>
  <c r="P1356" i="10"/>
  <c r="O1356" i="10"/>
  <c r="N1356" i="10"/>
  <c r="T1355" i="10"/>
  <c r="S1355" i="10"/>
  <c r="R1355" i="10"/>
  <c r="Q1355" i="10"/>
  <c r="P1355" i="10"/>
  <c r="O1355" i="10"/>
  <c r="N1355" i="10"/>
  <c r="T1354" i="10"/>
  <c r="S1354" i="10"/>
  <c r="R1354" i="10"/>
  <c r="Q1354" i="10"/>
  <c r="P1354" i="10"/>
  <c r="O1354" i="10"/>
  <c r="N1354" i="10"/>
  <c r="T1353" i="10"/>
  <c r="S1353" i="10"/>
  <c r="R1353" i="10"/>
  <c r="Q1353" i="10"/>
  <c r="P1353" i="10"/>
  <c r="O1353" i="10"/>
  <c r="N1353" i="10"/>
  <c r="T1352" i="10"/>
  <c r="S1352" i="10"/>
  <c r="R1352" i="10"/>
  <c r="Q1352" i="10"/>
  <c r="P1352" i="10"/>
  <c r="O1352" i="10"/>
  <c r="N1352" i="10"/>
  <c r="T1351" i="10"/>
  <c r="S1351" i="10"/>
  <c r="R1351" i="10"/>
  <c r="Q1351" i="10"/>
  <c r="P1351" i="10"/>
  <c r="O1351" i="10"/>
  <c r="N1351" i="10"/>
  <c r="T1350" i="10"/>
  <c r="S1350" i="10"/>
  <c r="R1350" i="10"/>
  <c r="Q1350" i="10"/>
  <c r="P1350" i="10"/>
  <c r="O1350" i="10"/>
  <c r="N1350" i="10"/>
  <c r="T1349" i="10"/>
  <c r="S1349" i="10"/>
  <c r="R1349" i="10"/>
  <c r="Q1349" i="10"/>
  <c r="P1349" i="10"/>
  <c r="O1349" i="10"/>
  <c r="N1349" i="10"/>
  <c r="T1348" i="10"/>
  <c r="S1348" i="10"/>
  <c r="R1348" i="10"/>
  <c r="Q1348" i="10"/>
  <c r="P1348" i="10"/>
  <c r="O1348" i="10"/>
  <c r="N1348" i="10"/>
  <c r="T1347" i="10"/>
  <c r="S1347" i="10"/>
  <c r="R1347" i="10"/>
  <c r="Q1347" i="10"/>
  <c r="P1347" i="10"/>
  <c r="O1347" i="10"/>
  <c r="N1347" i="10"/>
  <c r="T1346" i="10"/>
  <c r="S1346" i="10"/>
  <c r="R1346" i="10"/>
  <c r="Q1346" i="10"/>
  <c r="P1346" i="10"/>
  <c r="O1346" i="10"/>
  <c r="N1346" i="10"/>
  <c r="T1345" i="10"/>
  <c r="S1345" i="10"/>
  <c r="R1345" i="10"/>
  <c r="Q1345" i="10"/>
  <c r="P1345" i="10"/>
  <c r="O1345" i="10"/>
  <c r="N1345" i="10"/>
  <c r="T1344" i="10"/>
  <c r="S1344" i="10"/>
  <c r="R1344" i="10"/>
  <c r="Q1344" i="10"/>
  <c r="P1344" i="10"/>
  <c r="O1344" i="10"/>
  <c r="N1344" i="10"/>
  <c r="T1343" i="10"/>
  <c r="S1343" i="10"/>
  <c r="R1343" i="10"/>
  <c r="Q1343" i="10"/>
  <c r="P1343" i="10"/>
  <c r="O1343" i="10"/>
  <c r="N1343" i="10"/>
  <c r="T1342" i="10"/>
  <c r="S1342" i="10"/>
  <c r="R1342" i="10"/>
  <c r="Q1342" i="10"/>
  <c r="P1342" i="10"/>
  <c r="O1342" i="10"/>
  <c r="N1342" i="10"/>
  <c r="T1341" i="10"/>
  <c r="S1341" i="10"/>
  <c r="R1341" i="10"/>
  <c r="Q1341" i="10"/>
  <c r="P1341" i="10"/>
  <c r="O1341" i="10"/>
  <c r="N1341" i="10"/>
  <c r="T1340" i="10"/>
  <c r="S1340" i="10"/>
  <c r="R1340" i="10"/>
  <c r="Q1340" i="10"/>
  <c r="P1340" i="10"/>
  <c r="O1340" i="10"/>
  <c r="N1340" i="10"/>
  <c r="T1339" i="10"/>
  <c r="S1339" i="10"/>
  <c r="R1339" i="10"/>
  <c r="Q1339" i="10"/>
  <c r="P1339" i="10"/>
  <c r="O1339" i="10"/>
  <c r="N1339" i="10"/>
  <c r="T1338" i="10"/>
  <c r="S1338" i="10"/>
  <c r="R1338" i="10"/>
  <c r="Q1338" i="10"/>
  <c r="P1338" i="10"/>
  <c r="O1338" i="10"/>
  <c r="N1338" i="10"/>
  <c r="T1337" i="10"/>
  <c r="S1337" i="10"/>
  <c r="R1337" i="10"/>
  <c r="Q1337" i="10"/>
  <c r="P1337" i="10"/>
  <c r="O1337" i="10"/>
  <c r="N1337" i="10"/>
  <c r="T1336" i="10"/>
  <c r="S1336" i="10"/>
  <c r="R1336" i="10"/>
  <c r="Q1336" i="10"/>
  <c r="P1336" i="10"/>
  <c r="O1336" i="10"/>
  <c r="N1336" i="10"/>
  <c r="T1335" i="10"/>
  <c r="S1335" i="10"/>
  <c r="R1335" i="10"/>
  <c r="Q1335" i="10"/>
  <c r="P1335" i="10"/>
  <c r="O1335" i="10"/>
  <c r="N1335" i="10"/>
  <c r="T1334" i="10"/>
  <c r="S1334" i="10"/>
  <c r="R1334" i="10"/>
  <c r="Q1334" i="10"/>
  <c r="P1334" i="10"/>
  <c r="O1334" i="10"/>
  <c r="N1334" i="10"/>
  <c r="T1333" i="10"/>
  <c r="S1333" i="10"/>
  <c r="R1333" i="10"/>
  <c r="Q1333" i="10"/>
  <c r="P1333" i="10"/>
  <c r="O1333" i="10"/>
  <c r="N1333" i="10"/>
  <c r="T1332" i="10"/>
  <c r="S1332" i="10"/>
  <c r="R1332" i="10"/>
  <c r="Q1332" i="10"/>
  <c r="P1332" i="10"/>
  <c r="O1332" i="10"/>
  <c r="N1332" i="10"/>
  <c r="T1331" i="10"/>
  <c r="S1331" i="10"/>
  <c r="R1331" i="10"/>
  <c r="Q1331" i="10"/>
  <c r="P1331" i="10"/>
  <c r="O1331" i="10"/>
  <c r="N1331" i="10"/>
  <c r="T1330" i="10"/>
  <c r="S1330" i="10"/>
  <c r="R1330" i="10"/>
  <c r="Q1330" i="10"/>
  <c r="P1330" i="10"/>
  <c r="O1330" i="10"/>
  <c r="N1330" i="10"/>
  <c r="T1329" i="10"/>
  <c r="S1329" i="10"/>
  <c r="R1329" i="10"/>
  <c r="Q1329" i="10"/>
  <c r="P1329" i="10"/>
  <c r="O1329" i="10"/>
  <c r="N1329" i="10"/>
  <c r="T1328" i="10"/>
  <c r="S1328" i="10"/>
  <c r="R1328" i="10"/>
  <c r="Q1328" i="10"/>
  <c r="P1328" i="10"/>
  <c r="O1328" i="10"/>
  <c r="N1328" i="10"/>
  <c r="T1327" i="10"/>
  <c r="S1327" i="10"/>
  <c r="R1327" i="10"/>
  <c r="Q1327" i="10"/>
  <c r="P1327" i="10"/>
  <c r="O1327" i="10"/>
  <c r="N1327" i="10"/>
  <c r="T1326" i="10"/>
  <c r="S1326" i="10"/>
  <c r="R1326" i="10"/>
  <c r="Q1326" i="10"/>
  <c r="P1326" i="10"/>
  <c r="O1326" i="10"/>
  <c r="N1326" i="10"/>
  <c r="T1325" i="10"/>
  <c r="S1325" i="10"/>
  <c r="R1325" i="10"/>
  <c r="Q1325" i="10"/>
  <c r="P1325" i="10"/>
  <c r="O1325" i="10"/>
  <c r="N1325" i="10"/>
  <c r="T1324" i="10"/>
  <c r="S1324" i="10"/>
  <c r="R1324" i="10"/>
  <c r="Q1324" i="10"/>
  <c r="P1324" i="10"/>
  <c r="O1324" i="10"/>
  <c r="N1324" i="10"/>
  <c r="T1323" i="10"/>
  <c r="S1323" i="10"/>
  <c r="R1323" i="10"/>
  <c r="Q1323" i="10"/>
  <c r="P1323" i="10"/>
  <c r="O1323" i="10"/>
  <c r="N1323" i="10"/>
  <c r="T1322" i="10"/>
  <c r="S1322" i="10"/>
  <c r="R1322" i="10"/>
  <c r="Q1322" i="10"/>
  <c r="P1322" i="10"/>
  <c r="O1322" i="10"/>
  <c r="N1322" i="10"/>
  <c r="T1321" i="10"/>
  <c r="S1321" i="10"/>
  <c r="R1321" i="10"/>
  <c r="Q1321" i="10"/>
  <c r="P1321" i="10"/>
  <c r="O1321" i="10"/>
  <c r="N1321" i="10"/>
  <c r="T1320" i="10"/>
  <c r="S1320" i="10"/>
  <c r="R1320" i="10"/>
  <c r="Q1320" i="10"/>
  <c r="P1320" i="10"/>
  <c r="O1320" i="10"/>
  <c r="N1320" i="10"/>
  <c r="T1319" i="10"/>
  <c r="S1319" i="10"/>
  <c r="R1319" i="10"/>
  <c r="Q1319" i="10"/>
  <c r="P1319" i="10"/>
  <c r="O1319" i="10"/>
  <c r="N1319" i="10"/>
  <c r="T1318" i="10"/>
  <c r="S1318" i="10"/>
  <c r="R1318" i="10"/>
  <c r="Q1318" i="10"/>
  <c r="P1318" i="10"/>
  <c r="O1318" i="10"/>
  <c r="N1318" i="10"/>
  <c r="T1317" i="10"/>
  <c r="S1317" i="10"/>
  <c r="R1317" i="10"/>
  <c r="Q1317" i="10"/>
  <c r="P1317" i="10"/>
  <c r="O1317" i="10"/>
  <c r="N1317" i="10"/>
  <c r="T1316" i="10"/>
  <c r="S1316" i="10"/>
  <c r="R1316" i="10"/>
  <c r="Q1316" i="10"/>
  <c r="P1316" i="10"/>
  <c r="O1316" i="10"/>
  <c r="N1316" i="10"/>
  <c r="T1315" i="10"/>
  <c r="S1315" i="10"/>
  <c r="R1315" i="10"/>
  <c r="Q1315" i="10"/>
  <c r="P1315" i="10"/>
  <c r="O1315" i="10"/>
  <c r="N1315" i="10"/>
  <c r="T1314" i="10"/>
  <c r="S1314" i="10"/>
  <c r="R1314" i="10"/>
  <c r="Q1314" i="10"/>
  <c r="P1314" i="10"/>
  <c r="O1314" i="10"/>
  <c r="N1314" i="10"/>
  <c r="T1313" i="10"/>
  <c r="S1313" i="10"/>
  <c r="R1313" i="10"/>
  <c r="Q1313" i="10"/>
  <c r="P1313" i="10"/>
  <c r="O1313" i="10"/>
  <c r="N1313" i="10"/>
  <c r="T1312" i="10"/>
  <c r="S1312" i="10"/>
  <c r="R1312" i="10"/>
  <c r="Q1312" i="10"/>
  <c r="P1312" i="10"/>
  <c r="O1312" i="10"/>
  <c r="N1312" i="10"/>
  <c r="T1311" i="10"/>
  <c r="S1311" i="10"/>
  <c r="R1311" i="10"/>
  <c r="Q1311" i="10"/>
  <c r="P1311" i="10"/>
  <c r="O1311" i="10"/>
  <c r="N1311" i="10"/>
  <c r="T1310" i="10"/>
  <c r="S1310" i="10"/>
  <c r="R1310" i="10"/>
  <c r="Q1310" i="10"/>
  <c r="P1310" i="10"/>
  <c r="O1310" i="10"/>
  <c r="N1310" i="10"/>
  <c r="T1309" i="10"/>
  <c r="S1309" i="10"/>
  <c r="R1309" i="10"/>
  <c r="Q1309" i="10"/>
  <c r="P1309" i="10"/>
  <c r="O1309" i="10"/>
  <c r="N1309" i="10"/>
  <c r="T1308" i="10"/>
  <c r="S1308" i="10"/>
  <c r="R1308" i="10"/>
  <c r="Q1308" i="10"/>
  <c r="P1308" i="10"/>
  <c r="O1308" i="10"/>
  <c r="N1308" i="10"/>
  <c r="T1307" i="10"/>
  <c r="S1307" i="10"/>
  <c r="R1307" i="10"/>
  <c r="Q1307" i="10"/>
  <c r="P1307" i="10"/>
  <c r="O1307" i="10"/>
  <c r="N1307" i="10"/>
  <c r="T1306" i="10"/>
  <c r="S1306" i="10"/>
  <c r="R1306" i="10"/>
  <c r="Q1306" i="10"/>
  <c r="P1306" i="10"/>
  <c r="O1306" i="10"/>
  <c r="N1306" i="10"/>
  <c r="T1305" i="10"/>
  <c r="S1305" i="10"/>
  <c r="R1305" i="10"/>
  <c r="Q1305" i="10"/>
  <c r="P1305" i="10"/>
  <c r="O1305" i="10"/>
  <c r="N1305" i="10"/>
  <c r="T1304" i="10"/>
  <c r="S1304" i="10"/>
  <c r="R1304" i="10"/>
  <c r="Q1304" i="10"/>
  <c r="P1304" i="10"/>
  <c r="O1304" i="10"/>
  <c r="N1304" i="10"/>
  <c r="T1303" i="10"/>
  <c r="S1303" i="10"/>
  <c r="R1303" i="10"/>
  <c r="Q1303" i="10"/>
  <c r="P1303" i="10"/>
  <c r="O1303" i="10"/>
  <c r="N1303" i="10"/>
  <c r="T1302" i="10"/>
  <c r="S1302" i="10"/>
  <c r="R1302" i="10"/>
  <c r="Q1302" i="10"/>
  <c r="P1302" i="10"/>
  <c r="O1302" i="10"/>
  <c r="N1302" i="10"/>
  <c r="T1301" i="10"/>
  <c r="S1301" i="10"/>
  <c r="R1301" i="10"/>
  <c r="Q1301" i="10"/>
  <c r="P1301" i="10"/>
  <c r="O1301" i="10"/>
  <c r="N1301" i="10"/>
  <c r="T1300" i="10"/>
  <c r="S1300" i="10"/>
  <c r="R1300" i="10"/>
  <c r="Q1300" i="10"/>
  <c r="P1300" i="10"/>
  <c r="O1300" i="10"/>
  <c r="N1300" i="10"/>
  <c r="T1299" i="10"/>
  <c r="S1299" i="10"/>
  <c r="R1299" i="10"/>
  <c r="Q1299" i="10"/>
  <c r="P1299" i="10"/>
  <c r="O1299" i="10"/>
  <c r="N1299" i="10"/>
  <c r="T1298" i="10"/>
  <c r="S1298" i="10"/>
  <c r="R1298" i="10"/>
  <c r="Q1298" i="10"/>
  <c r="P1298" i="10"/>
  <c r="O1298" i="10"/>
  <c r="N1298" i="10"/>
  <c r="T1297" i="10"/>
  <c r="S1297" i="10"/>
  <c r="R1297" i="10"/>
  <c r="Q1297" i="10"/>
  <c r="P1297" i="10"/>
  <c r="O1297" i="10"/>
  <c r="N1297" i="10"/>
  <c r="T1296" i="10"/>
  <c r="S1296" i="10"/>
  <c r="R1296" i="10"/>
  <c r="Q1296" i="10"/>
  <c r="P1296" i="10"/>
  <c r="O1296" i="10"/>
  <c r="N1296" i="10"/>
  <c r="T1295" i="10"/>
  <c r="S1295" i="10"/>
  <c r="R1295" i="10"/>
  <c r="Q1295" i="10"/>
  <c r="P1295" i="10"/>
  <c r="O1295" i="10"/>
  <c r="N1295" i="10"/>
  <c r="T1294" i="10"/>
  <c r="S1294" i="10"/>
  <c r="R1294" i="10"/>
  <c r="Q1294" i="10"/>
  <c r="P1294" i="10"/>
  <c r="O1294" i="10"/>
  <c r="N1294" i="10"/>
  <c r="T1293" i="10"/>
  <c r="S1293" i="10"/>
  <c r="R1293" i="10"/>
  <c r="Q1293" i="10"/>
  <c r="P1293" i="10"/>
  <c r="O1293" i="10"/>
  <c r="N1293" i="10"/>
  <c r="T1292" i="10"/>
  <c r="S1292" i="10"/>
  <c r="R1292" i="10"/>
  <c r="Q1292" i="10"/>
  <c r="P1292" i="10"/>
  <c r="O1292" i="10"/>
  <c r="N1292" i="10"/>
  <c r="T1291" i="10"/>
  <c r="S1291" i="10"/>
  <c r="R1291" i="10"/>
  <c r="Q1291" i="10"/>
  <c r="P1291" i="10"/>
  <c r="O1291" i="10"/>
  <c r="N1291" i="10"/>
  <c r="T1290" i="10"/>
  <c r="S1290" i="10"/>
  <c r="R1290" i="10"/>
  <c r="Q1290" i="10"/>
  <c r="P1290" i="10"/>
  <c r="O1290" i="10"/>
  <c r="N1290" i="10"/>
  <c r="T1289" i="10"/>
  <c r="S1289" i="10"/>
  <c r="R1289" i="10"/>
  <c r="Q1289" i="10"/>
  <c r="P1289" i="10"/>
  <c r="O1289" i="10"/>
  <c r="N1289" i="10"/>
  <c r="T1288" i="10"/>
  <c r="S1288" i="10"/>
  <c r="R1288" i="10"/>
  <c r="Q1288" i="10"/>
  <c r="P1288" i="10"/>
  <c r="O1288" i="10"/>
  <c r="N1288" i="10"/>
  <c r="T1287" i="10"/>
  <c r="S1287" i="10"/>
  <c r="R1287" i="10"/>
  <c r="Q1287" i="10"/>
  <c r="P1287" i="10"/>
  <c r="O1287" i="10"/>
  <c r="N1287" i="10"/>
  <c r="T1286" i="10"/>
  <c r="S1286" i="10"/>
  <c r="R1286" i="10"/>
  <c r="Q1286" i="10"/>
  <c r="P1286" i="10"/>
  <c r="O1286" i="10"/>
  <c r="N1286" i="10"/>
  <c r="T1285" i="10"/>
  <c r="S1285" i="10"/>
  <c r="R1285" i="10"/>
  <c r="Q1285" i="10"/>
  <c r="P1285" i="10"/>
  <c r="O1285" i="10"/>
  <c r="N1285" i="10"/>
  <c r="T1284" i="10"/>
  <c r="S1284" i="10"/>
  <c r="R1284" i="10"/>
  <c r="Q1284" i="10"/>
  <c r="P1284" i="10"/>
  <c r="O1284" i="10"/>
  <c r="N1284" i="10"/>
  <c r="T1283" i="10"/>
  <c r="S1283" i="10"/>
  <c r="R1283" i="10"/>
  <c r="Q1283" i="10"/>
  <c r="P1283" i="10"/>
  <c r="O1283" i="10"/>
  <c r="N1283" i="10"/>
  <c r="T1282" i="10"/>
  <c r="S1282" i="10"/>
  <c r="R1282" i="10"/>
  <c r="Q1282" i="10"/>
  <c r="P1282" i="10"/>
  <c r="O1282" i="10"/>
  <c r="N1282" i="10"/>
  <c r="T1281" i="10"/>
  <c r="S1281" i="10"/>
  <c r="R1281" i="10"/>
  <c r="Q1281" i="10"/>
  <c r="P1281" i="10"/>
  <c r="O1281" i="10"/>
  <c r="N1281" i="10"/>
  <c r="T1280" i="10"/>
  <c r="S1280" i="10"/>
  <c r="R1280" i="10"/>
  <c r="Q1280" i="10"/>
  <c r="P1280" i="10"/>
  <c r="O1280" i="10"/>
  <c r="N1280" i="10"/>
  <c r="T1279" i="10"/>
  <c r="S1279" i="10"/>
  <c r="R1279" i="10"/>
  <c r="Q1279" i="10"/>
  <c r="P1279" i="10"/>
  <c r="O1279" i="10"/>
  <c r="N1279" i="10"/>
  <c r="T1278" i="10"/>
  <c r="S1278" i="10"/>
  <c r="R1278" i="10"/>
  <c r="Q1278" i="10"/>
  <c r="P1278" i="10"/>
  <c r="O1278" i="10"/>
  <c r="N1278" i="10"/>
  <c r="T1277" i="10"/>
  <c r="S1277" i="10"/>
  <c r="R1277" i="10"/>
  <c r="Q1277" i="10"/>
  <c r="P1277" i="10"/>
  <c r="O1277" i="10"/>
  <c r="N1277" i="10"/>
  <c r="T1276" i="10"/>
  <c r="S1276" i="10"/>
  <c r="R1276" i="10"/>
  <c r="Q1276" i="10"/>
  <c r="P1276" i="10"/>
  <c r="O1276" i="10"/>
  <c r="N1276" i="10"/>
  <c r="T1275" i="10"/>
  <c r="S1275" i="10"/>
  <c r="R1275" i="10"/>
  <c r="Q1275" i="10"/>
  <c r="P1275" i="10"/>
  <c r="O1275" i="10"/>
  <c r="N1275" i="10"/>
  <c r="T1274" i="10"/>
  <c r="S1274" i="10"/>
  <c r="R1274" i="10"/>
  <c r="Q1274" i="10"/>
  <c r="P1274" i="10"/>
  <c r="O1274" i="10"/>
  <c r="N1274" i="10"/>
  <c r="T1273" i="10"/>
  <c r="S1273" i="10"/>
  <c r="R1273" i="10"/>
  <c r="Q1273" i="10"/>
  <c r="P1273" i="10"/>
  <c r="O1273" i="10"/>
  <c r="N1273" i="10"/>
  <c r="T1272" i="10"/>
  <c r="S1272" i="10"/>
  <c r="R1272" i="10"/>
  <c r="Q1272" i="10"/>
  <c r="P1272" i="10"/>
  <c r="O1272" i="10"/>
  <c r="N1272" i="10"/>
  <c r="T1271" i="10"/>
  <c r="S1271" i="10"/>
  <c r="R1271" i="10"/>
  <c r="Q1271" i="10"/>
  <c r="P1271" i="10"/>
  <c r="O1271" i="10"/>
  <c r="N1271" i="10"/>
  <c r="T1270" i="10"/>
  <c r="S1270" i="10"/>
  <c r="R1270" i="10"/>
  <c r="Q1270" i="10"/>
  <c r="P1270" i="10"/>
  <c r="O1270" i="10"/>
  <c r="N1270" i="10"/>
  <c r="T1269" i="10"/>
  <c r="S1269" i="10"/>
  <c r="R1269" i="10"/>
  <c r="Q1269" i="10"/>
  <c r="P1269" i="10"/>
  <c r="O1269" i="10"/>
  <c r="N1269" i="10"/>
  <c r="T1268" i="10"/>
  <c r="S1268" i="10"/>
  <c r="R1268" i="10"/>
  <c r="Q1268" i="10"/>
  <c r="P1268" i="10"/>
  <c r="O1268" i="10"/>
  <c r="N1268" i="10"/>
  <c r="T1267" i="10"/>
  <c r="S1267" i="10"/>
  <c r="R1267" i="10"/>
  <c r="Q1267" i="10"/>
  <c r="P1267" i="10"/>
  <c r="O1267" i="10"/>
  <c r="N1267" i="10"/>
  <c r="T1266" i="10"/>
  <c r="S1266" i="10"/>
  <c r="R1266" i="10"/>
  <c r="Q1266" i="10"/>
  <c r="P1266" i="10"/>
  <c r="O1266" i="10"/>
  <c r="N1266" i="10"/>
  <c r="T1265" i="10"/>
  <c r="S1265" i="10"/>
  <c r="R1265" i="10"/>
  <c r="Q1265" i="10"/>
  <c r="P1265" i="10"/>
  <c r="O1265" i="10"/>
  <c r="N1265" i="10"/>
  <c r="T1264" i="10"/>
  <c r="S1264" i="10"/>
  <c r="R1264" i="10"/>
  <c r="Q1264" i="10"/>
  <c r="P1264" i="10"/>
  <c r="O1264" i="10"/>
  <c r="N1264" i="10"/>
  <c r="T1263" i="10"/>
  <c r="S1263" i="10"/>
  <c r="R1263" i="10"/>
  <c r="Q1263" i="10"/>
  <c r="P1263" i="10"/>
  <c r="O1263" i="10"/>
  <c r="N1263" i="10"/>
  <c r="T1262" i="10"/>
  <c r="S1262" i="10"/>
  <c r="R1262" i="10"/>
  <c r="Q1262" i="10"/>
  <c r="P1262" i="10"/>
  <c r="O1262" i="10"/>
  <c r="N1262" i="10"/>
  <c r="T1261" i="10"/>
  <c r="S1261" i="10"/>
  <c r="R1261" i="10"/>
  <c r="Q1261" i="10"/>
  <c r="P1261" i="10"/>
  <c r="O1261" i="10"/>
  <c r="N1261" i="10"/>
  <c r="T1260" i="10"/>
  <c r="S1260" i="10"/>
  <c r="R1260" i="10"/>
  <c r="Q1260" i="10"/>
  <c r="P1260" i="10"/>
  <c r="O1260" i="10"/>
  <c r="N1260" i="10"/>
  <c r="T1259" i="10"/>
  <c r="S1259" i="10"/>
  <c r="R1259" i="10"/>
  <c r="Q1259" i="10"/>
  <c r="P1259" i="10"/>
  <c r="O1259" i="10"/>
  <c r="N1259" i="10"/>
  <c r="T1258" i="10"/>
  <c r="S1258" i="10"/>
  <c r="R1258" i="10"/>
  <c r="Q1258" i="10"/>
  <c r="P1258" i="10"/>
  <c r="O1258" i="10"/>
  <c r="N1258" i="10"/>
  <c r="T1257" i="10"/>
  <c r="S1257" i="10"/>
  <c r="R1257" i="10"/>
  <c r="Q1257" i="10"/>
  <c r="P1257" i="10"/>
  <c r="O1257" i="10"/>
  <c r="N1257" i="10"/>
  <c r="T1256" i="10"/>
  <c r="S1256" i="10"/>
  <c r="R1256" i="10"/>
  <c r="Q1256" i="10"/>
  <c r="P1256" i="10"/>
  <c r="O1256" i="10"/>
  <c r="N1256" i="10"/>
  <c r="T1255" i="10"/>
  <c r="S1255" i="10"/>
  <c r="R1255" i="10"/>
  <c r="Q1255" i="10"/>
  <c r="P1255" i="10"/>
  <c r="O1255" i="10"/>
  <c r="N1255" i="10"/>
  <c r="T1254" i="10"/>
  <c r="S1254" i="10"/>
  <c r="R1254" i="10"/>
  <c r="Q1254" i="10"/>
  <c r="P1254" i="10"/>
  <c r="O1254" i="10"/>
  <c r="N1254" i="10"/>
  <c r="T1253" i="10"/>
  <c r="S1253" i="10"/>
  <c r="R1253" i="10"/>
  <c r="Q1253" i="10"/>
  <c r="P1253" i="10"/>
  <c r="O1253" i="10"/>
  <c r="N1253" i="10"/>
  <c r="T1252" i="10"/>
  <c r="S1252" i="10"/>
  <c r="R1252" i="10"/>
  <c r="Q1252" i="10"/>
  <c r="P1252" i="10"/>
  <c r="O1252" i="10"/>
  <c r="N1252" i="10"/>
  <c r="T1251" i="10"/>
  <c r="S1251" i="10"/>
  <c r="R1251" i="10"/>
  <c r="Q1251" i="10"/>
  <c r="P1251" i="10"/>
  <c r="O1251" i="10"/>
  <c r="N1251" i="10"/>
  <c r="T1250" i="10"/>
  <c r="S1250" i="10"/>
  <c r="R1250" i="10"/>
  <c r="Q1250" i="10"/>
  <c r="P1250" i="10"/>
  <c r="O1250" i="10"/>
  <c r="N1250" i="10"/>
  <c r="T1249" i="10"/>
  <c r="S1249" i="10"/>
  <c r="R1249" i="10"/>
  <c r="Q1249" i="10"/>
  <c r="P1249" i="10"/>
  <c r="O1249" i="10"/>
  <c r="N1249" i="10"/>
  <c r="T1248" i="10"/>
  <c r="S1248" i="10"/>
  <c r="R1248" i="10"/>
  <c r="Q1248" i="10"/>
  <c r="P1248" i="10"/>
  <c r="O1248" i="10"/>
  <c r="N1248" i="10"/>
  <c r="T1247" i="10"/>
  <c r="S1247" i="10"/>
  <c r="R1247" i="10"/>
  <c r="Q1247" i="10"/>
  <c r="P1247" i="10"/>
  <c r="O1247" i="10"/>
  <c r="N1247" i="10"/>
  <c r="T1246" i="10"/>
  <c r="S1246" i="10"/>
  <c r="R1246" i="10"/>
  <c r="Q1246" i="10"/>
  <c r="P1246" i="10"/>
  <c r="O1246" i="10"/>
  <c r="N1246" i="10"/>
  <c r="T1245" i="10"/>
  <c r="S1245" i="10"/>
  <c r="R1245" i="10"/>
  <c r="Q1245" i="10"/>
  <c r="P1245" i="10"/>
  <c r="O1245" i="10"/>
  <c r="N1245" i="10"/>
  <c r="T1244" i="10"/>
  <c r="S1244" i="10"/>
  <c r="R1244" i="10"/>
  <c r="Q1244" i="10"/>
  <c r="P1244" i="10"/>
  <c r="O1244" i="10"/>
  <c r="N1244" i="10"/>
  <c r="T1243" i="10"/>
  <c r="S1243" i="10"/>
  <c r="R1243" i="10"/>
  <c r="Q1243" i="10"/>
  <c r="P1243" i="10"/>
  <c r="O1243" i="10"/>
  <c r="N1243" i="10"/>
  <c r="T1242" i="10"/>
  <c r="S1242" i="10"/>
  <c r="R1242" i="10"/>
  <c r="Q1242" i="10"/>
  <c r="P1242" i="10"/>
  <c r="O1242" i="10"/>
  <c r="N1242" i="10"/>
  <c r="T1241" i="10"/>
  <c r="S1241" i="10"/>
  <c r="R1241" i="10"/>
  <c r="Q1241" i="10"/>
  <c r="P1241" i="10"/>
  <c r="O1241" i="10"/>
  <c r="N1241" i="10"/>
  <c r="T1240" i="10"/>
  <c r="S1240" i="10"/>
  <c r="R1240" i="10"/>
  <c r="Q1240" i="10"/>
  <c r="P1240" i="10"/>
  <c r="O1240" i="10"/>
  <c r="N1240" i="10"/>
  <c r="T1239" i="10"/>
  <c r="S1239" i="10"/>
  <c r="R1239" i="10"/>
  <c r="Q1239" i="10"/>
  <c r="P1239" i="10"/>
  <c r="O1239" i="10"/>
  <c r="N1239" i="10"/>
  <c r="T1238" i="10"/>
  <c r="S1238" i="10"/>
  <c r="R1238" i="10"/>
  <c r="Q1238" i="10"/>
  <c r="P1238" i="10"/>
  <c r="O1238" i="10"/>
  <c r="N1238" i="10"/>
  <c r="T1237" i="10"/>
  <c r="S1237" i="10"/>
  <c r="R1237" i="10"/>
  <c r="Q1237" i="10"/>
  <c r="P1237" i="10"/>
  <c r="O1237" i="10"/>
  <c r="N1237" i="10"/>
  <c r="T1236" i="10"/>
  <c r="S1236" i="10"/>
  <c r="R1236" i="10"/>
  <c r="Q1236" i="10"/>
  <c r="P1236" i="10"/>
  <c r="O1236" i="10"/>
  <c r="N1236" i="10"/>
  <c r="T1235" i="10"/>
  <c r="S1235" i="10"/>
  <c r="R1235" i="10"/>
  <c r="Q1235" i="10"/>
  <c r="P1235" i="10"/>
  <c r="O1235" i="10"/>
  <c r="N1235" i="10"/>
  <c r="T1234" i="10"/>
  <c r="S1234" i="10"/>
  <c r="R1234" i="10"/>
  <c r="Q1234" i="10"/>
  <c r="P1234" i="10"/>
  <c r="O1234" i="10"/>
  <c r="N1234" i="10"/>
  <c r="T1233" i="10"/>
  <c r="S1233" i="10"/>
  <c r="R1233" i="10"/>
  <c r="Q1233" i="10"/>
  <c r="P1233" i="10"/>
  <c r="O1233" i="10"/>
  <c r="N1233" i="10"/>
  <c r="T1232" i="10"/>
  <c r="S1232" i="10"/>
  <c r="R1232" i="10"/>
  <c r="Q1232" i="10"/>
  <c r="P1232" i="10"/>
  <c r="O1232" i="10"/>
  <c r="N1232" i="10"/>
  <c r="T1231" i="10"/>
  <c r="S1231" i="10"/>
  <c r="R1231" i="10"/>
  <c r="Q1231" i="10"/>
  <c r="P1231" i="10"/>
  <c r="O1231" i="10"/>
  <c r="N1231" i="10"/>
  <c r="T1230" i="10"/>
  <c r="S1230" i="10"/>
  <c r="R1230" i="10"/>
  <c r="Q1230" i="10"/>
  <c r="P1230" i="10"/>
  <c r="O1230" i="10"/>
  <c r="N1230" i="10"/>
  <c r="T1229" i="10"/>
  <c r="S1229" i="10"/>
  <c r="R1229" i="10"/>
  <c r="Q1229" i="10"/>
  <c r="P1229" i="10"/>
  <c r="O1229" i="10"/>
  <c r="N1229" i="10"/>
  <c r="T1228" i="10"/>
  <c r="S1228" i="10"/>
  <c r="R1228" i="10"/>
  <c r="Q1228" i="10"/>
  <c r="P1228" i="10"/>
  <c r="O1228" i="10"/>
  <c r="N1228" i="10"/>
  <c r="T1227" i="10"/>
  <c r="S1227" i="10"/>
  <c r="R1227" i="10"/>
  <c r="Q1227" i="10"/>
  <c r="P1227" i="10"/>
  <c r="O1227" i="10"/>
  <c r="N1227" i="10"/>
  <c r="T1226" i="10"/>
  <c r="S1226" i="10"/>
  <c r="R1226" i="10"/>
  <c r="Q1226" i="10"/>
  <c r="P1226" i="10"/>
  <c r="O1226" i="10"/>
  <c r="N1226" i="10"/>
  <c r="T1225" i="10"/>
  <c r="S1225" i="10"/>
  <c r="R1225" i="10"/>
  <c r="Q1225" i="10"/>
  <c r="P1225" i="10"/>
  <c r="O1225" i="10"/>
  <c r="N1225" i="10"/>
  <c r="T1224" i="10"/>
  <c r="S1224" i="10"/>
  <c r="R1224" i="10"/>
  <c r="Q1224" i="10"/>
  <c r="P1224" i="10"/>
  <c r="O1224" i="10"/>
  <c r="N1224" i="10"/>
  <c r="T1223" i="10"/>
  <c r="S1223" i="10"/>
  <c r="R1223" i="10"/>
  <c r="Q1223" i="10"/>
  <c r="P1223" i="10"/>
  <c r="O1223" i="10"/>
  <c r="N1223" i="10"/>
  <c r="T1222" i="10"/>
  <c r="S1222" i="10"/>
  <c r="R1222" i="10"/>
  <c r="Q1222" i="10"/>
  <c r="P1222" i="10"/>
  <c r="O1222" i="10"/>
  <c r="N1222" i="10"/>
  <c r="T1221" i="10"/>
  <c r="S1221" i="10"/>
  <c r="R1221" i="10"/>
  <c r="Q1221" i="10"/>
  <c r="P1221" i="10"/>
  <c r="O1221" i="10"/>
  <c r="N1221" i="10"/>
  <c r="T1220" i="10"/>
  <c r="S1220" i="10"/>
  <c r="R1220" i="10"/>
  <c r="Q1220" i="10"/>
  <c r="P1220" i="10"/>
  <c r="O1220" i="10"/>
  <c r="N1220" i="10"/>
  <c r="T1219" i="10"/>
  <c r="S1219" i="10"/>
  <c r="R1219" i="10"/>
  <c r="Q1219" i="10"/>
  <c r="P1219" i="10"/>
  <c r="O1219" i="10"/>
  <c r="N1219" i="10"/>
  <c r="T1218" i="10"/>
  <c r="S1218" i="10"/>
  <c r="R1218" i="10"/>
  <c r="Q1218" i="10"/>
  <c r="P1218" i="10"/>
  <c r="O1218" i="10"/>
  <c r="N1218" i="10"/>
  <c r="T1217" i="10"/>
  <c r="S1217" i="10"/>
  <c r="R1217" i="10"/>
  <c r="Q1217" i="10"/>
  <c r="P1217" i="10"/>
  <c r="O1217" i="10"/>
  <c r="N1217" i="10"/>
  <c r="T1216" i="10"/>
  <c r="S1216" i="10"/>
  <c r="R1216" i="10"/>
  <c r="Q1216" i="10"/>
  <c r="P1216" i="10"/>
  <c r="O1216" i="10"/>
  <c r="N1216" i="10"/>
  <c r="T1215" i="10"/>
  <c r="S1215" i="10"/>
  <c r="R1215" i="10"/>
  <c r="Q1215" i="10"/>
  <c r="P1215" i="10"/>
  <c r="O1215" i="10"/>
  <c r="N1215" i="10"/>
  <c r="T1214" i="10"/>
  <c r="S1214" i="10"/>
  <c r="R1214" i="10"/>
  <c r="Q1214" i="10"/>
  <c r="P1214" i="10"/>
  <c r="O1214" i="10"/>
  <c r="N1214" i="10"/>
  <c r="T1213" i="10"/>
  <c r="S1213" i="10"/>
  <c r="R1213" i="10"/>
  <c r="Q1213" i="10"/>
  <c r="P1213" i="10"/>
  <c r="O1213" i="10"/>
  <c r="N1213" i="10"/>
  <c r="T1212" i="10"/>
  <c r="S1212" i="10"/>
  <c r="R1212" i="10"/>
  <c r="Q1212" i="10"/>
  <c r="P1212" i="10"/>
  <c r="O1212" i="10"/>
  <c r="N1212" i="10"/>
  <c r="T1211" i="10"/>
  <c r="S1211" i="10"/>
  <c r="R1211" i="10"/>
  <c r="Q1211" i="10"/>
  <c r="P1211" i="10"/>
  <c r="O1211" i="10"/>
  <c r="N1211" i="10"/>
  <c r="T1210" i="10"/>
  <c r="S1210" i="10"/>
  <c r="R1210" i="10"/>
  <c r="Q1210" i="10"/>
  <c r="P1210" i="10"/>
  <c r="O1210" i="10"/>
  <c r="N1210" i="10"/>
  <c r="T1209" i="10"/>
  <c r="S1209" i="10"/>
  <c r="R1209" i="10"/>
  <c r="Q1209" i="10"/>
  <c r="P1209" i="10"/>
  <c r="O1209" i="10"/>
  <c r="N1209" i="10"/>
  <c r="T1208" i="10"/>
  <c r="S1208" i="10"/>
  <c r="R1208" i="10"/>
  <c r="Q1208" i="10"/>
  <c r="P1208" i="10"/>
  <c r="O1208" i="10"/>
  <c r="N1208" i="10"/>
  <c r="T1207" i="10"/>
  <c r="S1207" i="10"/>
  <c r="R1207" i="10"/>
  <c r="Q1207" i="10"/>
  <c r="P1207" i="10"/>
  <c r="O1207" i="10"/>
  <c r="N1207" i="10"/>
  <c r="T1206" i="10"/>
  <c r="S1206" i="10"/>
  <c r="R1206" i="10"/>
  <c r="Q1206" i="10"/>
  <c r="P1206" i="10"/>
  <c r="O1206" i="10"/>
  <c r="N1206" i="10"/>
  <c r="T1205" i="10"/>
  <c r="S1205" i="10"/>
  <c r="R1205" i="10"/>
  <c r="Q1205" i="10"/>
  <c r="P1205" i="10"/>
  <c r="O1205" i="10"/>
  <c r="N1205" i="10"/>
  <c r="T1204" i="10"/>
  <c r="S1204" i="10"/>
  <c r="R1204" i="10"/>
  <c r="Q1204" i="10"/>
  <c r="P1204" i="10"/>
  <c r="O1204" i="10"/>
  <c r="N1204" i="10"/>
  <c r="T1203" i="10"/>
  <c r="S1203" i="10"/>
  <c r="R1203" i="10"/>
  <c r="Q1203" i="10"/>
  <c r="P1203" i="10"/>
  <c r="O1203" i="10"/>
  <c r="N1203" i="10"/>
  <c r="T1202" i="10"/>
  <c r="S1202" i="10"/>
  <c r="R1202" i="10"/>
  <c r="Q1202" i="10"/>
  <c r="P1202" i="10"/>
  <c r="O1202" i="10"/>
  <c r="N1202" i="10"/>
  <c r="T1201" i="10"/>
  <c r="S1201" i="10"/>
  <c r="R1201" i="10"/>
  <c r="Q1201" i="10"/>
  <c r="P1201" i="10"/>
  <c r="O1201" i="10"/>
  <c r="N1201" i="10"/>
  <c r="T1200" i="10"/>
  <c r="S1200" i="10"/>
  <c r="R1200" i="10"/>
  <c r="Q1200" i="10"/>
  <c r="P1200" i="10"/>
  <c r="O1200" i="10"/>
  <c r="N1200" i="10"/>
  <c r="T1199" i="10"/>
  <c r="S1199" i="10"/>
  <c r="R1199" i="10"/>
  <c r="Q1199" i="10"/>
  <c r="P1199" i="10"/>
  <c r="O1199" i="10"/>
  <c r="N1199" i="10"/>
  <c r="T1198" i="10"/>
  <c r="S1198" i="10"/>
  <c r="R1198" i="10"/>
  <c r="Q1198" i="10"/>
  <c r="P1198" i="10"/>
  <c r="O1198" i="10"/>
  <c r="N1198" i="10"/>
  <c r="T1197" i="10"/>
  <c r="S1197" i="10"/>
  <c r="R1197" i="10"/>
  <c r="Q1197" i="10"/>
  <c r="P1197" i="10"/>
  <c r="O1197" i="10"/>
  <c r="N1197" i="10"/>
  <c r="T1196" i="10"/>
  <c r="S1196" i="10"/>
  <c r="R1196" i="10"/>
  <c r="Q1196" i="10"/>
  <c r="P1196" i="10"/>
  <c r="O1196" i="10"/>
  <c r="N1196" i="10"/>
  <c r="T1195" i="10"/>
  <c r="S1195" i="10"/>
  <c r="R1195" i="10"/>
  <c r="Q1195" i="10"/>
  <c r="P1195" i="10"/>
  <c r="O1195" i="10"/>
  <c r="N1195" i="10"/>
  <c r="T1194" i="10"/>
  <c r="S1194" i="10"/>
  <c r="R1194" i="10"/>
  <c r="Q1194" i="10"/>
  <c r="P1194" i="10"/>
  <c r="O1194" i="10"/>
  <c r="N1194" i="10"/>
  <c r="T1193" i="10"/>
  <c r="S1193" i="10"/>
  <c r="R1193" i="10"/>
  <c r="Q1193" i="10"/>
  <c r="P1193" i="10"/>
  <c r="O1193" i="10"/>
  <c r="N1193" i="10"/>
  <c r="T1192" i="10"/>
  <c r="S1192" i="10"/>
  <c r="R1192" i="10"/>
  <c r="Q1192" i="10"/>
  <c r="P1192" i="10"/>
  <c r="O1192" i="10"/>
  <c r="N1192" i="10"/>
  <c r="T1191" i="10"/>
  <c r="S1191" i="10"/>
  <c r="R1191" i="10"/>
  <c r="Q1191" i="10"/>
  <c r="P1191" i="10"/>
  <c r="O1191" i="10"/>
  <c r="N1191" i="10"/>
  <c r="T1190" i="10"/>
  <c r="S1190" i="10"/>
  <c r="R1190" i="10"/>
  <c r="Q1190" i="10"/>
  <c r="P1190" i="10"/>
  <c r="O1190" i="10"/>
  <c r="N1190" i="10"/>
  <c r="T1189" i="10"/>
  <c r="S1189" i="10"/>
  <c r="R1189" i="10"/>
  <c r="Q1189" i="10"/>
  <c r="P1189" i="10"/>
  <c r="O1189" i="10"/>
  <c r="N1189" i="10"/>
  <c r="T1188" i="10"/>
  <c r="S1188" i="10"/>
  <c r="R1188" i="10"/>
  <c r="Q1188" i="10"/>
  <c r="P1188" i="10"/>
  <c r="O1188" i="10"/>
  <c r="N1188" i="10"/>
  <c r="T1187" i="10"/>
  <c r="S1187" i="10"/>
  <c r="R1187" i="10"/>
  <c r="Q1187" i="10"/>
  <c r="P1187" i="10"/>
  <c r="O1187" i="10"/>
  <c r="N1187" i="10"/>
  <c r="T1186" i="10"/>
  <c r="S1186" i="10"/>
  <c r="R1186" i="10"/>
  <c r="Q1186" i="10"/>
  <c r="P1186" i="10"/>
  <c r="O1186" i="10"/>
  <c r="N1186" i="10"/>
  <c r="T1185" i="10"/>
  <c r="S1185" i="10"/>
  <c r="R1185" i="10"/>
  <c r="Q1185" i="10"/>
  <c r="P1185" i="10"/>
  <c r="O1185" i="10"/>
  <c r="N1185" i="10"/>
  <c r="T1184" i="10"/>
  <c r="S1184" i="10"/>
  <c r="R1184" i="10"/>
  <c r="Q1184" i="10"/>
  <c r="P1184" i="10"/>
  <c r="O1184" i="10"/>
  <c r="N1184" i="10"/>
  <c r="T1183" i="10"/>
  <c r="S1183" i="10"/>
  <c r="R1183" i="10"/>
  <c r="Q1183" i="10"/>
  <c r="P1183" i="10"/>
  <c r="O1183" i="10"/>
  <c r="N1183" i="10"/>
  <c r="T1182" i="10"/>
  <c r="S1182" i="10"/>
  <c r="R1182" i="10"/>
  <c r="Q1182" i="10"/>
  <c r="P1182" i="10"/>
  <c r="O1182" i="10"/>
  <c r="N1182" i="10"/>
  <c r="T1181" i="10"/>
  <c r="S1181" i="10"/>
  <c r="R1181" i="10"/>
  <c r="Q1181" i="10"/>
  <c r="P1181" i="10"/>
  <c r="O1181" i="10"/>
  <c r="N1181" i="10"/>
  <c r="T1180" i="10"/>
  <c r="S1180" i="10"/>
  <c r="R1180" i="10"/>
  <c r="Q1180" i="10"/>
  <c r="P1180" i="10"/>
  <c r="O1180" i="10"/>
  <c r="N1180" i="10"/>
  <c r="T1179" i="10"/>
  <c r="S1179" i="10"/>
  <c r="R1179" i="10"/>
  <c r="Q1179" i="10"/>
  <c r="P1179" i="10"/>
  <c r="O1179" i="10"/>
  <c r="N1179" i="10"/>
  <c r="T1178" i="10"/>
  <c r="S1178" i="10"/>
  <c r="R1178" i="10"/>
  <c r="Q1178" i="10"/>
  <c r="P1178" i="10"/>
  <c r="O1178" i="10"/>
  <c r="N1178" i="10"/>
  <c r="T1177" i="10"/>
  <c r="S1177" i="10"/>
  <c r="R1177" i="10"/>
  <c r="Q1177" i="10"/>
  <c r="P1177" i="10"/>
  <c r="O1177" i="10"/>
  <c r="N1177" i="10"/>
  <c r="T1176" i="10"/>
  <c r="S1176" i="10"/>
  <c r="R1176" i="10"/>
  <c r="Q1176" i="10"/>
  <c r="P1176" i="10"/>
  <c r="O1176" i="10"/>
  <c r="N1176" i="10"/>
  <c r="T1175" i="10"/>
  <c r="S1175" i="10"/>
  <c r="R1175" i="10"/>
  <c r="Q1175" i="10"/>
  <c r="P1175" i="10"/>
  <c r="O1175" i="10"/>
  <c r="N1175" i="10"/>
  <c r="T1174" i="10"/>
  <c r="S1174" i="10"/>
  <c r="R1174" i="10"/>
  <c r="Q1174" i="10"/>
  <c r="P1174" i="10"/>
  <c r="O1174" i="10"/>
  <c r="N1174" i="10"/>
  <c r="T1173" i="10"/>
  <c r="S1173" i="10"/>
  <c r="R1173" i="10"/>
  <c r="Q1173" i="10"/>
  <c r="P1173" i="10"/>
  <c r="O1173" i="10"/>
  <c r="N1173" i="10"/>
  <c r="T1172" i="10"/>
  <c r="S1172" i="10"/>
  <c r="R1172" i="10"/>
  <c r="Q1172" i="10"/>
  <c r="P1172" i="10"/>
  <c r="O1172" i="10"/>
  <c r="N1172" i="10"/>
  <c r="T1171" i="10"/>
  <c r="S1171" i="10"/>
  <c r="R1171" i="10"/>
  <c r="Q1171" i="10"/>
  <c r="P1171" i="10"/>
  <c r="O1171" i="10"/>
  <c r="N1171" i="10"/>
  <c r="T1170" i="10"/>
  <c r="S1170" i="10"/>
  <c r="R1170" i="10"/>
  <c r="Q1170" i="10"/>
  <c r="P1170" i="10"/>
  <c r="O1170" i="10"/>
  <c r="N1170" i="10"/>
  <c r="T1169" i="10"/>
  <c r="S1169" i="10"/>
  <c r="R1169" i="10"/>
  <c r="Q1169" i="10"/>
  <c r="P1169" i="10"/>
  <c r="O1169" i="10"/>
  <c r="N1169" i="10"/>
  <c r="T1168" i="10"/>
  <c r="S1168" i="10"/>
  <c r="R1168" i="10"/>
  <c r="Q1168" i="10"/>
  <c r="P1168" i="10"/>
  <c r="O1168" i="10"/>
  <c r="N1168" i="10"/>
  <c r="T1167" i="10"/>
  <c r="S1167" i="10"/>
  <c r="R1167" i="10"/>
  <c r="Q1167" i="10"/>
  <c r="P1167" i="10"/>
  <c r="O1167" i="10"/>
  <c r="N1167" i="10"/>
  <c r="T1166" i="10"/>
  <c r="S1166" i="10"/>
  <c r="R1166" i="10"/>
  <c r="Q1166" i="10"/>
  <c r="P1166" i="10"/>
  <c r="O1166" i="10"/>
  <c r="N1166" i="10"/>
  <c r="T1165" i="10"/>
  <c r="S1165" i="10"/>
  <c r="R1165" i="10"/>
  <c r="Q1165" i="10"/>
  <c r="P1165" i="10"/>
  <c r="O1165" i="10"/>
  <c r="N1165" i="10"/>
  <c r="T1164" i="10"/>
  <c r="S1164" i="10"/>
  <c r="R1164" i="10"/>
  <c r="Q1164" i="10"/>
  <c r="P1164" i="10"/>
  <c r="O1164" i="10"/>
  <c r="N1164" i="10"/>
  <c r="T1163" i="10"/>
  <c r="S1163" i="10"/>
  <c r="R1163" i="10"/>
  <c r="Q1163" i="10"/>
  <c r="P1163" i="10"/>
  <c r="O1163" i="10"/>
  <c r="N1163" i="10"/>
  <c r="T1162" i="10"/>
  <c r="S1162" i="10"/>
  <c r="R1162" i="10"/>
  <c r="Q1162" i="10"/>
  <c r="P1162" i="10"/>
  <c r="O1162" i="10"/>
  <c r="N1162" i="10"/>
  <c r="T1161" i="10"/>
  <c r="S1161" i="10"/>
  <c r="R1161" i="10"/>
  <c r="Q1161" i="10"/>
  <c r="P1161" i="10"/>
  <c r="O1161" i="10"/>
  <c r="N1161" i="10"/>
  <c r="T1160" i="10"/>
  <c r="S1160" i="10"/>
  <c r="R1160" i="10"/>
  <c r="Q1160" i="10"/>
  <c r="P1160" i="10"/>
  <c r="O1160" i="10"/>
  <c r="N1160" i="10"/>
  <c r="T1159" i="10"/>
  <c r="S1159" i="10"/>
  <c r="R1159" i="10"/>
  <c r="Q1159" i="10"/>
  <c r="P1159" i="10"/>
  <c r="O1159" i="10"/>
  <c r="N1159" i="10"/>
  <c r="T1158" i="10"/>
  <c r="S1158" i="10"/>
  <c r="R1158" i="10"/>
  <c r="Q1158" i="10"/>
  <c r="P1158" i="10"/>
  <c r="O1158" i="10"/>
  <c r="N1158" i="10"/>
  <c r="T1157" i="10"/>
  <c r="S1157" i="10"/>
  <c r="R1157" i="10"/>
  <c r="Q1157" i="10"/>
  <c r="P1157" i="10"/>
  <c r="O1157" i="10"/>
  <c r="N1157" i="10"/>
  <c r="T1156" i="10"/>
  <c r="S1156" i="10"/>
  <c r="R1156" i="10"/>
  <c r="Q1156" i="10"/>
  <c r="P1156" i="10"/>
  <c r="O1156" i="10"/>
  <c r="N1156" i="10"/>
  <c r="T1155" i="10"/>
  <c r="S1155" i="10"/>
  <c r="R1155" i="10"/>
  <c r="Q1155" i="10"/>
  <c r="P1155" i="10"/>
  <c r="O1155" i="10"/>
  <c r="N1155" i="10"/>
  <c r="T1154" i="10"/>
  <c r="S1154" i="10"/>
  <c r="R1154" i="10"/>
  <c r="Q1154" i="10"/>
  <c r="P1154" i="10"/>
  <c r="O1154" i="10"/>
  <c r="N1154" i="10"/>
  <c r="T1153" i="10"/>
  <c r="S1153" i="10"/>
  <c r="R1153" i="10"/>
  <c r="Q1153" i="10"/>
  <c r="P1153" i="10"/>
  <c r="O1153" i="10"/>
  <c r="N1153" i="10"/>
  <c r="T1152" i="10"/>
  <c r="S1152" i="10"/>
  <c r="R1152" i="10"/>
  <c r="Q1152" i="10"/>
  <c r="P1152" i="10"/>
  <c r="O1152" i="10"/>
  <c r="N1152" i="10"/>
  <c r="T1151" i="10"/>
  <c r="S1151" i="10"/>
  <c r="R1151" i="10"/>
  <c r="Q1151" i="10"/>
  <c r="P1151" i="10"/>
  <c r="O1151" i="10"/>
  <c r="N1151" i="10"/>
  <c r="T1150" i="10"/>
  <c r="S1150" i="10"/>
  <c r="R1150" i="10"/>
  <c r="Q1150" i="10"/>
  <c r="P1150" i="10"/>
  <c r="O1150" i="10"/>
  <c r="N1150" i="10"/>
  <c r="T1149" i="10"/>
  <c r="S1149" i="10"/>
  <c r="R1149" i="10"/>
  <c r="Q1149" i="10"/>
  <c r="P1149" i="10"/>
  <c r="O1149" i="10"/>
  <c r="N1149" i="10"/>
  <c r="T1148" i="10"/>
  <c r="S1148" i="10"/>
  <c r="R1148" i="10"/>
  <c r="Q1148" i="10"/>
  <c r="P1148" i="10"/>
  <c r="O1148" i="10"/>
  <c r="N1148" i="10"/>
  <c r="T1147" i="10"/>
  <c r="S1147" i="10"/>
  <c r="R1147" i="10"/>
  <c r="Q1147" i="10"/>
  <c r="P1147" i="10"/>
  <c r="O1147" i="10"/>
  <c r="N1147" i="10"/>
  <c r="T1146" i="10"/>
  <c r="S1146" i="10"/>
  <c r="R1146" i="10"/>
  <c r="Q1146" i="10"/>
  <c r="P1146" i="10"/>
  <c r="O1146" i="10"/>
  <c r="N1146" i="10"/>
  <c r="T1145" i="10"/>
  <c r="S1145" i="10"/>
  <c r="R1145" i="10"/>
  <c r="Q1145" i="10"/>
  <c r="P1145" i="10"/>
  <c r="O1145" i="10"/>
  <c r="N1145" i="10"/>
  <c r="T1144" i="10"/>
  <c r="S1144" i="10"/>
  <c r="R1144" i="10"/>
  <c r="Q1144" i="10"/>
  <c r="P1144" i="10"/>
  <c r="O1144" i="10"/>
  <c r="N1144" i="10"/>
  <c r="T1143" i="10"/>
  <c r="S1143" i="10"/>
  <c r="R1143" i="10"/>
  <c r="Q1143" i="10"/>
  <c r="P1143" i="10"/>
  <c r="O1143" i="10"/>
  <c r="N1143" i="10"/>
  <c r="T1142" i="10"/>
  <c r="S1142" i="10"/>
  <c r="R1142" i="10"/>
  <c r="Q1142" i="10"/>
  <c r="P1142" i="10"/>
  <c r="O1142" i="10"/>
  <c r="N1142" i="10"/>
  <c r="T1141" i="10"/>
  <c r="S1141" i="10"/>
  <c r="R1141" i="10"/>
  <c r="Q1141" i="10"/>
  <c r="P1141" i="10"/>
  <c r="O1141" i="10"/>
  <c r="N1141" i="10"/>
  <c r="T1140" i="10"/>
  <c r="S1140" i="10"/>
  <c r="R1140" i="10"/>
  <c r="Q1140" i="10"/>
  <c r="P1140" i="10"/>
  <c r="O1140" i="10"/>
  <c r="N1140" i="10"/>
  <c r="T1139" i="10"/>
  <c r="S1139" i="10"/>
  <c r="R1139" i="10"/>
  <c r="Q1139" i="10"/>
  <c r="P1139" i="10"/>
  <c r="O1139" i="10"/>
  <c r="N1139" i="10"/>
  <c r="T1138" i="10"/>
  <c r="S1138" i="10"/>
  <c r="R1138" i="10"/>
  <c r="Q1138" i="10"/>
  <c r="P1138" i="10"/>
  <c r="O1138" i="10"/>
  <c r="N1138" i="10"/>
  <c r="T1137" i="10"/>
  <c r="S1137" i="10"/>
  <c r="R1137" i="10"/>
  <c r="Q1137" i="10"/>
  <c r="P1137" i="10"/>
  <c r="O1137" i="10"/>
  <c r="N1137" i="10"/>
  <c r="T1136" i="10"/>
  <c r="S1136" i="10"/>
  <c r="R1136" i="10"/>
  <c r="Q1136" i="10"/>
  <c r="P1136" i="10"/>
  <c r="O1136" i="10"/>
  <c r="N1136" i="10"/>
  <c r="T1135" i="10"/>
  <c r="S1135" i="10"/>
  <c r="R1135" i="10"/>
  <c r="Q1135" i="10"/>
  <c r="P1135" i="10"/>
  <c r="O1135" i="10"/>
  <c r="N1135" i="10"/>
  <c r="T1134" i="10"/>
  <c r="S1134" i="10"/>
  <c r="R1134" i="10"/>
  <c r="Q1134" i="10"/>
  <c r="P1134" i="10"/>
  <c r="O1134" i="10"/>
  <c r="N1134" i="10"/>
  <c r="T1133" i="10"/>
  <c r="S1133" i="10"/>
  <c r="R1133" i="10"/>
  <c r="Q1133" i="10"/>
  <c r="P1133" i="10"/>
  <c r="O1133" i="10"/>
  <c r="N1133" i="10"/>
  <c r="T1132" i="10"/>
  <c r="S1132" i="10"/>
  <c r="R1132" i="10"/>
  <c r="Q1132" i="10"/>
  <c r="P1132" i="10"/>
  <c r="O1132" i="10"/>
  <c r="N1132" i="10"/>
  <c r="T1131" i="10"/>
  <c r="S1131" i="10"/>
  <c r="R1131" i="10"/>
  <c r="Q1131" i="10"/>
  <c r="P1131" i="10"/>
  <c r="O1131" i="10"/>
  <c r="N1131" i="10"/>
  <c r="T1130" i="10"/>
  <c r="S1130" i="10"/>
  <c r="R1130" i="10"/>
  <c r="Q1130" i="10"/>
  <c r="P1130" i="10"/>
  <c r="O1130" i="10"/>
  <c r="N1130" i="10"/>
  <c r="T1129" i="10"/>
  <c r="S1129" i="10"/>
  <c r="R1129" i="10"/>
  <c r="Q1129" i="10"/>
  <c r="P1129" i="10"/>
  <c r="O1129" i="10"/>
  <c r="N1129" i="10"/>
  <c r="T1128" i="10"/>
  <c r="S1128" i="10"/>
  <c r="R1128" i="10"/>
  <c r="Q1128" i="10"/>
  <c r="P1128" i="10"/>
  <c r="O1128" i="10"/>
  <c r="N1128" i="10"/>
  <c r="T1127" i="10"/>
  <c r="S1127" i="10"/>
  <c r="R1127" i="10"/>
  <c r="Q1127" i="10"/>
  <c r="P1127" i="10"/>
  <c r="O1127" i="10"/>
  <c r="N1127" i="10"/>
  <c r="T1126" i="10"/>
  <c r="S1126" i="10"/>
  <c r="R1126" i="10"/>
  <c r="Q1126" i="10"/>
  <c r="P1126" i="10"/>
  <c r="O1126" i="10"/>
  <c r="N1126" i="10"/>
  <c r="T1125" i="10"/>
  <c r="S1125" i="10"/>
  <c r="R1125" i="10"/>
  <c r="Q1125" i="10"/>
  <c r="P1125" i="10"/>
  <c r="O1125" i="10"/>
  <c r="N1125" i="10"/>
  <c r="T1124" i="10"/>
  <c r="S1124" i="10"/>
  <c r="R1124" i="10"/>
  <c r="Q1124" i="10"/>
  <c r="P1124" i="10"/>
  <c r="O1124" i="10"/>
  <c r="N1124" i="10"/>
  <c r="T1123" i="10"/>
  <c r="S1123" i="10"/>
  <c r="R1123" i="10"/>
  <c r="Q1123" i="10"/>
  <c r="P1123" i="10"/>
  <c r="O1123" i="10"/>
  <c r="N1123" i="10"/>
  <c r="T1122" i="10"/>
  <c r="S1122" i="10"/>
  <c r="R1122" i="10"/>
  <c r="Q1122" i="10"/>
  <c r="P1122" i="10"/>
  <c r="O1122" i="10"/>
  <c r="N1122" i="10"/>
  <c r="T1121" i="10"/>
  <c r="S1121" i="10"/>
  <c r="R1121" i="10"/>
  <c r="Q1121" i="10"/>
  <c r="P1121" i="10"/>
  <c r="O1121" i="10"/>
  <c r="N1121" i="10"/>
  <c r="T1120" i="10"/>
  <c r="S1120" i="10"/>
  <c r="R1120" i="10"/>
  <c r="Q1120" i="10"/>
  <c r="P1120" i="10"/>
  <c r="O1120" i="10"/>
  <c r="N1120" i="10"/>
  <c r="T1119" i="10"/>
  <c r="S1119" i="10"/>
  <c r="R1119" i="10"/>
  <c r="Q1119" i="10"/>
  <c r="P1119" i="10"/>
  <c r="O1119" i="10"/>
  <c r="N1119" i="10"/>
  <c r="T1118" i="10"/>
  <c r="S1118" i="10"/>
  <c r="R1118" i="10"/>
  <c r="Q1118" i="10"/>
  <c r="P1118" i="10"/>
  <c r="O1118" i="10"/>
  <c r="N1118" i="10"/>
  <c r="T1117" i="10"/>
  <c r="S1117" i="10"/>
  <c r="R1117" i="10"/>
  <c r="Q1117" i="10"/>
  <c r="P1117" i="10"/>
  <c r="O1117" i="10"/>
  <c r="N1117" i="10"/>
  <c r="T1116" i="10"/>
  <c r="S1116" i="10"/>
  <c r="R1116" i="10"/>
  <c r="Q1116" i="10"/>
  <c r="P1116" i="10"/>
  <c r="O1116" i="10"/>
  <c r="N1116" i="10"/>
  <c r="T1115" i="10"/>
  <c r="S1115" i="10"/>
  <c r="R1115" i="10"/>
  <c r="Q1115" i="10"/>
  <c r="P1115" i="10"/>
  <c r="O1115" i="10"/>
  <c r="N1115" i="10"/>
  <c r="T1114" i="10"/>
  <c r="S1114" i="10"/>
  <c r="R1114" i="10"/>
  <c r="Q1114" i="10"/>
  <c r="P1114" i="10"/>
  <c r="O1114" i="10"/>
  <c r="N1114" i="10"/>
  <c r="T1113" i="10"/>
  <c r="S1113" i="10"/>
  <c r="R1113" i="10"/>
  <c r="Q1113" i="10"/>
  <c r="P1113" i="10"/>
  <c r="O1113" i="10"/>
  <c r="N1113" i="10"/>
  <c r="T1112" i="10"/>
  <c r="S1112" i="10"/>
  <c r="R1112" i="10"/>
  <c r="Q1112" i="10"/>
  <c r="P1112" i="10"/>
  <c r="O1112" i="10"/>
  <c r="N1112" i="10"/>
  <c r="T1111" i="10"/>
  <c r="S1111" i="10"/>
  <c r="R1111" i="10"/>
  <c r="Q1111" i="10"/>
  <c r="P1111" i="10"/>
  <c r="O1111" i="10"/>
  <c r="N1111" i="10"/>
  <c r="T1110" i="10"/>
  <c r="S1110" i="10"/>
  <c r="R1110" i="10"/>
  <c r="Q1110" i="10"/>
  <c r="P1110" i="10"/>
  <c r="O1110" i="10"/>
  <c r="N1110" i="10"/>
  <c r="T1109" i="10"/>
  <c r="S1109" i="10"/>
  <c r="R1109" i="10"/>
  <c r="Q1109" i="10"/>
  <c r="P1109" i="10"/>
  <c r="O1109" i="10"/>
  <c r="N1109" i="10"/>
  <c r="T1108" i="10"/>
  <c r="S1108" i="10"/>
  <c r="R1108" i="10"/>
  <c r="Q1108" i="10"/>
  <c r="P1108" i="10"/>
  <c r="O1108" i="10"/>
  <c r="N1108" i="10"/>
  <c r="T1107" i="10"/>
  <c r="S1107" i="10"/>
  <c r="R1107" i="10"/>
  <c r="Q1107" i="10"/>
  <c r="P1107" i="10"/>
  <c r="O1107" i="10"/>
  <c r="N1107" i="10"/>
  <c r="T1106" i="10"/>
  <c r="S1106" i="10"/>
  <c r="R1106" i="10"/>
  <c r="Q1106" i="10"/>
  <c r="P1106" i="10"/>
  <c r="O1106" i="10"/>
  <c r="N1106" i="10"/>
  <c r="T1105" i="10"/>
  <c r="S1105" i="10"/>
  <c r="R1105" i="10"/>
  <c r="Q1105" i="10"/>
  <c r="P1105" i="10"/>
  <c r="O1105" i="10"/>
  <c r="N1105" i="10"/>
  <c r="T1104" i="10"/>
  <c r="S1104" i="10"/>
  <c r="R1104" i="10"/>
  <c r="Q1104" i="10"/>
  <c r="P1104" i="10"/>
  <c r="O1104" i="10"/>
  <c r="N1104" i="10"/>
  <c r="T1103" i="10"/>
  <c r="S1103" i="10"/>
  <c r="R1103" i="10"/>
  <c r="Q1103" i="10"/>
  <c r="P1103" i="10"/>
  <c r="O1103" i="10"/>
  <c r="N1103" i="10"/>
  <c r="T1102" i="10"/>
  <c r="S1102" i="10"/>
  <c r="R1102" i="10"/>
  <c r="Q1102" i="10"/>
  <c r="P1102" i="10"/>
  <c r="O1102" i="10"/>
  <c r="N1102" i="10"/>
  <c r="T1101" i="10"/>
  <c r="S1101" i="10"/>
  <c r="R1101" i="10"/>
  <c r="Q1101" i="10"/>
  <c r="P1101" i="10"/>
  <c r="O1101" i="10"/>
  <c r="N1101" i="10"/>
  <c r="T1100" i="10"/>
  <c r="S1100" i="10"/>
  <c r="R1100" i="10"/>
  <c r="Q1100" i="10"/>
  <c r="P1100" i="10"/>
  <c r="O1100" i="10"/>
  <c r="N1100" i="10"/>
  <c r="T1099" i="10"/>
  <c r="S1099" i="10"/>
  <c r="R1099" i="10"/>
  <c r="Q1099" i="10"/>
  <c r="P1099" i="10"/>
  <c r="O1099" i="10"/>
  <c r="N1099" i="10"/>
  <c r="T1098" i="10"/>
  <c r="S1098" i="10"/>
  <c r="R1098" i="10"/>
  <c r="Q1098" i="10"/>
  <c r="P1098" i="10"/>
  <c r="O1098" i="10"/>
  <c r="N1098" i="10"/>
  <c r="T1097" i="10"/>
  <c r="S1097" i="10"/>
  <c r="R1097" i="10"/>
  <c r="Q1097" i="10"/>
  <c r="P1097" i="10"/>
  <c r="O1097" i="10"/>
  <c r="N1097" i="10"/>
  <c r="T1096" i="10"/>
  <c r="S1096" i="10"/>
  <c r="R1096" i="10"/>
  <c r="Q1096" i="10"/>
  <c r="P1096" i="10"/>
  <c r="O1096" i="10"/>
  <c r="N1096" i="10"/>
  <c r="T1095" i="10"/>
  <c r="S1095" i="10"/>
  <c r="R1095" i="10"/>
  <c r="Q1095" i="10"/>
  <c r="P1095" i="10"/>
  <c r="O1095" i="10"/>
  <c r="N1095" i="10"/>
  <c r="T1094" i="10"/>
  <c r="S1094" i="10"/>
  <c r="R1094" i="10"/>
  <c r="Q1094" i="10"/>
  <c r="P1094" i="10"/>
  <c r="O1094" i="10"/>
  <c r="N1094" i="10"/>
  <c r="T1093" i="10"/>
  <c r="S1093" i="10"/>
  <c r="R1093" i="10"/>
  <c r="Q1093" i="10"/>
  <c r="P1093" i="10"/>
  <c r="O1093" i="10"/>
  <c r="N1093" i="10"/>
  <c r="T1092" i="10"/>
  <c r="S1092" i="10"/>
  <c r="R1092" i="10"/>
  <c r="Q1092" i="10"/>
  <c r="P1092" i="10"/>
  <c r="O1092" i="10"/>
  <c r="N1092" i="10"/>
  <c r="T1091" i="10"/>
  <c r="S1091" i="10"/>
  <c r="R1091" i="10"/>
  <c r="Q1091" i="10"/>
  <c r="P1091" i="10"/>
  <c r="O1091" i="10"/>
  <c r="N1091" i="10"/>
  <c r="T1090" i="10"/>
  <c r="S1090" i="10"/>
  <c r="R1090" i="10"/>
  <c r="Q1090" i="10"/>
  <c r="P1090" i="10"/>
  <c r="O1090" i="10"/>
  <c r="N1090" i="10"/>
  <c r="T1089" i="10"/>
  <c r="S1089" i="10"/>
  <c r="R1089" i="10"/>
  <c r="Q1089" i="10"/>
  <c r="P1089" i="10"/>
  <c r="O1089" i="10"/>
  <c r="N1089" i="10"/>
  <c r="T1088" i="10"/>
  <c r="S1088" i="10"/>
  <c r="R1088" i="10"/>
  <c r="Q1088" i="10"/>
  <c r="P1088" i="10"/>
  <c r="O1088" i="10"/>
  <c r="N1088" i="10"/>
  <c r="T1087" i="10"/>
  <c r="S1087" i="10"/>
  <c r="R1087" i="10"/>
  <c r="Q1087" i="10"/>
  <c r="P1087" i="10"/>
  <c r="O1087" i="10"/>
  <c r="N1087" i="10"/>
  <c r="T1086" i="10"/>
  <c r="S1086" i="10"/>
  <c r="R1086" i="10"/>
  <c r="Q1086" i="10"/>
  <c r="P1086" i="10"/>
  <c r="O1086" i="10"/>
  <c r="N1086" i="10"/>
  <c r="T1085" i="10"/>
  <c r="S1085" i="10"/>
  <c r="R1085" i="10"/>
  <c r="Q1085" i="10"/>
  <c r="P1085" i="10"/>
  <c r="O1085" i="10"/>
  <c r="N1085" i="10"/>
  <c r="T1084" i="10"/>
  <c r="S1084" i="10"/>
  <c r="R1084" i="10"/>
  <c r="Q1084" i="10"/>
  <c r="P1084" i="10"/>
  <c r="O1084" i="10"/>
  <c r="N1084" i="10"/>
  <c r="T1083" i="10"/>
  <c r="S1083" i="10"/>
  <c r="R1083" i="10"/>
  <c r="Q1083" i="10"/>
  <c r="P1083" i="10"/>
  <c r="O1083" i="10"/>
  <c r="N1083" i="10"/>
  <c r="T1082" i="10"/>
  <c r="S1082" i="10"/>
  <c r="R1082" i="10"/>
  <c r="Q1082" i="10"/>
  <c r="P1082" i="10"/>
  <c r="O1082" i="10"/>
  <c r="N1082" i="10"/>
  <c r="T1081" i="10"/>
  <c r="S1081" i="10"/>
  <c r="R1081" i="10"/>
  <c r="Q1081" i="10"/>
  <c r="P1081" i="10"/>
  <c r="O1081" i="10"/>
  <c r="N1081" i="10"/>
  <c r="T1080" i="10"/>
  <c r="S1080" i="10"/>
  <c r="R1080" i="10"/>
  <c r="Q1080" i="10"/>
  <c r="P1080" i="10"/>
  <c r="O1080" i="10"/>
  <c r="N1080" i="10"/>
  <c r="T1079" i="10"/>
  <c r="S1079" i="10"/>
  <c r="R1079" i="10"/>
  <c r="Q1079" i="10"/>
  <c r="P1079" i="10"/>
  <c r="O1079" i="10"/>
  <c r="N1079" i="10"/>
  <c r="T1078" i="10"/>
  <c r="S1078" i="10"/>
  <c r="R1078" i="10"/>
  <c r="Q1078" i="10"/>
  <c r="P1078" i="10"/>
  <c r="O1078" i="10"/>
  <c r="N1078" i="10"/>
  <c r="T1077" i="10"/>
  <c r="S1077" i="10"/>
  <c r="R1077" i="10"/>
  <c r="Q1077" i="10"/>
  <c r="P1077" i="10"/>
  <c r="O1077" i="10"/>
  <c r="N1077" i="10"/>
  <c r="T1076" i="10"/>
  <c r="S1076" i="10"/>
  <c r="R1076" i="10"/>
  <c r="Q1076" i="10"/>
  <c r="P1076" i="10"/>
  <c r="O1076" i="10"/>
  <c r="N1076" i="10"/>
  <c r="T1075" i="10"/>
  <c r="S1075" i="10"/>
  <c r="R1075" i="10"/>
  <c r="Q1075" i="10"/>
  <c r="P1075" i="10"/>
  <c r="O1075" i="10"/>
  <c r="N1075" i="10"/>
  <c r="T1074" i="10"/>
  <c r="S1074" i="10"/>
  <c r="R1074" i="10"/>
  <c r="Q1074" i="10"/>
  <c r="P1074" i="10"/>
  <c r="O1074" i="10"/>
  <c r="N1074" i="10"/>
  <c r="T1073" i="10"/>
  <c r="S1073" i="10"/>
  <c r="R1073" i="10"/>
  <c r="Q1073" i="10"/>
  <c r="P1073" i="10"/>
  <c r="O1073" i="10"/>
  <c r="N1073" i="10"/>
  <c r="T1072" i="10"/>
  <c r="S1072" i="10"/>
  <c r="R1072" i="10"/>
  <c r="Q1072" i="10"/>
  <c r="P1072" i="10"/>
  <c r="O1072" i="10"/>
  <c r="N1072" i="10"/>
  <c r="T1071" i="10"/>
  <c r="S1071" i="10"/>
  <c r="R1071" i="10"/>
  <c r="Q1071" i="10"/>
  <c r="P1071" i="10"/>
  <c r="O1071" i="10"/>
  <c r="N1071" i="10"/>
  <c r="T1070" i="10"/>
  <c r="S1070" i="10"/>
  <c r="R1070" i="10"/>
  <c r="Q1070" i="10"/>
  <c r="P1070" i="10"/>
  <c r="O1070" i="10"/>
  <c r="N1070" i="10"/>
  <c r="T1069" i="10"/>
  <c r="S1069" i="10"/>
  <c r="R1069" i="10"/>
  <c r="Q1069" i="10"/>
  <c r="P1069" i="10"/>
  <c r="O1069" i="10"/>
  <c r="N1069" i="10"/>
  <c r="T1068" i="10"/>
  <c r="S1068" i="10"/>
  <c r="R1068" i="10"/>
  <c r="Q1068" i="10"/>
  <c r="P1068" i="10"/>
  <c r="O1068" i="10"/>
  <c r="N1068" i="10"/>
  <c r="T1067" i="10"/>
  <c r="S1067" i="10"/>
  <c r="R1067" i="10"/>
  <c r="Q1067" i="10"/>
  <c r="P1067" i="10"/>
  <c r="O1067" i="10"/>
  <c r="N1067" i="10"/>
  <c r="T1066" i="10"/>
  <c r="S1066" i="10"/>
  <c r="R1066" i="10"/>
  <c r="Q1066" i="10"/>
  <c r="P1066" i="10"/>
  <c r="O1066" i="10"/>
  <c r="N1066" i="10"/>
  <c r="T1065" i="10"/>
  <c r="S1065" i="10"/>
  <c r="R1065" i="10"/>
  <c r="Q1065" i="10"/>
  <c r="P1065" i="10"/>
  <c r="O1065" i="10"/>
  <c r="N1065" i="10"/>
  <c r="T1064" i="10"/>
  <c r="S1064" i="10"/>
  <c r="R1064" i="10"/>
  <c r="Q1064" i="10"/>
  <c r="P1064" i="10"/>
  <c r="O1064" i="10"/>
  <c r="N1064" i="10"/>
  <c r="T1063" i="10"/>
  <c r="S1063" i="10"/>
  <c r="R1063" i="10"/>
  <c r="Q1063" i="10"/>
  <c r="P1063" i="10"/>
  <c r="O1063" i="10"/>
  <c r="N1063" i="10"/>
  <c r="T1062" i="10"/>
  <c r="S1062" i="10"/>
  <c r="R1062" i="10"/>
  <c r="Q1062" i="10"/>
  <c r="P1062" i="10"/>
  <c r="O1062" i="10"/>
  <c r="N1062" i="10"/>
  <c r="T1061" i="10"/>
  <c r="S1061" i="10"/>
  <c r="R1061" i="10"/>
  <c r="Q1061" i="10"/>
  <c r="P1061" i="10"/>
  <c r="O1061" i="10"/>
  <c r="N1061" i="10"/>
  <c r="T1060" i="10"/>
  <c r="S1060" i="10"/>
  <c r="R1060" i="10"/>
  <c r="Q1060" i="10"/>
  <c r="P1060" i="10"/>
  <c r="O1060" i="10"/>
  <c r="N1060" i="10"/>
  <c r="T1059" i="10"/>
  <c r="S1059" i="10"/>
  <c r="R1059" i="10"/>
  <c r="Q1059" i="10"/>
  <c r="P1059" i="10"/>
  <c r="O1059" i="10"/>
  <c r="N1059" i="10"/>
  <c r="T1058" i="10"/>
  <c r="S1058" i="10"/>
  <c r="R1058" i="10"/>
  <c r="Q1058" i="10"/>
  <c r="P1058" i="10"/>
  <c r="O1058" i="10"/>
  <c r="N1058" i="10"/>
  <c r="T1057" i="10"/>
  <c r="S1057" i="10"/>
  <c r="R1057" i="10"/>
  <c r="Q1057" i="10"/>
  <c r="P1057" i="10"/>
  <c r="O1057" i="10"/>
  <c r="N1057" i="10"/>
  <c r="T1056" i="10"/>
  <c r="S1056" i="10"/>
  <c r="R1056" i="10"/>
  <c r="Q1056" i="10"/>
  <c r="P1056" i="10"/>
  <c r="O1056" i="10"/>
  <c r="N1056" i="10"/>
  <c r="T1055" i="10"/>
  <c r="S1055" i="10"/>
  <c r="R1055" i="10"/>
  <c r="Q1055" i="10"/>
  <c r="P1055" i="10"/>
  <c r="O1055" i="10"/>
  <c r="N1055" i="10"/>
  <c r="T1054" i="10"/>
  <c r="S1054" i="10"/>
  <c r="R1054" i="10"/>
  <c r="Q1054" i="10"/>
  <c r="P1054" i="10"/>
  <c r="O1054" i="10"/>
  <c r="N1054" i="10"/>
  <c r="T1053" i="10"/>
  <c r="S1053" i="10"/>
  <c r="R1053" i="10"/>
  <c r="Q1053" i="10"/>
  <c r="P1053" i="10"/>
  <c r="O1053" i="10"/>
  <c r="N1053" i="10"/>
  <c r="T1052" i="10"/>
  <c r="S1052" i="10"/>
  <c r="R1052" i="10"/>
  <c r="Q1052" i="10"/>
  <c r="P1052" i="10"/>
  <c r="O1052" i="10"/>
  <c r="N1052" i="10"/>
  <c r="T1051" i="10"/>
  <c r="S1051" i="10"/>
  <c r="R1051" i="10"/>
  <c r="Q1051" i="10"/>
  <c r="P1051" i="10"/>
  <c r="O1051" i="10"/>
  <c r="N1051" i="10"/>
  <c r="T1050" i="10"/>
  <c r="S1050" i="10"/>
  <c r="R1050" i="10"/>
  <c r="Q1050" i="10"/>
  <c r="P1050" i="10"/>
  <c r="O1050" i="10"/>
  <c r="N1050" i="10"/>
  <c r="T1049" i="10"/>
  <c r="S1049" i="10"/>
  <c r="R1049" i="10"/>
  <c r="Q1049" i="10"/>
  <c r="P1049" i="10"/>
  <c r="O1049" i="10"/>
  <c r="N1049" i="10"/>
  <c r="T1048" i="10"/>
  <c r="S1048" i="10"/>
  <c r="R1048" i="10"/>
  <c r="Q1048" i="10"/>
  <c r="P1048" i="10"/>
  <c r="O1048" i="10"/>
  <c r="N1048" i="10"/>
  <c r="T1047" i="10"/>
  <c r="S1047" i="10"/>
  <c r="R1047" i="10"/>
  <c r="Q1047" i="10"/>
  <c r="P1047" i="10"/>
  <c r="O1047" i="10"/>
  <c r="N1047" i="10"/>
  <c r="T1046" i="10"/>
  <c r="S1046" i="10"/>
  <c r="R1046" i="10"/>
  <c r="Q1046" i="10"/>
  <c r="P1046" i="10"/>
  <c r="O1046" i="10"/>
  <c r="N1046" i="10"/>
  <c r="T1045" i="10"/>
  <c r="S1045" i="10"/>
  <c r="R1045" i="10"/>
  <c r="Q1045" i="10"/>
  <c r="P1045" i="10"/>
  <c r="O1045" i="10"/>
  <c r="N1045" i="10"/>
  <c r="T1044" i="10"/>
  <c r="S1044" i="10"/>
  <c r="R1044" i="10"/>
  <c r="Q1044" i="10"/>
  <c r="P1044" i="10"/>
  <c r="O1044" i="10"/>
  <c r="N1044" i="10"/>
  <c r="T1043" i="10"/>
  <c r="S1043" i="10"/>
  <c r="R1043" i="10"/>
  <c r="Q1043" i="10"/>
  <c r="P1043" i="10"/>
  <c r="O1043" i="10"/>
  <c r="N1043" i="10"/>
  <c r="T1042" i="10"/>
  <c r="S1042" i="10"/>
  <c r="R1042" i="10"/>
  <c r="Q1042" i="10"/>
  <c r="P1042" i="10"/>
  <c r="O1042" i="10"/>
  <c r="N1042" i="10"/>
  <c r="T1041" i="10"/>
  <c r="S1041" i="10"/>
  <c r="R1041" i="10"/>
  <c r="Q1041" i="10"/>
  <c r="P1041" i="10"/>
  <c r="O1041" i="10"/>
  <c r="N1041" i="10"/>
  <c r="T1040" i="10"/>
  <c r="S1040" i="10"/>
  <c r="R1040" i="10"/>
  <c r="Q1040" i="10"/>
  <c r="P1040" i="10"/>
  <c r="O1040" i="10"/>
  <c r="N1040" i="10"/>
  <c r="T1039" i="10"/>
  <c r="S1039" i="10"/>
  <c r="R1039" i="10"/>
  <c r="Q1039" i="10"/>
  <c r="P1039" i="10"/>
  <c r="O1039" i="10"/>
  <c r="N1039" i="10"/>
  <c r="T1038" i="10"/>
  <c r="S1038" i="10"/>
  <c r="R1038" i="10"/>
  <c r="Q1038" i="10"/>
  <c r="P1038" i="10"/>
  <c r="O1038" i="10"/>
  <c r="N1038" i="10"/>
  <c r="T1037" i="10"/>
  <c r="S1037" i="10"/>
  <c r="R1037" i="10"/>
  <c r="Q1037" i="10"/>
  <c r="P1037" i="10"/>
  <c r="O1037" i="10"/>
  <c r="N1037" i="10"/>
  <c r="T1036" i="10"/>
  <c r="S1036" i="10"/>
  <c r="R1036" i="10"/>
  <c r="Q1036" i="10"/>
  <c r="P1036" i="10"/>
  <c r="O1036" i="10"/>
  <c r="N1036" i="10"/>
  <c r="T1035" i="10"/>
  <c r="S1035" i="10"/>
  <c r="R1035" i="10"/>
  <c r="Q1035" i="10"/>
  <c r="P1035" i="10"/>
  <c r="O1035" i="10"/>
  <c r="N1035" i="10"/>
  <c r="T1034" i="10"/>
  <c r="S1034" i="10"/>
  <c r="R1034" i="10"/>
  <c r="Q1034" i="10"/>
  <c r="P1034" i="10"/>
  <c r="O1034" i="10"/>
  <c r="N1034" i="10"/>
  <c r="T1033" i="10"/>
  <c r="S1033" i="10"/>
  <c r="R1033" i="10"/>
  <c r="Q1033" i="10"/>
  <c r="P1033" i="10"/>
  <c r="O1033" i="10"/>
  <c r="N1033" i="10"/>
  <c r="T1032" i="10"/>
  <c r="S1032" i="10"/>
  <c r="R1032" i="10"/>
  <c r="Q1032" i="10"/>
  <c r="P1032" i="10"/>
  <c r="O1032" i="10"/>
  <c r="N1032" i="10"/>
  <c r="T1031" i="10"/>
  <c r="S1031" i="10"/>
  <c r="R1031" i="10"/>
  <c r="Q1031" i="10"/>
  <c r="P1031" i="10"/>
  <c r="O1031" i="10"/>
  <c r="N1031" i="10"/>
  <c r="T1030" i="10"/>
  <c r="S1030" i="10"/>
  <c r="R1030" i="10"/>
  <c r="Q1030" i="10"/>
  <c r="P1030" i="10"/>
  <c r="O1030" i="10"/>
  <c r="N1030" i="10"/>
  <c r="T1029" i="10"/>
  <c r="S1029" i="10"/>
  <c r="R1029" i="10"/>
  <c r="Q1029" i="10"/>
  <c r="P1029" i="10"/>
  <c r="O1029" i="10"/>
  <c r="N1029" i="10"/>
  <c r="T1028" i="10"/>
  <c r="S1028" i="10"/>
  <c r="R1028" i="10"/>
  <c r="Q1028" i="10"/>
  <c r="P1028" i="10"/>
  <c r="O1028" i="10"/>
  <c r="N1028" i="10"/>
  <c r="T1027" i="10"/>
  <c r="S1027" i="10"/>
  <c r="R1027" i="10"/>
  <c r="Q1027" i="10"/>
  <c r="P1027" i="10"/>
  <c r="O1027" i="10"/>
  <c r="N1027" i="10"/>
  <c r="T1026" i="10"/>
  <c r="S1026" i="10"/>
  <c r="R1026" i="10"/>
  <c r="Q1026" i="10"/>
  <c r="P1026" i="10"/>
  <c r="O1026" i="10"/>
  <c r="N1026" i="10"/>
  <c r="T1025" i="10"/>
  <c r="S1025" i="10"/>
  <c r="R1025" i="10"/>
  <c r="Q1025" i="10"/>
  <c r="P1025" i="10"/>
  <c r="O1025" i="10"/>
  <c r="N1025" i="10"/>
  <c r="T1024" i="10"/>
  <c r="S1024" i="10"/>
  <c r="R1024" i="10"/>
  <c r="Q1024" i="10"/>
  <c r="P1024" i="10"/>
  <c r="O1024" i="10"/>
  <c r="N1024" i="10"/>
  <c r="T1023" i="10"/>
  <c r="S1023" i="10"/>
  <c r="R1023" i="10"/>
  <c r="Q1023" i="10"/>
  <c r="P1023" i="10"/>
  <c r="O1023" i="10"/>
  <c r="N1023" i="10"/>
  <c r="T1022" i="10"/>
  <c r="S1022" i="10"/>
  <c r="R1022" i="10"/>
  <c r="Q1022" i="10"/>
  <c r="P1022" i="10"/>
  <c r="O1022" i="10"/>
  <c r="N1022" i="10"/>
  <c r="T1021" i="10"/>
  <c r="S1021" i="10"/>
  <c r="R1021" i="10"/>
  <c r="Q1021" i="10"/>
  <c r="P1021" i="10"/>
  <c r="O1021" i="10"/>
  <c r="N1021" i="10"/>
  <c r="T1020" i="10"/>
  <c r="S1020" i="10"/>
  <c r="R1020" i="10"/>
  <c r="Q1020" i="10"/>
  <c r="P1020" i="10"/>
  <c r="O1020" i="10"/>
  <c r="N1020" i="10"/>
  <c r="T1019" i="10"/>
  <c r="S1019" i="10"/>
  <c r="R1019" i="10"/>
  <c r="Q1019" i="10"/>
  <c r="P1019" i="10"/>
  <c r="O1019" i="10"/>
  <c r="N1019" i="10"/>
  <c r="T1018" i="10"/>
  <c r="S1018" i="10"/>
  <c r="R1018" i="10"/>
  <c r="Q1018" i="10"/>
  <c r="P1018" i="10"/>
  <c r="O1018" i="10"/>
  <c r="N1018" i="10"/>
  <c r="T1017" i="10"/>
  <c r="S1017" i="10"/>
  <c r="R1017" i="10"/>
  <c r="Q1017" i="10"/>
  <c r="P1017" i="10"/>
  <c r="O1017" i="10"/>
  <c r="N1017" i="10"/>
  <c r="T1016" i="10"/>
  <c r="S1016" i="10"/>
  <c r="R1016" i="10"/>
  <c r="Q1016" i="10"/>
  <c r="P1016" i="10"/>
  <c r="O1016" i="10"/>
  <c r="N1016" i="10"/>
  <c r="T1015" i="10"/>
  <c r="S1015" i="10"/>
  <c r="R1015" i="10"/>
  <c r="Q1015" i="10"/>
  <c r="P1015" i="10"/>
  <c r="O1015" i="10"/>
  <c r="N1015" i="10"/>
  <c r="T1014" i="10"/>
  <c r="S1014" i="10"/>
  <c r="R1014" i="10"/>
  <c r="Q1014" i="10"/>
  <c r="P1014" i="10"/>
  <c r="O1014" i="10"/>
  <c r="N1014" i="10"/>
  <c r="T1013" i="10"/>
  <c r="S1013" i="10"/>
  <c r="R1013" i="10"/>
  <c r="Q1013" i="10"/>
  <c r="P1013" i="10"/>
  <c r="O1013" i="10"/>
  <c r="N1013" i="10"/>
  <c r="T1012" i="10"/>
  <c r="S1012" i="10"/>
  <c r="R1012" i="10"/>
  <c r="Q1012" i="10"/>
  <c r="P1012" i="10"/>
  <c r="O1012" i="10"/>
  <c r="N1012" i="10"/>
  <c r="T1011" i="10"/>
  <c r="S1011" i="10"/>
  <c r="R1011" i="10"/>
  <c r="Q1011" i="10"/>
  <c r="P1011" i="10"/>
  <c r="O1011" i="10"/>
  <c r="N1011" i="10"/>
  <c r="T1010" i="10"/>
  <c r="S1010" i="10"/>
  <c r="R1010" i="10"/>
  <c r="Q1010" i="10"/>
  <c r="P1010" i="10"/>
  <c r="O1010" i="10"/>
  <c r="N1010" i="10"/>
  <c r="T1009" i="10"/>
  <c r="S1009" i="10"/>
  <c r="R1009" i="10"/>
  <c r="Q1009" i="10"/>
  <c r="P1009" i="10"/>
  <c r="O1009" i="10"/>
  <c r="N1009" i="10"/>
  <c r="T1008" i="10"/>
  <c r="S1008" i="10"/>
  <c r="R1008" i="10"/>
  <c r="Q1008" i="10"/>
  <c r="P1008" i="10"/>
  <c r="O1008" i="10"/>
  <c r="N1008" i="10"/>
  <c r="T1007" i="10"/>
  <c r="S1007" i="10"/>
  <c r="R1007" i="10"/>
  <c r="Q1007" i="10"/>
  <c r="P1007" i="10"/>
  <c r="O1007" i="10"/>
  <c r="N1007" i="10"/>
  <c r="T1006" i="10"/>
  <c r="S1006" i="10"/>
  <c r="R1006" i="10"/>
  <c r="Q1006" i="10"/>
  <c r="P1006" i="10"/>
  <c r="O1006" i="10"/>
  <c r="N1006" i="10"/>
  <c r="T1005" i="10"/>
  <c r="S1005" i="10"/>
  <c r="R1005" i="10"/>
  <c r="Q1005" i="10"/>
  <c r="P1005" i="10"/>
  <c r="O1005" i="10"/>
  <c r="N1005" i="10"/>
  <c r="T1004" i="10"/>
  <c r="S1004" i="10"/>
  <c r="R1004" i="10"/>
  <c r="Q1004" i="10"/>
  <c r="P1004" i="10"/>
  <c r="O1004" i="10"/>
  <c r="N1004" i="10"/>
  <c r="T1003" i="10"/>
  <c r="S1003" i="10"/>
  <c r="R1003" i="10"/>
  <c r="Q1003" i="10"/>
  <c r="P1003" i="10"/>
  <c r="O1003" i="10"/>
  <c r="N1003" i="10"/>
  <c r="T1002" i="10"/>
  <c r="S1002" i="10"/>
  <c r="R1002" i="10"/>
  <c r="Q1002" i="10"/>
  <c r="P1002" i="10"/>
  <c r="O1002" i="10"/>
  <c r="N1002" i="10"/>
  <c r="T1001" i="10"/>
  <c r="S1001" i="10"/>
  <c r="R1001" i="10"/>
  <c r="Q1001" i="10"/>
  <c r="P1001" i="10"/>
  <c r="O1001" i="10"/>
  <c r="N1001" i="10"/>
  <c r="T1000" i="10"/>
  <c r="S1000" i="10"/>
  <c r="R1000" i="10"/>
  <c r="Q1000" i="10"/>
  <c r="P1000" i="10"/>
  <c r="O1000" i="10"/>
  <c r="N1000" i="10"/>
  <c r="T999" i="10"/>
  <c r="S999" i="10"/>
  <c r="R999" i="10"/>
  <c r="Q999" i="10"/>
  <c r="P999" i="10"/>
  <c r="O999" i="10"/>
  <c r="N999" i="10"/>
  <c r="T998" i="10"/>
  <c r="S998" i="10"/>
  <c r="R998" i="10"/>
  <c r="Q998" i="10"/>
  <c r="P998" i="10"/>
  <c r="O998" i="10"/>
  <c r="N998" i="10"/>
  <c r="T997" i="10"/>
  <c r="S997" i="10"/>
  <c r="R997" i="10"/>
  <c r="Q997" i="10"/>
  <c r="P997" i="10"/>
  <c r="O997" i="10"/>
  <c r="N997" i="10"/>
  <c r="T996" i="10"/>
  <c r="S996" i="10"/>
  <c r="R996" i="10"/>
  <c r="Q996" i="10"/>
  <c r="P996" i="10"/>
  <c r="O996" i="10"/>
  <c r="N996" i="10"/>
  <c r="T995" i="10"/>
  <c r="S995" i="10"/>
  <c r="R995" i="10"/>
  <c r="Q995" i="10"/>
  <c r="P995" i="10"/>
  <c r="O995" i="10"/>
  <c r="N995" i="10"/>
  <c r="T994" i="10"/>
  <c r="S994" i="10"/>
  <c r="R994" i="10"/>
  <c r="Q994" i="10"/>
  <c r="P994" i="10"/>
  <c r="O994" i="10"/>
  <c r="N994" i="10"/>
  <c r="T993" i="10"/>
  <c r="S993" i="10"/>
  <c r="R993" i="10"/>
  <c r="Q993" i="10"/>
  <c r="P993" i="10"/>
  <c r="O993" i="10"/>
  <c r="N993" i="10"/>
  <c r="T992" i="10"/>
  <c r="S992" i="10"/>
  <c r="R992" i="10"/>
  <c r="Q992" i="10"/>
  <c r="P992" i="10"/>
  <c r="O992" i="10"/>
  <c r="N992" i="10"/>
  <c r="T991" i="10"/>
  <c r="S991" i="10"/>
  <c r="R991" i="10"/>
  <c r="Q991" i="10"/>
  <c r="P991" i="10"/>
  <c r="O991" i="10"/>
  <c r="N991" i="10"/>
  <c r="T990" i="10"/>
  <c r="S990" i="10"/>
  <c r="R990" i="10"/>
  <c r="Q990" i="10"/>
  <c r="P990" i="10"/>
  <c r="O990" i="10"/>
  <c r="N990" i="10"/>
  <c r="T989" i="10"/>
  <c r="S989" i="10"/>
  <c r="R989" i="10"/>
  <c r="Q989" i="10"/>
  <c r="P989" i="10"/>
  <c r="O989" i="10"/>
  <c r="N989" i="10"/>
  <c r="T988" i="10"/>
  <c r="S988" i="10"/>
  <c r="R988" i="10"/>
  <c r="Q988" i="10"/>
  <c r="P988" i="10"/>
  <c r="O988" i="10"/>
  <c r="N988" i="10"/>
  <c r="T987" i="10"/>
  <c r="S987" i="10"/>
  <c r="R987" i="10"/>
  <c r="Q987" i="10"/>
  <c r="P987" i="10"/>
  <c r="O987" i="10"/>
  <c r="N987" i="10"/>
  <c r="T986" i="10"/>
  <c r="S986" i="10"/>
  <c r="R986" i="10"/>
  <c r="Q986" i="10"/>
  <c r="P986" i="10"/>
  <c r="O986" i="10"/>
  <c r="N986" i="10"/>
  <c r="T985" i="10"/>
  <c r="S985" i="10"/>
  <c r="R985" i="10"/>
  <c r="Q985" i="10"/>
  <c r="P985" i="10"/>
  <c r="O985" i="10"/>
  <c r="N985" i="10"/>
  <c r="T984" i="10"/>
  <c r="S984" i="10"/>
  <c r="R984" i="10"/>
  <c r="Q984" i="10"/>
  <c r="P984" i="10"/>
  <c r="O984" i="10"/>
  <c r="N984" i="10"/>
  <c r="T983" i="10"/>
  <c r="S983" i="10"/>
  <c r="R983" i="10"/>
  <c r="Q983" i="10"/>
  <c r="P983" i="10"/>
  <c r="O983" i="10"/>
  <c r="N983" i="10"/>
  <c r="T982" i="10"/>
  <c r="S982" i="10"/>
  <c r="R982" i="10"/>
  <c r="Q982" i="10"/>
  <c r="P982" i="10"/>
  <c r="O982" i="10"/>
  <c r="N982" i="10"/>
  <c r="T981" i="10"/>
  <c r="S981" i="10"/>
  <c r="R981" i="10"/>
  <c r="Q981" i="10"/>
  <c r="P981" i="10"/>
  <c r="O981" i="10"/>
  <c r="N981" i="10"/>
  <c r="T980" i="10"/>
  <c r="S980" i="10"/>
  <c r="R980" i="10"/>
  <c r="Q980" i="10"/>
  <c r="P980" i="10"/>
  <c r="O980" i="10"/>
  <c r="N980" i="10"/>
  <c r="T979" i="10"/>
  <c r="S979" i="10"/>
  <c r="R979" i="10"/>
  <c r="Q979" i="10"/>
  <c r="P979" i="10"/>
  <c r="O979" i="10"/>
  <c r="N979" i="10"/>
  <c r="T978" i="10"/>
  <c r="S978" i="10"/>
  <c r="R978" i="10"/>
  <c r="Q978" i="10"/>
  <c r="P978" i="10"/>
  <c r="O978" i="10"/>
  <c r="N978" i="10"/>
  <c r="T977" i="10"/>
  <c r="S977" i="10"/>
  <c r="R977" i="10"/>
  <c r="Q977" i="10"/>
  <c r="P977" i="10"/>
  <c r="O977" i="10"/>
  <c r="N977" i="10"/>
  <c r="T976" i="10"/>
  <c r="S976" i="10"/>
  <c r="R976" i="10"/>
  <c r="Q976" i="10"/>
  <c r="P976" i="10"/>
  <c r="O976" i="10"/>
  <c r="N976" i="10"/>
  <c r="T975" i="10"/>
  <c r="S975" i="10"/>
  <c r="R975" i="10"/>
  <c r="Q975" i="10"/>
  <c r="P975" i="10"/>
  <c r="O975" i="10"/>
  <c r="N975" i="10"/>
  <c r="T974" i="10"/>
  <c r="S974" i="10"/>
  <c r="R974" i="10"/>
  <c r="Q974" i="10"/>
  <c r="P974" i="10"/>
  <c r="O974" i="10"/>
  <c r="N974" i="10"/>
  <c r="T973" i="10"/>
  <c r="S973" i="10"/>
  <c r="R973" i="10"/>
  <c r="Q973" i="10"/>
  <c r="P973" i="10"/>
  <c r="O973" i="10"/>
  <c r="N973" i="10"/>
  <c r="T972" i="10"/>
  <c r="S972" i="10"/>
  <c r="R972" i="10"/>
  <c r="Q972" i="10"/>
  <c r="P972" i="10"/>
  <c r="O972" i="10"/>
  <c r="N972" i="10"/>
  <c r="T971" i="10"/>
  <c r="S971" i="10"/>
  <c r="R971" i="10"/>
  <c r="Q971" i="10"/>
  <c r="P971" i="10"/>
  <c r="O971" i="10"/>
  <c r="N971" i="10"/>
  <c r="T970" i="10"/>
  <c r="S970" i="10"/>
  <c r="R970" i="10"/>
  <c r="Q970" i="10"/>
  <c r="P970" i="10"/>
  <c r="O970" i="10"/>
  <c r="N970" i="10"/>
  <c r="T969" i="10"/>
  <c r="S969" i="10"/>
  <c r="R969" i="10"/>
  <c r="Q969" i="10"/>
  <c r="P969" i="10"/>
  <c r="O969" i="10"/>
  <c r="N969" i="10"/>
  <c r="T968" i="10"/>
  <c r="S968" i="10"/>
  <c r="R968" i="10"/>
  <c r="Q968" i="10"/>
  <c r="P968" i="10"/>
  <c r="O968" i="10"/>
  <c r="N968" i="10"/>
  <c r="T967" i="10"/>
  <c r="S967" i="10"/>
  <c r="R967" i="10"/>
  <c r="Q967" i="10"/>
  <c r="P967" i="10"/>
  <c r="O967" i="10"/>
  <c r="N967" i="10"/>
  <c r="T966" i="10"/>
  <c r="S966" i="10"/>
  <c r="R966" i="10"/>
  <c r="Q966" i="10"/>
  <c r="P966" i="10"/>
  <c r="O966" i="10"/>
  <c r="N966" i="10"/>
  <c r="T965" i="10"/>
  <c r="S965" i="10"/>
  <c r="R965" i="10"/>
  <c r="Q965" i="10"/>
  <c r="P965" i="10"/>
  <c r="O965" i="10"/>
  <c r="N965" i="10"/>
  <c r="T964" i="10"/>
  <c r="S964" i="10"/>
  <c r="R964" i="10"/>
  <c r="Q964" i="10"/>
  <c r="P964" i="10"/>
  <c r="O964" i="10"/>
  <c r="N964" i="10"/>
  <c r="T963" i="10"/>
  <c r="S963" i="10"/>
  <c r="R963" i="10"/>
  <c r="Q963" i="10"/>
  <c r="P963" i="10"/>
  <c r="O963" i="10"/>
  <c r="N963" i="10"/>
  <c r="T962" i="10"/>
  <c r="S962" i="10"/>
  <c r="R962" i="10"/>
  <c r="Q962" i="10"/>
  <c r="P962" i="10"/>
  <c r="O962" i="10"/>
  <c r="N962" i="10"/>
  <c r="T961" i="10"/>
  <c r="S961" i="10"/>
  <c r="R961" i="10"/>
  <c r="Q961" i="10"/>
  <c r="P961" i="10"/>
  <c r="O961" i="10"/>
  <c r="N961" i="10"/>
  <c r="T960" i="10"/>
  <c r="S960" i="10"/>
  <c r="R960" i="10"/>
  <c r="Q960" i="10"/>
  <c r="P960" i="10"/>
  <c r="O960" i="10"/>
  <c r="N960" i="10"/>
  <c r="T959" i="10"/>
  <c r="S959" i="10"/>
  <c r="R959" i="10"/>
  <c r="Q959" i="10"/>
  <c r="P959" i="10"/>
  <c r="O959" i="10"/>
  <c r="N959" i="10"/>
  <c r="T958" i="10"/>
  <c r="S958" i="10"/>
  <c r="R958" i="10"/>
  <c r="Q958" i="10"/>
  <c r="P958" i="10"/>
  <c r="O958" i="10"/>
  <c r="N958" i="10"/>
  <c r="T957" i="10"/>
  <c r="S957" i="10"/>
  <c r="R957" i="10"/>
  <c r="Q957" i="10"/>
  <c r="P957" i="10"/>
  <c r="O957" i="10"/>
  <c r="N957" i="10"/>
  <c r="T956" i="10"/>
  <c r="S956" i="10"/>
  <c r="R956" i="10"/>
  <c r="Q956" i="10"/>
  <c r="P956" i="10"/>
  <c r="O956" i="10"/>
  <c r="N956" i="10"/>
  <c r="T955" i="10"/>
  <c r="S955" i="10"/>
  <c r="R955" i="10"/>
  <c r="Q955" i="10"/>
  <c r="P955" i="10"/>
  <c r="O955" i="10"/>
  <c r="N955" i="10"/>
  <c r="T954" i="10"/>
  <c r="S954" i="10"/>
  <c r="R954" i="10"/>
  <c r="Q954" i="10"/>
  <c r="P954" i="10"/>
  <c r="O954" i="10"/>
  <c r="N954" i="10"/>
  <c r="T953" i="10"/>
  <c r="S953" i="10"/>
  <c r="R953" i="10"/>
  <c r="Q953" i="10"/>
  <c r="P953" i="10"/>
  <c r="O953" i="10"/>
  <c r="N953" i="10"/>
  <c r="T952" i="10"/>
  <c r="S952" i="10"/>
  <c r="R952" i="10"/>
  <c r="Q952" i="10"/>
  <c r="P952" i="10"/>
  <c r="O952" i="10"/>
  <c r="N952" i="10"/>
  <c r="T951" i="10"/>
  <c r="S951" i="10"/>
  <c r="R951" i="10"/>
  <c r="Q951" i="10"/>
  <c r="P951" i="10"/>
  <c r="O951" i="10"/>
  <c r="N951" i="10"/>
  <c r="T950" i="10"/>
  <c r="S950" i="10"/>
  <c r="R950" i="10"/>
  <c r="Q950" i="10"/>
  <c r="P950" i="10"/>
  <c r="O950" i="10"/>
  <c r="N950" i="10"/>
  <c r="T949" i="10"/>
  <c r="S949" i="10"/>
  <c r="R949" i="10"/>
  <c r="Q949" i="10"/>
  <c r="P949" i="10"/>
  <c r="O949" i="10"/>
  <c r="N949" i="10"/>
  <c r="T948" i="10"/>
  <c r="S948" i="10"/>
  <c r="R948" i="10"/>
  <c r="Q948" i="10"/>
  <c r="P948" i="10"/>
  <c r="O948" i="10"/>
  <c r="N948" i="10"/>
  <c r="T947" i="10"/>
  <c r="S947" i="10"/>
  <c r="R947" i="10"/>
  <c r="Q947" i="10"/>
  <c r="P947" i="10"/>
  <c r="O947" i="10"/>
  <c r="N947" i="10"/>
  <c r="T946" i="10"/>
  <c r="S946" i="10"/>
  <c r="R946" i="10"/>
  <c r="Q946" i="10"/>
  <c r="P946" i="10"/>
  <c r="O946" i="10"/>
  <c r="N946" i="10"/>
  <c r="T945" i="10"/>
  <c r="S945" i="10"/>
  <c r="R945" i="10"/>
  <c r="Q945" i="10"/>
  <c r="P945" i="10"/>
  <c r="O945" i="10"/>
  <c r="N945" i="10"/>
  <c r="T944" i="10"/>
  <c r="S944" i="10"/>
  <c r="R944" i="10"/>
  <c r="Q944" i="10"/>
  <c r="P944" i="10"/>
  <c r="O944" i="10"/>
  <c r="N944" i="10"/>
  <c r="T943" i="10"/>
  <c r="S943" i="10"/>
  <c r="R943" i="10"/>
  <c r="Q943" i="10"/>
  <c r="P943" i="10"/>
  <c r="O943" i="10"/>
  <c r="N943" i="10"/>
  <c r="T942" i="10"/>
  <c r="S942" i="10"/>
  <c r="R942" i="10"/>
  <c r="Q942" i="10"/>
  <c r="P942" i="10"/>
  <c r="O942" i="10"/>
  <c r="N942" i="10"/>
  <c r="T941" i="10"/>
  <c r="S941" i="10"/>
  <c r="R941" i="10"/>
  <c r="Q941" i="10"/>
  <c r="P941" i="10"/>
  <c r="O941" i="10"/>
  <c r="N941" i="10"/>
  <c r="T940" i="10"/>
  <c r="S940" i="10"/>
  <c r="R940" i="10"/>
  <c r="Q940" i="10"/>
  <c r="P940" i="10"/>
  <c r="O940" i="10"/>
  <c r="N940" i="10"/>
  <c r="T939" i="10"/>
  <c r="S939" i="10"/>
  <c r="R939" i="10"/>
  <c r="Q939" i="10"/>
  <c r="P939" i="10"/>
  <c r="O939" i="10"/>
  <c r="N939" i="10"/>
  <c r="T938" i="10"/>
  <c r="S938" i="10"/>
  <c r="R938" i="10"/>
  <c r="Q938" i="10"/>
  <c r="P938" i="10"/>
  <c r="O938" i="10"/>
  <c r="N938" i="10"/>
  <c r="T937" i="10"/>
  <c r="S937" i="10"/>
  <c r="R937" i="10"/>
  <c r="Q937" i="10"/>
  <c r="P937" i="10"/>
  <c r="O937" i="10"/>
  <c r="N937" i="10"/>
  <c r="T936" i="10"/>
  <c r="S936" i="10"/>
  <c r="R936" i="10"/>
  <c r="Q936" i="10"/>
  <c r="P936" i="10"/>
  <c r="O936" i="10"/>
  <c r="N936" i="10"/>
  <c r="T935" i="10"/>
  <c r="S935" i="10"/>
  <c r="R935" i="10"/>
  <c r="Q935" i="10"/>
  <c r="P935" i="10"/>
  <c r="O935" i="10"/>
  <c r="N935" i="10"/>
  <c r="T934" i="10"/>
  <c r="S934" i="10"/>
  <c r="R934" i="10"/>
  <c r="Q934" i="10"/>
  <c r="P934" i="10"/>
  <c r="O934" i="10"/>
  <c r="N934" i="10"/>
  <c r="T933" i="10"/>
  <c r="S933" i="10"/>
  <c r="R933" i="10"/>
  <c r="Q933" i="10"/>
  <c r="P933" i="10"/>
  <c r="O933" i="10"/>
  <c r="N933" i="10"/>
  <c r="T932" i="10"/>
  <c r="S932" i="10"/>
  <c r="R932" i="10"/>
  <c r="Q932" i="10"/>
  <c r="P932" i="10"/>
  <c r="O932" i="10"/>
  <c r="N932" i="10"/>
  <c r="T931" i="10"/>
  <c r="S931" i="10"/>
  <c r="R931" i="10"/>
  <c r="Q931" i="10"/>
  <c r="P931" i="10"/>
  <c r="O931" i="10"/>
  <c r="N931" i="10"/>
  <c r="T930" i="10"/>
  <c r="S930" i="10"/>
  <c r="R930" i="10"/>
  <c r="Q930" i="10"/>
  <c r="P930" i="10"/>
  <c r="O930" i="10"/>
  <c r="N930" i="10"/>
  <c r="T929" i="10"/>
  <c r="S929" i="10"/>
  <c r="R929" i="10"/>
  <c r="Q929" i="10"/>
  <c r="P929" i="10"/>
  <c r="O929" i="10"/>
  <c r="N929" i="10"/>
  <c r="T928" i="10"/>
  <c r="S928" i="10"/>
  <c r="R928" i="10"/>
  <c r="Q928" i="10"/>
  <c r="P928" i="10"/>
  <c r="O928" i="10"/>
  <c r="N928" i="10"/>
  <c r="T927" i="10"/>
  <c r="S927" i="10"/>
  <c r="R927" i="10"/>
  <c r="Q927" i="10"/>
  <c r="P927" i="10"/>
  <c r="O927" i="10"/>
  <c r="N927" i="10"/>
  <c r="T926" i="10"/>
  <c r="S926" i="10"/>
  <c r="R926" i="10"/>
  <c r="Q926" i="10"/>
  <c r="P926" i="10"/>
  <c r="O926" i="10"/>
  <c r="N926" i="10"/>
  <c r="T925" i="10"/>
  <c r="S925" i="10"/>
  <c r="R925" i="10"/>
  <c r="Q925" i="10"/>
  <c r="P925" i="10"/>
  <c r="O925" i="10"/>
  <c r="N925" i="10"/>
  <c r="T924" i="10"/>
  <c r="S924" i="10"/>
  <c r="R924" i="10"/>
  <c r="Q924" i="10"/>
  <c r="P924" i="10"/>
  <c r="O924" i="10"/>
  <c r="N924" i="10"/>
  <c r="T923" i="10"/>
  <c r="S923" i="10"/>
  <c r="R923" i="10"/>
  <c r="Q923" i="10"/>
  <c r="P923" i="10"/>
  <c r="O923" i="10"/>
  <c r="N923" i="10"/>
  <c r="T922" i="10"/>
  <c r="S922" i="10"/>
  <c r="R922" i="10"/>
  <c r="Q922" i="10"/>
  <c r="P922" i="10"/>
  <c r="O922" i="10"/>
  <c r="N922" i="10"/>
  <c r="T921" i="10"/>
  <c r="S921" i="10"/>
  <c r="R921" i="10"/>
  <c r="Q921" i="10"/>
  <c r="P921" i="10"/>
  <c r="O921" i="10"/>
  <c r="N921" i="10"/>
  <c r="T920" i="10"/>
  <c r="S920" i="10"/>
  <c r="R920" i="10"/>
  <c r="Q920" i="10"/>
  <c r="P920" i="10"/>
  <c r="O920" i="10"/>
  <c r="N920" i="10"/>
  <c r="T919" i="10"/>
  <c r="S919" i="10"/>
  <c r="R919" i="10"/>
  <c r="Q919" i="10"/>
  <c r="P919" i="10"/>
  <c r="O919" i="10"/>
  <c r="N919" i="10"/>
  <c r="T918" i="10"/>
  <c r="S918" i="10"/>
  <c r="R918" i="10"/>
  <c r="Q918" i="10"/>
  <c r="P918" i="10"/>
  <c r="O918" i="10"/>
  <c r="N918" i="10"/>
  <c r="T917" i="10"/>
  <c r="S917" i="10"/>
  <c r="R917" i="10"/>
  <c r="Q917" i="10"/>
  <c r="P917" i="10"/>
  <c r="O917" i="10"/>
  <c r="N917" i="10"/>
  <c r="T916" i="10"/>
  <c r="S916" i="10"/>
  <c r="R916" i="10"/>
  <c r="Q916" i="10"/>
  <c r="P916" i="10"/>
  <c r="O916" i="10"/>
  <c r="N916" i="10"/>
  <c r="T915" i="10"/>
  <c r="S915" i="10"/>
  <c r="R915" i="10"/>
  <c r="Q915" i="10"/>
  <c r="P915" i="10"/>
  <c r="O915" i="10"/>
  <c r="N915" i="10"/>
  <c r="T914" i="10"/>
  <c r="S914" i="10"/>
  <c r="R914" i="10"/>
  <c r="Q914" i="10"/>
  <c r="P914" i="10"/>
  <c r="O914" i="10"/>
  <c r="N914" i="10"/>
  <c r="T913" i="10"/>
  <c r="S913" i="10"/>
  <c r="R913" i="10"/>
  <c r="Q913" i="10"/>
  <c r="P913" i="10"/>
  <c r="O913" i="10"/>
  <c r="N913" i="10"/>
  <c r="T912" i="10"/>
  <c r="S912" i="10"/>
  <c r="R912" i="10"/>
  <c r="Q912" i="10"/>
  <c r="P912" i="10"/>
  <c r="O912" i="10"/>
  <c r="N912" i="10"/>
  <c r="T911" i="10"/>
  <c r="S911" i="10"/>
  <c r="R911" i="10"/>
  <c r="Q911" i="10"/>
  <c r="P911" i="10"/>
  <c r="O911" i="10"/>
  <c r="N911" i="10"/>
  <c r="T910" i="10"/>
  <c r="S910" i="10"/>
  <c r="R910" i="10"/>
  <c r="Q910" i="10"/>
  <c r="P910" i="10"/>
  <c r="O910" i="10"/>
  <c r="N910" i="10"/>
  <c r="T909" i="10"/>
  <c r="S909" i="10"/>
  <c r="R909" i="10"/>
  <c r="Q909" i="10"/>
  <c r="P909" i="10"/>
  <c r="O909" i="10"/>
  <c r="N909" i="10"/>
  <c r="T908" i="10"/>
  <c r="S908" i="10"/>
  <c r="R908" i="10"/>
  <c r="Q908" i="10"/>
  <c r="P908" i="10"/>
  <c r="O908" i="10"/>
  <c r="N908" i="10"/>
  <c r="T907" i="10"/>
  <c r="S907" i="10"/>
  <c r="R907" i="10"/>
  <c r="Q907" i="10"/>
  <c r="P907" i="10"/>
  <c r="O907" i="10"/>
  <c r="N907" i="10"/>
  <c r="T906" i="10"/>
  <c r="S906" i="10"/>
  <c r="R906" i="10"/>
  <c r="Q906" i="10"/>
  <c r="P906" i="10"/>
  <c r="O906" i="10"/>
  <c r="N906" i="10"/>
  <c r="T905" i="10"/>
  <c r="S905" i="10"/>
  <c r="R905" i="10"/>
  <c r="Q905" i="10"/>
  <c r="P905" i="10"/>
  <c r="O905" i="10"/>
  <c r="N905" i="10"/>
  <c r="T904" i="10"/>
  <c r="S904" i="10"/>
  <c r="R904" i="10"/>
  <c r="Q904" i="10"/>
  <c r="P904" i="10"/>
  <c r="O904" i="10"/>
  <c r="N904" i="10"/>
  <c r="T903" i="10"/>
  <c r="S903" i="10"/>
  <c r="R903" i="10"/>
  <c r="Q903" i="10"/>
  <c r="P903" i="10"/>
  <c r="O903" i="10"/>
  <c r="N903" i="10"/>
  <c r="T902" i="10"/>
  <c r="S902" i="10"/>
  <c r="R902" i="10"/>
  <c r="Q902" i="10"/>
  <c r="P902" i="10"/>
  <c r="O902" i="10"/>
  <c r="N902" i="10"/>
  <c r="T901" i="10"/>
  <c r="S901" i="10"/>
  <c r="R901" i="10"/>
  <c r="Q901" i="10"/>
  <c r="P901" i="10"/>
  <c r="O901" i="10"/>
  <c r="N901" i="10"/>
  <c r="T900" i="10"/>
  <c r="S900" i="10"/>
  <c r="R900" i="10"/>
  <c r="Q900" i="10"/>
  <c r="P900" i="10"/>
  <c r="O900" i="10"/>
  <c r="N900" i="10"/>
  <c r="T899" i="10"/>
  <c r="S899" i="10"/>
  <c r="R899" i="10"/>
  <c r="Q899" i="10"/>
  <c r="P899" i="10"/>
  <c r="O899" i="10"/>
  <c r="N899" i="10"/>
  <c r="T898" i="10"/>
  <c r="S898" i="10"/>
  <c r="R898" i="10"/>
  <c r="Q898" i="10"/>
  <c r="P898" i="10"/>
  <c r="O898" i="10"/>
  <c r="N898" i="10"/>
  <c r="T897" i="10"/>
  <c r="S897" i="10"/>
  <c r="R897" i="10"/>
  <c r="Q897" i="10"/>
  <c r="P897" i="10"/>
  <c r="O897" i="10"/>
  <c r="N897" i="10"/>
  <c r="T896" i="10"/>
  <c r="S896" i="10"/>
  <c r="R896" i="10"/>
  <c r="Q896" i="10"/>
  <c r="P896" i="10"/>
  <c r="O896" i="10"/>
  <c r="N896" i="10"/>
  <c r="T895" i="10"/>
  <c r="S895" i="10"/>
  <c r="R895" i="10"/>
  <c r="Q895" i="10"/>
  <c r="P895" i="10"/>
  <c r="O895" i="10"/>
  <c r="N895" i="10"/>
  <c r="T894" i="10"/>
  <c r="S894" i="10"/>
  <c r="R894" i="10"/>
  <c r="Q894" i="10"/>
  <c r="P894" i="10"/>
  <c r="O894" i="10"/>
  <c r="N894" i="10"/>
  <c r="T893" i="10"/>
  <c r="S893" i="10"/>
  <c r="R893" i="10"/>
  <c r="Q893" i="10"/>
  <c r="P893" i="10"/>
  <c r="O893" i="10"/>
  <c r="N893" i="10"/>
  <c r="T892" i="10"/>
  <c r="S892" i="10"/>
  <c r="R892" i="10"/>
  <c r="Q892" i="10"/>
  <c r="P892" i="10"/>
  <c r="O892" i="10"/>
  <c r="N892" i="10"/>
  <c r="T891" i="10"/>
  <c r="S891" i="10"/>
  <c r="R891" i="10"/>
  <c r="Q891" i="10"/>
  <c r="P891" i="10"/>
  <c r="O891" i="10"/>
  <c r="N891" i="10"/>
  <c r="T890" i="10"/>
  <c r="S890" i="10"/>
  <c r="R890" i="10"/>
  <c r="Q890" i="10"/>
  <c r="P890" i="10"/>
  <c r="O890" i="10"/>
  <c r="N890" i="10"/>
  <c r="T889" i="10"/>
  <c r="S889" i="10"/>
  <c r="R889" i="10"/>
  <c r="Q889" i="10"/>
  <c r="P889" i="10"/>
  <c r="O889" i="10"/>
  <c r="N889" i="10"/>
  <c r="T888" i="10"/>
  <c r="S888" i="10"/>
  <c r="R888" i="10"/>
  <c r="Q888" i="10"/>
  <c r="P888" i="10"/>
  <c r="O888" i="10"/>
  <c r="N888" i="10"/>
  <c r="T887" i="10"/>
  <c r="S887" i="10"/>
  <c r="R887" i="10"/>
  <c r="Q887" i="10"/>
  <c r="P887" i="10"/>
  <c r="O887" i="10"/>
  <c r="N887" i="10"/>
  <c r="T886" i="10"/>
  <c r="S886" i="10"/>
  <c r="R886" i="10"/>
  <c r="Q886" i="10"/>
  <c r="P886" i="10"/>
  <c r="O886" i="10"/>
  <c r="N886" i="10"/>
  <c r="T885" i="10"/>
  <c r="S885" i="10"/>
  <c r="R885" i="10"/>
  <c r="Q885" i="10"/>
  <c r="P885" i="10"/>
  <c r="O885" i="10"/>
  <c r="N885" i="10"/>
  <c r="T884" i="10"/>
  <c r="S884" i="10"/>
  <c r="R884" i="10"/>
  <c r="Q884" i="10"/>
  <c r="P884" i="10"/>
  <c r="O884" i="10"/>
  <c r="N884" i="10"/>
  <c r="T883" i="10"/>
  <c r="S883" i="10"/>
  <c r="R883" i="10"/>
  <c r="Q883" i="10"/>
  <c r="P883" i="10"/>
  <c r="O883" i="10"/>
  <c r="N883" i="10"/>
  <c r="T882" i="10"/>
  <c r="S882" i="10"/>
  <c r="R882" i="10"/>
  <c r="Q882" i="10"/>
  <c r="P882" i="10"/>
  <c r="O882" i="10"/>
  <c r="N882" i="10"/>
  <c r="T881" i="10"/>
  <c r="S881" i="10"/>
  <c r="R881" i="10"/>
  <c r="Q881" i="10"/>
  <c r="P881" i="10"/>
  <c r="O881" i="10"/>
  <c r="N881" i="10"/>
  <c r="T880" i="10"/>
  <c r="S880" i="10"/>
  <c r="R880" i="10"/>
  <c r="Q880" i="10"/>
  <c r="P880" i="10"/>
  <c r="O880" i="10"/>
  <c r="N880" i="10"/>
  <c r="T879" i="10"/>
  <c r="S879" i="10"/>
  <c r="R879" i="10"/>
  <c r="Q879" i="10"/>
  <c r="P879" i="10"/>
  <c r="O879" i="10"/>
  <c r="N879" i="10"/>
  <c r="T878" i="10"/>
  <c r="S878" i="10"/>
  <c r="R878" i="10"/>
  <c r="Q878" i="10"/>
  <c r="P878" i="10"/>
  <c r="O878" i="10"/>
  <c r="N878" i="10"/>
  <c r="T877" i="10"/>
  <c r="S877" i="10"/>
  <c r="R877" i="10"/>
  <c r="Q877" i="10"/>
  <c r="P877" i="10"/>
  <c r="O877" i="10"/>
  <c r="N877" i="10"/>
  <c r="T876" i="10"/>
  <c r="S876" i="10"/>
  <c r="R876" i="10"/>
  <c r="Q876" i="10"/>
  <c r="P876" i="10"/>
  <c r="O876" i="10"/>
  <c r="N876" i="10"/>
  <c r="T875" i="10"/>
  <c r="S875" i="10"/>
  <c r="R875" i="10"/>
  <c r="Q875" i="10"/>
  <c r="P875" i="10"/>
  <c r="O875" i="10"/>
  <c r="N875" i="10"/>
  <c r="T874" i="10"/>
  <c r="S874" i="10"/>
  <c r="R874" i="10"/>
  <c r="Q874" i="10"/>
  <c r="P874" i="10"/>
  <c r="O874" i="10"/>
  <c r="N874" i="10"/>
  <c r="T873" i="10"/>
  <c r="S873" i="10"/>
  <c r="R873" i="10"/>
  <c r="Q873" i="10"/>
  <c r="P873" i="10"/>
  <c r="O873" i="10"/>
  <c r="N873" i="10"/>
  <c r="T872" i="10"/>
  <c r="S872" i="10"/>
  <c r="R872" i="10"/>
  <c r="Q872" i="10"/>
  <c r="P872" i="10"/>
  <c r="O872" i="10"/>
  <c r="N872" i="10"/>
  <c r="T871" i="10"/>
  <c r="S871" i="10"/>
  <c r="R871" i="10"/>
  <c r="Q871" i="10"/>
  <c r="P871" i="10"/>
  <c r="O871" i="10"/>
  <c r="N871" i="10"/>
  <c r="T870" i="10"/>
  <c r="S870" i="10"/>
  <c r="R870" i="10"/>
  <c r="Q870" i="10"/>
  <c r="P870" i="10"/>
  <c r="O870" i="10"/>
  <c r="N870" i="10"/>
  <c r="T869" i="10"/>
  <c r="S869" i="10"/>
  <c r="R869" i="10"/>
  <c r="Q869" i="10"/>
  <c r="P869" i="10"/>
  <c r="O869" i="10"/>
  <c r="N869" i="10"/>
  <c r="T868" i="10"/>
  <c r="S868" i="10"/>
  <c r="R868" i="10"/>
  <c r="Q868" i="10"/>
  <c r="P868" i="10"/>
  <c r="O868" i="10"/>
  <c r="N868" i="10"/>
  <c r="T867" i="10"/>
  <c r="S867" i="10"/>
  <c r="R867" i="10"/>
  <c r="Q867" i="10"/>
  <c r="P867" i="10"/>
  <c r="O867" i="10"/>
  <c r="N867" i="10"/>
  <c r="T866" i="10"/>
  <c r="S866" i="10"/>
  <c r="R866" i="10"/>
  <c r="Q866" i="10"/>
  <c r="P866" i="10"/>
  <c r="O866" i="10"/>
  <c r="N866" i="10"/>
  <c r="T865" i="10"/>
  <c r="S865" i="10"/>
  <c r="R865" i="10"/>
  <c r="Q865" i="10"/>
  <c r="P865" i="10"/>
  <c r="O865" i="10"/>
  <c r="N865" i="10"/>
  <c r="T864" i="10"/>
  <c r="S864" i="10"/>
  <c r="R864" i="10"/>
  <c r="Q864" i="10"/>
  <c r="P864" i="10"/>
  <c r="O864" i="10"/>
  <c r="N864" i="10"/>
  <c r="T863" i="10"/>
  <c r="S863" i="10"/>
  <c r="R863" i="10"/>
  <c r="Q863" i="10"/>
  <c r="P863" i="10"/>
  <c r="O863" i="10"/>
  <c r="N863" i="10"/>
  <c r="T862" i="10"/>
  <c r="S862" i="10"/>
  <c r="R862" i="10"/>
  <c r="Q862" i="10"/>
  <c r="P862" i="10"/>
  <c r="O862" i="10"/>
  <c r="N862" i="10"/>
  <c r="T861" i="10"/>
  <c r="S861" i="10"/>
  <c r="R861" i="10"/>
  <c r="Q861" i="10"/>
  <c r="P861" i="10"/>
  <c r="O861" i="10"/>
  <c r="N861" i="10"/>
  <c r="T860" i="10"/>
  <c r="S860" i="10"/>
  <c r="R860" i="10"/>
  <c r="Q860" i="10"/>
  <c r="P860" i="10"/>
  <c r="O860" i="10"/>
  <c r="N860" i="10"/>
  <c r="T859" i="10"/>
  <c r="S859" i="10"/>
  <c r="R859" i="10"/>
  <c r="Q859" i="10"/>
  <c r="P859" i="10"/>
  <c r="O859" i="10"/>
  <c r="N859" i="10"/>
  <c r="T858" i="10"/>
  <c r="S858" i="10"/>
  <c r="R858" i="10"/>
  <c r="Q858" i="10"/>
  <c r="P858" i="10"/>
  <c r="O858" i="10"/>
  <c r="N858" i="10"/>
  <c r="T857" i="10"/>
  <c r="S857" i="10"/>
  <c r="R857" i="10"/>
  <c r="Q857" i="10"/>
  <c r="P857" i="10"/>
  <c r="O857" i="10"/>
  <c r="N857" i="10"/>
  <c r="T856" i="10"/>
  <c r="S856" i="10"/>
  <c r="R856" i="10"/>
  <c r="Q856" i="10"/>
  <c r="P856" i="10"/>
  <c r="O856" i="10"/>
  <c r="N856" i="10"/>
  <c r="T855" i="10"/>
  <c r="S855" i="10"/>
  <c r="R855" i="10"/>
  <c r="Q855" i="10"/>
  <c r="P855" i="10"/>
  <c r="O855" i="10"/>
  <c r="N855" i="10"/>
  <c r="T854" i="10"/>
  <c r="S854" i="10"/>
  <c r="R854" i="10"/>
  <c r="Q854" i="10"/>
  <c r="P854" i="10"/>
  <c r="O854" i="10"/>
  <c r="N854" i="10"/>
  <c r="T853" i="10"/>
  <c r="S853" i="10"/>
  <c r="R853" i="10"/>
  <c r="Q853" i="10"/>
  <c r="P853" i="10"/>
  <c r="O853" i="10"/>
  <c r="N853" i="10"/>
  <c r="T852" i="10"/>
  <c r="S852" i="10"/>
  <c r="R852" i="10"/>
  <c r="Q852" i="10"/>
  <c r="P852" i="10"/>
  <c r="O852" i="10"/>
  <c r="N852" i="10"/>
  <c r="T851" i="10"/>
  <c r="S851" i="10"/>
  <c r="R851" i="10"/>
  <c r="Q851" i="10"/>
  <c r="P851" i="10"/>
  <c r="O851" i="10"/>
  <c r="N851" i="10"/>
  <c r="T850" i="10"/>
  <c r="S850" i="10"/>
  <c r="R850" i="10"/>
  <c r="Q850" i="10"/>
  <c r="P850" i="10"/>
  <c r="O850" i="10"/>
  <c r="N850" i="10"/>
  <c r="T849" i="10"/>
  <c r="S849" i="10"/>
  <c r="R849" i="10"/>
  <c r="Q849" i="10"/>
  <c r="P849" i="10"/>
  <c r="O849" i="10"/>
  <c r="N849" i="10"/>
  <c r="T848" i="10"/>
  <c r="S848" i="10"/>
  <c r="R848" i="10"/>
  <c r="Q848" i="10"/>
  <c r="P848" i="10"/>
  <c r="O848" i="10"/>
  <c r="N848" i="10"/>
  <c r="T847" i="10"/>
  <c r="S847" i="10"/>
  <c r="R847" i="10"/>
  <c r="Q847" i="10"/>
  <c r="P847" i="10"/>
  <c r="O847" i="10"/>
  <c r="N847" i="10"/>
  <c r="T846" i="10"/>
  <c r="S846" i="10"/>
  <c r="R846" i="10"/>
  <c r="Q846" i="10"/>
  <c r="P846" i="10"/>
  <c r="O846" i="10"/>
  <c r="N846" i="10"/>
  <c r="T845" i="10"/>
  <c r="S845" i="10"/>
  <c r="R845" i="10"/>
  <c r="Q845" i="10"/>
  <c r="P845" i="10"/>
  <c r="O845" i="10"/>
  <c r="N845" i="10"/>
  <c r="T844" i="10"/>
  <c r="S844" i="10"/>
  <c r="R844" i="10"/>
  <c r="Q844" i="10"/>
  <c r="P844" i="10"/>
  <c r="O844" i="10"/>
  <c r="N844" i="10"/>
  <c r="T843" i="10"/>
  <c r="S843" i="10"/>
  <c r="R843" i="10"/>
  <c r="Q843" i="10"/>
  <c r="P843" i="10"/>
  <c r="O843" i="10"/>
  <c r="N843" i="10"/>
  <c r="T842" i="10"/>
  <c r="S842" i="10"/>
  <c r="R842" i="10"/>
  <c r="Q842" i="10"/>
  <c r="P842" i="10"/>
  <c r="O842" i="10"/>
  <c r="N842" i="10"/>
  <c r="T841" i="10"/>
  <c r="S841" i="10"/>
  <c r="R841" i="10"/>
  <c r="Q841" i="10"/>
  <c r="P841" i="10"/>
  <c r="O841" i="10"/>
  <c r="N841" i="10"/>
  <c r="T840" i="10"/>
  <c r="S840" i="10"/>
  <c r="R840" i="10"/>
  <c r="Q840" i="10"/>
  <c r="P840" i="10"/>
  <c r="O840" i="10"/>
  <c r="N840" i="10"/>
  <c r="T839" i="10"/>
  <c r="S839" i="10"/>
  <c r="R839" i="10"/>
  <c r="Q839" i="10"/>
  <c r="P839" i="10"/>
  <c r="O839" i="10"/>
  <c r="N839" i="10"/>
  <c r="T838" i="10"/>
  <c r="S838" i="10"/>
  <c r="R838" i="10"/>
  <c r="Q838" i="10"/>
  <c r="P838" i="10"/>
  <c r="O838" i="10"/>
  <c r="N838" i="10"/>
  <c r="T837" i="10"/>
  <c r="S837" i="10"/>
  <c r="R837" i="10"/>
  <c r="Q837" i="10"/>
  <c r="P837" i="10"/>
  <c r="O837" i="10"/>
  <c r="N837" i="10"/>
  <c r="T836" i="10"/>
  <c r="S836" i="10"/>
  <c r="R836" i="10"/>
  <c r="Q836" i="10"/>
  <c r="P836" i="10"/>
  <c r="O836" i="10"/>
  <c r="N836" i="10"/>
  <c r="T835" i="10"/>
  <c r="S835" i="10"/>
  <c r="R835" i="10"/>
  <c r="Q835" i="10"/>
  <c r="P835" i="10"/>
  <c r="O835" i="10"/>
  <c r="N835" i="10"/>
  <c r="T834" i="10"/>
  <c r="S834" i="10"/>
  <c r="R834" i="10"/>
  <c r="Q834" i="10"/>
  <c r="P834" i="10"/>
  <c r="O834" i="10"/>
  <c r="N834" i="10"/>
  <c r="T833" i="10"/>
  <c r="S833" i="10"/>
  <c r="R833" i="10"/>
  <c r="Q833" i="10"/>
  <c r="P833" i="10"/>
  <c r="O833" i="10"/>
  <c r="N833" i="10"/>
  <c r="T832" i="10"/>
  <c r="S832" i="10"/>
  <c r="R832" i="10"/>
  <c r="Q832" i="10"/>
  <c r="P832" i="10"/>
  <c r="O832" i="10"/>
  <c r="N832" i="10"/>
  <c r="T831" i="10"/>
  <c r="S831" i="10"/>
  <c r="R831" i="10"/>
  <c r="Q831" i="10"/>
  <c r="P831" i="10"/>
  <c r="O831" i="10"/>
  <c r="N831" i="10"/>
  <c r="T830" i="10"/>
  <c r="S830" i="10"/>
  <c r="R830" i="10"/>
  <c r="Q830" i="10"/>
  <c r="P830" i="10"/>
  <c r="O830" i="10"/>
  <c r="N830" i="10"/>
  <c r="T829" i="10"/>
  <c r="S829" i="10"/>
  <c r="R829" i="10"/>
  <c r="Q829" i="10"/>
  <c r="P829" i="10"/>
  <c r="O829" i="10"/>
  <c r="N829" i="10"/>
  <c r="T828" i="10"/>
  <c r="S828" i="10"/>
  <c r="R828" i="10"/>
  <c r="Q828" i="10"/>
  <c r="P828" i="10"/>
  <c r="O828" i="10"/>
  <c r="N828" i="10"/>
  <c r="T827" i="10"/>
  <c r="S827" i="10"/>
  <c r="R827" i="10"/>
  <c r="Q827" i="10"/>
  <c r="P827" i="10"/>
  <c r="O827" i="10"/>
  <c r="N827" i="10"/>
  <c r="T826" i="10"/>
  <c r="S826" i="10"/>
  <c r="R826" i="10"/>
  <c r="Q826" i="10"/>
  <c r="P826" i="10"/>
  <c r="O826" i="10"/>
  <c r="N826" i="10"/>
  <c r="T825" i="10"/>
  <c r="S825" i="10"/>
  <c r="R825" i="10"/>
  <c r="Q825" i="10"/>
  <c r="P825" i="10"/>
  <c r="O825" i="10"/>
  <c r="N825" i="10"/>
  <c r="T824" i="10"/>
  <c r="S824" i="10"/>
  <c r="R824" i="10"/>
  <c r="Q824" i="10"/>
  <c r="P824" i="10"/>
  <c r="O824" i="10"/>
  <c r="N824" i="10"/>
  <c r="T823" i="10"/>
  <c r="S823" i="10"/>
  <c r="R823" i="10"/>
  <c r="Q823" i="10"/>
  <c r="P823" i="10"/>
  <c r="O823" i="10"/>
  <c r="N823" i="10"/>
  <c r="T822" i="10"/>
  <c r="S822" i="10"/>
  <c r="R822" i="10"/>
  <c r="Q822" i="10"/>
  <c r="P822" i="10"/>
  <c r="O822" i="10"/>
  <c r="N822" i="10"/>
  <c r="T821" i="10"/>
  <c r="S821" i="10"/>
  <c r="R821" i="10"/>
  <c r="Q821" i="10"/>
  <c r="P821" i="10"/>
  <c r="O821" i="10"/>
  <c r="N821" i="10"/>
  <c r="T820" i="10"/>
  <c r="S820" i="10"/>
  <c r="R820" i="10"/>
  <c r="Q820" i="10"/>
  <c r="P820" i="10"/>
  <c r="O820" i="10"/>
  <c r="N820" i="10"/>
  <c r="T819" i="10"/>
  <c r="S819" i="10"/>
  <c r="R819" i="10"/>
  <c r="Q819" i="10"/>
  <c r="P819" i="10"/>
  <c r="O819" i="10"/>
  <c r="N819" i="10"/>
  <c r="T818" i="10"/>
  <c r="S818" i="10"/>
  <c r="R818" i="10"/>
  <c r="Q818" i="10"/>
  <c r="P818" i="10"/>
  <c r="O818" i="10"/>
  <c r="N818" i="10"/>
  <c r="T817" i="10"/>
  <c r="S817" i="10"/>
  <c r="R817" i="10"/>
  <c r="Q817" i="10"/>
  <c r="P817" i="10"/>
  <c r="O817" i="10"/>
  <c r="N817" i="10"/>
  <c r="T816" i="10"/>
  <c r="S816" i="10"/>
  <c r="R816" i="10"/>
  <c r="Q816" i="10"/>
  <c r="P816" i="10"/>
  <c r="O816" i="10"/>
  <c r="N816" i="10"/>
  <c r="T815" i="10"/>
  <c r="S815" i="10"/>
  <c r="R815" i="10"/>
  <c r="Q815" i="10"/>
  <c r="P815" i="10"/>
  <c r="O815" i="10"/>
  <c r="N815" i="10"/>
  <c r="T814" i="10"/>
  <c r="S814" i="10"/>
  <c r="R814" i="10"/>
  <c r="Q814" i="10"/>
  <c r="P814" i="10"/>
  <c r="O814" i="10"/>
  <c r="N814" i="10"/>
  <c r="T813" i="10"/>
  <c r="S813" i="10"/>
  <c r="R813" i="10"/>
  <c r="Q813" i="10"/>
  <c r="P813" i="10"/>
  <c r="O813" i="10"/>
  <c r="N813" i="10"/>
  <c r="T812" i="10"/>
  <c r="S812" i="10"/>
  <c r="R812" i="10"/>
  <c r="Q812" i="10"/>
  <c r="P812" i="10"/>
  <c r="O812" i="10"/>
  <c r="N812" i="10"/>
  <c r="T811" i="10"/>
  <c r="S811" i="10"/>
  <c r="R811" i="10"/>
  <c r="Q811" i="10"/>
  <c r="P811" i="10"/>
  <c r="O811" i="10"/>
  <c r="N811" i="10"/>
  <c r="T810" i="10"/>
  <c r="S810" i="10"/>
  <c r="R810" i="10"/>
  <c r="Q810" i="10"/>
  <c r="P810" i="10"/>
  <c r="O810" i="10"/>
  <c r="N810" i="10"/>
  <c r="T809" i="10"/>
  <c r="S809" i="10"/>
  <c r="R809" i="10"/>
  <c r="Q809" i="10"/>
  <c r="P809" i="10"/>
  <c r="O809" i="10"/>
  <c r="N809" i="10"/>
  <c r="T808" i="10"/>
  <c r="S808" i="10"/>
  <c r="R808" i="10"/>
  <c r="Q808" i="10"/>
  <c r="P808" i="10"/>
  <c r="O808" i="10"/>
  <c r="N808" i="10"/>
  <c r="T807" i="10"/>
  <c r="S807" i="10"/>
  <c r="R807" i="10"/>
  <c r="Q807" i="10"/>
  <c r="P807" i="10"/>
  <c r="O807" i="10"/>
  <c r="N807" i="10"/>
  <c r="T806" i="10"/>
  <c r="S806" i="10"/>
  <c r="R806" i="10"/>
  <c r="Q806" i="10"/>
  <c r="P806" i="10"/>
  <c r="O806" i="10"/>
  <c r="N806" i="10"/>
  <c r="T805" i="10"/>
  <c r="S805" i="10"/>
  <c r="R805" i="10"/>
  <c r="Q805" i="10"/>
  <c r="P805" i="10"/>
  <c r="O805" i="10"/>
  <c r="N805" i="10"/>
  <c r="T804" i="10"/>
  <c r="S804" i="10"/>
  <c r="R804" i="10"/>
  <c r="Q804" i="10"/>
  <c r="P804" i="10"/>
  <c r="O804" i="10"/>
  <c r="N804" i="10"/>
  <c r="T803" i="10"/>
  <c r="S803" i="10"/>
  <c r="R803" i="10"/>
  <c r="Q803" i="10"/>
  <c r="P803" i="10"/>
  <c r="O803" i="10"/>
  <c r="N803" i="10"/>
  <c r="T802" i="10"/>
  <c r="S802" i="10"/>
  <c r="R802" i="10"/>
  <c r="Q802" i="10"/>
  <c r="P802" i="10"/>
  <c r="O802" i="10"/>
  <c r="N802" i="10"/>
  <c r="T801" i="10"/>
  <c r="S801" i="10"/>
  <c r="R801" i="10"/>
  <c r="Q801" i="10"/>
  <c r="P801" i="10"/>
  <c r="O801" i="10"/>
  <c r="N801" i="10"/>
  <c r="T800" i="10"/>
  <c r="S800" i="10"/>
  <c r="R800" i="10"/>
  <c r="Q800" i="10"/>
  <c r="P800" i="10"/>
  <c r="O800" i="10"/>
  <c r="N800" i="10"/>
  <c r="T799" i="10"/>
  <c r="S799" i="10"/>
  <c r="R799" i="10"/>
  <c r="Q799" i="10"/>
  <c r="P799" i="10"/>
  <c r="O799" i="10"/>
  <c r="N799" i="10"/>
  <c r="T798" i="10"/>
  <c r="S798" i="10"/>
  <c r="R798" i="10"/>
  <c r="Q798" i="10"/>
  <c r="P798" i="10"/>
  <c r="O798" i="10"/>
  <c r="N798" i="10"/>
  <c r="T797" i="10"/>
  <c r="S797" i="10"/>
  <c r="R797" i="10"/>
  <c r="Q797" i="10"/>
  <c r="P797" i="10"/>
  <c r="O797" i="10"/>
  <c r="N797" i="10"/>
  <c r="T796" i="10"/>
  <c r="S796" i="10"/>
  <c r="R796" i="10"/>
  <c r="Q796" i="10"/>
  <c r="P796" i="10"/>
  <c r="O796" i="10"/>
  <c r="N796" i="10"/>
  <c r="T795" i="10"/>
  <c r="S795" i="10"/>
  <c r="R795" i="10"/>
  <c r="Q795" i="10"/>
  <c r="P795" i="10"/>
  <c r="O795" i="10"/>
  <c r="N795" i="10"/>
  <c r="T794" i="10"/>
  <c r="S794" i="10"/>
  <c r="R794" i="10"/>
  <c r="Q794" i="10"/>
  <c r="P794" i="10"/>
  <c r="O794" i="10"/>
  <c r="N794" i="10"/>
  <c r="T793" i="10"/>
  <c r="S793" i="10"/>
  <c r="R793" i="10"/>
  <c r="Q793" i="10"/>
  <c r="P793" i="10"/>
  <c r="O793" i="10"/>
  <c r="N793" i="10"/>
  <c r="T792" i="10"/>
  <c r="S792" i="10"/>
  <c r="R792" i="10"/>
  <c r="Q792" i="10"/>
  <c r="P792" i="10"/>
  <c r="O792" i="10"/>
  <c r="N792" i="10"/>
  <c r="T791" i="10"/>
  <c r="S791" i="10"/>
  <c r="R791" i="10"/>
  <c r="Q791" i="10"/>
  <c r="P791" i="10"/>
  <c r="O791" i="10"/>
  <c r="N791" i="10"/>
  <c r="T790" i="10"/>
  <c r="S790" i="10"/>
  <c r="R790" i="10"/>
  <c r="Q790" i="10"/>
  <c r="P790" i="10"/>
  <c r="O790" i="10"/>
  <c r="N790" i="10"/>
  <c r="T789" i="10"/>
  <c r="S789" i="10"/>
  <c r="R789" i="10"/>
  <c r="Q789" i="10"/>
  <c r="P789" i="10"/>
  <c r="O789" i="10"/>
  <c r="N789" i="10"/>
  <c r="T788" i="10"/>
  <c r="S788" i="10"/>
  <c r="R788" i="10"/>
  <c r="Q788" i="10"/>
  <c r="P788" i="10"/>
  <c r="O788" i="10"/>
  <c r="N788" i="10"/>
  <c r="T787" i="10"/>
  <c r="S787" i="10"/>
  <c r="R787" i="10"/>
  <c r="Q787" i="10"/>
  <c r="P787" i="10"/>
  <c r="O787" i="10"/>
  <c r="N787" i="10"/>
  <c r="T786" i="10"/>
  <c r="S786" i="10"/>
  <c r="R786" i="10"/>
  <c r="Q786" i="10"/>
  <c r="P786" i="10"/>
  <c r="O786" i="10"/>
  <c r="N786" i="10"/>
  <c r="T785" i="10"/>
  <c r="S785" i="10"/>
  <c r="R785" i="10"/>
  <c r="Q785" i="10"/>
  <c r="P785" i="10"/>
  <c r="O785" i="10"/>
  <c r="N785" i="10"/>
  <c r="T784" i="10"/>
  <c r="S784" i="10"/>
  <c r="R784" i="10"/>
  <c r="Q784" i="10"/>
  <c r="P784" i="10"/>
  <c r="O784" i="10"/>
  <c r="N784" i="10"/>
  <c r="T783" i="10"/>
  <c r="S783" i="10"/>
  <c r="R783" i="10"/>
  <c r="Q783" i="10"/>
  <c r="P783" i="10"/>
  <c r="O783" i="10"/>
  <c r="N783" i="10"/>
  <c r="T782" i="10"/>
  <c r="S782" i="10"/>
  <c r="R782" i="10"/>
  <c r="Q782" i="10"/>
  <c r="P782" i="10"/>
  <c r="O782" i="10"/>
  <c r="N782" i="10"/>
  <c r="T781" i="10"/>
  <c r="S781" i="10"/>
  <c r="R781" i="10"/>
  <c r="Q781" i="10"/>
  <c r="P781" i="10"/>
  <c r="O781" i="10"/>
  <c r="N781" i="10"/>
  <c r="T780" i="10"/>
  <c r="S780" i="10"/>
  <c r="R780" i="10"/>
  <c r="Q780" i="10"/>
  <c r="P780" i="10"/>
  <c r="O780" i="10"/>
  <c r="N780" i="10"/>
  <c r="T779" i="10"/>
  <c r="S779" i="10"/>
  <c r="R779" i="10"/>
  <c r="Q779" i="10"/>
  <c r="P779" i="10"/>
  <c r="O779" i="10"/>
  <c r="N779" i="10"/>
  <c r="T778" i="10"/>
  <c r="S778" i="10"/>
  <c r="R778" i="10"/>
  <c r="Q778" i="10"/>
  <c r="P778" i="10"/>
  <c r="O778" i="10"/>
  <c r="N778" i="10"/>
  <c r="T777" i="10"/>
  <c r="S777" i="10"/>
  <c r="R777" i="10"/>
  <c r="Q777" i="10"/>
  <c r="P777" i="10"/>
  <c r="O777" i="10"/>
  <c r="N777" i="10"/>
  <c r="T776" i="10"/>
  <c r="S776" i="10"/>
  <c r="R776" i="10"/>
  <c r="Q776" i="10"/>
  <c r="P776" i="10"/>
  <c r="O776" i="10"/>
  <c r="N776" i="10"/>
  <c r="T775" i="10"/>
  <c r="S775" i="10"/>
  <c r="R775" i="10"/>
  <c r="Q775" i="10"/>
  <c r="P775" i="10"/>
  <c r="O775" i="10"/>
  <c r="N775" i="10"/>
  <c r="T774" i="10"/>
  <c r="S774" i="10"/>
  <c r="R774" i="10"/>
  <c r="Q774" i="10"/>
  <c r="P774" i="10"/>
  <c r="O774" i="10"/>
  <c r="N774" i="10"/>
  <c r="T773" i="10"/>
  <c r="S773" i="10"/>
  <c r="R773" i="10"/>
  <c r="Q773" i="10"/>
  <c r="P773" i="10"/>
  <c r="O773" i="10"/>
  <c r="N773" i="10"/>
  <c r="T772" i="10"/>
  <c r="S772" i="10"/>
  <c r="R772" i="10"/>
  <c r="Q772" i="10"/>
  <c r="P772" i="10"/>
  <c r="O772" i="10"/>
  <c r="N772" i="10"/>
  <c r="T771" i="10"/>
  <c r="S771" i="10"/>
  <c r="R771" i="10"/>
  <c r="Q771" i="10"/>
  <c r="P771" i="10"/>
  <c r="O771" i="10"/>
  <c r="N771" i="10"/>
  <c r="T770" i="10"/>
  <c r="S770" i="10"/>
  <c r="R770" i="10"/>
  <c r="Q770" i="10"/>
  <c r="P770" i="10"/>
  <c r="O770" i="10"/>
  <c r="N770" i="10"/>
  <c r="T769" i="10"/>
  <c r="S769" i="10"/>
  <c r="R769" i="10"/>
  <c r="Q769" i="10"/>
  <c r="P769" i="10"/>
  <c r="O769" i="10"/>
  <c r="N769" i="10"/>
  <c r="T768" i="10"/>
  <c r="S768" i="10"/>
  <c r="R768" i="10"/>
  <c r="Q768" i="10"/>
  <c r="P768" i="10"/>
  <c r="O768" i="10"/>
  <c r="N768" i="10"/>
  <c r="T767" i="10"/>
  <c r="S767" i="10"/>
  <c r="R767" i="10"/>
  <c r="Q767" i="10"/>
  <c r="P767" i="10"/>
  <c r="O767" i="10"/>
  <c r="N767" i="10"/>
  <c r="T766" i="10"/>
  <c r="S766" i="10"/>
  <c r="R766" i="10"/>
  <c r="Q766" i="10"/>
  <c r="P766" i="10"/>
  <c r="O766" i="10"/>
  <c r="N766" i="10"/>
  <c r="T765" i="10"/>
  <c r="S765" i="10"/>
  <c r="R765" i="10"/>
  <c r="Q765" i="10"/>
  <c r="P765" i="10"/>
  <c r="O765" i="10"/>
  <c r="N765" i="10"/>
  <c r="T764" i="10"/>
  <c r="S764" i="10"/>
  <c r="R764" i="10"/>
  <c r="Q764" i="10"/>
  <c r="P764" i="10"/>
  <c r="O764" i="10"/>
  <c r="N764" i="10"/>
  <c r="T763" i="10"/>
  <c r="S763" i="10"/>
  <c r="R763" i="10"/>
  <c r="Q763" i="10"/>
  <c r="P763" i="10"/>
  <c r="O763" i="10"/>
  <c r="N763" i="10"/>
  <c r="T762" i="10"/>
  <c r="S762" i="10"/>
  <c r="R762" i="10"/>
  <c r="Q762" i="10"/>
  <c r="P762" i="10"/>
  <c r="O762" i="10"/>
  <c r="N762" i="10"/>
  <c r="T761" i="10"/>
  <c r="S761" i="10"/>
  <c r="R761" i="10"/>
  <c r="Q761" i="10"/>
  <c r="P761" i="10"/>
  <c r="O761" i="10"/>
  <c r="N761" i="10"/>
  <c r="T760" i="10"/>
  <c r="S760" i="10"/>
  <c r="R760" i="10"/>
  <c r="Q760" i="10"/>
  <c r="P760" i="10"/>
  <c r="O760" i="10"/>
  <c r="N760" i="10"/>
  <c r="T759" i="10"/>
  <c r="S759" i="10"/>
  <c r="R759" i="10"/>
  <c r="Q759" i="10"/>
  <c r="P759" i="10"/>
  <c r="O759" i="10"/>
  <c r="N759" i="10"/>
  <c r="T758" i="10"/>
  <c r="S758" i="10"/>
  <c r="R758" i="10"/>
  <c r="Q758" i="10"/>
  <c r="P758" i="10"/>
  <c r="O758" i="10"/>
  <c r="N758" i="10"/>
  <c r="T757" i="10"/>
  <c r="S757" i="10"/>
  <c r="R757" i="10"/>
  <c r="Q757" i="10"/>
  <c r="P757" i="10"/>
  <c r="O757" i="10"/>
  <c r="N757" i="10"/>
  <c r="T756" i="10"/>
  <c r="S756" i="10"/>
  <c r="R756" i="10"/>
  <c r="Q756" i="10"/>
  <c r="P756" i="10"/>
  <c r="O756" i="10"/>
  <c r="N756" i="10"/>
  <c r="T755" i="10"/>
  <c r="S755" i="10"/>
  <c r="R755" i="10"/>
  <c r="Q755" i="10"/>
  <c r="P755" i="10"/>
  <c r="O755" i="10"/>
  <c r="N755" i="10"/>
  <c r="T754" i="10"/>
  <c r="S754" i="10"/>
  <c r="R754" i="10"/>
  <c r="Q754" i="10"/>
  <c r="P754" i="10"/>
  <c r="O754" i="10"/>
  <c r="N754" i="10"/>
  <c r="T753" i="10"/>
  <c r="S753" i="10"/>
  <c r="R753" i="10"/>
  <c r="Q753" i="10"/>
  <c r="P753" i="10"/>
  <c r="O753" i="10"/>
  <c r="N753" i="10"/>
  <c r="T752" i="10"/>
  <c r="S752" i="10"/>
  <c r="R752" i="10"/>
  <c r="Q752" i="10"/>
  <c r="P752" i="10"/>
  <c r="O752" i="10"/>
  <c r="N752" i="10"/>
  <c r="T751" i="10"/>
  <c r="S751" i="10"/>
  <c r="R751" i="10"/>
  <c r="Q751" i="10"/>
  <c r="P751" i="10"/>
  <c r="O751" i="10"/>
  <c r="N751" i="10"/>
  <c r="T750" i="10"/>
  <c r="S750" i="10"/>
  <c r="R750" i="10"/>
  <c r="Q750" i="10"/>
  <c r="P750" i="10"/>
  <c r="O750" i="10"/>
  <c r="N750" i="10"/>
  <c r="T749" i="10"/>
  <c r="S749" i="10"/>
  <c r="R749" i="10"/>
  <c r="Q749" i="10"/>
  <c r="P749" i="10"/>
  <c r="O749" i="10"/>
  <c r="N749" i="10"/>
  <c r="T748" i="10"/>
  <c r="S748" i="10"/>
  <c r="R748" i="10"/>
  <c r="Q748" i="10"/>
  <c r="P748" i="10"/>
  <c r="O748" i="10"/>
  <c r="N748" i="10"/>
  <c r="T747" i="10"/>
  <c r="S747" i="10"/>
  <c r="R747" i="10"/>
  <c r="Q747" i="10"/>
  <c r="P747" i="10"/>
  <c r="O747" i="10"/>
  <c r="N747" i="10"/>
  <c r="T746" i="10"/>
  <c r="S746" i="10"/>
  <c r="R746" i="10"/>
  <c r="Q746" i="10"/>
  <c r="P746" i="10"/>
  <c r="O746" i="10"/>
  <c r="N746" i="10"/>
  <c r="T745" i="10"/>
  <c r="S745" i="10"/>
  <c r="R745" i="10"/>
  <c r="Q745" i="10"/>
  <c r="P745" i="10"/>
  <c r="O745" i="10"/>
  <c r="N745" i="10"/>
  <c r="T744" i="10"/>
  <c r="S744" i="10"/>
  <c r="R744" i="10"/>
  <c r="Q744" i="10"/>
  <c r="P744" i="10"/>
  <c r="O744" i="10"/>
  <c r="N744" i="10"/>
  <c r="T743" i="10"/>
  <c r="S743" i="10"/>
  <c r="R743" i="10"/>
  <c r="Q743" i="10"/>
  <c r="P743" i="10"/>
  <c r="O743" i="10"/>
  <c r="N743" i="10"/>
  <c r="T742" i="10"/>
  <c r="S742" i="10"/>
  <c r="R742" i="10"/>
  <c r="Q742" i="10"/>
  <c r="P742" i="10"/>
  <c r="O742" i="10"/>
  <c r="N742" i="10"/>
  <c r="T741" i="10"/>
  <c r="S741" i="10"/>
  <c r="R741" i="10"/>
  <c r="Q741" i="10"/>
  <c r="P741" i="10"/>
  <c r="O741" i="10"/>
  <c r="N741" i="10"/>
  <c r="T740" i="10"/>
  <c r="S740" i="10"/>
  <c r="R740" i="10"/>
  <c r="Q740" i="10"/>
  <c r="P740" i="10"/>
  <c r="O740" i="10"/>
  <c r="N740" i="10"/>
  <c r="T739" i="10"/>
  <c r="S739" i="10"/>
  <c r="R739" i="10"/>
  <c r="Q739" i="10"/>
  <c r="P739" i="10"/>
  <c r="O739" i="10"/>
  <c r="N739" i="10"/>
  <c r="T738" i="10"/>
  <c r="S738" i="10"/>
  <c r="R738" i="10"/>
  <c r="Q738" i="10"/>
  <c r="P738" i="10"/>
  <c r="O738" i="10"/>
  <c r="N738" i="10"/>
  <c r="T737" i="10"/>
  <c r="S737" i="10"/>
  <c r="R737" i="10"/>
  <c r="Q737" i="10"/>
  <c r="P737" i="10"/>
  <c r="O737" i="10"/>
  <c r="N737" i="10"/>
  <c r="T736" i="10"/>
  <c r="S736" i="10"/>
  <c r="R736" i="10"/>
  <c r="Q736" i="10"/>
  <c r="P736" i="10"/>
  <c r="O736" i="10"/>
  <c r="N736" i="10"/>
  <c r="T735" i="10"/>
  <c r="S735" i="10"/>
  <c r="R735" i="10"/>
  <c r="Q735" i="10"/>
  <c r="P735" i="10"/>
  <c r="O735" i="10"/>
  <c r="N735" i="10"/>
  <c r="T734" i="10"/>
  <c r="S734" i="10"/>
  <c r="R734" i="10"/>
  <c r="Q734" i="10"/>
  <c r="P734" i="10"/>
  <c r="O734" i="10"/>
  <c r="N734" i="10"/>
  <c r="T733" i="10"/>
  <c r="S733" i="10"/>
  <c r="R733" i="10"/>
  <c r="Q733" i="10"/>
  <c r="P733" i="10"/>
  <c r="O733" i="10"/>
  <c r="N733" i="10"/>
  <c r="T732" i="10"/>
  <c r="S732" i="10"/>
  <c r="R732" i="10"/>
  <c r="Q732" i="10"/>
  <c r="P732" i="10"/>
  <c r="O732" i="10"/>
  <c r="N732" i="10"/>
  <c r="T731" i="10"/>
  <c r="S731" i="10"/>
  <c r="R731" i="10"/>
  <c r="Q731" i="10"/>
  <c r="P731" i="10"/>
  <c r="O731" i="10"/>
  <c r="N731" i="10"/>
  <c r="T730" i="10"/>
  <c r="S730" i="10"/>
  <c r="R730" i="10"/>
  <c r="Q730" i="10"/>
  <c r="P730" i="10"/>
  <c r="O730" i="10"/>
  <c r="N730" i="10"/>
  <c r="T729" i="10"/>
  <c r="S729" i="10"/>
  <c r="R729" i="10"/>
  <c r="Q729" i="10"/>
  <c r="P729" i="10"/>
  <c r="O729" i="10"/>
  <c r="N729" i="10"/>
  <c r="T728" i="10"/>
  <c r="S728" i="10"/>
  <c r="R728" i="10"/>
  <c r="Q728" i="10"/>
  <c r="P728" i="10"/>
  <c r="O728" i="10"/>
  <c r="N728" i="10"/>
  <c r="T727" i="10"/>
  <c r="S727" i="10"/>
  <c r="R727" i="10"/>
  <c r="Q727" i="10"/>
  <c r="P727" i="10"/>
  <c r="O727" i="10"/>
  <c r="N727" i="10"/>
  <c r="T726" i="10"/>
  <c r="S726" i="10"/>
  <c r="R726" i="10"/>
  <c r="Q726" i="10"/>
  <c r="P726" i="10"/>
  <c r="O726" i="10"/>
  <c r="N726" i="10"/>
  <c r="T725" i="10"/>
  <c r="S725" i="10"/>
  <c r="R725" i="10"/>
  <c r="Q725" i="10"/>
  <c r="P725" i="10"/>
  <c r="O725" i="10"/>
  <c r="N725" i="10"/>
  <c r="T724" i="10"/>
  <c r="S724" i="10"/>
  <c r="R724" i="10"/>
  <c r="Q724" i="10"/>
  <c r="P724" i="10"/>
  <c r="O724" i="10"/>
  <c r="N724" i="10"/>
  <c r="T723" i="10"/>
  <c r="S723" i="10"/>
  <c r="R723" i="10"/>
  <c r="Q723" i="10"/>
  <c r="P723" i="10"/>
  <c r="O723" i="10"/>
  <c r="N723" i="10"/>
  <c r="T722" i="10"/>
  <c r="S722" i="10"/>
  <c r="R722" i="10"/>
  <c r="Q722" i="10"/>
  <c r="P722" i="10"/>
  <c r="O722" i="10"/>
  <c r="N722" i="10"/>
  <c r="T721" i="10"/>
  <c r="S721" i="10"/>
  <c r="R721" i="10"/>
  <c r="Q721" i="10"/>
  <c r="P721" i="10"/>
  <c r="O721" i="10"/>
  <c r="N721" i="10"/>
  <c r="T720" i="10"/>
  <c r="S720" i="10"/>
  <c r="R720" i="10"/>
  <c r="Q720" i="10"/>
  <c r="P720" i="10"/>
  <c r="O720" i="10"/>
  <c r="N720" i="10"/>
  <c r="T719" i="10"/>
  <c r="S719" i="10"/>
  <c r="R719" i="10"/>
  <c r="Q719" i="10"/>
  <c r="P719" i="10"/>
  <c r="O719" i="10"/>
  <c r="N719" i="10"/>
  <c r="T718" i="10"/>
  <c r="S718" i="10"/>
  <c r="R718" i="10"/>
  <c r="Q718" i="10"/>
  <c r="P718" i="10"/>
  <c r="O718" i="10"/>
  <c r="N718" i="10"/>
  <c r="T717" i="10"/>
  <c r="S717" i="10"/>
  <c r="R717" i="10"/>
  <c r="Q717" i="10"/>
  <c r="P717" i="10"/>
  <c r="O717" i="10"/>
  <c r="N717" i="10"/>
  <c r="T716" i="10"/>
  <c r="S716" i="10"/>
  <c r="R716" i="10"/>
  <c r="Q716" i="10"/>
  <c r="P716" i="10"/>
  <c r="O716" i="10"/>
  <c r="N716" i="10"/>
  <c r="T715" i="10"/>
  <c r="S715" i="10"/>
  <c r="R715" i="10"/>
  <c r="Q715" i="10"/>
  <c r="P715" i="10"/>
  <c r="O715" i="10"/>
  <c r="N715" i="10"/>
  <c r="T714" i="10"/>
  <c r="S714" i="10"/>
  <c r="R714" i="10"/>
  <c r="Q714" i="10"/>
  <c r="P714" i="10"/>
  <c r="O714" i="10"/>
  <c r="N714" i="10"/>
  <c r="T713" i="10"/>
  <c r="S713" i="10"/>
  <c r="R713" i="10"/>
  <c r="Q713" i="10"/>
  <c r="P713" i="10"/>
  <c r="O713" i="10"/>
  <c r="N713" i="10"/>
  <c r="T712" i="10"/>
  <c r="S712" i="10"/>
  <c r="R712" i="10"/>
  <c r="Q712" i="10"/>
  <c r="P712" i="10"/>
  <c r="O712" i="10"/>
  <c r="N712" i="10"/>
  <c r="T711" i="10"/>
  <c r="S711" i="10"/>
  <c r="R711" i="10"/>
  <c r="Q711" i="10"/>
  <c r="P711" i="10"/>
  <c r="O711" i="10"/>
  <c r="N711" i="10"/>
  <c r="T710" i="10"/>
  <c r="S710" i="10"/>
  <c r="R710" i="10"/>
  <c r="Q710" i="10"/>
  <c r="P710" i="10"/>
  <c r="O710" i="10"/>
  <c r="N710" i="10"/>
  <c r="T709" i="10"/>
  <c r="S709" i="10"/>
  <c r="R709" i="10"/>
  <c r="Q709" i="10"/>
  <c r="P709" i="10"/>
  <c r="O709" i="10"/>
  <c r="N709" i="10"/>
  <c r="T708" i="10"/>
  <c r="S708" i="10"/>
  <c r="R708" i="10"/>
  <c r="Q708" i="10"/>
  <c r="P708" i="10"/>
  <c r="O708" i="10"/>
  <c r="N708" i="10"/>
  <c r="T707" i="10"/>
  <c r="S707" i="10"/>
  <c r="R707" i="10"/>
  <c r="Q707" i="10"/>
  <c r="P707" i="10"/>
  <c r="O707" i="10"/>
  <c r="N707" i="10"/>
  <c r="T706" i="10"/>
  <c r="S706" i="10"/>
  <c r="R706" i="10"/>
  <c r="Q706" i="10"/>
  <c r="P706" i="10"/>
  <c r="O706" i="10"/>
  <c r="N706" i="10"/>
  <c r="T705" i="10"/>
  <c r="S705" i="10"/>
  <c r="R705" i="10"/>
  <c r="Q705" i="10"/>
  <c r="P705" i="10"/>
  <c r="O705" i="10"/>
  <c r="N705" i="10"/>
  <c r="T704" i="10"/>
  <c r="S704" i="10"/>
  <c r="R704" i="10"/>
  <c r="Q704" i="10"/>
  <c r="P704" i="10"/>
  <c r="O704" i="10"/>
  <c r="N704" i="10"/>
  <c r="T703" i="10"/>
  <c r="S703" i="10"/>
  <c r="R703" i="10"/>
  <c r="Q703" i="10"/>
  <c r="P703" i="10"/>
  <c r="O703" i="10"/>
  <c r="N703" i="10"/>
  <c r="T702" i="10"/>
  <c r="S702" i="10"/>
  <c r="R702" i="10"/>
  <c r="Q702" i="10"/>
  <c r="P702" i="10"/>
  <c r="O702" i="10"/>
  <c r="N702" i="10"/>
  <c r="T701" i="10"/>
  <c r="S701" i="10"/>
  <c r="R701" i="10"/>
  <c r="Q701" i="10"/>
  <c r="P701" i="10"/>
  <c r="O701" i="10"/>
  <c r="N701" i="10"/>
  <c r="T700" i="10"/>
  <c r="S700" i="10"/>
  <c r="R700" i="10"/>
  <c r="Q700" i="10"/>
  <c r="P700" i="10"/>
  <c r="O700" i="10"/>
  <c r="N700" i="10"/>
  <c r="T699" i="10"/>
  <c r="S699" i="10"/>
  <c r="R699" i="10"/>
  <c r="Q699" i="10"/>
  <c r="P699" i="10"/>
  <c r="O699" i="10"/>
  <c r="N699" i="10"/>
  <c r="T698" i="10"/>
  <c r="S698" i="10"/>
  <c r="R698" i="10"/>
  <c r="Q698" i="10"/>
  <c r="P698" i="10"/>
  <c r="O698" i="10"/>
  <c r="N698" i="10"/>
  <c r="T697" i="10"/>
  <c r="S697" i="10"/>
  <c r="R697" i="10"/>
  <c r="Q697" i="10"/>
  <c r="P697" i="10"/>
  <c r="O697" i="10"/>
  <c r="N697" i="10"/>
  <c r="T696" i="10"/>
  <c r="S696" i="10"/>
  <c r="R696" i="10"/>
  <c r="Q696" i="10"/>
  <c r="P696" i="10"/>
  <c r="O696" i="10"/>
  <c r="N696" i="10"/>
  <c r="T695" i="10"/>
  <c r="S695" i="10"/>
  <c r="R695" i="10"/>
  <c r="Q695" i="10"/>
  <c r="P695" i="10"/>
  <c r="O695" i="10"/>
  <c r="N695" i="10"/>
  <c r="T694" i="10"/>
  <c r="S694" i="10"/>
  <c r="R694" i="10"/>
  <c r="Q694" i="10"/>
  <c r="P694" i="10"/>
  <c r="O694" i="10"/>
  <c r="N694" i="10"/>
  <c r="T693" i="10"/>
  <c r="S693" i="10"/>
  <c r="R693" i="10"/>
  <c r="Q693" i="10"/>
  <c r="P693" i="10"/>
  <c r="O693" i="10"/>
  <c r="N693" i="10"/>
  <c r="T692" i="10"/>
  <c r="S692" i="10"/>
  <c r="R692" i="10"/>
  <c r="Q692" i="10"/>
  <c r="P692" i="10"/>
  <c r="O692" i="10"/>
  <c r="N692" i="10"/>
  <c r="T691" i="10"/>
  <c r="S691" i="10"/>
  <c r="R691" i="10"/>
  <c r="Q691" i="10"/>
  <c r="P691" i="10"/>
  <c r="O691" i="10"/>
  <c r="N691" i="10"/>
  <c r="T690" i="10"/>
  <c r="S690" i="10"/>
  <c r="R690" i="10"/>
  <c r="Q690" i="10"/>
  <c r="P690" i="10"/>
  <c r="O690" i="10"/>
  <c r="N690" i="10"/>
  <c r="T689" i="10"/>
  <c r="S689" i="10"/>
  <c r="R689" i="10"/>
  <c r="Q689" i="10"/>
  <c r="P689" i="10"/>
  <c r="O689" i="10"/>
  <c r="N689" i="10"/>
  <c r="T688" i="10"/>
  <c r="S688" i="10"/>
  <c r="R688" i="10"/>
  <c r="Q688" i="10"/>
  <c r="P688" i="10"/>
  <c r="O688" i="10"/>
  <c r="N688" i="10"/>
  <c r="T687" i="10"/>
  <c r="S687" i="10"/>
  <c r="R687" i="10"/>
  <c r="Q687" i="10"/>
  <c r="P687" i="10"/>
  <c r="O687" i="10"/>
  <c r="N687" i="10"/>
  <c r="T686" i="10"/>
  <c r="S686" i="10"/>
  <c r="R686" i="10"/>
  <c r="Q686" i="10"/>
  <c r="P686" i="10"/>
  <c r="O686" i="10"/>
  <c r="N686" i="10"/>
  <c r="T685" i="10"/>
  <c r="S685" i="10"/>
  <c r="R685" i="10"/>
  <c r="Q685" i="10"/>
  <c r="P685" i="10"/>
  <c r="O685" i="10"/>
  <c r="N685" i="10"/>
  <c r="T684" i="10"/>
  <c r="S684" i="10"/>
  <c r="R684" i="10"/>
  <c r="Q684" i="10"/>
  <c r="P684" i="10"/>
  <c r="O684" i="10"/>
  <c r="N684" i="10"/>
  <c r="T683" i="10"/>
  <c r="S683" i="10"/>
  <c r="R683" i="10"/>
  <c r="Q683" i="10"/>
  <c r="P683" i="10"/>
  <c r="O683" i="10"/>
  <c r="N683" i="10"/>
  <c r="T682" i="10"/>
  <c r="S682" i="10"/>
  <c r="R682" i="10"/>
  <c r="Q682" i="10"/>
  <c r="P682" i="10"/>
  <c r="O682" i="10"/>
  <c r="N682" i="10"/>
  <c r="T681" i="10"/>
  <c r="S681" i="10"/>
  <c r="R681" i="10"/>
  <c r="Q681" i="10"/>
  <c r="P681" i="10"/>
  <c r="O681" i="10"/>
  <c r="N681" i="10"/>
  <c r="T680" i="10"/>
  <c r="S680" i="10"/>
  <c r="R680" i="10"/>
  <c r="Q680" i="10"/>
  <c r="P680" i="10"/>
  <c r="O680" i="10"/>
  <c r="N680" i="10"/>
  <c r="T679" i="10"/>
  <c r="S679" i="10"/>
  <c r="R679" i="10"/>
  <c r="Q679" i="10"/>
  <c r="P679" i="10"/>
  <c r="O679" i="10"/>
  <c r="N679" i="10"/>
  <c r="T678" i="10"/>
  <c r="S678" i="10"/>
  <c r="R678" i="10"/>
  <c r="Q678" i="10"/>
  <c r="P678" i="10"/>
  <c r="O678" i="10"/>
  <c r="N678" i="10"/>
  <c r="T677" i="10"/>
  <c r="S677" i="10"/>
  <c r="R677" i="10"/>
  <c r="Q677" i="10"/>
  <c r="P677" i="10"/>
  <c r="O677" i="10"/>
  <c r="N677" i="10"/>
  <c r="T676" i="10"/>
  <c r="S676" i="10"/>
  <c r="R676" i="10"/>
  <c r="Q676" i="10"/>
  <c r="P676" i="10"/>
  <c r="O676" i="10"/>
  <c r="N676" i="10"/>
  <c r="T675" i="10"/>
  <c r="S675" i="10"/>
  <c r="R675" i="10"/>
  <c r="Q675" i="10"/>
  <c r="P675" i="10"/>
  <c r="O675" i="10"/>
  <c r="N675" i="10"/>
  <c r="T674" i="10"/>
  <c r="S674" i="10"/>
  <c r="R674" i="10"/>
  <c r="Q674" i="10"/>
  <c r="P674" i="10"/>
  <c r="O674" i="10"/>
  <c r="N674" i="10"/>
  <c r="T673" i="10"/>
  <c r="S673" i="10"/>
  <c r="R673" i="10"/>
  <c r="Q673" i="10"/>
  <c r="P673" i="10"/>
  <c r="O673" i="10"/>
  <c r="N673" i="10"/>
  <c r="T672" i="10"/>
  <c r="S672" i="10"/>
  <c r="R672" i="10"/>
  <c r="Q672" i="10"/>
  <c r="P672" i="10"/>
  <c r="O672" i="10"/>
  <c r="N672" i="10"/>
  <c r="T671" i="10"/>
  <c r="S671" i="10"/>
  <c r="R671" i="10"/>
  <c r="Q671" i="10"/>
  <c r="P671" i="10"/>
  <c r="O671" i="10"/>
  <c r="N671" i="10"/>
  <c r="T670" i="10"/>
  <c r="S670" i="10"/>
  <c r="R670" i="10"/>
  <c r="Q670" i="10"/>
  <c r="P670" i="10"/>
  <c r="O670" i="10"/>
  <c r="N670" i="10"/>
  <c r="T669" i="10"/>
  <c r="S669" i="10"/>
  <c r="R669" i="10"/>
  <c r="Q669" i="10"/>
  <c r="P669" i="10"/>
  <c r="O669" i="10"/>
  <c r="N669" i="10"/>
  <c r="T668" i="10"/>
  <c r="S668" i="10"/>
  <c r="R668" i="10"/>
  <c r="Q668" i="10"/>
  <c r="P668" i="10"/>
  <c r="O668" i="10"/>
  <c r="N668" i="10"/>
  <c r="T667" i="10"/>
  <c r="S667" i="10"/>
  <c r="R667" i="10"/>
  <c r="Q667" i="10"/>
  <c r="P667" i="10"/>
  <c r="O667" i="10"/>
  <c r="N667" i="10"/>
  <c r="T666" i="10"/>
  <c r="S666" i="10"/>
  <c r="R666" i="10"/>
  <c r="Q666" i="10"/>
  <c r="P666" i="10"/>
  <c r="O666" i="10"/>
  <c r="N666" i="10"/>
  <c r="T665" i="10"/>
  <c r="S665" i="10"/>
  <c r="R665" i="10"/>
  <c r="Q665" i="10"/>
  <c r="P665" i="10"/>
  <c r="O665" i="10"/>
  <c r="N665" i="10"/>
  <c r="T664" i="10"/>
  <c r="S664" i="10"/>
  <c r="R664" i="10"/>
  <c r="Q664" i="10"/>
  <c r="P664" i="10"/>
  <c r="O664" i="10"/>
  <c r="N664" i="10"/>
  <c r="T663" i="10"/>
  <c r="S663" i="10"/>
  <c r="R663" i="10"/>
  <c r="Q663" i="10"/>
  <c r="P663" i="10"/>
  <c r="O663" i="10"/>
  <c r="N663" i="10"/>
  <c r="T662" i="10"/>
  <c r="S662" i="10"/>
  <c r="R662" i="10"/>
  <c r="Q662" i="10"/>
  <c r="P662" i="10"/>
  <c r="O662" i="10"/>
  <c r="N662" i="10"/>
  <c r="T661" i="10"/>
  <c r="S661" i="10"/>
  <c r="R661" i="10"/>
  <c r="Q661" i="10"/>
  <c r="P661" i="10"/>
  <c r="O661" i="10"/>
  <c r="N661" i="10"/>
  <c r="T660" i="10"/>
  <c r="S660" i="10"/>
  <c r="R660" i="10"/>
  <c r="Q660" i="10"/>
  <c r="P660" i="10"/>
  <c r="O660" i="10"/>
  <c r="N660" i="10"/>
  <c r="T659" i="10"/>
  <c r="S659" i="10"/>
  <c r="R659" i="10"/>
  <c r="Q659" i="10"/>
  <c r="P659" i="10"/>
  <c r="O659" i="10"/>
  <c r="N659" i="10"/>
  <c r="T658" i="10"/>
  <c r="S658" i="10"/>
  <c r="R658" i="10"/>
  <c r="Q658" i="10"/>
  <c r="P658" i="10"/>
  <c r="O658" i="10"/>
  <c r="N658" i="10"/>
  <c r="T657" i="10"/>
  <c r="S657" i="10"/>
  <c r="R657" i="10"/>
  <c r="Q657" i="10"/>
  <c r="P657" i="10"/>
  <c r="O657" i="10"/>
  <c r="N657" i="10"/>
  <c r="T656" i="10"/>
  <c r="S656" i="10"/>
  <c r="R656" i="10"/>
  <c r="Q656" i="10"/>
  <c r="P656" i="10"/>
  <c r="O656" i="10"/>
  <c r="N656" i="10"/>
  <c r="T655" i="10"/>
  <c r="S655" i="10"/>
  <c r="R655" i="10"/>
  <c r="Q655" i="10"/>
  <c r="P655" i="10"/>
  <c r="O655" i="10"/>
  <c r="N655" i="10"/>
  <c r="T654" i="10"/>
  <c r="S654" i="10"/>
  <c r="R654" i="10"/>
  <c r="Q654" i="10"/>
  <c r="P654" i="10"/>
  <c r="O654" i="10"/>
  <c r="N654" i="10"/>
  <c r="T653" i="10"/>
  <c r="S653" i="10"/>
  <c r="R653" i="10"/>
  <c r="Q653" i="10"/>
  <c r="P653" i="10"/>
  <c r="O653" i="10"/>
  <c r="N653" i="10"/>
  <c r="T652" i="10"/>
  <c r="S652" i="10"/>
  <c r="R652" i="10"/>
  <c r="Q652" i="10"/>
  <c r="P652" i="10"/>
  <c r="O652" i="10"/>
  <c r="N652" i="10"/>
  <c r="T651" i="10"/>
  <c r="S651" i="10"/>
  <c r="R651" i="10"/>
  <c r="Q651" i="10"/>
  <c r="P651" i="10"/>
  <c r="O651" i="10"/>
  <c r="N651" i="10"/>
  <c r="T650" i="10"/>
  <c r="S650" i="10"/>
  <c r="R650" i="10"/>
  <c r="Q650" i="10"/>
  <c r="P650" i="10"/>
  <c r="O650" i="10"/>
  <c r="N650" i="10"/>
  <c r="T649" i="10"/>
  <c r="S649" i="10"/>
  <c r="R649" i="10"/>
  <c r="Q649" i="10"/>
  <c r="P649" i="10"/>
  <c r="O649" i="10"/>
  <c r="N649" i="10"/>
  <c r="T648" i="10"/>
  <c r="S648" i="10"/>
  <c r="R648" i="10"/>
  <c r="Q648" i="10"/>
  <c r="P648" i="10"/>
  <c r="O648" i="10"/>
  <c r="N648" i="10"/>
  <c r="T647" i="10"/>
  <c r="S647" i="10"/>
  <c r="R647" i="10"/>
  <c r="Q647" i="10"/>
  <c r="P647" i="10"/>
  <c r="O647" i="10"/>
  <c r="N647" i="10"/>
  <c r="T646" i="10"/>
  <c r="S646" i="10"/>
  <c r="R646" i="10"/>
  <c r="Q646" i="10"/>
  <c r="P646" i="10"/>
  <c r="O646" i="10"/>
  <c r="N646" i="10"/>
  <c r="T645" i="10"/>
  <c r="S645" i="10"/>
  <c r="R645" i="10"/>
  <c r="Q645" i="10"/>
  <c r="P645" i="10"/>
  <c r="O645" i="10"/>
  <c r="N645" i="10"/>
  <c r="T644" i="10"/>
  <c r="S644" i="10"/>
  <c r="R644" i="10"/>
  <c r="Q644" i="10"/>
  <c r="P644" i="10"/>
  <c r="O644" i="10"/>
  <c r="N644" i="10"/>
  <c r="T643" i="10"/>
  <c r="S643" i="10"/>
  <c r="R643" i="10"/>
  <c r="Q643" i="10"/>
  <c r="P643" i="10"/>
  <c r="O643" i="10"/>
  <c r="N643" i="10"/>
  <c r="T642" i="10"/>
  <c r="S642" i="10"/>
  <c r="R642" i="10"/>
  <c r="Q642" i="10"/>
  <c r="P642" i="10"/>
  <c r="O642" i="10"/>
  <c r="N642" i="10"/>
  <c r="T641" i="10"/>
  <c r="S641" i="10"/>
  <c r="R641" i="10"/>
  <c r="Q641" i="10"/>
  <c r="P641" i="10"/>
  <c r="O641" i="10"/>
  <c r="N641" i="10"/>
  <c r="T640" i="10"/>
  <c r="S640" i="10"/>
  <c r="R640" i="10"/>
  <c r="Q640" i="10"/>
  <c r="P640" i="10"/>
  <c r="O640" i="10"/>
  <c r="N640" i="10"/>
  <c r="T639" i="10"/>
  <c r="S639" i="10"/>
  <c r="R639" i="10"/>
  <c r="Q639" i="10"/>
  <c r="P639" i="10"/>
  <c r="O639" i="10"/>
  <c r="N639" i="10"/>
  <c r="T638" i="10"/>
  <c r="S638" i="10"/>
  <c r="R638" i="10"/>
  <c r="Q638" i="10"/>
  <c r="P638" i="10"/>
  <c r="O638" i="10"/>
  <c r="N638" i="10"/>
  <c r="T637" i="10"/>
  <c r="S637" i="10"/>
  <c r="R637" i="10"/>
  <c r="Q637" i="10"/>
  <c r="P637" i="10"/>
  <c r="O637" i="10"/>
  <c r="N637" i="10"/>
  <c r="T636" i="10"/>
  <c r="S636" i="10"/>
  <c r="R636" i="10"/>
  <c r="Q636" i="10"/>
  <c r="P636" i="10"/>
  <c r="O636" i="10"/>
  <c r="N636" i="10"/>
  <c r="T635" i="10"/>
  <c r="S635" i="10"/>
  <c r="R635" i="10"/>
  <c r="Q635" i="10"/>
  <c r="P635" i="10"/>
  <c r="O635" i="10"/>
  <c r="N635" i="10"/>
  <c r="T634" i="10"/>
  <c r="S634" i="10"/>
  <c r="R634" i="10"/>
  <c r="Q634" i="10"/>
  <c r="P634" i="10"/>
  <c r="O634" i="10"/>
  <c r="N634" i="10"/>
  <c r="T633" i="10"/>
  <c r="S633" i="10"/>
  <c r="R633" i="10"/>
  <c r="Q633" i="10"/>
  <c r="P633" i="10"/>
  <c r="O633" i="10"/>
  <c r="N633" i="10"/>
  <c r="T632" i="10"/>
  <c r="S632" i="10"/>
  <c r="R632" i="10"/>
  <c r="Q632" i="10"/>
  <c r="P632" i="10"/>
  <c r="O632" i="10"/>
  <c r="N632" i="10"/>
  <c r="T631" i="10"/>
  <c r="S631" i="10"/>
  <c r="R631" i="10"/>
  <c r="Q631" i="10"/>
  <c r="P631" i="10"/>
  <c r="O631" i="10"/>
  <c r="N631" i="10"/>
  <c r="T630" i="10"/>
  <c r="S630" i="10"/>
  <c r="R630" i="10"/>
  <c r="Q630" i="10"/>
  <c r="P630" i="10"/>
  <c r="O630" i="10"/>
  <c r="N630" i="10"/>
  <c r="T629" i="10"/>
  <c r="S629" i="10"/>
  <c r="R629" i="10"/>
  <c r="Q629" i="10"/>
  <c r="P629" i="10"/>
  <c r="O629" i="10"/>
  <c r="N629" i="10"/>
  <c r="T628" i="10"/>
  <c r="S628" i="10"/>
  <c r="R628" i="10"/>
  <c r="Q628" i="10"/>
  <c r="P628" i="10"/>
  <c r="O628" i="10"/>
  <c r="N628" i="10"/>
  <c r="T627" i="10"/>
  <c r="S627" i="10"/>
  <c r="R627" i="10"/>
  <c r="Q627" i="10"/>
  <c r="P627" i="10"/>
  <c r="O627" i="10"/>
  <c r="N627" i="10"/>
  <c r="T626" i="10"/>
  <c r="S626" i="10"/>
  <c r="R626" i="10"/>
  <c r="Q626" i="10"/>
  <c r="P626" i="10"/>
  <c r="O626" i="10"/>
  <c r="N626" i="10"/>
  <c r="T625" i="10"/>
  <c r="S625" i="10"/>
  <c r="R625" i="10"/>
  <c r="Q625" i="10"/>
  <c r="P625" i="10"/>
  <c r="O625" i="10"/>
  <c r="N625" i="10"/>
  <c r="T624" i="10"/>
  <c r="S624" i="10"/>
  <c r="R624" i="10"/>
  <c r="Q624" i="10"/>
  <c r="P624" i="10"/>
  <c r="O624" i="10"/>
  <c r="N624" i="10"/>
  <c r="T623" i="10"/>
  <c r="S623" i="10"/>
  <c r="R623" i="10"/>
  <c r="Q623" i="10"/>
  <c r="P623" i="10"/>
  <c r="O623" i="10"/>
  <c r="N623" i="10"/>
  <c r="T622" i="10"/>
  <c r="S622" i="10"/>
  <c r="R622" i="10"/>
  <c r="Q622" i="10"/>
  <c r="P622" i="10"/>
  <c r="O622" i="10"/>
  <c r="N622" i="10"/>
  <c r="T621" i="10"/>
  <c r="S621" i="10"/>
  <c r="R621" i="10"/>
  <c r="Q621" i="10"/>
  <c r="P621" i="10"/>
  <c r="O621" i="10"/>
  <c r="N621" i="10"/>
  <c r="T620" i="10"/>
  <c r="S620" i="10"/>
  <c r="R620" i="10"/>
  <c r="Q620" i="10"/>
  <c r="P620" i="10"/>
  <c r="O620" i="10"/>
  <c r="N620" i="10"/>
  <c r="T619" i="10"/>
  <c r="S619" i="10"/>
  <c r="R619" i="10"/>
  <c r="Q619" i="10"/>
  <c r="P619" i="10"/>
  <c r="O619" i="10"/>
  <c r="N619" i="10"/>
  <c r="T618" i="10"/>
  <c r="S618" i="10"/>
  <c r="R618" i="10"/>
  <c r="Q618" i="10"/>
  <c r="P618" i="10"/>
  <c r="O618" i="10"/>
  <c r="N618" i="10"/>
  <c r="T617" i="10"/>
  <c r="S617" i="10"/>
  <c r="R617" i="10"/>
  <c r="Q617" i="10"/>
  <c r="P617" i="10"/>
  <c r="O617" i="10"/>
  <c r="N617" i="10"/>
  <c r="T616" i="10"/>
  <c r="S616" i="10"/>
  <c r="R616" i="10"/>
  <c r="Q616" i="10"/>
  <c r="P616" i="10"/>
  <c r="O616" i="10"/>
  <c r="N616" i="10"/>
  <c r="T615" i="10"/>
  <c r="S615" i="10"/>
  <c r="R615" i="10"/>
  <c r="Q615" i="10"/>
  <c r="P615" i="10"/>
  <c r="O615" i="10"/>
  <c r="N615" i="10"/>
  <c r="T614" i="10"/>
  <c r="S614" i="10"/>
  <c r="R614" i="10"/>
  <c r="Q614" i="10"/>
  <c r="P614" i="10"/>
  <c r="O614" i="10"/>
  <c r="N614" i="10"/>
  <c r="T613" i="10"/>
  <c r="S613" i="10"/>
  <c r="R613" i="10"/>
  <c r="Q613" i="10"/>
  <c r="P613" i="10"/>
  <c r="O613" i="10"/>
  <c r="N613" i="10"/>
  <c r="T612" i="10"/>
  <c r="S612" i="10"/>
  <c r="R612" i="10"/>
  <c r="Q612" i="10"/>
  <c r="P612" i="10"/>
  <c r="O612" i="10"/>
  <c r="N612" i="10"/>
  <c r="T611" i="10"/>
  <c r="S611" i="10"/>
  <c r="R611" i="10"/>
  <c r="Q611" i="10"/>
  <c r="P611" i="10"/>
  <c r="O611" i="10"/>
  <c r="N611" i="10"/>
  <c r="T610" i="10"/>
  <c r="S610" i="10"/>
  <c r="R610" i="10"/>
  <c r="Q610" i="10"/>
  <c r="P610" i="10"/>
  <c r="O610" i="10"/>
  <c r="N610" i="10"/>
  <c r="T609" i="10"/>
  <c r="S609" i="10"/>
  <c r="R609" i="10"/>
  <c r="Q609" i="10"/>
  <c r="P609" i="10"/>
  <c r="O609" i="10"/>
  <c r="N609" i="10"/>
  <c r="T608" i="10"/>
  <c r="S608" i="10"/>
  <c r="R608" i="10"/>
  <c r="Q608" i="10"/>
  <c r="P608" i="10"/>
  <c r="O608" i="10"/>
  <c r="N608" i="10"/>
  <c r="T607" i="10"/>
  <c r="S607" i="10"/>
  <c r="R607" i="10"/>
  <c r="Q607" i="10"/>
  <c r="P607" i="10"/>
  <c r="O607" i="10"/>
  <c r="N607" i="10"/>
  <c r="T606" i="10"/>
  <c r="S606" i="10"/>
  <c r="R606" i="10"/>
  <c r="Q606" i="10"/>
  <c r="P606" i="10"/>
  <c r="O606" i="10"/>
  <c r="N606" i="10"/>
  <c r="T605" i="10"/>
  <c r="S605" i="10"/>
  <c r="R605" i="10"/>
  <c r="Q605" i="10"/>
  <c r="P605" i="10"/>
  <c r="O605" i="10"/>
  <c r="N605" i="10"/>
  <c r="T604" i="10"/>
  <c r="S604" i="10"/>
  <c r="R604" i="10"/>
  <c r="Q604" i="10"/>
  <c r="P604" i="10"/>
  <c r="O604" i="10"/>
  <c r="N604" i="10"/>
  <c r="T603" i="10"/>
  <c r="S603" i="10"/>
  <c r="R603" i="10"/>
  <c r="Q603" i="10"/>
  <c r="P603" i="10"/>
  <c r="O603" i="10"/>
  <c r="N603" i="10"/>
  <c r="T602" i="10"/>
  <c r="S602" i="10"/>
  <c r="R602" i="10"/>
  <c r="Q602" i="10"/>
  <c r="P602" i="10"/>
  <c r="O602" i="10"/>
  <c r="N602" i="10"/>
  <c r="T601" i="10"/>
  <c r="S601" i="10"/>
  <c r="R601" i="10"/>
  <c r="Q601" i="10"/>
  <c r="P601" i="10"/>
  <c r="O601" i="10"/>
  <c r="N601" i="10"/>
  <c r="T600" i="10"/>
  <c r="S600" i="10"/>
  <c r="R600" i="10"/>
  <c r="Q600" i="10"/>
  <c r="P600" i="10"/>
  <c r="O600" i="10"/>
  <c r="N600" i="10"/>
  <c r="T599" i="10"/>
  <c r="S599" i="10"/>
  <c r="R599" i="10"/>
  <c r="Q599" i="10"/>
  <c r="P599" i="10"/>
  <c r="O599" i="10"/>
  <c r="N599" i="10"/>
  <c r="T598" i="10"/>
  <c r="S598" i="10"/>
  <c r="R598" i="10"/>
  <c r="Q598" i="10"/>
  <c r="P598" i="10"/>
  <c r="O598" i="10"/>
  <c r="N598" i="10"/>
  <c r="T597" i="10"/>
  <c r="S597" i="10"/>
  <c r="R597" i="10"/>
  <c r="Q597" i="10"/>
  <c r="P597" i="10"/>
  <c r="O597" i="10"/>
  <c r="N597" i="10"/>
  <c r="T596" i="10"/>
  <c r="S596" i="10"/>
  <c r="R596" i="10"/>
  <c r="Q596" i="10"/>
  <c r="P596" i="10"/>
  <c r="O596" i="10"/>
  <c r="N596" i="10"/>
  <c r="T595" i="10"/>
  <c r="S595" i="10"/>
  <c r="R595" i="10"/>
  <c r="Q595" i="10"/>
  <c r="P595" i="10"/>
  <c r="O595" i="10"/>
  <c r="N595" i="10"/>
  <c r="T594" i="10"/>
  <c r="S594" i="10"/>
  <c r="R594" i="10"/>
  <c r="Q594" i="10"/>
  <c r="P594" i="10"/>
  <c r="O594" i="10"/>
  <c r="N594" i="10"/>
  <c r="T593" i="10"/>
  <c r="S593" i="10"/>
  <c r="R593" i="10"/>
  <c r="Q593" i="10"/>
  <c r="P593" i="10"/>
  <c r="O593" i="10"/>
  <c r="N593" i="10"/>
  <c r="T592" i="10"/>
  <c r="S592" i="10"/>
  <c r="R592" i="10"/>
  <c r="Q592" i="10"/>
  <c r="P592" i="10"/>
  <c r="O592" i="10"/>
  <c r="N592" i="10"/>
  <c r="T591" i="10"/>
  <c r="S591" i="10"/>
  <c r="R591" i="10"/>
  <c r="Q591" i="10"/>
  <c r="P591" i="10"/>
  <c r="O591" i="10"/>
  <c r="N591" i="10"/>
  <c r="T590" i="10"/>
  <c r="S590" i="10"/>
  <c r="R590" i="10"/>
  <c r="Q590" i="10"/>
  <c r="P590" i="10"/>
  <c r="O590" i="10"/>
  <c r="N590" i="10"/>
  <c r="T589" i="10"/>
  <c r="S589" i="10"/>
  <c r="R589" i="10"/>
  <c r="Q589" i="10"/>
  <c r="P589" i="10"/>
  <c r="O589" i="10"/>
  <c r="N589" i="10"/>
  <c r="T588" i="10"/>
  <c r="S588" i="10"/>
  <c r="R588" i="10"/>
  <c r="Q588" i="10"/>
  <c r="P588" i="10"/>
  <c r="O588" i="10"/>
  <c r="N588" i="10"/>
  <c r="T587" i="10"/>
  <c r="S587" i="10"/>
  <c r="R587" i="10"/>
  <c r="Q587" i="10"/>
  <c r="P587" i="10"/>
  <c r="O587" i="10"/>
  <c r="N587" i="10"/>
  <c r="T586" i="10"/>
  <c r="S586" i="10"/>
  <c r="R586" i="10"/>
  <c r="Q586" i="10"/>
  <c r="P586" i="10"/>
  <c r="O586" i="10"/>
  <c r="N586" i="10"/>
  <c r="T585" i="10"/>
  <c r="S585" i="10"/>
  <c r="R585" i="10"/>
  <c r="Q585" i="10"/>
  <c r="P585" i="10"/>
  <c r="O585" i="10"/>
  <c r="N585" i="10"/>
  <c r="T584" i="10"/>
  <c r="S584" i="10"/>
  <c r="R584" i="10"/>
  <c r="Q584" i="10"/>
  <c r="P584" i="10"/>
  <c r="O584" i="10"/>
  <c r="N584" i="10"/>
  <c r="T583" i="10"/>
  <c r="S583" i="10"/>
  <c r="R583" i="10"/>
  <c r="Q583" i="10"/>
  <c r="P583" i="10"/>
  <c r="O583" i="10"/>
  <c r="N583" i="10"/>
  <c r="T582" i="10"/>
  <c r="S582" i="10"/>
  <c r="R582" i="10"/>
  <c r="Q582" i="10"/>
  <c r="P582" i="10"/>
  <c r="O582" i="10"/>
  <c r="N582" i="10"/>
  <c r="T581" i="10"/>
  <c r="S581" i="10"/>
  <c r="R581" i="10"/>
  <c r="Q581" i="10"/>
  <c r="P581" i="10"/>
  <c r="O581" i="10"/>
  <c r="N581" i="10"/>
  <c r="T580" i="10"/>
  <c r="S580" i="10"/>
  <c r="R580" i="10"/>
  <c r="Q580" i="10"/>
  <c r="P580" i="10"/>
  <c r="O580" i="10"/>
  <c r="N580" i="10"/>
  <c r="T579" i="10"/>
  <c r="S579" i="10"/>
  <c r="R579" i="10"/>
  <c r="Q579" i="10"/>
  <c r="P579" i="10"/>
  <c r="O579" i="10"/>
  <c r="N579" i="10"/>
  <c r="T578" i="10"/>
  <c r="S578" i="10"/>
  <c r="R578" i="10"/>
  <c r="Q578" i="10"/>
  <c r="P578" i="10"/>
  <c r="O578" i="10"/>
  <c r="N578" i="10"/>
  <c r="T577" i="10"/>
  <c r="S577" i="10"/>
  <c r="R577" i="10"/>
  <c r="Q577" i="10"/>
  <c r="P577" i="10"/>
  <c r="O577" i="10"/>
  <c r="N577" i="10"/>
  <c r="T576" i="10"/>
  <c r="S576" i="10"/>
  <c r="R576" i="10"/>
  <c r="Q576" i="10"/>
  <c r="P576" i="10"/>
  <c r="O576" i="10"/>
  <c r="N576" i="10"/>
  <c r="T575" i="10"/>
  <c r="S575" i="10"/>
  <c r="R575" i="10"/>
  <c r="Q575" i="10"/>
  <c r="P575" i="10"/>
  <c r="O575" i="10"/>
  <c r="N575" i="10"/>
  <c r="T574" i="10"/>
  <c r="S574" i="10"/>
  <c r="R574" i="10"/>
  <c r="Q574" i="10"/>
  <c r="P574" i="10"/>
  <c r="O574" i="10"/>
  <c r="N574" i="10"/>
  <c r="T573" i="10"/>
  <c r="S573" i="10"/>
  <c r="R573" i="10"/>
  <c r="Q573" i="10"/>
  <c r="P573" i="10"/>
  <c r="O573" i="10"/>
  <c r="N573" i="10"/>
  <c r="T572" i="10"/>
  <c r="S572" i="10"/>
  <c r="R572" i="10"/>
  <c r="Q572" i="10"/>
  <c r="P572" i="10"/>
  <c r="O572" i="10"/>
  <c r="N572" i="10"/>
  <c r="T571" i="10"/>
  <c r="S571" i="10"/>
  <c r="R571" i="10"/>
  <c r="Q571" i="10"/>
  <c r="P571" i="10"/>
  <c r="O571" i="10"/>
  <c r="N571" i="10"/>
  <c r="T570" i="10"/>
  <c r="S570" i="10"/>
  <c r="R570" i="10"/>
  <c r="Q570" i="10"/>
  <c r="P570" i="10"/>
  <c r="O570" i="10"/>
  <c r="N570" i="10"/>
  <c r="T569" i="10"/>
  <c r="S569" i="10"/>
  <c r="R569" i="10"/>
  <c r="Q569" i="10"/>
  <c r="P569" i="10"/>
  <c r="O569" i="10"/>
  <c r="N569" i="10"/>
  <c r="T568" i="10"/>
  <c r="S568" i="10"/>
  <c r="R568" i="10"/>
  <c r="Q568" i="10"/>
  <c r="P568" i="10"/>
  <c r="O568" i="10"/>
  <c r="N568" i="10"/>
  <c r="T567" i="10"/>
  <c r="S567" i="10"/>
  <c r="R567" i="10"/>
  <c r="Q567" i="10"/>
  <c r="P567" i="10"/>
  <c r="O567" i="10"/>
  <c r="N567" i="10"/>
  <c r="T566" i="10"/>
  <c r="S566" i="10"/>
  <c r="R566" i="10"/>
  <c r="Q566" i="10"/>
  <c r="P566" i="10"/>
  <c r="O566" i="10"/>
  <c r="N566" i="10"/>
  <c r="T565" i="10"/>
  <c r="S565" i="10"/>
  <c r="R565" i="10"/>
  <c r="Q565" i="10"/>
  <c r="P565" i="10"/>
  <c r="O565" i="10"/>
  <c r="N565" i="10"/>
  <c r="T564" i="10"/>
  <c r="S564" i="10"/>
  <c r="R564" i="10"/>
  <c r="Q564" i="10"/>
  <c r="P564" i="10"/>
  <c r="O564" i="10"/>
  <c r="N564" i="10"/>
  <c r="T563" i="10"/>
  <c r="S563" i="10"/>
  <c r="R563" i="10"/>
  <c r="Q563" i="10"/>
  <c r="P563" i="10"/>
  <c r="O563" i="10"/>
  <c r="N563" i="10"/>
  <c r="T562" i="10"/>
  <c r="S562" i="10"/>
  <c r="R562" i="10"/>
  <c r="Q562" i="10"/>
  <c r="P562" i="10"/>
  <c r="O562" i="10"/>
  <c r="N562" i="10"/>
  <c r="T561" i="10"/>
  <c r="S561" i="10"/>
  <c r="R561" i="10"/>
  <c r="Q561" i="10"/>
  <c r="P561" i="10"/>
  <c r="O561" i="10"/>
  <c r="N561" i="10"/>
  <c r="T560" i="10"/>
  <c r="S560" i="10"/>
  <c r="R560" i="10"/>
  <c r="Q560" i="10"/>
  <c r="P560" i="10"/>
  <c r="O560" i="10"/>
  <c r="N560" i="10"/>
  <c r="T559" i="10"/>
  <c r="S559" i="10"/>
  <c r="R559" i="10"/>
  <c r="Q559" i="10"/>
  <c r="P559" i="10"/>
  <c r="O559" i="10"/>
  <c r="N559" i="10"/>
  <c r="T558" i="10"/>
  <c r="S558" i="10"/>
  <c r="R558" i="10"/>
  <c r="Q558" i="10"/>
  <c r="P558" i="10"/>
  <c r="O558" i="10"/>
  <c r="N558" i="10"/>
  <c r="T557" i="10"/>
  <c r="S557" i="10"/>
  <c r="R557" i="10"/>
  <c r="Q557" i="10"/>
  <c r="P557" i="10"/>
  <c r="O557" i="10"/>
  <c r="N557" i="10"/>
  <c r="T556" i="10"/>
  <c r="S556" i="10"/>
  <c r="R556" i="10"/>
  <c r="Q556" i="10"/>
  <c r="P556" i="10"/>
  <c r="O556" i="10"/>
  <c r="N556" i="10"/>
  <c r="T555" i="10"/>
  <c r="S555" i="10"/>
  <c r="R555" i="10"/>
  <c r="Q555" i="10"/>
  <c r="P555" i="10"/>
  <c r="O555" i="10"/>
  <c r="N555" i="10"/>
  <c r="T554" i="10"/>
  <c r="S554" i="10"/>
  <c r="R554" i="10"/>
  <c r="Q554" i="10"/>
  <c r="P554" i="10"/>
  <c r="O554" i="10"/>
  <c r="N554" i="10"/>
  <c r="T553" i="10"/>
  <c r="S553" i="10"/>
  <c r="R553" i="10"/>
  <c r="Q553" i="10"/>
  <c r="P553" i="10"/>
  <c r="O553" i="10"/>
  <c r="N553" i="10"/>
  <c r="T552" i="10"/>
  <c r="S552" i="10"/>
  <c r="R552" i="10"/>
  <c r="Q552" i="10"/>
  <c r="P552" i="10"/>
  <c r="O552" i="10"/>
  <c r="N552" i="10"/>
  <c r="T551" i="10"/>
  <c r="S551" i="10"/>
  <c r="R551" i="10"/>
  <c r="Q551" i="10"/>
  <c r="P551" i="10"/>
  <c r="O551" i="10"/>
  <c r="N551" i="10"/>
  <c r="T550" i="10"/>
  <c r="S550" i="10"/>
  <c r="R550" i="10"/>
  <c r="Q550" i="10"/>
  <c r="P550" i="10"/>
  <c r="O550" i="10"/>
  <c r="N550" i="10"/>
  <c r="T549" i="10"/>
  <c r="S549" i="10"/>
  <c r="R549" i="10"/>
  <c r="Q549" i="10"/>
  <c r="P549" i="10"/>
  <c r="O549" i="10"/>
  <c r="N549" i="10"/>
  <c r="T548" i="10"/>
  <c r="S548" i="10"/>
  <c r="R548" i="10"/>
  <c r="Q548" i="10"/>
  <c r="P548" i="10"/>
  <c r="O548" i="10"/>
  <c r="N548" i="10"/>
  <c r="T547" i="10"/>
  <c r="S547" i="10"/>
  <c r="R547" i="10"/>
  <c r="Q547" i="10"/>
  <c r="P547" i="10"/>
  <c r="O547" i="10"/>
  <c r="N547" i="10"/>
  <c r="T546" i="10"/>
  <c r="S546" i="10"/>
  <c r="R546" i="10"/>
  <c r="Q546" i="10"/>
  <c r="P546" i="10"/>
  <c r="O546" i="10"/>
  <c r="N546" i="10"/>
  <c r="T545" i="10"/>
  <c r="S545" i="10"/>
  <c r="R545" i="10"/>
  <c r="Q545" i="10"/>
  <c r="P545" i="10"/>
  <c r="O545" i="10"/>
  <c r="N545" i="10"/>
  <c r="T544" i="10"/>
  <c r="S544" i="10"/>
  <c r="R544" i="10"/>
  <c r="Q544" i="10"/>
  <c r="P544" i="10"/>
  <c r="O544" i="10"/>
  <c r="N544" i="10"/>
  <c r="T543" i="10"/>
  <c r="S543" i="10"/>
  <c r="R543" i="10"/>
  <c r="Q543" i="10"/>
  <c r="P543" i="10"/>
  <c r="O543" i="10"/>
  <c r="N543" i="10"/>
  <c r="T542" i="10"/>
  <c r="S542" i="10"/>
  <c r="R542" i="10"/>
  <c r="Q542" i="10"/>
  <c r="P542" i="10"/>
  <c r="O542" i="10"/>
  <c r="N542" i="10"/>
  <c r="T541" i="10"/>
  <c r="S541" i="10"/>
  <c r="R541" i="10"/>
  <c r="Q541" i="10"/>
  <c r="P541" i="10"/>
  <c r="O541" i="10"/>
  <c r="N541" i="10"/>
  <c r="T540" i="10"/>
  <c r="S540" i="10"/>
  <c r="R540" i="10"/>
  <c r="Q540" i="10"/>
  <c r="P540" i="10"/>
  <c r="O540" i="10"/>
  <c r="N540" i="10"/>
  <c r="T539" i="10"/>
  <c r="S539" i="10"/>
  <c r="R539" i="10"/>
  <c r="Q539" i="10"/>
  <c r="P539" i="10"/>
  <c r="O539" i="10"/>
  <c r="N539" i="10"/>
  <c r="T538" i="10"/>
  <c r="S538" i="10"/>
  <c r="R538" i="10"/>
  <c r="Q538" i="10"/>
  <c r="P538" i="10"/>
  <c r="O538" i="10"/>
  <c r="N538" i="10"/>
  <c r="T537" i="10"/>
  <c r="S537" i="10"/>
  <c r="R537" i="10"/>
  <c r="Q537" i="10"/>
  <c r="P537" i="10"/>
  <c r="O537" i="10"/>
  <c r="N537" i="10"/>
  <c r="T536" i="10"/>
  <c r="S536" i="10"/>
  <c r="R536" i="10"/>
  <c r="Q536" i="10"/>
  <c r="P536" i="10"/>
  <c r="O536" i="10"/>
  <c r="N536" i="10"/>
  <c r="T535" i="10"/>
  <c r="S535" i="10"/>
  <c r="R535" i="10"/>
  <c r="Q535" i="10"/>
  <c r="P535" i="10"/>
  <c r="O535" i="10"/>
  <c r="N535" i="10"/>
  <c r="T534" i="10"/>
  <c r="S534" i="10"/>
  <c r="R534" i="10"/>
  <c r="Q534" i="10"/>
  <c r="P534" i="10"/>
  <c r="O534" i="10"/>
  <c r="N534" i="10"/>
  <c r="T533" i="10"/>
  <c r="S533" i="10"/>
  <c r="R533" i="10"/>
  <c r="Q533" i="10"/>
  <c r="P533" i="10"/>
  <c r="O533" i="10"/>
  <c r="N533" i="10"/>
  <c r="T532" i="10"/>
  <c r="S532" i="10"/>
  <c r="R532" i="10"/>
  <c r="Q532" i="10"/>
  <c r="P532" i="10"/>
  <c r="O532" i="10"/>
  <c r="N532" i="10"/>
  <c r="T531" i="10"/>
  <c r="S531" i="10"/>
  <c r="R531" i="10"/>
  <c r="Q531" i="10"/>
  <c r="P531" i="10"/>
  <c r="O531" i="10"/>
  <c r="N531" i="10"/>
  <c r="T530" i="10"/>
  <c r="S530" i="10"/>
  <c r="R530" i="10"/>
  <c r="Q530" i="10"/>
  <c r="P530" i="10"/>
  <c r="O530" i="10"/>
  <c r="N530" i="10"/>
  <c r="T529" i="10"/>
  <c r="S529" i="10"/>
  <c r="R529" i="10"/>
  <c r="Q529" i="10"/>
  <c r="P529" i="10"/>
  <c r="O529" i="10"/>
  <c r="N529" i="10"/>
  <c r="T528" i="10"/>
  <c r="S528" i="10"/>
  <c r="R528" i="10"/>
  <c r="Q528" i="10"/>
  <c r="P528" i="10"/>
  <c r="O528" i="10"/>
  <c r="N528" i="10"/>
  <c r="T527" i="10"/>
  <c r="S527" i="10"/>
  <c r="R527" i="10"/>
  <c r="Q527" i="10"/>
  <c r="P527" i="10"/>
  <c r="O527" i="10"/>
  <c r="N527" i="10"/>
  <c r="T526" i="10"/>
  <c r="S526" i="10"/>
  <c r="R526" i="10"/>
  <c r="Q526" i="10"/>
  <c r="P526" i="10"/>
  <c r="O526" i="10"/>
  <c r="N526" i="10"/>
  <c r="T525" i="10"/>
  <c r="S525" i="10"/>
  <c r="R525" i="10"/>
  <c r="Q525" i="10"/>
  <c r="P525" i="10"/>
  <c r="O525" i="10"/>
  <c r="N525" i="10"/>
  <c r="T524" i="10"/>
  <c r="S524" i="10"/>
  <c r="R524" i="10"/>
  <c r="Q524" i="10"/>
  <c r="P524" i="10"/>
  <c r="O524" i="10"/>
  <c r="N524" i="10"/>
  <c r="T523" i="10"/>
  <c r="S523" i="10"/>
  <c r="R523" i="10"/>
  <c r="Q523" i="10"/>
  <c r="P523" i="10"/>
  <c r="O523" i="10"/>
  <c r="N523" i="10"/>
  <c r="T522" i="10"/>
  <c r="S522" i="10"/>
  <c r="R522" i="10"/>
  <c r="Q522" i="10"/>
  <c r="P522" i="10"/>
  <c r="O522" i="10"/>
  <c r="N522" i="10"/>
  <c r="T521" i="10"/>
  <c r="S521" i="10"/>
  <c r="R521" i="10"/>
  <c r="Q521" i="10"/>
  <c r="P521" i="10"/>
  <c r="O521" i="10"/>
  <c r="N521" i="10"/>
  <c r="T520" i="10"/>
  <c r="S520" i="10"/>
  <c r="R520" i="10"/>
  <c r="Q520" i="10"/>
  <c r="P520" i="10"/>
  <c r="O520" i="10"/>
  <c r="N520" i="10"/>
  <c r="T519" i="10"/>
  <c r="S519" i="10"/>
  <c r="R519" i="10"/>
  <c r="Q519" i="10"/>
  <c r="P519" i="10"/>
  <c r="O519" i="10"/>
  <c r="N519" i="10"/>
  <c r="T518" i="10"/>
  <c r="S518" i="10"/>
  <c r="R518" i="10"/>
  <c r="Q518" i="10"/>
  <c r="P518" i="10"/>
  <c r="O518" i="10"/>
  <c r="N518" i="10"/>
  <c r="T517" i="10"/>
  <c r="S517" i="10"/>
  <c r="R517" i="10"/>
  <c r="Q517" i="10"/>
  <c r="P517" i="10"/>
  <c r="O517" i="10"/>
  <c r="N517" i="10"/>
  <c r="T516" i="10"/>
  <c r="S516" i="10"/>
  <c r="R516" i="10"/>
  <c r="Q516" i="10"/>
  <c r="P516" i="10"/>
  <c r="O516" i="10"/>
  <c r="N516" i="10"/>
  <c r="T515" i="10"/>
  <c r="S515" i="10"/>
  <c r="R515" i="10"/>
  <c r="Q515" i="10"/>
  <c r="P515" i="10"/>
  <c r="O515" i="10"/>
  <c r="N515" i="10"/>
  <c r="T514" i="10"/>
  <c r="S514" i="10"/>
  <c r="R514" i="10"/>
  <c r="Q514" i="10"/>
  <c r="P514" i="10"/>
  <c r="O514" i="10"/>
  <c r="N514" i="10"/>
  <c r="T513" i="10"/>
  <c r="S513" i="10"/>
  <c r="R513" i="10"/>
  <c r="Q513" i="10"/>
  <c r="P513" i="10"/>
  <c r="O513" i="10"/>
  <c r="N513" i="10"/>
  <c r="T512" i="10"/>
  <c r="S512" i="10"/>
  <c r="R512" i="10"/>
  <c r="Q512" i="10"/>
  <c r="P512" i="10"/>
  <c r="O512" i="10"/>
  <c r="N512" i="10"/>
  <c r="T511" i="10"/>
  <c r="S511" i="10"/>
  <c r="R511" i="10"/>
  <c r="Q511" i="10"/>
  <c r="P511" i="10"/>
  <c r="O511" i="10"/>
  <c r="N511" i="10"/>
  <c r="T510" i="10"/>
  <c r="S510" i="10"/>
  <c r="R510" i="10"/>
  <c r="Q510" i="10"/>
  <c r="P510" i="10"/>
  <c r="O510" i="10"/>
  <c r="N510" i="10"/>
  <c r="T509" i="10"/>
  <c r="S509" i="10"/>
  <c r="R509" i="10"/>
  <c r="Q509" i="10"/>
  <c r="P509" i="10"/>
  <c r="O509" i="10"/>
  <c r="N509" i="10"/>
  <c r="T508" i="10"/>
  <c r="S508" i="10"/>
  <c r="R508" i="10"/>
  <c r="Q508" i="10"/>
  <c r="P508" i="10"/>
  <c r="O508" i="10"/>
  <c r="N508" i="10"/>
  <c r="T507" i="10"/>
  <c r="S507" i="10"/>
  <c r="R507" i="10"/>
  <c r="Q507" i="10"/>
  <c r="P507" i="10"/>
  <c r="O507" i="10"/>
  <c r="N507" i="10"/>
  <c r="T506" i="10"/>
  <c r="S506" i="10"/>
  <c r="R506" i="10"/>
  <c r="Q506" i="10"/>
  <c r="P506" i="10"/>
  <c r="O506" i="10"/>
  <c r="N506" i="10"/>
  <c r="T505" i="10"/>
  <c r="S505" i="10"/>
  <c r="R505" i="10"/>
  <c r="Q505" i="10"/>
  <c r="P505" i="10"/>
  <c r="O505" i="10"/>
  <c r="N505" i="10"/>
  <c r="T504" i="10"/>
  <c r="S504" i="10"/>
  <c r="R504" i="10"/>
  <c r="Q504" i="10"/>
  <c r="P504" i="10"/>
  <c r="O504" i="10"/>
  <c r="N504" i="10"/>
  <c r="T503" i="10"/>
  <c r="S503" i="10"/>
  <c r="R503" i="10"/>
  <c r="Q503" i="10"/>
  <c r="P503" i="10"/>
  <c r="O503" i="10"/>
  <c r="N503" i="10"/>
  <c r="T502" i="10"/>
  <c r="S502" i="10"/>
  <c r="R502" i="10"/>
  <c r="Q502" i="10"/>
  <c r="P502" i="10"/>
  <c r="O502" i="10"/>
  <c r="N502" i="10"/>
  <c r="T501" i="10"/>
  <c r="S501" i="10"/>
  <c r="R501" i="10"/>
  <c r="Q501" i="10"/>
  <c r="P501" i="10"/>
  <c r="O501" i="10"/>
  <c r="N501" i="10"/>
  <c r="T500" i="10"/>
  <c r="S500" i="10"/>
  <c r="R500" i="10"/>
  <c r="Q500" i="10"/>
  <c r="P500" i="10"/>
  <c r="O500" i="10"/>
  <c r="N500" i="10"/>
  <c r="T499" i="10"/>
  <c r="S499" i="10"/>
  <c r="R499" i="10"/>
  <c r="Q499" i="10"/>
  <c r="P499" i="10"/>
  <c r="O499" i="10"/>
  <c r="N499" i="10"/>
  <c r="T498" i="10"/>
  <c r="S498" i="10"/>
  <c r="R498" i="10"/>
  <c r="Q498" i="10"/>
  <c r="P498" i="10"/>
  <c r="O498" i="10"/>
  <c r="N498" i="10"/>
  <c r="T497" i="10"/>
  <c r="S497" i="10"/>
  <c r="R497" i="10"/>
  <c r="Q497" i="10"/>
  <c r="P497" i="10"/>
  <c r="O497" i="10"/>
  <c r="N497" i="10"/>
  <c r="T496" i="10"/>
  <c r="S496" i="10"/>
  <c r="R496" i="10"/>
  <c r="Q496" i="10"/>
  <c r="P496" i="10"/>
  <c r="O496" i="10"/>
  <c r="N496" i="10"/>
  <c r="T495" i="10"/>
  <c r="S495" i="10"/>
  <c r="R495" i="10"/>
  <c r="Q495" i="10"/>
  <c r="P495" i="10"/>
  <c r="O495" i="10"/>
  <c r="N495" i="10"/>
  <c r="T494" i="10"/>
  <c r="S494" i="10"/>
  <c r="R494" i="10"/>
  <c r="Q494" i="10"/>
  <c r="P494" i="10"/>
  <c r="O494" i="10"/>
  <c r="N494" i="10"/>
  <c r="T493" i="10"/>
  <c r="S493" i="10"/>
  <c r="R493" i="10"/>
  <c r="Q493" i="10"/>
  <c r="P493" i="10"/>
  <c r="O493" i="10"/>
  <c r="N493" i="10"/>
  <c r="T492" i="10"/>
  <c r="S492" i="10"/>
  <c r="R492" i="10"/>
  <c r="Q492" i="10"/>
  <c r="P492" i="10"/>
  <c r="O492" i="10"/>
  <c r="N492" i="10"/>
  <c r="T491" i="10"/>
  <c r="S491" i="10"/>
  <c r="R491" i="10"/>
  <c r="Q491" i="10"/>
  <c r="P491" i="10"/>
  <c r="O491" i="10"/>
  <c r="N491" i="10"/>
  <c r="T490" i="10"/>
  <c r="S490" i="10"/>
  <c r="R490" i="10"/>
  <c r="Q490" i="10"/>
  <c r="P490" i="10"/>
  <c r="O490" i="10"/>
  <c r="N490" i="10"/>
  <c r="T489" i="10"/>
  <c r="S489" i="10"/>
  <c r="R489" i="10"/>
  <c r="Q489" i="10"/>
  <c r="P489" i="10"/>
  <c r="O489" i="10"/>
  <c r="N489" i="10"/>
  <c r="T488" i="10"/>
  <c r="S488" i="10"/>
  <c r="R488" i="10"/>
  <c r="Q488" i="10"/>
  <c r="P488" i="10"/>
  <c r="O488" i="10"/>
  <c r="N488" i="10"/>
  <c r="T487" i="10"/>
  <c r="S487" i="10"/>
  <c r="R487" i="10"/>
  <c r="Q487" i="10"/>
  <c r="P487" i="10"/>
  <c r="O487" i="10"/>
  <c r="N487" i="10"/>
  <c r="T486" i="10"/>
  <c r="S486" i="10"/>
  <c r="R486" i="10"/>
  <c r="Q486" i="10"/>
  <c r="P486" i="10"/>
  <c r="O486" i="10"/>
  <c r="N486" i="10"/>
  <c r="T485" i="10"/>
  <c r="S485" i="10"/>
  <c r="R485" i="10"/>
  <c r="Q485" i="10"/>
  <c r="P485" i="10"/>
  <c r="O485" i="10"/>
  <c r="N485" i="10"/>
  <c r="T484" i="10"/>
  <c r="S484" i="10"/>
  <c r="R484" i="10"/>
  <c r="Q484" i="10"/>
  <c r="P484" i="10"/>
  <c r="O484" i="10"/>
  <c r="N484" i="10"/>
  <c r="T483" i="10"/>
  <c r="S483" i="10"/>
  <c r="R483" i="10"/>
  <c r="Q483" i="10"/>
  <c r="P483" i="10"/>
  <c r="O483" i="10"/>
  <c r="N483" i="10"/>
  <c r="T482" i="10"/>
  <c r="S482" i="10"/>
  <c r="R482" i="10"/>
  <c r="Q482" i="10"/>
  <c r="P482" i="10"/>
  <c r="O482" i="10"/>
  <c r="N482" i="10"/>
  <c r="T481" i="10"/>
  <c r="S481" i="10"/>
  <c r="R481" i="10"/>
  <c r="Q481" i="10"/>
  <c r="P481" i="10"/>
  <c r="O481" i="10"/>
  <c r="N481" i="10"/>
  <c r="T480" i="10"/>
  <c r="S480" i="10"/>
  <c r="R480" i="10"/>
  <c r="Q480" i="10"/>
  <c r="P480" i="10"/>
  <c r="O480" i="10"/>
  <c r="N480" i="10"/>
  <c r="T479" i="10"/>
  <c r="S479" i="10"/>
  <c r="R479" i="10"/>
  <c r="Q479" i="10"/>
  <c r="P479" i="10"/>
  <c r="O479" i="10"/>
  <c r="N479" i="10"/>
  <c r="T478" i="10"/>
  <c r="S478" i="10"/>
  <c r="R478" i="10"/>
  <c r="Q478" i="10"/>
  <c r="P478" i="10"/>
  <c r="O478" i="10"/>
  <c r="N478" i="10"/>
  <c r="T477" i="10"/>
  <c r="S477" i="10"/>
  <c r="R477" i="10"/>
  <c r="Q477" i="10"/>
  <c r="P477" i="10"/>
  <c r="O477" i="10"/>
  <c r="N477" i="10"/>
  <c r="T476" i="10"/>
  <c r="S476" i="10"/>
  <c r="R476" i="10"/>
  <c r="Q476" i="10"/>
  <c r="P476" i="10"/>
  <c r="O476" i="10"/>
  <c r="N476" i="10"/>
  <c r="T475" i="10"/>
  <c r="S475" i="10"/>
  <c r="R475" i="10"/>
  <c r="Q475" i="10"/>
  <c r="P475" i="10"/>
  <c r="O475" i="10"/>
  <c r="N475" i="10"/>
  <c r="T474" i="10"/>
  <c r="S474" i="10"/>
  <c r="R474" i="10"/>
  <c r="Q474" i="10"/>
  <c r="P474" i="10"/>
  <c r="O474" i="10"/>
  <c r="N474" i="10"/>
  <c r="T473" i="10"/>
  <c r="S473" i="10"/>
  <c r="R473" i="10"/>
  <c r="Q473" i="10"/>
  <c r="P473" i="10"/>
  <c r="O473" i="10"/>
  <c r="N473" i="10"/>
  <c r="T472" i="10"/>
  <c r="S472" i="10"/>
  <c r="R472" i="10"/>
  <c r="Q472" i="10"/>
  <c r="P472" i="10"/>
  <c r="O472" i="10"/>
  <c r="N472" i="10"/>
  <c r="T471" i="10"/>
  <c r="S471" i="10"/>
  <c r="R471" i="10"/>
  <c r="Q471" i="10"/>
  <c r="P471" i="10"/>
  <c r="O471" i="10"/>
  <c r="N471" i="10"/>
  <c r="T470" i="10"/>
  <c r="S470" i="10"/>
  <c r="R470" i="10"/>
  <c r="Q470" i="10"/>
  <c r="P470" i="10"/>
  <c r="O470" i="10"/>
  <c r="N470" i="10"/>
  <c r="T469" i="10"/>
  <c r="S469" i="10"/>
  <c r="R469" i="10"/>
  <c r="Q469" i="10"/>
  <c r="P469" i="10"/>
  <c r="O469" i="10"/>
  <c r="N469" i="10"/>
  <c r="T468" i="10"/>
  <c r="S468" i="10"/>
  <c r="R468" i="10"/>
  <c r="Q468" i="10"/>
  <c r="P468" i="10"/>
  <c r="O468" i="10"/>
  <c r="N468" i="10"/>
  <c r="T467" i="10"/>
  <c r="S467" i="10"/>
  <c r="R467" i="10"/>
  <c r="Q467" i="10"/>
  <c r="P467" i="10"/>
  <c r="O467" i="10"/>
  <c r="N467" i="10"/>
  <c r="T466" i="10"/>
  <c r="S466" i="10"/>
  <c r="R466" i="10"/>
  <c r="Q466" i="10"/>
  <c r="P466" i="10"/>
  <c r="O466" i="10"/>
  <c r="N466" i="10"/>
  <c r="T465" i="10"/>
  <c r="S465" i="10"/>
  <c r="R465" i="10"/>
  <c r="Q465" i="10"/>
  <c r="P465" i="10"/>
  <c r="O465" i="10"/>
  <c r="N465" i="10"/>
  <c r="T464" i="10"/>
  <c r="S464" i="10"/>
  <c r="R464" i="10"/>
  <c r="Q464" i="10"/>
  <c r="P464" i="10"/>
  <c r="O464" i="10"/>
  <c r="N464" i="10"/>
  <c r="T463" i="10"/>
  <c r="S463" i="10"/>
  <c r="R463" i="10"/>
  <c r="Q463" i="10"/>
  <c r="P463" i="10"/>
  <c r="O463" i="10"/>
  <c r="N463" i="10"/>
  <c r="T462" i="10"/>
  <c r="S462" i="10"/>
  <c r="R462" i="10"/>
  <c r="Q462" i="10"/>
  <c r="P462" i="10"/>
  <c r="O462" i="10"/>
  <c r="N462" i="10"/>
  <c r="T461" i="10"/>
  <c r="S461" i="10"/>
  <c r="R461" i="10"/>
  <c r="Q461" i="10"/>
  <c r="P461" i="10"/>
  <c r="O461" i="10"/>
  <c r="N461" i="10"/>
  <c r="T460" i="10"/>
  <c r="S460" i="10"/>
  <c r="R460" i="10"/>
  <c r="Q460" i="10"/>
  <c r="P460" i="10"/>
  <c r="O460" i="10"/>
  <c r="N460" i="10"/>
  <c r="T459" i="10"/>
  <c r="S459" i="10"/>
  <c r="R459" i="10"/>
  <c r="Q459" i="10"/>
  <c r="P459" i="10"/>
  <c r="O459" i="10"/>
  <c r="N459" i="10"/>
  <c r="T458" i="10"/>
  <c r="S458" i="10"/>
  <c r="R458" i="10"/>
  <c r="Q458" i="10"/>
  <c r="P458" i="10"/>
  <c r="O458" i="10"/>
  <c r="N458" i="10"/>
  <c r="T457" i="10"/>
  <c r="S457" i="10"/>
  <c r="R457" i="10"/>
  <c r="Q457" i="10"/>
  <c r="P457" i="10"/>
  <c r="O457" i="10"/>
  <c r="N457" i="10"/>
  <c r="T456" i="10"/>
  <c r="S456" i="10"/>
  <c r="R456" i="10"/>
  <c r="Q456" i="10"/>
  <c r="P456" i="10"/>
  <c r="O456" i="10"/>
  <c r="N456" i="10"/>
  <c r="T455" i="10"/>
  <c r="S455" i="10"/>
  <c r="R455" i="10"/>
  <c r="Q455" i="10"/>
  <c r="P455" i="10"/>
  <c r="O455" i="10"/>
  <c r="N455" i="10"/>
  <c r="T454" i="10"/>
  <c r="S454" i="10"/>
  <c r="R454" i="10"/>
  <c r="Q454" i="10"/>
  <c r="P454" i="10"/>
  <c r="O454" i="10"/>
  <c r="N454" i="10"/>
  <c r="T453" i="10"/>
  <c r="S453" i="10"/>
  <c r="R453" i="10"/>
  <c r="Q453" i="10"/>
  <c r="P453" i="10"/>
  <c r="O453" i="10"/>
  <c r="N453" i="10"/>
  <c r="T452" i="10"/>
  <c r="S452" i="10"/>
  <c r="R452" i="10"/>
  <c r="Q452" i="10"/>
  <c r="P452" i="10"/>
  <c r="O452" i="10"/>
  <c r="N452" i="10"/>
  <c r="T451" i="10"/>
  <c r="S451" i="10"/>
  <c r="R451" i="10"/>
  <c r="Q451" i="10"/>
  <c r="P451" i="10"/>
  <c r="O451" i="10"/>
  <c r="N451" i="10"/>
  <c r="T450" i="10"/>
  <c r="S450" i="10"/>
  <c r="R450" i="10"/>
  <c r="Q450" i="10"/>
  <c r="P450" i="10"/>
  <c r="O450" i="10"/>
  <c r="N450" i="10"/>
  <c r="T449" i="10"/>
  <c r="S449" i="10"/>
  <c r="R449" i="10"/>
  <c r="Q449" i="10"/>
  <c r="P449" i="10"/>
  <c r="O449" i="10"/>
  <c r="N449" i="10"/>
  <c r="T448" i="10"/>
  <c r="S448" i="10"/>
  <c r="R448" i="10"/>
  <c r="Q448" i="10"/>
  <c r="P448" i="10"/>
  <c r="O448" i="10"/>
  <c r="N448" i="10"/>
  <c r="T447" i="10"/>
  <c r="S447" i="10"/>
  <c r="R447" i="10"/>
  <c r="Q447" i="10"/>
  <c r="P447" i="10"/>
  <c r="O447" i="10"/>
  <c r="N447" i="10"/>
  <c r="T446" i="10"/>
  <c r="S446" i="10"/>
  <c r="R446" i="10"/>
  <c r="Q446" i="10"/>
  <c r="P446" i="10"/>
  <c r="O446" i="10"/>
  <c r="N446" i="10"/>
  <c r="T445" i="10"/>
  <c r="S445" i="10"/>
  <c r="R445" i="10"/>
  <c r="Q445" i="10"/>
  <c r="P445" i="10"/>
  <c r="O445" i="10"/>
  <c r="N445" i="10"/>
  <c r="T444" i="10"/>
  <c r="S444" i="10"/>
  <c r="R444" i="10"/>
  <c r="Q444" i="10"/>
  <c r="P444" i="10"/>
  <c r="O444" i="10"/>
  <c r="N444" i="10"/>
  <c r="T443" i="10"/>
  <c r="S443" i="10"/>
  <c r="R443" i="10"/>
  <c r="Q443" i="10"/>
  <c r="P443" i="10"/>
  <c r="O443" i="10"/>
  <c r="N443" i="10"/>
  <c r="T442" i="10"/>
  <c r="S442" i="10"/>
  <c r="R442" i="10"/>
  <c r="Q442" i="10"/>
  <c r="P442" i="10"/>
  <c r="O442" i="10"/>
  <c r="N442" i="10"/>
  <c r="T441" i="10"/>
  <c r="S441" i="10"/>
  <c r="R441" i="10"/>
  <c r="Q441" i="10"/>
  <c r="P441" i="10"/>
  <c r="O441" i="10"/>
  <c r="N441" i="10"/>
  <c r="T440" i="10"/>
  <c r="S440" i="10"/>
  <c r="R440" i="10"/>
  <c r="Q440" i="10"/>
  <c r="P440" i="10"/>
  <c r="O440" i="10"/>
  <c r="N440" i="10"/>
  <c r="T439" i="10"/>
  <c r="S439" i="10"/>
  <c r="R439" i="10"/>
  <c r="Q439" i="10"/>
  <c r="P439" i="10"/>
  <c r="O439" i="10"/>
  <c r="N439" i="10"/>
  <c r="T438" i="10"/>
  <c r="S438" i="10"/>
  <c r="R438" i="10"/>
  <c r="Q438" i="10"/>
  <c r="P438" i="10"/>
  <c r="O438" i="10"/>
  <c r="N438" i="10"/>
  <c r="T437" i="10"/>
  <c r="S437" i="10"/>
  <c r="R437" i="10"/>
  <c r="Q437" i="10"/>
  <c r="P437" i="10"/>
  <c r="O437" i="10"/>
  <c r="N437" i="10"/>
  <c r="T436" i="10"/>
  <c r="S436" i="10"/>
  <c r="R436" i="10"/>
  <c r="Q436" i="10"/>
  <c r="P436" i="10"/>
  <c r="O436" i="10"/>
  <c r="N436" i="10"/>
  <c r="T435" i="10"/>
  <c r="S435" i="10"/>
  <c r="R435" i="10"/>
  <c r="Q435" i="10"/>
  <c r="P435" i="10"/>
  <c r="O435" i="10"/>
  <c r="N435" i="10"/>
  <c r="T434" i="10"/>
  <c r="S434" i="10"/>
  <c r="R434" i="10"/>
  <c r="Q434" i="10"/>
  <c r="P434" i="10"/>
  <c r="O434" i="10"/>
  <c r="N434" i="10"/>
  <c r="T433" i="10"/>
  <c r="S433" i="10"/>
  <c r="R433" i="10"/>
  <c r="Q433" i="10"/>
  <c r="P433" i="10"/>
  <c r="O433" i="10"/>
  <c r="N433" i="10"/>
  <c r="T432" i="10"/>
  <c r="S432" i="10"/>
  <c r="R432" i="10"/>
  <c r="Q432" i="10"/>
  <c r="P432" i="10"/>
  <c r="O432" i="10"/>
  <c r="N432" i="10"/>
  <c r="T431" i="10"/>
  <c r="S431" i="10"/>
  <c r="R431" i="10"/>
  <c r="Q431" i="10"/>
  <c r="P431" i="10"/>
  <c r="O431" i="10"/>
  <c r="N431" i="10"/>
  <c r="T430" i="10"/>
  <c r="S430" i="10"/>
  <c r="R430" i="10"/>
  <c r="Q430" i="10"/>
  <c r="P430" i="10"/>
  <c r="O430" i="10"/>
  <c r="N430" i="10"/>
  <c r="T429" i="10"/>
  <c r="S429" i="10"/>
  <c r="R429" i="10"/>
  <c r="Q429" i="10"/>
  <c r="P429" i="10"/>
  <c r="O429" i="10"/>
  <c r="N429" i="10"/>
  <c r="T428" i="10"/>
  <c r="S428" i="10"/>
  <c r="R428" i="10"/>
  <c r="Q428" i="10"/>
  <c r="P428" i="10"/>
  <c r="O428" i="10"/>
  <c r="N428" i="10"/>
  <c r="T427" i="10"/>
  <c r="S427" i="10"/>
  <c r="R427" i="10"/>
  <c r="Q427" i="10"/>
  <c r="P427" i="10"/>
  <c r="O427" i="10"/>
  <c r="N427" i="10"/>
  <c r="T426" i="10"/>
  <c r="S426" i="10"/>
  <c r="R426" i="10"/>
  <c r="Q426" i="10"/>
  <c r="P426" i="10"/>
  <c r="O426" i="10"/>
  <c r="N426" i="10"/>
  <c r="T425" i="10"/>
  <c r="S425" i="10"/>
  <c r="R425" i="10"/>
  <c r="Q425" i="10"/>
  <c r="P425" i="10"/>
  <c r="O425" i="10"/>
  <c r="N425" i="10"/>
  <c r="T424" i="10"/>
  <c r="S424" i="10"/>
  <c r="R424" i="10"/>
  <c r="Q424" i="10"/>
  <c r="P424" i="10"/>
  <c r="O424" i="10"/>
  <c r="N424" i="10"/>
  <c r="T423" i="10"/>
  <c r="S423" i="10"/>
  <c r="R423" i="10"/>
  <c r="Q423" i="10"/>
  <c r="P423" i="10"/>
  <c r="O423" i="10"/>
  <c r="N423" i="10"/>
  <c r="T422" i="10"/>
  <c r="S422" i="10"/>
  <c r="R422" i="10"/>
  <c r="Q422" i="10"/>
  <c r="P422" i="10"/>
  <c r="O422" i="10"/>
  <c r="N422" i="10"/>
  <c r="T421" i="10"/>
  <c r="S421" i="10"/>
  <c r="R421" i="10"/>
  <c r="Q421" i="10"/>
  <c r="P421" i="10"/>
  <c r="O421" i="10"/>
  <c r="N421" i="10"/>
  <c r="T420" i="10"/>
  <c r="S420" i="10"/>
  <c r="R420" i="10"/>
  <c r="Q420" i="10"/>
  <c r="P420" i="10"/>
  <c r="O420" i="10"/>
  <c r="N420" i="10"/>
  <c r="T419" i="10"/>
  <c r="S419" i="10"/>
  <c r="R419" i="10"/>
  <c r="Q419" i="10"/>
  <c r="P419" i="10"/>
  <c r="O419" i="10"/>
  <c r="N419" i="10"/>
  <c r="T418" i="10"/>
  <c r="S418" i="10"/>
  <c r="R418" i="10"/>
  <c r="Q418" i="10"/>
  <c r="P418" i="10"/>
  <c r="O418" i="10"/>
  <c r="N418" i="10"/>
  <c r="T417" i="10"/>
  <c r="S417" i="10"/>
  <c r="R417" i="10"/>
  <c r="Q417" i="10"/>
  <c r="P417" i="10"/>
  <c r="O417" i="10"/>
  <c r="N417" i="10"/>
  <c r="T416" i="10"/>
  <c r="S416" i="10"/>
  <c r="R416" i="10"/>
  <c r="Q416" i="10"/>
  <c r="P416" i="10"/>
  <c r="O416" i="10"/>
  <c r="N416" i="10"/>
  <c r="T415" i="10"/>
  <c r="S415" i="10"/>
  <c r="R415" i="10"/>
  <c r="Q415" i="10"/>
  <c r="P415" i="10"/>
  <c r="O415" i="10"/>
  <c r="N415" i="10"/>
  <c r="T414" i="10"/>
  <c r="S414" i="10"/>
  <c r="R414" i="10"/>
  <c r="Q414" i="10"/>
  <c r="P414" i="10"/>
  <c r="O414" i="10"/>
  <c r="N414" i="10"/>
  <c r="T413" i="10"/>
  <c r="S413" i="10"/>
  <c r="R413" i="10"/>
  <c r="Q413" i="10"/>
  <c r="P413" i="10"/>
  <c r="O413" i="10"/>
  <c r="N413" i="10"/>
  <c r="T412" i="10"/>
  <c r="S412" i="10"/>
  <c r="R412" i="10"/>
  <c r="Q412" i="10"/>
  <c r="P412" i="10"/>
  <c r="O412" i="10"/>
  <c r="N412" i="10"/>
  <c r="T411" i="10"/>
  <c r="S411" i="10"/>
  <c r="R411" i="10"/>
  <c r="Q411" i="10"/>
  <c r="P411" i="10"/>
  <c r="O411" i="10"/>
  <c r="N411" i="10"/>
  <c r="T410" i="10"/>
  <c r="S410" i="10"/>
  <c r="R410" i="10"/>
  <c r="Q410" i="10"/>
  <c r="P410" i="10"/>
  <c r="O410" i="10"/>
  <c r="N410" i="10"/>
  <c r="T409" i="10"/>
  <c r="S409" i="10"/>
  <c r="R409" i="10"/>
  <c r="Q409" i="10"/>
  <c r="P409" i="10"/>
  <c r="O409" i="10"/>
  <c r="N409" i="10"/>
  <c r="T408" i="10"/>
  <c r="S408" i="10"/>
  <c r="R408" i="10"/>
  <c r="Q408" i="10"/>
  <c r="P408" i="10"/>
  <c r="O408" i="10"/>
  <c r="N408" i="10"/>
  <c r="T407" i="10"/>
  <c r="S407" i="10"/>
  <c r="R407" i="10"/>
  <c r="Q407" i="10"/>
  <c r="P407" i="10"/>
  <c r="O407" i="10"/>
  <c r="N407" i="10"/>
  <c r="T406" i="10"/>
  <c r="S406" i="10"/>
  <c r="R406" i="10"/>
  <c r="Q406" i="10"/>
  <c r="P406" i="10"/>
  <c r="O406" i="10"/>
  <c r="N406" i="10"/>
  <c r="T405" i="10"/>
  <c r="S405" i="10"/>
  <c r="R405" i="10"/>
  <c r="Q405" i="10"/>
  <c r="P405" i="10"/>
  <c r="O405" i="10"/>
  <c r="N405" i="10"/>
  <c r="T404" i="10"/>
  <c r="S404" i="10"/>
  <c r="R404" i="10"/>
  <c r="Q404" i="10"/>
  <c r="P404" i="10"/>
  <c r="O404" i="10"/>
  <c r="N404" i="10"/>
  <c r="T403" i="10"/>
  <c r="S403" i="10"/>
  <c r="R403" i="10"/>
  <c r="Q403" i="10"/>
  <c r="P403" i="10"/>
  <c r="O403" i="10"/>
  <c r="N403" i="10"/>
  <c r="T402" i="10"/>
  <c r="S402" i="10"/>
  <c r="R402" i="10"/>
  <c r="Q402" i="10"/>
  <c r="P402" i="10"/>
  <c r="O402" i="10"/>
  <c r="N402" i="10"/>
  <c r="T401" i="10"/>
  <c r="S401" i="10"/>
  <c r="R401" i="10"/>
  <c r="Q401" i="10"/>
  <c r="P401" i="10"/>
  <c r="O401" i="10"/>
  <c r="N401" i="10"/>
  <c r="T400" i="10"/>
  <c r="S400" i="10"/>
  <c r="R400" i="10"/>
  <c r="Q400" i="10"/>
  <c r="P400" i="10"/>
  <c r="O400" i="10"/>
  <c r="N400" i="10"/>
  <c r="T399" i="10"/>
  <c r="S399" i="10"/>
  <c r="R399" i="10"/>
  <c r="Q399" i="10"/>
  <c r="P399" i="10"/>
  <c r="O399" i="10"/>
  <c r="N399" i="10"/>
  <c r="T398" i="10"/>
  <c r="S398" i="10"/>
  <c r="R398" i="10"/>
  <c r="Q398" i="10"/>
  <c r="P398" i="10"/>
  <c r="O398" i="10"/>
  <c r="N398" i="10"/>
  <c r="T397" i="10"/>
  <c r="S397" i="10"/>
  <c r="R397" i="10"/>
  <c r="Q397" i="10"/>
  <c r="P397" i="10"/>
  <c r="O397" i="10"/>
  <c r="N397" i="10"/>
  <c r="T396" i="10"/>
  <c r="S396" i="10"/>
  <c r="R396" i="10"/>
  <c r="Q396" i="10"/>
  <c r="P396" i="10"/>
  <c r="O396" i="10"/>
  <c r="N396" i="10"/>
  <c r="T395" i="10"/>
  <c r="S395" i="10"/>
  <c r="R395" i="10"/>
  <c r="Q395" i="10"/>
  <c r="P395" i="10"/>
  <c r="O395" i="10"/>
  <c r="N395" i="10"/>
  <c r="T394" i="10"/>
  <c r="S394" i="10"/>
  <c r="R394" i="10"/>
  <c r="Q394" i="10"/>
  <c r="P394" i="10"/>
  <c r="O394" i="10"/>
  <c r="N394" i="10"/>
  <c r="T393" i="10"/>
  <c r="S393" i="10"/>
  <c r="R393" i="10"/>
  <c r="Q393" i="10"/>
  <c r="P393" i="10"/>
  <c r="O393" i="10"/>
  <c r="N393" i="10"/>
  <c r="T392" i="10"/>
  <c r="S392" i="10"/>
  <c r="R392" i="10"/>
  <c r="Q392" i="10"/>
  <c r="P392" i="10"/>
  <c r="O392" i="10"/>
  <c r="N392" i="10"/>
  <c r="T391" i="10"/>
  <c r="S391" i="10"/>
  <c r="R391" i="10"/>
  <c r="Q391" i="10"/>
  <c r="P391" i="10"/>
  <c r="O391" i="10"/>
  <c r="N391" i="10"/>
  <c r="T390" i="10"/>
  <c r="S390" i="10"/>
  <c r="R390" i="10"/>
  <c r="Q390" i="10"/>
  <c r="P390" i="10"/>
  <c r="O390" i="10"/>
  <c r="N390" i="10"/>
  <c r="T389" i="10"/>
  <c r="S389" i="10"/>
  <c r="R389" i="10"/>
  <c r="Q389" i="10"/>
  <c r="P389" i="10"/>
  <c r="O389" i="10"/>
  <c r="N389" i="10"/>
  <c r="T388" i="10"/>
  <c r="S388" i="10"/>
  <c r="R388" i="10"/>
  <c r="Q388" i="10"/>
  <c r="P388" i="10"/>
  <c r="O388" i="10"/>
  <c r="N388" i="10"/>
  <c r="T387" i="10"/>
  <c r="S387" i="10"/>
  <c r="R387" i="10"/>
  <c r="Q387" i="10"/>
  <c r="P387" i="10"/>
  <c r="O387" i="10"/>
  <c r="N387" i="10"/>
  <c r="T386" i="10"/>
  <c r="S386" i="10"/>
  <c r="R386" i="10"/>
  <c r="Q386" i="10"/>
  <c r="P386" i="10"/>
  <c r="O386" i="10"/>
  <c r="N386" i="10"/>
  <c r="T385" i="10"/>
  <c r="S385" i="10"/>
  <c r="R385" i="10"/>
  <c r="Q385" i="10"/>
  <c r="P385" i="10"/>
  <c r="O385" i="10"/>
  <c r="N385" i="10"/>
  <c r="T384" i="10"/>
  <c r="S384" i="10"/>
  <c r="R384" i="10"/>
  <c r="Q384" i="10"/>
  <c r="P384" i="10"/>
  <c r="O384" i="10"/>
  <c r="N384" i="10"/>
  <c r="T383" i="10"/>
  <c r="S383" i="10"/>
  <c r="R383" i="10"/>
  <c r="Q383" i="10"/>
  <c r="P383" i="10"/>
  <c r="O383" i="10"/>
  <c r="N383" i="10"/>
  <c r="T382" i="10"/>
  <c r="S382" i="10"/>
  <c r="R382" i="10"/>
  <c r="Q382" i="10"/>
  <c r="P382" i="10"/>
  <c r="O382" i="10"/>
  <c r="N382" i="10"/>
  <c r="T381" i="10"/>
  <c r="S381" i="10"/>
  <c r="R381" i="10"/>
  <c r="Q381" i="10"/>
  <c r="P381" i="10"/>
  <c r="O381" i="10"/>
  <c r="N381" i="10"/>
  <c r="T380" i="10"/>
  <c r="S380" i="10"/>
  <c r="R380" i="10"/>
  <c r="Q380" i="10"/>
  <c r="P380" i="10"/>
  <c r="O380" i="10"/>
  <c r="N380" i="10"/>
  <c r="T379" i="10"/>
  <c r="S379" i="10"/>
  <c r="R379" i="10"/>
  <c r="Q379" i="10"/>
  <c r="P379" i="10"/>
  <c r="O379" i="10"/>
  <c r="N379" i="10"/>
  <c r="T378" i="10"/>
  <c r="S378" i="10"/>
  <c r="R378" i="10"/>
  <c r="Q378" i="10"/>
  <c r="P378" i="10"/>
  <c r="O378" i="10"/>
  <c r="N378" i="10"/>
  <c r="T377" i="10"/>
  <c r="S377" i="10"/>
  <c r="R377" i="10"/>
  <c r="Q377" i="10"/>
  <c r="P377" i="10"/>
  <c r="O377" i="10"/>
  <c r="N377" i="10"/>
  <c r="T376" i="10"/>
  <c r="S376" i="10"/>
  <c r="R376" i="10"/>
  <c r="Q376" i="10"/>
  <c r="P376" i="10"/>
  <c r="O376" i="10"/>
  <c r="N376" i="10"/>
  <c r="T375" i="10"/>
  <c r="S375" i="10"/>
  <c r="R375" i="10"/>
  <c r="Q375" i="10"/>
  <c r="P375" i="10"/>
  <c r="O375" i="10"/>
  <c r="N375" i="10"/>
  <c r="T374" i="10"/>
  <c r="S374" i="10"/>
  <c r="R374" i="10"/>
  <c r="Q374" i="10"/>
  <c r="P374" i="10"/>
  <c r="O374" i="10"/>
  <c r="N374" i="10"/>
  <c r="T373" i="10"/>
  <c r="S373" i="10"/>
  <c r="R373" i="10"/>
  <c r="Q373" i="10"/>
  <c r="P373" i="10"/>
  <c r="O373" i="10"/>
  <c r="N373" i="10"/>
  <c r="T372" i="10"/>
  <c r="S372" i="10"/>
  <c r="R372" i="10"/>
  <c r="Q372" i="10"/>
  <c r="P372" i="10"/>
  <c r="O372" i="10"/>
  <c r="N372" i="10"/>
  <c r="T371" i="10"/>
  <c r="S371" i="10"/>
  <c r="R371" i="10"/>
  <c r="Q371" i="10"/>
  <c r="P371" i="10"/>
  <c r="O371" i="10"/>
  <c r="N371" i="10"/>
  <c r="T370" i="10"/>
  <c r="S370" i="10"/>
  <c r="R370" i="10"/>
  <c r="Q370" i="10"/>
  <c r="P370" i="10"/>
  <c r="O370" i="10"/>
  <c r="N370" i="10"/>
  <c r="T369" i="10"/>
  <c r="S369" i="10"/>
  <c r="R369" i="10"/>
  <c r="Q369" i="10"/>
  <c r="P369" i="10"/>
  <c r="O369" i="10"/>
  <c r="N369" i="10"/>
  <c r="T368" i="10"/>
  <c r="S368" i="10"/>
  <c r="R368" i="10"/>
  <c r="Q368" i="10"/>
  <c r="P368" i="10"/>
  <c r="O368" i="10"/>
  <c r="N368" i="10"/>
  <c r="T367" i="10"/>
  <c r="S367" i="10"/>
  <c r="R367" i="10"/>
  <c r="Q367" i="10"/>
  <c r="P367" i="10"/>
  <c r="O367" i="10"/>
  <c r="N367" i="10"/>
  <c r="T366" i="10"/>
  <c r="S366" i="10"/>
  <c r="R366" i="10"/>
  <c r="Q366" i="10"/>
  <c r="P366" i="10"/>
  <c r="O366" i="10"/>
  <c r="N366" i="10"/>
  <c r="T365" i="10"/>
  <c r="S365" i="10"/>
  <c r="R365" i="10"/>
  <c r="Q365" i="10"/>
  <c r="P365" i="10"/>
  <c r="O365" i="10"/>
  <c r="N365" i="10"/>
  <c r="T364" i="10"/>
  <c r="S364" i="10"/>
  <c r="R364" i="10"/>
  <c r="Q364" i="10"/>
  <c r="P364" i="10"/>
  <c r="O364" i="10"/>
  <c r="N364" i="10"/>
  <c r="T363" i="10"/>
  <c r="S363" i="10"/>
  <c r="R363" i="10"/>
  <c r="Q363" i="10"/>
  <c r="P363" i="10"/>
  <c r="O363" i="10"/>
  <c r="N363" i="10"/>
  <c r="T362" i="10"/>
  <c r="S362" i="10"/>
  <c r="R362" i="10"/>
  <c r="Q362" i="10"/>
  <c r="P362" i="10"/>
  <c r="O362" i="10"/>
  <c r="N362" i="10"/>
  <c r="T361" i="10"/>
  <c r="S361" i="10"/>
  <c r="R361" i="10"/>
  <c r="Q361" i="10"/>
  <c r="P361" i="10"/>
  <c r="O361" i="10"/>
  <c r="N361" i="10"/>
  <c r="T360" i="10"/>
  <c r="S360" i="10"/>
  <c r="R360" i="10"/>
  <c r="Q360" i="10"/>
  <c r="P360" i="10"/>
  <c r="O360" i="10"/>
  <c r="N360" i="10"/>
  <c r="T359" i="10"/>
  <c r="S359" i="10"/>
  <c r="R359" i="10"/>
  <c r="Q359" i="10"/>
  <c r="P359" i="10"/>
  <c r="O359" i="10"/>
  <c r="N359" i="10"/>
  <c r="T358" i="10"/>
  <c r="S358" i="10"/>
  <c r="R358" i="10"/>
  <c r="Q358" i="10"/>
  <c r="P358" i="10"/>
  <c r="O358" i="10"/>
  <c r="N358" i="10"/>
  <c r="T357" i="10"/>
  <c r="S357" i="10"/>
  <c r="R357" i="10"/>
  <c r="Q357" i="10"/>
  <c r="P357" i="10"/>
  <c r="O357" i="10"/>
  <c r="N357" i="10"/>
  <c r="T356" i="10"/>
  <c r="S356" i="10"/>
  <c r="R356" i="10"/>
  <c r="Q356" i="10"/>
  <c r="P356" i="10"/>
  <c r="O356" i="10"/>
  <c r="N356" i="10"/>
  <c r="T355" i="10"/>
  <c r="S355" i="10"/>
  <c r="R355" i="10"/>
  <c r="Q355" i="10"/>
  <c r="P355" i="10"/>
  <c r="O355" i="10"/>
  <c r="N355" i="10"/>
  <c r="T354" i="10"/>
  <c r="S354" i="10"/>
  <c r="R354" i="10"/>
  <c r="Q354" i="10"/>
  <c r="P354" i="10"/>
  <c r="O354" i="10"/>
  <c r="N354" i="10"/>
  <c r="T353" i="10"/>
  <c r="S353" i="10"/>
  <c r="R353" i="10"/>
  <c r="Q353" i="10"/>
  <c r="P353" i="10"/>
  <c r="O353" i="10"/>
  <c r="N353" i="10"/>
  <c r="T352" i="10"/>
  <c r="S352" i="10"/>
  <c r="R352" i="10"/>
  <c r="Q352" i="10"/>
  <c r="P352" i="10"/>
  <c r="O352" i="10"/>
  <c r="N352" i="10"/>
  <c r="T351" i="10"/>
  <c r="S351" i="10"/>
  <c r="R351" i="10"/>
  <c r="Q351" i="10"/>
  <c r="P351" i="10"/>
  <c r="O351" i="10"/>
  <c r="N351" i="10"/>
  <c r="T350" i="10"/>
  <c r="S350" i="10"/>
  <c r="R350" i="10"/>
  <c r="Q350" i="10"/>
  <c r="P350" i="10"/>
  <c r="O350" i="10"/>
  <c r="N350" i="10"/>
  <c r="T349" i="10"/>
  <c r="S349" i="10"/>
  <c r="R349" i="10"/>
  <c r="Q349" i="10"/>
  <c r="P349" i="10"/>
  <c r="O349" i="10"/>
  <c r="N349" i="10"/>
  <c r="T348" i="10"/>
  <c r="S348" i="10"/>
  <c r="R348" i="10"/>
  <c r="Q348" i="10"/>
  <c r="P348" i="10"/>
  <c r="O348" i="10"/>
  <c r="N348" i="10"/>
  <c r="T347" i="10"/>
  <c r="S347" i="10"/>
  <c r="R347" i="10"/>
  <c r="Q347" i="10"/>
  <c r="P347" i="10"/>
  <c r="O347" i="10"/>
  <c r="N347" i="10"/>
  <c r="T346" i="10"/>
  <c r="S346" i="10"/>
  <c r="R346" i="10"/>
  <c r="Q346" i="10"/>
  <c r="P346" i="10"/>
  <c r="O346" i="10"/>
  <c r="N346" i="10"/>
  <c r="T345" i="10"/>
  <c r="S345" i="10"/>
  <c r="R345" i="10"/>
  <c r="Q345" i="10"/>
  <c r="P345" i="10"/>
  <c r="O345" i="10"/>
  <c r="N345" i="10"/>
  <c r="T344" i="10"/>
  <c r="S344" i="10"/>
  <c r="R344" i="10"/>
  <c r="Q344" i="10"/>
  <c r="P344" i="10"/>
  <c r="O344" i="10"/>
  <c r="N344" i="10"/>
  <c r="T343" i="10"/>
  <c r="S343" i="10"/>
  <c r="R343" i="10"/>
  <c r="Q343" i="10"/>
  <c r="P343" i="10"/>
  <c r="O343" i="10"/>
  <c r="N343" i="10"/>
  <c r="T342" i="10"/>
  <c r="S342" i="10"/>
  <c r="R342" i="10"/>
  <c r="Q342" i="10"/>
  <c r="P342" i="10"/>
  <c r="O342" i="10"/>
  <c r="N342" i="10"/>
  <c r="T341" i="10"/>
  <c r="S341" i="10"/>
  <c r="R341" i="10"/>
  <c r="Q341" i="10"/>
  <c r="P341" i="10"/>
  <c r="O341" i="10"/>
  <c r="N341" i="10"/>
  <c r="T340" i="10"/>
  <c r="S340" i="10"/>
  <c r="R340" i="10"/>
  <c r="Q340" i="10"/>
  <c r="P340" i="10"/>
  <c r="O340" i="10"/>
  <c r="N340" i="10"/>
  <c r="T339" i="10"/>
  <c r="S339" i="10"/>
  <c r="R339" i="10"/>
  <c r="Q339" i="10"/>
  <c r="P339" i="10"/>
  <c r="O339" i="10"/>
  <c r="N339" i="10"/>
  <c r="T338" i="10"/>
  <c r="S338" i="10"/>
  <c r="R338" i="10"/>
  <c r="Q338" i="10"/>
  <c r="P338" i="10"/>
  <c r="O338" i="10"/>
  <c r="N338" i="10"/>
  <c r="T337" i="10"/>
  <c r="S337" i="10"/>
  <c r="R337" i="10"/>
  <c r="Q337" i="10"/>
  <c r="P337" i="10"/>
  <c r="O337" i="10"/>
  <c r="N337" i="10"/>
  <c r="T336" i="10"/>
  <c r="S336" i="10"/>
  <c r="R336" i="10"/>
  <c r="Q336" i="10"/>
  <c r="P336" i="10"/>
  <c r="O336" i="10"/>
  <c r="N336" i="10"/>
  <c r="T335" i="10"/>
  <c r="S335" i="10"/>
  <c r="R335" i="10"/>
  <c r="Q335" i="10"/>
  <c r="P335" i="10"/>
  <c r="O335" i="10"/>
  <c r="N335" i="10"/>
  <c r="T334" i="10"/>
  <c r="S334" i="10"/>
  <c r="R334" i="10"/>
  <c r="Q334" i="10"/>
  <c r="P334" i="10"/>
  <c r="O334" i="10"/>
  <c r="N334" i="10"/>
  <c r="T333" i="10"/>
  <c r="S333" i="10"/>
  <c r="R333" i="10"/>
  <c r="Q333" i="10"/>
  <c r="P333" i="10"/>
  <c r="O333" i="10"/>
  <c r="N333" i="10"/>
  <c r="T332" i="10"/>
  <c r="S332" i="10"/>
  <c r="R332" i="10"/>
  <c r="Q332" i="10"/>
  <c r="P332" i="10"/>
  <c r="O332" i="10"/>
  <c r="N332" i="10"/>
  <c r="T331" i="10"/>
  <c r="S331" i="10"/>
  <c r="R331" i="10"/>
  <c r="Q331" i="10"/>
  <c r="P331" i="10"/>
  <c r="O331" i="10"/>
  <c r="N331" i="10"/>
  <c r="T330" i="10"/>
  <c r="S330" i="10"/>
  <c r="R330" i="10"/>
  <c r="Q330" i="10"/>
  <c r="P330" i="10"/>
  <c r="O330" i="10"/>
  <c r="N330" i="10"/>
  <c r="T329" i="10"/>
  <c r="S329" i="10"/>
  <c r="R329" i="10"/>
  <c r="Q329" i="10"/>
  <c r="P329" i="10"/>
  <c r="O329" i="10"/>
  <c r="N329" i="10"/>
  <c r="T328" i="10"/>
  <c r="S328" i="10"/>
  <c r="R328" i="10"/>
  <c r="Q328" i="10"/>
  <c r="P328" i="10"/>
  <c r="O328" i="10"/>
  <c r="N328" i="10"/>
  <c r="T327" i="10"/>
  <c r="S327" i="10"/>
  <c r="R327" i="10"/>
  <c r="Q327" i="10"/>
  <c r="P327" i="10"/>
  <c r="O327" i="10"/>
  <c r="N327" i="10"/>
  <c r="T326" i="10"/>
  <c r="S326" i="10"/>
  <c r="R326" i="10"/>
  <c r="Q326" i="10"/>
  <c r="P326" i="10"/>
  <c r="O326" i="10"/>
  <c r="N326" i="10"/>
  <c r="T325" i="10"/>
  <c r="S325" i="10"/>
  <c r="R325" i="10"/>
  <c r="Q325" i="10"/>
  <c r="P325" i="10"/>
  <c r="O325" i="10"/>
  <c r="N325" i="10"/>
  <c r="T324" i="10"/>
  <c r="S324" i="10"/>
  <c r="R324" i="10"/>
  <c r="Q324" i="10"/>
  <c r="P324" i="10"/>
  <c r="O324" i="10"/>
  <c r="N324" i="10"/>
  <c r="T323" i="10"/>
  <c r="S323" i="10"/>
  <c r="R323" i="10"/>
  <c r="Q323" i="10"/>
  <c r="P323" i="10"/>
  <c r="O323" i="10"/>
  <c r="N323" i="10"/>
  <c r="T322" i="10"/>
  <c r="S322" i="10"/>
  <c r="R322" i="10"/>
  <c r="Q322" i="10"/>
  <c r="P322" i="10"/>
  <c r="O322" i="10"/>
  <c r="N322" i="10"/>
  <c r="T321" i="10"/>
  <c r="S321" i="10"/>
  <c r="R321" i="10"/>
  <c r="Q321" i="10"/>
  <c r="P321" i="10"/>
  <c r="O321" i="10"/>
  <c r="N321" i="10"/>
  <c r="T320" i="10"/>
  <c r="S320" i="10"/>
  <c r="R320" i="10"/>
  <c r="Q320" i="10"/>
  <c r="P320" i="10"/>
  <c r="O320" i="10"/>
  <c r="N320" i="10"/>
  <c r="T319" i="10"/>
  <c r="S319" i="10"/>
  <c r="R319" i="10"/>
  <c r="Q319" i="10"/>
  <c r="P319" i="10"/>
  <c r="O319" i="10"/>
  <c r="N319" i="10"/>
  <c r="T318" i="10"/>
  <c r="S318" i="10"/>
  <c r="R318" i="10"/>
  <c r="Q318" i="10"/>
  <c r="P318" i="10"/>
  <c r="O318" i="10"/>
  <c r="N318" i="10"/>
  <c r="T317" i="10"/>
  <c r="S317" i="10"/>
  <c r="R317" i="10"/>
  <c r="Q317" i="10"/>
  <c r="P317" i="10"/>
  <c r="O317" i="10"/>
  <c r="N317" i="10"/>
  <c r="T316" i="10"/>
  <c r="S316" i="10"/>
  <c r="R316" i="10"/>
  <c r="Q316" i="10"/>
  <c r="P316" i="10"/>
  <c r="O316" i="10"/>
  <c r="N316" i="10"/>
  <c r="T315" i="10"/>
  <c r="S315" i="10"/>
  <c r="R315" i="10"/>
  <c r="Q315" i="10"/>
  <c r="P315" i="10"/>
  <c r="O315" i="10"/>
  <c r="N315" i="10"/>
  <c r="T314" i="10"/>
  <c r="S314" i="10"/>
  <c r="R314" i="10"/>
  <c r="Q314" i="10"/>
  <c r="P314" i="10"/>
  <c r="O314" i="10"/>
  <c r="N314" i="10"/>
  <c r="T313" i="10"/>
  <c r="S313" i="10"/>
  <c r="R313" i="10"/>
  <c r="Q313" i="10"/>
  <c r="P313" i="10"/>
  <c r="O313" i="10"/>
  <c r="N313" i="10"/>
  <c r="T312" i="10"/>
  <c r="S312" i="10"/>
  <c r="R312" i="10"/>
  <c r="Q312" i="10"/>
  <c r="P312" i="10"/>
  <c r="O312" i="10"/>
  <c r="N312" i="10"/>
  <c r="T311" i="10"/>
  <c r="S311" i="10"/>
  <c r="R311" i="10"/>
  <c r="Q311" i="10"/>
  <c r="P311" i="10"/>
  <c r="O311" i="10"/>
  <c r="N311" i="10"/>
  <c r="T310" i="10"/>
  <c r="S310" i="10"/>
  <c r="R310" i="10"/>
  <c r="Q310" i="10"/>
  <c r="P310" i="10"/>
  <c r="O310" i="10"/>
  <c r="N310" i="10"/>
  <c r="T309" i="10"/>
  <c r="S309" i="10"/>
  <c r="R309" i="10"/>
  <c r="Q309" i="10"/>
  <c r="P309" i="10"/>
  <c r="O309" i="10"/>
  <c r="N309" i="10"/>
  <c r="T308" i="10"/>
  <c r="S308" i="10"/>
  <c r="R308" i="10"/>
  <c r="Q308" i="10"/>
  <c r="P308" i="10"/>
  <c r="O308" i="10"/>
  <c r="N308" i="10"/>
  <c r="T307" i="10"/>
  <c r="S307" i="10"/>
  <c r="R307" i="10"/>
  <c r="Q307" i="10"/>
  <c r="P307" i="10"/>
  <c r="O307" i="10"/>
  <c r="N307" i="10"/>
  <c r="T306" i="10"/>
  <c r="S306" i="10"/>
  <c r="R306" i="10"/>
  <c r="Q306" i="10"/>
  <c r="P306" i="10"/>
  <c r="O306" i="10"/>
  <c r="N306" i="10"/>
  <c r="T305" i="10"/>
  <c r="S305" i="10"/>
  <c r="R305" i="10"/>
  <c r="Q305" i="10"/>
  <c r="P305" i="10"/>
  <c r="O305" i="10"/>
  <c r="N305" i="10"/>
  <c r="T304" i="10"/>
  <c r="S304" i="10"/>
  <c r="R304" i="10"/>
  <c r="Q304" i="10"/>
  <c r="P304" i="10"/>
  <c r="O304" i="10"/>
  <c r="N304" i="10"/>
  <c r="T303" i="10"/>
  <c r="S303" i="10"/>
  <c r="R303" i="10"/>
  <c r="Q303" i="10"/>
  <c r="P303" i="10"/>
  <c r="O303" i="10"/>
  <c r="N303" i="10"/>
  <c r="T302" i="10"/>
  <c r="S302" i="10"/>
  <c r="R302" i="10"/>
  <c r="Q302" i="10"/>
  <c r="P302" i="10"/>
  <c r="O302" i="10"/>
  <c r="N302" i="10"/>
  <c r="T301" i="10"/>
  <c r="S301" i="10"/>
  <c r="R301" i="10"/>
  <c r="Q301" i="10"/>
  <c r="P301" i="10"/>
  <c r="O301" i="10"/>
  <c r="N301" i="10"/>
  <c r="T300" i="10"/>
  <c r="S300" i="10"/>
  <c r="R300" i="10"/>
  <c r="Q300" i="10"/>
  <c r="P300" i="10"/>
  <c r="O300" i="10"/>
  <c r="N300" i="10"/>
  <c r="T299" i="10"/>
  <c r="S299" i="10"/>
  <c r="R299" i="10"/>
  <c r="Q299" i="10"/>
  <c r="P299" i="10"/>
  <c r="O299" i="10"/>
  <c r="N299" i="10"/>
  <c r="T298" i="10"/>
  <c r="S298" i="10"/>
  <c r="R298" i="10"/>
  <c r="Q298" i="10"/>
  <c r="P298" i="10"/>
  <c r="O298" i="10"/>
  <c r="N298" i="10"/>
  <c r="T297" i="10"/>
  <c r="S297" i="10"/>
  <c r="R297" i="10"/>
  <c r="Q297" i="10"/>
  <c r="P297" i="10"/>
  <c r="O297" i="10"/>
  <c r="N297" i="10"/>
  <c r="T296" i="10"/>
  <c r="S296" i="10"/>
  <c r="R296" i="10"/>
  <c r="Q296" i="10"/>
  <c r="P296" i="10"/>
  <c r="O296" i="10"/>
  <c r="N296" i="10"/>
  <c r="T295" i="10"/>
  <c r="S295" i="10"/>
  <c r="R295" i="10"/>
  <c r="Q295" i="10"/>
  <c r="P295" i="10"/>
  <c r="O295" i="10"/>
  <c r="N295" i="10"/>
  <c r="T294" i="10"/>
  <c r="S294" i="10"/>
  <c r="R294" i="10"/>
  <c r="Q294" i="10"/>
  <c r="P294" i="10"/>
  <c r="O294" i="10"/>
  <c r="N294" i="10"/>
  <c r="T293" i="10"/>
  <c r="S293" i="10"/>
  <c r="R293" i="10"/>
  <c r="Q293" i="10"/>
  <c r="P293" i="10"/>
  <c r="O293" i="10"/>
  <c r="N293" i="10"/>
  <c r="T292" i="10"/>
  <c r="S292" i="10"/>
  <c r="R292" i="10"/>
  <c r="Q292" i="10"/>
  <c r="P292" i="10"/>
  <c r="O292" i="10"/>
  <c r="N292" i="10"/>
  <c r="T291" i="10"/>
  <c r="S291" i="10"/>
  <c r="R291" i="10"/>
  <c r="Q291" i="10"/>
  <c r="P291" i="10"/>
  <c r="O291" i="10"/>
  <c r="N291" i="10"/>
  <c r="T290" i="10"/>
  <c r="S290" i="10"/>
  <c r="R290" i="10"/>
  <c r="Q290" i="10"/>
  <c r="P290" i="10"/>
  <c r="O290" i="10"/>
  <c r="N290" i="10"/>
  <c r="T289" i="10"/>
  <c r="S289" i="10"/>
  <c r="R289" i="10"/>
  <c r="Q289" i="10"/>
  <c r="P289" i="10"/>
  <c r="O289" i="10"/>
  <c r="N289" i="10"/>
  <c r="T288" i="10"/>
  <c r="S288" i="10"/>
  <c r="R288" i="10"/>
  <c r="Q288" i="10"/>
  <c r="P288" i="10"/>
  <c r="O288" i="10"/>
  <c r="N288" i="10"/>
  <c r="T287" i="10"/>
  <c r="S287" i="10"/>
  <c r="R287" i="10"/>
  <c r="Q287" i="10"/>
  <c r="P287" i="10"/>
  <c r="O287" i="10"/>
  <c r="N287" i="10"/>
  <c r="T286" i="10"/>
  <c r="S286" i="10"/>
  <c r="R286" i="10"/>
  <c r="Q286" i="10"/>
  <c r="P286" i="10"/>
  <c r="O286" i="10"/>
  <c r="N286" i="10"/>
  <c r="T285" i="10"/>
  <c r="S285" i="10"/>
  <c r="R285" i="10"/>
  <c r="Q285" i="10"/>
  <c r="P285" i="10"/>
  <c r="O285" i="10"/>
  <c r="N285" i="10"/>
  <c r="T284" i="10"/>
  <c r="S284" i="10"/>
  <c r="R284" i="10"/>
  <c r="Q284" i="10"/>
  <c r="P284" i="10"/>
  <c r="O284" i="10"/>
  <c r="N284" i="10"/>
  <c r="T283" i="10"/>
  <c r="S283" i="10"/>
  <c r="R283" i="10"/>
  <c r="Q283" i="10"/>
  <c r="P283" i="10"/>
  <c r="O283" i="10"/>
  <c r="N283" i="10"/>
  <c r="T282" i="10"/>
  <c r="S282" i="10"/>
  <c r="R282" i="10"/>
  <c r="Q282" i="10"/>
  <c r="P282" i="10"/>
  <c r="O282" i="10"/>
  <c r="N282" i="10"/>
  <c r="T281" i="10"/>
  <c r="S281" i="10"/>
  <c r="R281" i="10"/>
  <c r="Q281" i="10"/>
  <c r="P281" i="10"/>
  <c r="O281" i="10"/>
  <c r="N281" i="10"/>
  <c r="T280" i="10"/>
  <c r="S280" i="10"/>
  <c r="R280" i="10"/>
  <c r="Q280" i="10"/>
  <c r="P280" i="10"/>
  <c r="O280" i="10"/>
  <c r="N280" i="10"/>
  <c r="T279" i="10"/>
  <c r="S279" i="10"/>
  <c r="R279" i="10"/>
  <c r="Q279" i="10"/>
  <c r="P279" i="10"/>
  <c r="O279" i="10"/>
  <c r="N279" i="10"/>
  <c r="T278" i="10"/>
  <c r="S278" i="10"/>
  <c r="R278" i="10"/>
  <c r="Q278" i="10"/>
  <c r="P278" i="10"/>
  <c r="O278" i="10"/>
  <c r="N278" i="10"/>
  <c r="T277" i="10"/>
  <c r="S277" i="10"/>
  <c r="R277" i="10"/>
  <c r="Q277" i="10"/>
  <c r="P277" i="10"/>
  <c r="O277" i="10"/>
  <c r="N277" i="10"/>
  <c r="T276" i="10"/>
  <c r="S276" i="10"/>
  <c r="R276" i="10"/>
  <c r="Q276" i="10"/>
  <c r="P276" i="10"/>
  <c r="O276" i="10"/>
  <c r="N276" i="10"/>
  <c r="T275" i="10"/>
  <c r="S275" i="10"/>
  <c r="R275" i="10"/>
  <c r="Q275" i="10"/>
  <c r="P275" i="10"/>
  <c r="O275" i="10"/>
  <c r="N275" i="10"/>
  <c r="T274" i="10"/>
  <c r="S274" i="10"/>
  <c r="R274" i="10"/>
  <c r="Q274" i="10"/>
  <c r="P274" i="10"/>
  <c r="O274" i="10"/>
  <c r="N274" i="10"/>
  <c r="T273" i="10"/>
  <c r="S273" i="10"/>
  <c r="R273" i="10"/>
  <c r="Q273" i="10"/>
  <c r="P273" i="10"/>
  <c r="O273" i="10"/>
  <c r="N273" i="10"/>
  <c r="T272" i="10"/>
  <c r="S272" i="10"/>
  <c r="R272" i="10"/>
  <c r="Q272" i="10"/>
  <c r="P272" i="10"/>
  <c r="O272" i="10"/>
  <c r="N272" i="10"/>
  <c r="T271" i="10"/>
  <c r="S271" i="10"/>
  <c r="R271" i="10"/>
  <c r="Q271" i="10"/>
  <c r="P271" i="10"/>
  <c r="O271" i="10"/>
  <c r="N271" i="10"/>
  <c r="T270" i="10"/>
  <c r="S270" i="10"/>
  <c r="R270" i="10"/>
  <c r="Q270" i="10"/>
  <c r="P270" i="10"/>
  <c r="O270" i="10"/>
  <c r="N270" i="10"/>
  <c r="T269" i="10"/>
  <c r="S269" i="10"/>
  <c r="R269" i="10"/>
  <c r="Q269" i="10"/>
  <c r="P269" i="10"/>
  <c r="O269" i="10"/>
  <c r="N269" i="10"/>
  <c r="T268" i="10"/>
  <c r="S268" i="10"/>
  <c r="R268" i="10"/>
  <c r="Q268" i="10"/>
  <c r="P268" i="10"/>
  <c r="O268" i="10"/>
  <c r="N268" i="10"/>
  <c r="T267" i="10"/>
  <c r="S267" i="10"/>
  <c r="R267" i="10"/>
  <c r="Q267" i="10"/>
  <c r="P267" i="10"/>
  <c r="O267" i="10"/>
  <c r="N267" i="10"/>
  <c r="T266" i="10"/>
  <c r="S266" i="10"/>
  <c r="R266" i="10"/>
  <c r="Q266" i="10"/>
  <c r="P266" i="10"/>
  <c r="O266" i="10"/>
  <c r="N266" i="10"/>
  <c r="T265" i="10"/>
  <c r="S265" i="10"/>
  <c r="R265" i="10"/>
  <c r="Q265" i="10"/>
  <c r="P265" i="10"/>
  <c r="O265" i="10"/>
  <c r="N265" i="10"/>
  <c r="T264" i="10"/>
  <c r="S264" i="10"/>
  <c r="R264" i="10"/>
  <c r="Q264" i="10"/>
  <c r="P264" i="10"/>
  <c r="O264" i="10"/>
  <c r="N264" i="10"/>
  <c r="T263" i="10"/>
  <c r="S263" i="10"/>
  <c r="R263" i="10"/>
  <c r="Q263" i="10"/>
  <c r="P263" i="10"/>
  <c r="O263" i="10"/>
  <c r="N263" i="10"/>
  <c r="T262" i="10"/>
  <c r="S262" i="10"/>
  <c r="R262" i="10"/>
  <c r="Q262" i="10"/>
  <c r="P262" i="10"/>
  <c r="O262" i="10"/>
  <c r="N262" i="10"/>
  <c r="T261" i="10"/>
  <c r="S261" i="10"/>
  <c r="R261" i="10"/>
  <c r="Q261" i="10"/>
  <c r="P261" i="10"/>
  <c r="O261" i="10"/>
  <c r="N261" i="10"/>
  <c r="T260" i="10"/>
  <c r="S260" i="10"/>
  <c r="R260" i="10"/>
  <c r="Q260" i="10"/>
  <c r="P260" i="10"/>
  <c r="O260" i="10"/>
  <c r="N260" i="10"/>
  <c r="T259" i="10"/>
  <c r="S259" i="10"/>
  <c r="R259" i="10"/>
  <c r="Q259" i="10"/>
  <c r="P259" i="10"/>
  <c r="O259" i="10"/>
  <c r="N259" i="10"/>
  <c r="T258" i="10"/>
  <c r="S258" i="10"/>
  <c r="R258" i="10"/>
  <c r="Q258" i="10"/>
  <c r="P258" i="10"/>
  <c r="O258" i="10"/>
  <c r="N258" i="10"/>
  <c r="T257" i="10"/>
  <c r="S257" i="10"/>
  <c r="R257" i="10"/>
  <c r="Q257" i="10"/>
  <c r="P257" i="10"/>
  <c r="O257" i="10"/>
  <c r="N257" i="10"/>
  <c r="T256" i="10"/>
  <c r="S256" i="10"/>
  <c r="R256" i="10"/>
  <c r="Q256" i="10"/>
  <c r="P256" i="10"/>
  <c r="O256" i="10"/>
  <c r="N256" i="10"/>
  <c r="T255" i="10"/>
  <c r="S255" i="10"/>
  <c r="R255" i="10"/>
  <c r="Q255" i="10"/>
  <c r="P255" i="10"/>
  <c r="O255" i="10"/>
  <c r="N255" i="10"/>
  <c r="T254" i="10"/>
  <c r="S254" i="10"/>
  <c r="R254" i="10"/>
  <c r="Q254" i="10"/>
  <c r="P254" i="10"/>
  <c r="O254" i="10"/>
  <c r="N254" i="10"/>
  <c r="T253" i="10"/>
  <c r="S253" i="10"/>
  <c r="R253" i="10"/>
  <c r="Q253" i="10"/>
  <c r="P253" i="10"/>
  <c r="O253" i="10"/>
  <c r="N253" i="10"/>
  <c r="T252" i="10"/>
  <c r="S252" i="10"/>
  <c r="R252" i="10"/>
  <c r="Q252" i="10"/>
  <c r="P252" i="10"/>
  <c r="O252" i="10"/>
  <c r="N252" i="10"/>
  <c r="T251" i="10"/>
  <c r="S251" i="10"/>
  <c r="R251" i="10"/>
  <c r="Q251" i="10"/>
  <c r="P251" i="10"/>
  <c r="O251" i="10"/>
  <c r="N251" i="10"/>
  <c r="T250" i="10"/>
  <c r="S250" i="10"/>
  <c r="R250" i="10"/>
  <c r="Q250" i="10"/>
  <c r="P250" i="10"/>
  <c r="O250" i="10"/>
  <c r="N250" i="10"/>
  <c r="T249" i="10"/>
  <c r="S249" i="10"/>
  <c r="R249" i="10"/>
  <c r="Q249" i="10"/>
  <c r="P249" i="10"/>
  <c r="O249" i="10"/>
  <c r="N249" i="10"/>
  <c r="T248" i="10"/>
  <c r="S248" i="10"/>
  <c r="R248" i="10"/>
  <c r="Q248" i="10"/>
  <c r="P248" i="10"/>
  <c r="O248" i="10"/>
  <c r="N248" i="10"/>
  <c r="T247" i="10"/>
  <c r="S247" i="10"/>
  <c r="R247" i="10"/>
  <c r="Q247" i="10"/>
  <c r="P247" i="10"/>
  <c r="O247" i="10"/>
  <c r="N247" i="10"/>
  <c r="T246" i="10"/>
  <c r="S246" i="10"/>
  <c r="R246" i="10"/>
  <c r="Q246" i="10"/>
  <c r="P246" i="10"/>
  <c r="O246" i="10"/>
  <c r="N246" i="10"/>
  <c r="T245" i="10"/>
  <c r="S245" i="10"/>
  <c r="R245" i="10"/>
  <c r="Q245" i="10"/>
  <c r="P245" i="10"/>
  <c r="O245" i="10"/>
  <c r="N245" i="10"/>
  <c r="T244" i="10"/>
  <c r="S244" i="10"/>
  <c r="R244" i="10"/>
  <c r="Q244" i="10"/>
  <c r="P244" i="10"/>
  <c r="O244" i="10"/>
  <c r="N244" i="10"/>
  <c r="T243" i="10"/>
  <c r="S243" i="10"/>
  <c r="R243" i="10"/>
  <c r="Q243" i="10"/>
  <c r="P243" i="10"/>
  <c r="O243" i="10"/>
  <c r="N243" i="10"/>
  <c r="T242" i="10"/>
  <c r="S242" i="10"/>
  <c r="R242" i="10"/>
  <c r="Q242" i="10"/>
  <c r="P242" i="10"/>
  <c r="O242" i="10"/>
  <c r="N242" i="10"/>
  <c r="T241" i="10"/>
  <c r="S241" i="10"/>
  <c r="R241" i="10"/>
  <c r="Q241" i="10"/>
  <c r="P241" i="10"/>
  <c r="O241" i="10"/>
  <c r="N241" i="10"/>
  <c r="T240" i="10"/>
  <c r="S240" i="10"/>
  <c r="R240" i="10"/>
  <c r="Q240" i="10"/>
  <c r="P240" i="10"/>
  <c r="O240" i="10"/>
  <c r="N240" i="10"/>
  <c r="T239" i="10"/>
  <c r="S239" i="10"/>
  <c r="R239" i="10"/>
  <c r="Q239" i="10"/>
  <c r="P239" i="10"/>
  <c r="O239" i="10"/>
  <c r="N239" i="10"/>
  <c r="T238" i="10"/>
  <c r="S238" i="10"/>
  <c r="R238" i="10"/>
  <c r="Q238" i="10"/>
  <c r="P238" i="10"/>
  <c r="O238" i="10"/>
  <c r="N238" i="10"/>
  <c r="T237" i="10"/>
  <c r="S237" i="10"/>
  <c r="R237" i="10"/>
  <c r="Q237" i="10"/>
  <c r="P237" i="10"/>
  <c r="O237" i="10"/>
  <c r="N237" i="10"/>
  <c r="T236" i="10"/>
  <c r="S236" i="10"/>
  <c r="R236" i="10"/>
  <c r="Q236" i="10"/>
  <c r="P236" i="10"/>
  <c r="O236" i="10"/>
  <c r="N236" i="10"/>
  <c r="T235" i="10"/>
  <c r="S235" i="10"/>
  <c r="R235" i="10"/>
  <c r="Q235" i="10"/>
  <c r="P235" i="10"/>
  <c r="O235" i="10"/>
  <c r="N235" i="10"/>
  <c r="T234" i="10"/>
  <c r="S234" i="10"/>
  <c r="R234" i="10"/>
  <c r="Q234" i="10"/>
  <c r="P234" i="10"/>
  <c r="O234" i="10"/>
  <c r="N234" i="10"/>
  <c r="T233" i="10"/>
  <c r="S233" i="10"/>
  <c r="R233" i="10"/>
  <c r="Q233" i="10"/>
  <c r="P233" i="10"/>
  <c r="O233" i="10"/>
  <c r="N233" i="10"/>
  <c r="T232" i="10"/>
  <c r="S232" i="10"/>
  <c r="R232" i="10"/>
  <c r="Q232" i="10"/>
  <c r="P232" i="10"/>
  <c r="O232" i="10"/>
  <c r="N232" i="10"/>
  <c r="T231" i="10"/>
  <c r="S231" i="10"/>
  <c r="R231" i="10"/>
  <c r="Q231" i="10"/>
  <c r="P231" i="10"/>
  <c r="O231" i="10"/>
  <c r="N231" i="10"/>
  <c r="T230" i="10"/>
  <c r="S230" i="10"/>
  <c r="R230" i="10"/>
  <c r="Q230" i="10"/>
  <c r="P230" i="10"/>
  <c r="O230" i="10"/>
  <c r="N230" i="10"/>
  <c r="T229" i="10"/>
  <c r="S229" i="10"/>
  <c r="R229" i="10"/>
  <c r="Q229" i="10"/>
  <c r="P229" i="10"/>
  <c r="O229" i="10"/>
  <c r="N229" i="10"/>
  <c r="T228" i="10"/>
  <c r="S228" i="10"/>
  <c r="R228" i="10"/>
  <c r="Q228" i="10"/>
  <c r="P228" i="10"/>
  <c r="O228" i="10"/>
  <c r="N228" i="10"/>
  <c r="T227" i="10"/>
  <c r="S227" i="10"/>
  <c r="R227" i="10"/>
  <c r="Q227" i="10"/>
  <c r="P227" i="10"/>
  <c r="O227" i="10"/>
  <c r="N227" i="10"/>
  <c r="T226" i="10"/>
  <c r="S226" i="10"/>
  <c r="R226" i="10"/>
  <c r="Q226" i="10"/>
  <c r="P226" i="10"/>
  <c r="O226" i="10"/>
  <c r="N226" i="10"/>
  <c r="T225" i="10"/>
  <c r="S225" i="10"/>
  <c r="R225" i="10"/>
  <c r="Q225" i="10"/>
  <c r="P225" i="10"/>
  <c r="O225" i="10"/>
  <c r="N225" i="10"/>
  <c r="T224" i="10"/>
  <c r="S224" i="10"/>
  <c r="R224" i="10"/>
  <c r="Q224" i="10"/>
  <c r="P224" i="10"/>
  <c r="O224" i="10"/>
  <c r="N224" i="10"/>
  <c r="T223" i="10"/>
  <c r="S223" i="10"/>
  <c r="R223" i="10"/>
  <c r="Q223" i="10"/>
  <c r="P223" i="10"/>
  <c r="O223" i="10"/>
  <c r="N223" i="10"/>
  <c r="T222" i="10"/>
  <c r="S222" i="10"/>
  <c r="R222" i="10"/>
  <c r="Q222" i="10"/>
  <c r="P222" i="10"/>
  <c r="O222" i="10"/>
  <c r="N222" i="10"/>
  <c r="T221" i="10"/>
  <c r="S221" i="10"/>
  <c r="R221" i="10"/>
  <c r="Q221" i="10"/>
  <c r="P221" i="10"/>
  <c r="O221" i="10"/>
  <c r="N221" i="10"/>
  <c r="T220" i="10"/>
  <c r="S220" i="10"/>
  <c r="R220" i="10"/>
  <c r="Q220" i="10"/>
  <c r="P220" i="10"/>
  <c r="O220" i="10"/>
  <c r="N220" i="10"/>
  <c r="T219" i="10"/>
  <c r="S219" i="10"/>
  <c r="R219" i="10"/>
  <c r="Q219" i="10"/>
  <c r="P219" i="10"/>
  <c r="O219" i="10"/>
  <c r="N219" i="10"/>
  <c r="T218" i="10"/>
  <c r="S218" i="10"/>
  <c r="R218" i="10"/>
  <c r="Q218" i="10"/>
  <c r="P218" i="10"/>
  <c r="O218" i="10"/>
  <c r="N218" i="10"/>
  <c r="T217" i="10"/>
  <c r="S217" i="10"/>
  <c r="R217" i="10"/>
  <c r="Q217" i="10"/>
  <c r="P217" i="10"/>
  <c r="O217" i="10"/>
  <c r="N217" i="10"/>
  <c r="T216" i="10"/>
  <c r="S216" i="10"/>
  <c r="R216" i="10"/>
  <c r="Q216" i="10"/>
  <c r="P216" i="10"/>
  <c r="O216" i="10"/>
  <c r="N216" i="10"/>
  <c r="T215" i="10"/>
  <c r="S215" i="10"/>
  <c r="R215" i="10"/>
  <c r="Q215" i="10"/>
  <c r="P215" i="10"/>
  <c r="O215" i="10"/>
  <c r="N215" i="10"/>
  <c r="T214" i="10"/>
  <c r="S214" i="10"/>
  <c r="R214" i="10"/>
  <c r="Q214" i="10"/>
  <c r="P214" i="10"/>
  <c r="O214" i="10"/>
  <c r="N214" i="10"/>
  <c r="T213" i="10"/>
  <c r="S213" i="10"/>
  <c r="R213" i="10"/>
  <c r="Q213" i="10"/>
  <c r="P213" i="10"/>
  <c r="O213" i="10"/>
  <c r="N213" i="10"/>
  <c r="T212" i="10"/>
  <c r="S212" i="10"/>
  <c r="R212" i="10"/>
  <c r="Q212" i="10"/>
  <c r="P212" i="10"/>
  <c r="O212" i="10"/>
  <c r="N212" i="10"/>
  <c r="T211" i="10"/>
  <c r="S211" i="10"/>
  <c r="R211" i="10"/>
  <c r="Q211" i="10"/>
  <c r="P211" i="10"/>
  <c r="O211" i="10"/>
  <c r="N211" i="10"/>
  <c r="T210" i="10"/>
  <c r="S210" i="10"/>
  <c r="R210" i="10"/>
  <c r="Q210" i="10"/>
  <c r="P210" i="10"/>
  <c r="O210" i="10"/>
  <c r="N210" i="10"/>
  <c r="T209" i="10"/>
  <c r="S209" i="10"/>
  <c r="R209" i="10"/>
  <c r="Q209" i="10"/>
  <c r="P209" i="10"/>
  <c r="O209" i="10"/>
  <c r="N209" i="10"/>
  <c r="T208" i="10"/>
  <c r="S208" i="10"/>
  <c r="R208" i="10"/>
  <c r="Q208" i="10"/>
  <c r="P208" i="10"/>
  <c r="O208" i="10"/>
  <c r="N208" i="10"/>
  <c r="T207" i="10"/>
  <c r="S207" i="10"/>
  <c r="R207" i="10"/>
  <c r="Q207" i="10"/>
  <c r="P207" i="10"/>
  <c r="O207" i="10"/>
  <c r="N207" i="10"/>
  <c r="T206" i="10"/>
  <c r="S206" i="10"/>
  <c r="R206" i="10"/>
  <c r="Q206" i="10"/>
  <c r="P206" i="10"/>
  <c r="O206" i="10"/>
  <c r="N206" i="10"/>
  <c r="T205" i="10"/>
  <c r="S205" i="10"/>
  <c r="R205" i="10"/>
  <c r="Q205" i="10"/>
  <c r="P205" i="10"/>
  <c r="O205" i="10"/>
  <c r="N205" i="10"/>
  <c r="T204" i="10"/>
  <c r="S204" i="10"/>
  <c r="R204" i="10"/>
  <c r="Q204" i="10"/>
  <c r="P204" i="10"/>
  <c r="O204" i="10"/>
  <c r="N204" i="10"/>
  <c r="T203" i="10"/>
  <c r="S203" i="10"/>
  <c r="R203" i="10"/>
  <c r="Q203" i="10"/>
  <c r="P203" i="10"/>
  <c r="O203" i="10"/>
  <c r="N203" i="10"/>
  <c r="T202" i="10"/>
  <c r="S202" i="10"/>
  <c r="R202" i="10"/>
  <c r="Q202" i="10"/>
  <c r="P202" i="10"/>
  <c r="O202" i="10"/>
  <c r="N202" i="10"/>
  <c r="T201" i="10"/>
  <c r="S201" i="10"/>
  <c r="R201" i="10"/>
  <c r="Q201" i="10"/>
  <c r="P201" i="10"/>
  <c r="O201" i="10"/>
  <c r="N201" i="10"/>
  <c r="T200" i="10"/>
  <c r="S200" i="10"/>
  <c r="R200" i="10"/>
  <c r="Q200" i="10"/>
  <c r="P200" i="10"/>
  <c r="O200" i="10"/>
  <c r="N200" i="10"/>
  <c r="T199" i="10"/>
  <c r="S199" i="10"/>
  <c r="R199" i="10"/>
  <c r="Q199" i="10"/>
  <c r="P199" i="10"/>
  <c r="O199" i="10"/>
  <c r="N199" i="10"/>
  <c r="T198" i="10"/>
  <c r="S198" i="10"/>
  <c r="R198" i="10"/>
  <c r="Q198" i="10"/>
  <c r="P198" i="10"/>
  <c r="O198" i="10"/>
  <c r="N198" i="10"/>
  <c r="T197" i="10"/>
  <c r="S197" i="10"/>
  <c r="R197" i="10"/>
  <c r="Q197" i="10"/>
  <c r="P197" i="10"/>
  <c r="O197" i="10"/>
  <c r="N197" i="10"/>
  <c r="T196" i="10"/>
  <c r="S196" i="10"/>
  <c r="R196" i="10"/>
  <c r="Q196" i="10"/>
  <c r="P196" i="10"/>
  <c r="O196" i="10"/>
  <c r="N196" i="10"/>
  <c r="T195" i="10"/>
  <c r="S195" i="10"/>
  <c r="R195" i="10"/>
  <c r="Q195" i="10"/>
  <c r="P195" i="10"/>
  <c r="O195" i="10"/>
  <c r="N195" i="10"/>
  <c r="T194" i="10"/>
  <c r="S194" i="10"/>
  <c r="R194" i="10"/>
  <c r="Q194" i="10"/>
  <c r="P194" i="10"/>
  <c r="O194" i="10"/>
  <c r="N194" i="10"/>
  <c r="T193" i="10"/>
  <c r="S193" i="10"/>
  <c r="R193" i="10"/>
  <c r="Q193" i="10"/>
  <c r="P193" i="10"/>
  <c r="O193" i="10"/>
  <c r="N193" i="10"/>
  <c r="T192" i="10"/>
  <c r="S192" i="10"/>
  <c r="R192" i="10"/>
  <c r="Q192" i="10"/>
  <c r="P192" i="10"/>
  <c r="O192" i="10"/>
  <c r="N192" i="10"/>
  <c r="T191" i="10"/>
  <c r="S191" i="10"/>
  <c r="R191" i="10"/>
  <c r="Q191" i="10"/>
  <c r="P191" i="10"/>
  <c r="O191" i="10"/>
  <c r="N191" i="10"/>
  <c r="T190" i="10"/>
  <c r="S190" i="10"/>
  <c r="R190" i="10"/>
  <c r="Q190" i="10"/>
  <c r="P190" i="10"/>
  <c r="O190" i="10"/>
  <c r="N190" i="10"/>
  <c r="T189" i="10"/>
  <c r="S189" i="10"/>
  <c r="R189" i="10"/>
  <c r="Q189" i="10"/>
  <c r="P189" i="10"/>
  <c r="O189" i="10"/>
  <c r="N189" i="10"/>
  <c r="T188" i="10"/>
  <c r="S188" i="10"/>
  <c r="R188" i="10"/>
  <c r="Q188" i="10"/>
  <c r="P188" i="10"/>
  <c r="O188" i="10"/>
  <c r="N188" i="10"/>
  <c r="T187" i="10"/>
  <c r="S187" i="10"/>
  <c r="R187" i="10"/>
  <c r="Q187" i="10"/>
  <c r="P187" i="10"/>
  <c r="O187" i="10"/>
  <c r="N187" i="10"/>
  <c r="T186" i="10"/>
  <c r="S186" i="10"/>
  <c r="R186" i="10"/>
  <c r="Q186" i="10"/>
  <c r="P186" i="10"/>
  <c r="O186" i="10"/>
  <c r="N186" i="10"/>
  <c r="T185" i="10"/>
  <c r="S185" i="10"/>
  <c r="R185" i="10"/>
  <c r="Q185" i="10"/>
  <c r="P185" i="10"/>
  <c r="O185" i="10"/>
  <c r="N185" i="10"/>
  <c r="T184" i="10"/>
  <c r="S184" i="10"/>
  <c r="R184" i="10"/>
  <c r="Q184" i="10"/>
  <c r="P184" i="10"/>
  <c r="O184" i="10"/>
  <c r="N184" i="10"/>
  <c r="T183" i="10"/>
  <c r="S183" i="10"/>
  <c r="R183" i="10"/>
  <c r="Q183" i="10"/>
  <c r="P183" i="10"/>
  <c r="O183" i="10"/>
  <c r="N183" i="10"/>
  <c r="T182" i="10"/>
  <c r="S182" i="10"/>
  <c r="R182" i="10"/>
  <c r="Q182" i="10"/>
  <c r="P182" i="10"/>
  <c r="O182" i="10"/>
  <c r="N182" i="10"/>
  <c r="T181" i="10"/>
  <c r="S181" i="10"/>
  <c r="R181" i="10"/>
  <c r="Q181" i="10"/>
  <c r="P181" i="10"/>
  <c r="O181" i="10"/>
  <c r="N181" i="10"/>
  <c r="T180" i="10"/>
  <c r="S180" i="10"/>
  <c r="R180" i="10"/>
  <c r="Q180" i="10"/>
  <c r="P180" i="10"/>
  <c r="O180" i="10"/>
  <c r="N180" i="10"/>
  <c r="T179" i="10"/>
  <c r="S179" i="10"/>
  <c r="R179" i="10"/>
  <c r="Q179" i="10"/>
  <c r="P179" i="10"/>
  <c r="O179" i="10"/>
  <c r="N179" i="10"/>
  <c r="T178" i="10"/>
  <c r="S178" i="10"/>
  <c r="R178" i="10"/>
  <c r="Q178" i="10"/>
  <c r="P178" i="10"/>
  <c r="O178" i="10"/>
  <c r="N178" i="10"/>
  <c r="T177" i="10"/>
  <c r="S177" i="10"/>
  <c r="R177" i="10"/>
  <c r="Q177" i="10"/>
  <c r="P177" i="10"/>
  <c r="O177" i="10"/>
  <c r="N177" i="10"/>
  <c r="T176" i="10"/>
  <c r="S176" i="10"/>
  <c r="R176" i="10"/>
  <c r="Q176" i="10"/>
  <c r="P176" i="10"/>
  <c r="O176" i="10"/>
  <c r="N176" i="10"/>
  <c r="T175" i="10"/>
  <c r="S175" i="10"/>
  <c r="R175" i="10"/>
  <c r="Q175" i="10"/>
  <c r="P175" i="10"/>
  <c r="O175" i="10"/>
  <c r="N175" i="10"/>
  <c r="T174" i="10"/>
  <c r="S174" i="10"/>
  <c r="R174" i="10"/>
  <c r="Q174" i="10"/>
  <c r="P174" i="10"/>
  <c r="O174" i="10"/>
  <c r="N174" i="10"/>
  <c r="T173" i="10"/>
  <c r="S173" i="10"/>
  <c r="R173" i="10"/>
  <c r="Q173" i="10"/>
  <c r="P173" i="10"/>
  <c r="O173" i="10"/>
  <c r="N173" i="10"/>
  <c r="T172" i="10"/>
  <c r="S172" i="10"/>
  <c r="R172" i="10"/>
  <c r="Q172" i="10"/>
  <c r="P172" i="10"/>
  <c r="O172" i="10"/>
  <c r="N172" i="10"/>
  <c r="T171" i="10"/>
  <c r="S171" i="10"/>
  <c r="R171" i="10"/>
  <c r="Q171" i="10"/>
  <c r="P171" i="10"/>
  <c r="O171" i="10"/>
  <c r="N171" i="10"/>
  <c r="T170" i="10"/>
  <c r="S170" i="10"/>
  <c r="R170" i="10"/>
  <c r="Q170" i="10"/>
  <c r="P170" i="10"/>
  <c r="O170" i="10"/>
  <c r="N170" i="10"/>
  <c r="T169" i="10"/>
  <c r="S169" i="10"/>
  <c r="R169" i="10"/>
  <c r="Q169" i="10"/>
  <c r="P169" i="10"/>
  <c r="O169" i="10"/>
  <c r="N169" i="10"/>
  <c r="T168" i="10"/>
  <c r="S168" i="10"/>
  <c r="R168" i="10"/>
  <c r="Q168" i="10"/>
  <c r="P168" i="10"/>
  <c r="O168" i="10"/>
  <c r="N168" i="10"/>
  <c r="T167" i="10"/>
  <c r="S167" i="10"/>
  <c r="R167" i="10"/>
  <c r="Q167" i="10"/>
  <c r="P167" i="10"/>
  <c r="O167" i="10"/>
  <c r="N167" i="10"/>
  <c r="T166" i="10"/>
  <c r="S166" i="10"/>
  <c r="R166" i="10"/>
  <c r="Q166" i="10"/>
  <c r="P166" i="10"/>
  <c r="O166" i="10"/>
  <c r="N166" i="10"/>
  <c r="T165" i="10"/>
  <c r="S165" i="10"/>
  <c r="R165" i="10"/>
  <c r="Q165" i="10"/>
  <c r="P165" i="10"/>
  <c r="O165" i="10"/>
  <c r="N165" i="10"/>
  <c r="T164" i="10"/>
  <c r="S164" i="10"/>
  <c r="R164" i="10"/>
  <c r="Q164" i="10"/>
  <c r="P164" i="10"/>
  <c r="O164" i="10"/>
  <c r="N164" i="10"/>
  <c r="T163" i="10"/>
  <c r="S163" i="10"/>
  <c r="R163" i="10"/>
  <c r="Q163" i="10"/>
  <c r="P163" i="10"/>
  <c r="O163" i="10"/>
  <c r="N163" i="10"/>
  <c r="T162" i="10"/>
  <c r="S162" i="10"/>
  <c r="R162" i="10"/>
  <c r="Q162" i="10"/>
  <c r="P162" i="10"/>
  <c r="O162" i="10"/>
  <c r="N162" i="10"/>
  <c r="T161" i="10"/>
  <c r="S161" i="10"/>
  <c r="R161" i="10"/>
  <c r="Q161" i="10"/>
  <c r="P161" i="10"/>
  <c r="O161" i="10"/>
  <c r="N161" i="10"/>
  <c r="T160" i="10"/>
  <c r="S160" i="10"/>
  <c r="R160" i="10"/>
  <c r="Q160" i="10"/>
  <c r="P160" i="10"/>
  <c r="O160" i="10"/>
  <c r="N160" i="10"/>
  <c r="T159" i="10"/>
  <c r="S159" i="10"/>
  <c r="R159" i="10"/>
  <c r="Q159" i="10"/>
  <c r="P159" i="10"/>
  <c r="O159" i="10"/>
  <c r="N159" i="10"/>
  <c r="T158" i="10"/>
  <c r="S158" i="10"/>
  <c r="R158" i="10"/>
  <c r="Q158" i="10"/>
  <c r="P158" i="10"/>
  <c r="O158" i="10"/>
  <c r="N158" i="10"/>
  <c r="T157" i="10"/>
  <c r="S157" i="10"/>
  <c r="R157" i="10"/>
  <c r="Q157" i="10"/>
  <c r="P157" i="10"/>
  <c r="O157" i="10"/>
  <c r="N157" i="10"/>
  <c r="T156" i="10"/>
  <c r="S156" i="10"/>
  <c r="R156" i="10"/>
  <c r="Q156" i="10"/>
  <c r="P156" i="10"/>
  <c r="O156" i="10"/>
  <c r="N156" i="10"/>
  <c r="T155" i="10"/>
  <c r="S155" i="10"/>
  <c r="R155" i="10"/>
  <c r="Q155" i="10"/>
  <c r="P155" i="10"/>
  <c r="O155" i="10"/>
  <c r="N155" i="10"/>
  <c r="T154" i="10"/>
  <c r="S154" i="10"/>
  <c r="R154" i="10"/>
  <c r="Q154" i="10"/>
  <c r="P154" i="10"/>
  <c r="O154" i="10"/>
  <c r="N154" i="10"/>
  <c r="T153" i="10"/>
  <c r="S153" i="10"/>
  <c r="R153" i="10"/>
  <c r="Q153" i="10"/>
  <c r="P153" i="10"/>
  <c r="O153" i="10"/>
  <c r="N153" i="10"/>
  <c r="T152" i="10"/>
  <c r="S152" i="10"/>
  <c r="R152" i="10"/>
  <c r="Q152" i="10"/>
  <c r="P152" i="10"/>
  <c r="O152" i="10"/>
  <c r="N152" i="10"/>
  <c r="T151" i="10"/>
  <c r="S151" i="10"/>
  <c r="R151" i="10"/>
  <c r="Q151" i="10"/>
  <c r="P151" i="10"/>
  <c r="O151" i="10"/>
  <c r="N151" i="10"/>
  <c r="T150" i="10"/>
  <c r="S150" i="10"/>
  <c r="R150" i="10"/>
  <c r="Q150" i="10"/>
  <c r="P150" i="10"/>
  <c r="O150" i="10"/>
  <c r="N150" i="10"/>
  <c r="T149" i="10"/>
  <c r="S149" i="10"/>
  <c r="R149" i="10"/>
  <c r="Q149" i="10"/>
  <c r="P149" i="10"/>
  <c r="O149" i="10"/>
  <c r="N149" i="10"/>
  <c r="T148" i="10"/>
  <c r="S148" i="10"/>
  <c r="R148" i="10"/>
  <c r="Q148" i="10"/>
  <c r="P148" i="10"/>
  <c r="O148" i="10"/>
  <c r="N148" i="10"/>
  <c r="T147" i="10"/>
  <c r="S147" i="10"/>
  <c r="R147" i="10"/>
  <c r="Q147" i="10"/>
  <c r="P147" i="10"/>
  <c r="O147" i="10"/>
  <c r="N147" i="10"/>
  <c r="T146" i="10"/>
  <c r="S146" i="10"/>
  <c r="R146" i="10"/>
  <c r="Q146" i="10"/>
  <c r="P146" i="10"/>
  <c r="O146" i="10"/>
  <c r="N146" i="10"/>
  <c r="T145" i="10"/>
  <c r="S145" i="10"/>
  <c r="R145" i="10"/>
  <c r="Q145" i="10"/>
  <c r="P145" i="10"/>
  <c r="O145" i="10"/>
  <c r="N145" i="10"/>
  <c r="T144" i="10"/>
  <c r="S144" i="10"/>
  <c r="R144" i="10"/>
  <c r="Q144" i="10"/>
  <c r="P144" i="10"/>
  <c r="O144" i="10"/>
  <c r="N144" i="10"/>
  <c r="T143" i="10"/>
  <c r="S143" i="10"/>
  <c r="R143" i="10"/>
  <c r="Q143" i="10"/>
  <c r="P143" i="10"/>
  <c r="O143" i="10"/>
  <c r="N143" i="10"/>
  <c r="T142" i="10"/>
  <c r="S142" i="10"/>
  <c r="R142" i="10"/>
  <c r="Q142" i="10"/>
  <c r="P142" i="10"/>
  <c r="O142" i="10"/>
  <c r="N142" i="10"/>
  <c r="T141" i="10"/>
  <c r="S141" i="10"/>
  <c r="R141" i="10"/>
  <c r="Q141" i="10"/>
  <c r="P141" i="10"/>
  <c r="O141" i="10"/>
  <c r="N141" i="10"/>
  <c r="T140" i="10"/>
  <c r="S140" i="10"/>
  <c r="R140" i="10"/>
  <c r="Q140" i="10"/>
  <c r="P140" i="10"/>
  <c r="O140" i="10"/>
  <c r="N140" i="10"/>
  <c r="T139" i="10"/>
  <c r="S139" i="10"/>
  <c r="R139" i="10"/>
  <c r="Q139" i="10"/>
  <c r="P139" i="10"/>
  <c r="O139" i="10"/>
  <c r="N139" i="10"/>
  <c r="T138" i="10"/>
  <c r="S138" i="10"/>
  <c r="R138" i="10"/>
  <c r="Q138" i="10"/>
  <c r="P138" i="10"/>
  <c r="O138" i="10"/>
  <c r="N138" i="10"/>
  <c r="T137" i="10"/>
  <c r="S137" i="10"/>
  <c r="R137" i="10"/>
  <c r="Q137" i="10"/>
  <c r="P137" i="10"/>
  <c r="O137" i="10"/>
  <c r="N137" i="10"/>
  <c r="T136" i="10"/>
  <c r="S136" i="10"/>
  <c r="R136" i="10"/>
  <c r="Q136" i="10"/>
  <c r="P136" i="10"/>
  <c r="O136" i="10"/>
  <c r="N136" i="10"/>
  <c r="T135" i="10"/>
  <c r="S135" i="10"/>
  <c r="R135" i="10"/>
  <c r="Q135" i="10"/>
  <c r="P135" i="10"/>
  <c r="O135" i="10"/>
  <c r="N135" i="10"/>
  <c r="T134" i="10"/>
  <c r="S134" i="10"/>
  <c r="R134" i="10"/>
  <c r="Q134" i="10"/>
  <c r="P134" i="10"/>
  <c r="O134" i="10"/>
  <c r="N134" i="10"/>
  <c r="T133" i="10"/>
  <c r="S133" i="10"/>
  <c r="R133" i="10"/>
  <c r="Q133" i="10"/>
  <c r="P133" i="10"/>
  <c r="O133" i="10"/>
  <c r="N133" i="10"/>
  <c r="T132" i="10"/>
  <c r="S132" i="10"/>
  <c r="R132" i="10"/>
  <c r="Q132" i="10"/>
  <c r="P132" i="10"/>
  <c r="O132" i="10"/>
  <c r="N132" i="10"/>
  <c r="T131" i="10"/>
  <c r="S131" i="10"/>
  <c r="R131" i="10"/>
  <c r="Q131" i="10"/>
  <c r="P131" i="10"/>
  <c r="O131" i="10"/>
  <c r="N131" i="10"/>
  <c r="T130" i="10"/>
  <c r="S130" i="10"/>
  <c r="R130" i="10"/>
  <c r="Q130" i="10"/>
  <c r="P130" i="10"/>
  <c r="O130" i="10"/>
  <c r="N130" i="10"/>
  <c r="T129" i="10"/>
  <c r="S129" i="10"/>
  <c r="R129" i="10"/>
  <c r="Q129" i="10"/>
  <c r="P129" i="10"/>
  <c r="O129" i="10"/>
  <c r="N129" i="10"/>
  <c r="T128" i="10"/>
  <c r="S128" i="10"/>
  <c r="R128" i="10"/>
  <c r="Q128" i="10"/>
  <c r="P128" i="10"/>
  <c r="O128" i="10"/>
  <c r="N128" i="10"/>
  <c r="T127" i="10"/>
  <c r="S127" i="10"/>
  <c r="R127" i="10"/>
  <c r="Q127" i="10"/>
  <c r="P127" i="10"/>
  <c r="O127" i="10"/>
  <c r="N127" i="10"/>
  <c r="T126" i="10"/>
  <c r="S126" i="10"/>
  <c r="R126" i="10"/>
  <c r="Q126" i="10"/>
  <c r="P126" i="10"/>
  <c r="O126" i="10"/>
  <c r="N126" i="10"/>
  <c r="T125" i="10"/>
  <c r="S125" i="10"/>
  <c r="R125" i="10"/>
  <c r="Q125" i="10"/>
  <c r="P125" i="10"/>
  <c r="O125" i="10"/>
  <c r="N125" i="10"/>
  <c r="T124" i="10"/>
  <c r="S124" i="10"/>
  <c r="R124" i="10"/>
  <c r="Q124" i="10"/>
  <c r="P124" i="10"/>
  <c r="O124" i="10"/>
  <c r="N124" i="10"/>
  <c r="T123" i="10"/>
  <c r="S123" i="10"/>
  <c r="R123" i="10"/>
  <c r="Q123" i="10"/>
  <c r="P123" i="10"/>
  <c r="O123" i="10"/>
  <c r="N123" i="10"/>
  <c r="T122" i="10"/>
  <c r="S122" i="10"/>
  <c r="R122" i="10"/>
  <c r="Q122" i="10"/>
  <c r="P122" i="10"/>
  <c r="O122" i="10"/>
  <c r="N122" i="10"/>
  <c r="T121" i="10"/>
  <c r="S121" i="10"/>
  <c r="R121" i="10"/>
  <c r="Q121" i="10"/>
  <c r="P121" i="10"/>
  <c r="O121" i="10"/>
  <c r="N121" i="10"/>
  <c r="T120" i="10"/>
  <c r="S120" i="10"/>
  <c r="R120" i="10"/>
  <c r="Q120" i="10"/>
  <c r="P120" i="10"/>
  <c r="O120" i="10"/>
  <c r="N120" i="10"/>
  <c r="T119" i="10"/>
  <c r="S119" i="10"/>
  <c r="R119" i="10"/>
  <c r="Q119" i="10"/>
  <c r="P119" i="10"/>
  <c r="O119" i="10"/>
  <c r="N119" i="10"/>
  <c r="T118" i="10"/>
  <c r="S118" i="10"/>
  <c r="R118" i="10"/>
  <c r="Q118" i="10"/>
  <c r="P118" i="10"/>
  <c r="O118" i="10"/>
  <c r="N118" i="10"/>
  <c r="T117" i="10"/>
  <c r="S117" i="10"/>
  <c r="R117" i="10"/>
  <c r="Q117" i="10"/>
  <c r="P117" i="10"/>
  <c r="O117" i="10"/>
  <c r="N117" i="10"/>
  <c r="T116" i="10"/>
  <c r="S116" i="10"/>
  <c r="R116" i="10"/>
  <c r="Q116" i="10"/>
  <c r="P116" i="10"/>
  <c r="O116" i="10"/>
  <c r="N116" i="10"/>
  <c r="T115" i="10"/>
  <c r="S115" i="10"/>
  <c r="R115" i="10"/>
  <c r="Q115" i="10"/>
  <c r="P115" i="10"/>
  <c r="O115" i="10"/>
  <c r="N115" i="10"/>
  <c r="T114" i="10"/>
  <c r="S114" i="10"/>
  <c r="R114" i="10"/>
  <c r="Q114" i="10"/>
  <c r="P114" i="10"/>
  <c r="O114" i="10"/>
  <c r="N114" i="10"/>
  <c r="T113" i="10"/>
  <c r="S113" i="10"/>
  <c r="R113" i="10"/>
  <c r="Q113" i="10"/>
  <c r="P113" i="10"/>
  <c r="O113" i="10"/>
  <c r="N113" i="10"/>
  <c r="T112" i="10"/>
  <c r="S112" i="10"/>
  <c r="R112" i="10"/>
  <c r="Q112" i="10"/>
  <c r="P112" i="10"/>
  <c r="O112" i="10"/>
  <c r="N112" i="10"/>
  <c r="T111" i="10"/>
  <c r="S111" i="10"/>
  <c r="R111" i="10"/>
  <c r="Q111" i="10"/>
  <c r="P111" i="10"/>
  <c r="O111" i="10"/>
  <c r="N111" i="10"/>
  <c r="T110" i="10"/>
  <c r="S110" i="10"/>
  <c r="R110" i="10"/>
  <c r="Q110" i="10"/>
  <c r="P110" i="10"/>
  <c r="O110" i="10"/>
  <c r="N110" i="10"/>
  <c r="T109" i="10"/>
  <c r="S109" i="10"/>
  <c r="R109" i="10"/>
  <c r="Q109" i="10"/>
  <c r="P109" i="10"/>
  <c r="O109" i="10"/>
  <c r="N109" i="10"/>
  <c r="T108" i="10"/>
  <c r="S108" i="10"/>
  <c r="R108" i="10"/>
  <c r="Q108" i="10"/>
  <c r="P108" i="10"/>
  <c r="O108" i="10"/>
  <c r="N108" i="10"/>
  <c r="T107" i="10"/>
  <c r="S107" i="10"/>
  <c r="R107" i="10"/>
  <c r="Q107" i="10"/>
  <c r="P107" i="10"/>
  <c r="O107" i="10"/>
  <c r="N107" i="10"/>
  <c r="T106" i="10"/>
  <c r="S106" i="10"/>
  <c r="R106" i="10"/>
  <c r="Q106" i="10"/>
  <c r="P106" i="10"/>
  <c r="O106" i="10"/>
  <c r="N106" i="10"/>
  <c r="T105" i="10"/>
  <c r="S105" i="10"/>
  <c r="R105" i="10"/>
  <c r="Q105" i="10"/>
  <c r="P105" i="10"/>
  <c r="O105" i="10"/>
  <c r="N105" i="10"/>
  <c r="T104" i="10"/>
  <c r="S104" i="10"/>
  <c r="R104" i="10"/>
  <c r="Q104" i="10"/>
  <c r="P104" i="10"/>
  <c r="O104" i="10"/>
  <c r="N104" i="10"/>
  <c r="T103" i="10"/>
  <c r="S103" i="10"/>
  <c r="R103" i="10"/>
  <c r="Q103" i="10"/>
  <c r="P103" i="10"/>
  <c r="O103" i="10"/>
  <c r="N103" i="10"/>
  <c r="T102" i="10"/>
  <c r="S102" i="10"/>
  <c r="R102" i="10"/>
  <c r="Q102" i="10"/>
  <c r="P102" i="10"/>
  <c r="O102" i="10"/>
  <c r="N102" i="10"/>
  <c r="T101" i="10"/>
  <c r="S101" i="10"/>
  <c r="R101" i="10"/>
  <c r="Q101" i="10"/>
  <c r="P101" i="10"/>
  <c r="O101" i="10"/>
  <c r="N101" i="10"/>
  <c r="T100" i="10"/>
  <c r="S100" i="10"/>
  <c r="R100" i="10"/>
  <c r="Q100" i="10"/>
  <c r="P100" i="10"/>
  <c r="O100" i="10"/>
  <c r="N100" i="10"/>
  <c r="T99" i="10"/>
  <c r="S99" i="10"/>
  <c r="R99" i="10"/>
  <c r="Q99" i="10"/>
  <c r="P99" i="10"/>
  <c r="O99" i="10"/>
  <c r="N99" i="10"/>
  <c r="T98" i="10"/>
  <c r="S98" i="10"/>
  <c r="R98" i="10"/>
  <c r="Q98" i="10"/>
  <c r="P98" i="10"/>
  <c r="O98" i="10"/>
  <c r="N98" i="10"/>
  <c r="T97" i="10"/>
  <c r="S97" i="10"/>
  <c r="R97" i="10"/>
  <c r="Q97" i="10"/>
  <c r="P97" i="10"/>
  <c r="O97" i="10"/>
  <c r="N97" i="10"/>
  <c r="T96" i="10"/>
  <c r="S96" i="10"/>
  <c r="R96" i="10"/>
  <c r="Q96" i="10"/>
  <c r="P96" i="10"/>
  <c r="O96" i="10"/>
  <c r="N96" i="10"/>
  <c r="T95" i="10"/>
  <c r="S95" i="10"/>
  <c r="R95" i="10"/>
  <c r="Q95" i="10"/>
  <c r="P95" i="10"/>
  <c r="O95" i="10"/>
  <c r="N95" i="10"/>
  <c r="T94" i="10"/>
  <c r="S94" i="10"/>
  <c r="R94" i="10"/>
  <c r="Q94" i="10"/>
  <c r="P94" i="10"/>
  <c r="O94" i="10"/>
  <c r="N94" i="10"/>
  <c r="T93" i="10"/>
  <c r="S93" i="10"/>
  <c r="R93" i="10"/>
  <c r="Q93" i="10"/>
  <c r="P93" i="10"/>
  <c r="O93" i="10"/>
  <c r="N93" i="10"/>
  <c r="T92" i="10"/>
  <c r="S92" i="10"/>
  <c r="R92" i="10"/>
  <c r="Q92" i="10"/>
  <c r="P92" i="10"/>
  <c r="O92" i="10"/>
  <c r="N92" i="10"/>
  <c r="T91" i="10"/>
  <c r="S91" i="10"/>
  <c r="R91" i="10"/>
  <c r="Q91" i="10"/>
  <c r="P91" i="10"/>
  <c r="O91" i="10"/>
  <c r="N91" i="10"/>
  <c r="T90" i="10"/>
  <c r="S90" i="10"/>
  <c r="R90" i="10"/>
  <c r="Q90" i="10"/>
  <c r="P90" i="10"/>
  <c r="O90" i="10"/>
  <c r="N90" i="10"/>
  <c r="T89" i="10"/>
  <c r="S89" i="10"/>
  <c r="R89" i="10"/>
  <c r="Q89" i="10"/>
  <c r="P89" i="10"/>
  <c r="O89" i="10"/>
  <c r="N89" i="10"/>
  <c r="T88" i="10"/>
  <c r="S88" i="10"/>
  <c r="R88" i="10"/>
  <c r="Q88" i="10"/>
  <c r="P88" i="10"/>
  <c r="O88" i="10"/>
  <c r="N88" i="10"/>
  <c r="T87" i="10"/>
  <c r="S87" i="10"/>
  <c r="R87" i="10"/>
  <c r="Q87" i="10"/>
  <c r="P87" i="10"/>
  <c r="O87" i="10"/>
  <c r="N87" i="10"/>
  <c r="T86" i="10"/>
  <c r="S86" i="10"/>
  <c r="R86" i="10"/>
  <c r="Q86" i="10"/>
  <c r="P86" i="10"/>
  <c r="O86" i="10"/>
  <c r="N86" i="10"/>
  <c r="T85" i="10"/>
  <c r="S85" i="10"/>
  <c r="R85" i="10"/>
  <c r="Q85" i="10"/>
  <c r="P85" i="10"/>
  <c r="O85" i="10"/>
  <c r="N85" i="10"/>
  <c r="T84" i="10"/>
  <c r="S84" i="10"/>
  <c r="R84" i="10"/>
  <c r="Q84" i="10"/>
  <c r="P84" i="10"/>
  <c r="O84" i="10"/>
  <c r="N84" i="10"/>
  <c r="T83" i="10"/>
  <c r="S83" i="10"/>
  <c r="R83" i="10"/>
  <c r="Q83" i="10"/>
  <c r="P83" i="10"/>
  <c r="O83" i="10"/>
  <c r="N83" i="10"/>
  <c r="T82" i="10"/>
  <c r="S82" i="10"/>
  <c r="R82" i="10"/>
  <c r="Q82" i="10"/>
  <c r="P82" i="10"/>
  <c r="O82" i="10"/>
  <c r="N82" i="10"/>
  <c r="T81" i="10"/>
  <c r="S81" i="10"/>
  <c r="R81" i="10"/>
  <c r="Q81" i="10"/>
  <c r="P81" i="10"/>
  <c r="O81" i="10"/>
  <c r="N81" i="10"/>
  <c r="T80" i="10"/>
  <c r="S80" i="10"/>
  <c r="R80" i="10"/>
  <c r="Q80" i="10"/>
  <c r="P80" i="10"/>
  <c r="O80" i="10"/>
  <c r="N80" i="10"/>
  <c r="T79" i="10"/>
  <c r="S79" i="10"/>
  <c r="R79" i="10"/>
  <c r="Q79" i="10"/>
  <c r="P79" i="10"/>
  <c r="O79" i="10"/>
  <c r="N79" i="10"/>
  <c r="T78" i="10"/>
  <c r="S78" i="10"/>
  <c r="R78" i="10"/>
  <c r="Q78" i="10"/>
  <c r="P78" i="10"/>
  <c r="O78" i="10"/>
  <c r="N78" i="10"/>
  <c r="T77" i="10"/>
  <c r="S77" i="10"/>
  <c r="R77" i="10"/>
  <c r="Q77" i="10"/>
  <c r="P77" i="10"/>
  <c r="O77" i="10"/>
  <c r="N77" i="10"/>
  <c r="T76" i="10"/>
  <c r="S76" i="10"/>
  <c r="R76" i="10"/>
  <c r="Q76" i="10"/>
  <c r="P76" i="10"/>
  <c r="O76" i="10"/>
  <c r="N76" i="10"/>
  <c r="T75" i="10"/>
  <c r="S75" i="10"/>
  <c r="R75" i="10"/>
  <c r="Q75" i="10"/>
  <c r="P75" i="10"/>
  <c r="O75" i="10"/>
  <c r="N75" i="10"/>
  <c r="T74" i="10"/>
  <c r="S74" i="10"/>
  <c r="R74" i="10"/>
  <c r="Q74" i="10"/>
  <c r="P74" i="10"/>
  <c r="O74" i="10"/>
  <c r="N74" i="10"/>
  <c r="T73" i="10"/>
  <c r="S73" i="10"/>
  <c r="R73" i="10"/>
  <c r="Q73" i="10"/>
  <c r="P73" i="10"/>
  <c r="O73" i="10"/>
  <c r="N73" i="10"/>
  <c r="T72" i="10"/>
  <c r="S72" i="10"/>
  <c r="R72" i="10"/>
  <c r="Q72" i="10"/>
  <c r="P72" i="10"/>
  <c r="O72" i="10"/>
  <c r="N72" i="10"/>
  <c r="T71" i="10"/>
  <c r="S71" i="10"/>
  <c r="R71" i="10"/>
  <c r="Q71" i="10"/>
  <c r="P71" i="10"/>
  <c r="O71" i="10"/>
  <c r="N71" i="10"/>
  <c r="T70" i="10"/>
  <c r="S70" i="10"/>
  <c r="R70" i="10"/>
  <c r="Q70" i="10"/>
  <c r="P70" i="10"/>
  <c r="O70" i="10"/>
  <c r="N70" i="10"/>
  <c r="T69" i="10"/>
  <c r="S69" i="10"/>
  <c r="R69" i="10"/>
  <c r="Q69" i="10"/>
  <c r="P69" i="10"/>
  <c r="O69" i="10"/>
  <c r="N69" i="10"/>
  <c r="T68" i="10"/>
  <c r="S68" i="10"/>
  <c r="R68" i="10"/>
  <c r="Q68" i="10"/>
  <c r="P68" i="10"/>
  <c r="O68" i="10"/>
  <c r="N68" i="10"/>
  <c r="T67" i="10"/>
  <c r="S67" i="10"/>
  <c r="R67" i="10"/>
  <c r="Q67" i="10"/>
  <c r="P67" i="10"/>
  <c r="O67" i="10"/>
  <c r="N67" i="10"/>
  <c r="T66" i="10"/>
  <c r="S66" i="10"/>
  <c r="R66" i="10"/>
  <c r="Q66" i="10"/>
  <c r="P66" i="10"/>
  <c r="O66" i="10"/>
  <c r="N66" i="10"/>
  <c r="T65" i="10"/>
  <c r="S65" i="10"/>
  <c r="R65" i="10"/>
  <c r="Q65" i="10"/>
  <c r="P65" i="10"/>
  <c r="O65" i="10"/>
  <c r="N65" i="10"/>
  <c r="T64" i="10"/>
  <c r="S64" i="10"/>
  <c r="R64" i="10"/>
  <c r="Q64" i="10"/>
  <c r="P64" i="10"/>
  <c r="O64" i="10"/>
  <c r="N64" i="10"/>
  <c r="T63" i="10"/>
  <c r="S63" i="10"/>
  <c r="R63" i="10"/>
  <c r="Q63" i="10"/>
  <c r="P63" i="10"/>
  <c r="O63" i="10"/>
  <c r="N63" i="10"/>
  <c r="T62" i="10"/>
  <c r="S62" i="10"/>
  <c r="R62" i="10"/>
  <c r="Q62" i="10"/>
  <c r="P62" i="10"/>
  <c r="O62" i="10"/>
  <c r="N62" i="10"/>
  <c r="T61" i="10"/>
  <c r="S61" i="10"/>
  <c r="R61" i="10"/>
  <c r="Q61" i="10"/>
  <c r="P61" i="10"/>
  <c r="O61" i="10"/>
  <c r="N61" i="10"/>
  <c r="T60" i="10"/>
  <c r="S60" i="10"/>
  <c r="R60" i="10"/>
  <c r="Q60" i="10"/>
  <c r="P60" i="10"/>
  <c r="O60" i="10"/>
  <c r="N60" i="10"/>
  <c r="T59" i="10"/>
  <c r="S59" i="10"/>
  <c r="R59" i="10"/>
  <c r="Q59" i="10"/>
  <c r="P59" i="10"/>
  <c r="O59" i="10"/>
  <c r="N59" i="10"/>
  <c r="T58" i="10"/>
  <c r="S58" i="10"/>
  <c r="R58" i="10"/>
  <c r="Q58" i="10"/>
  <c r="P58" i="10"/>
  <c r="O58" i="10"/>
  <c r="N58" i="10"/>
  <c r="T57" i="10"/>
  <c r="S57" i="10"/>
  <c r="R57" i="10"/>
  <c r="Q57" i="10"/>
  <c r="P57" i="10"/>
  <c r="O57" i="10"/>
  <c r="N57" i="10"/>
  <c r="T56" i="10"/>
  <c r="S56" i="10"/>
  <c r="R56" i="10"/>
  <c r="Q56" i="10"/>
  <c r="P56" i="10"/>
  <c r="O56" i="10"/>
  <c r="N56" i="10"/>
  <c r="T55" i="10"/>
  <c r="S55" i="10"/>
  <c r="R55" i="10"/>
  <c r="Q55" i="10"/>
  <c r="P55" i="10"/>
  <c r="O55" i="10"/>
  <c r="N55" i="10"/>
  <c r="T54" i="10"/>
  <c r="S54" i="10"/>
  <c r="R54" i="10"/>
  <c r="Q54" i="10"/>
  <c r="P54" i="10"/>
  <c r="O54" i="10"/>
  <c r="N54" i="10"/>
  <c r="T53" i="10"/>
  <c r="S53" i="10"/>
  <c r="R53" i="10"/>
  <c r="Q53" i="10"/>
  <c r="P53" i="10"/>
  <c r="O53" i="10"/>
  <c r="N53" i="10"/>
  <c r="T52" i="10"/>
  <c r="S52" i="10"/>
  <c r="R52" i="10"/>
  <c r="Q52" i="10"/>
  <c r="P52" i="10"/>
  <c r="O52" i="10"/>
  <c r="N52" i="10"/>
  <c r="T51" i="10"/>
  <c r="S51" i="10"/>
  <c r="R51" i="10"/>
  <c r="Q51" i="10"/>
  <c r="P51" i="10"/>
  <c r="O51" i="10"/>
  <c r="N51" i="10"/>
  <c r="T50" i="10"/>
  <c r="S50" i="10"/>
  <c r="R50" i="10"/>
  <c r="Q50" i="10"/>
  <c r="P50" i="10"/>
  <c r="O50" i="10"/>
  <c r="N50" i="10"/>
  <c r="T49" i="10"/>
  <c r="S49" i="10"/>
  <c r="R49" i="10"/>
  <c r="Q49" i="10"/>
  <c r="P49" i="10"/>
  <c r="O49" i="10"/>
  <c r="N49" i="10"/>
  <c r="T48" i="10"/>
  <c r="S48" i="10"/>
  <c r="R48" i="10"/>
  <c r="Q48" i="10"/>
  <c r="P48" i="10"/>
  <c r="O48" i="10"/>
  <c r="N48" i="10"/>
  <c r="T47" i="10"/>
  <c r="S47" i="10"/>
  <c r="R47" i="10"/>
  <c r="Q47" i="10"/>
  <c r="P47" i="10"/>
  <c r="O47" i="10"/>
  <c r="N47" i="10"/>
  <c r="T46" i="10"/>
  <c r="S46" i="10"/>
  <c r="R46" i="10"/>
  <c r="Q46" i="10"/>
  <c r="P46" i="10"/>
  <c r="O46" i="10"/>
  <c r="N46" i="10"/>
  <c r="T45" i="10"/>
  <c r="S45" i="10"/>
  <c r="R45" i="10"/>
  <c r="Q45" i="10"/>
  <c r="P45" i="10"/>
  <c r="O45" i="10"/>
  <c r="N45" i="10"/>
  <c r="T44" i="10"/>
  <c r="S44" i="10"/>
  <c r="R44" i="10"/>
  <c r="Q44" i="10"/>
  <c r="P44" i="10"/>
  <c r="O44" i="10"/>
  <c r="N44" i="10"/>
  <c r="T43" i="10"/>
  <c r="S43" i="10"/>
  <c r="R43" i="10"/>
  <c r="Q43" i="10"/>
  <c r="P43" i="10"/>
  <c r="O43" i="10"/>
  <c r="N43" i="10"/>
  <c r="T42" i="10"/>
  <c r="S42" i="10"/>
  <c r="R42" i="10"/>
  <c r="Q42" i="10"/>
  <c r="P42" i="10"/>
  <c r="O42" i="10"/>
  <c r="N42" i="10"/>
  <c r="T41" i="10"/>
  <c r="S41" i="10"/>
  <c r="R41" i="10"/>
  <c r="Q41" i="10"/>
  <c r="P41" i="10"/>
  <c r="O41" i="10"/>
  <c r="N41" i="10"/>
  <c r="T40" i="10"/>
  <c r="S40" i="10"/>
  <c r="R40" i="10"/>
  <c r="Q40" i="10"/>
  <c r="P40" i="10"/>
  <c r="O40" i="10"/>
  <c r="N40" i="10"/>
  <c r="T39" i="10"/>
  <c r="S39" i="10"/>
  <c r="R39" i="10"/>
  <c r="Q39" i="10"/>
  <c r="P39" i="10"/>
  <c r="O39" i="10"/>
  <c r="N39" i="10"/>
  <c r="T38" i="10"/>
  <c r="S38" i="10"/>
  <c r="R38" i="10"/>
  <c r="Q38" i="10"/>
  <c r="P38" i="10"/>
  <c r="O38" i="10"/>
  <c r="N38" i="10"/>
  <c r="T37" i="10"/>
  <c r="S37" i="10"/>
  <c r="R37" i="10"/>
  <c r="Q37" i="10"/>
  <c r="P37" i="10"/>
  <c r="O37" i="10"/>
  <c r="N37" i="10"/>
  <c r="T36" i="10"/>
  <c r="S36" i="10"/>
  <c r="R36" i="10"/>
  <c r="Q36" i="10"/>
  <c r="P36" i="10"/>
  <c r="O36" i="10"/>
  <c r="N36" i="10"/>
  <c r="T35" i="10"/>
  <c r="S35" i="10"/>
  <c r="R35" i="10"/>
  <c r="Q35" i="10"/>
  <c r="P35" i="10"/>
  <c r="O35" i="10"/>
  <c r="N35" i="10"/>
  <c r="T34" i="10"/>
  <c r="S34" i="10"/>
  <c r="R34" i="10"/>
  <c r="Q34" i="10"/>
  <c r="P34" i="10"/>
  <c r="O34" i="10"/>
  <c r="N34" i="10"/>
  <c r="T33" i="10"/>
  <c r="S33" i="10"/>
  <c r="R33" i="10"/>
  <c r="Q33" i="10"/>
  <c r="P33" i="10"/>
  <c r="O33" i="10"/>
  <c r="N33" i="10"/>
  <c r="T32" i="10"/>
  <c r="S32" i="10"/>
  <c r="R32" i="10"/>
  <c r="Q32" i="10"/>
  <c r="P32" i="10"/>
  <c r="O32" i="10"/>
  <c r="N32" i="10"/>
  <c r="T31" i="10"/>
  <c r="S31" i="10"/>
  <c r="R31" i="10"/>
  <c r="Q31" i="10"/>
  <c r="P31" i="10"/>
  <c r="O31" i="10"/>
  <c r="N31" i="10"/>
  <c r="T30" i="10"/>
  <c r="S30" i="10"/>
  <c r="R30" i="10"/>
  <c r="Q30" i="10"/>
  <c r="P30" i="10"/>
  <c r="O30" i="10"/>
  <c r="N30" i="10"/>
  <c r="T29" i="10"/>
  <c r="S29" i="10"/>
  <c r="R29" i="10"/>
  <c r="Q29" i="10"/>
  <c r="P29" i="10"/>
  <c r="O29" i="10"/>
  <c r="N29" i="10"/>
  <c r="T28" i="10"/>
  <c r="S28" i="10"/>
  <c r="R28" i="10"/>
  <c r="Q28" i="10"/>
  <c r="P28" i="10"/>
  <c r="O28" i="10"/>
  <c r="N28" i="10"/>
  <c r="T27" i="10"/>
  <c r="S27" i="10"/>
  <c r="R27" i="10"/>
  <c r="Q27" i="10"/>
  <c r="P27" i="10"/>
  <c r="O27" i="10"/>
  <c r="N27" i="10"/>
  <c r="T26" i="10"/>
  <c r="S26" i="10"/>
  <c r="R26" i="10"/>
  <c r="Q26" i="10"/>
  <c r="P26" i="10"/>
  <c r="O26" i="10"/>
  <c r="N26" i="10"/>
  <c r="T25" i="10"/>
  <c r="S25" i="10"/>
  <c r="R25" i="10"/>
  <c r="Q25" i="10"/>
  <c r="P25" i="10"/>
  <c r="O25" i="10"/>
  <c r="N25" i="10"/>
  <c r="T24" i="10"/>
  <c r="S24" i="10"/>
  <c r="R24" i="10"/>
  <c r="Q24" i="10"/>
  <c r="P24" i="10"/>
  <c r="O24" i="10"/>
  <c r="N24" i="10"/>
  <c r="T23" i="10"/>
  <c r="S23" i="10"/>
  <c r="R23" i="10"/>
  <c r="Q23" i="10"/>
  <c r="P23" i="10"/>
  <c r="O23" i="10"/>
  <c r="N23" i="10"/>
  <c r="T22" i="10"/>
  <c r="S22" i="10"/>
  <c r="R22" i="10"/>
  <c r="Q22" i="10"/>
  <c r="P22" i="10"/>
  <c r="O22" i="10"/>
  <c r="N22" i="10"/>
  <c r="T21" i="10"/>
  <c r="S21" i="10"/>
  <c r="R21" i="10"/>
  <c r="Q21" i="10"/>
  <c r="P21" i="10"/>
  <c r="O21" i="10"/>
  <c r="N21" i="10"/>
  <c r="T20" i="10"/>
  <c r="S20" i="10"/>
  <c r="R20" i="10"/>
  <c r="Q20" i="10"/>
  <c r="P20" i="10"/>
  <c r="O20" i="10"/>
  <c r="N20" i="10"/>
  <c r="T19" i="10"/>
  <c r="S19" i="10"/>
  <c r="R19" i="10"/>
  <c r="Q19" i="10"/>
  <c r="P19" i="10"/>
  <c r="O19" i="10"/>
  <c r="N19" i="10"/>
  <c r="T18" i="10"/>
  <c r="S18" i="10"/>
  <c r="R18" i="10"/>
  <c r="Q18" i="10"/>
  <c r="P18" i="10"/>
  <c r="O18" i="10"/>
  <c r="N18" i="10"/>
  <c r="T17" i="10"/>
  <c r="S17" i="10"/>
  <c r="R17" i="10"/>
  <c r="Q17" i="10"/>
  <c r="P17" i="10"/>
  <c r="O17" i="10"/>
  <c r="N17" i="10"/>
  <c r="T16" i="10"/>
  <c r="S16" i="10"/>
  <c r="R16" i="10"/>
  <c r="Q16" i="10"/>
  <c r="P16" i="10"/>
  <c r="O16" i="10"/>
  <c r="N16" i="10"/>
  <c r="T15" i="10"/>
  <c r="S15" i="10"/>
  <c r="R15" i="10"/>
  <c r="Q15" i="10"/>
  <c r="P15" i="10"/>
  <c r="O15" i="10"/>
  <c r="N15" i="10"/>
  <c r="T14" i="10"/>
  <c r="S14" i="10"/>
  <c r="R14" i="10"/>
  <c r="Q14" i="10"/>
  <c r="P14" i="10"/>
  <c r="O14" i="10"/>
  <c r="N14" i="10"/>
  <c r="T13" i="10"/>
  <c r="S13" i="10"/>
  <c r="R13" i="10"/>
  <c r="Q13" i="10"/>
  <c r="P13" i="10"/>
  <c r="O13" i="10"/>
  <c r="N13" i="10"/>
  <c r="T12" i="10"/>
  <c r="S12" i="10"/>
  <c r="R12" i="10"/>
  <c r="Q12" i="10"/>
  <c r="P12" i="10"/>
  <c r="O12" i="10"/>
  <c r="N12" i="10"/>
  <c r="T11" i="10"/>
  <c r="S11" i="10"/>
  <c r="R11" i="10"/>
  <c r="Q11" i="10"/>
  <c r="P11" i="10"/>
  <c r="O11" i="10"/>
  <c r="N11" i="10"/>
  <c r="T10" i="10"/>
  <c r="S10" i="10"/>
  <c r="R10" i="10"/>
  <c r="Q10" i="10"/>
  <c r="P10" i="10"/>
  <c r="O10" i="10"/>
  <c r="N10" i="10"/>
  <c r="T9" i="10"/>
  <c r="S9" i="10"/>
  <c r="R9" i="10"/>
  <c r="Q9" i="10"/>
  <c r="P9" i="10"/>
  <c r="O9" i="10"/>
  <c r="N9" i="10"/>
  <c r="T8" i="10"/>
  <c r="S8" i="10"/>
  <c r="R8" i="10"/>
  <c r="Q8" i="10"/>
  <c r="P8" i="10"/>
  <c r="O8" i="10"/>
  <c r="N8" i="10"/>
  <c r="T7" i="10"/>
  <c r="S7" i="10"/>
  <c r="R7" i="10"/>
  <c r="Q7" i="10"/>
  <c r="P7" i="10"/>
  <c r="O7" i="10"/>
  <c r="N7" i="10"/>
  <c r="T6" i="10"/>
  <c r="S6" i="10"/>
  <c r="R6" i="10"/>
  <c r="Q6" i="10"/>
  <c r="P6" i="10"/>
  <c r="O6" i="10"/>
  <c r="N6" i="10"/>
  <c r="T5" i="10"/>
  <c r="S5" i="10"/>
  <c r="R5" i="10"/>
  <c r="Q5" i="10"/>
  <c r="P5" i="10"/>
  <c r="O5" i="10"/>
  <c r="N5" i="10"/>
  <c r="T4" i="10"/>
  <c r="S4" i="10"/>
  <c r="R4" i="10"/>
  <c r="Q4" i="10"/>
  <c r="P4" i="10"/>
  <c r="O4" i="10"/>
  <c r="N4" i="10"/>
  <c r="T3" i="10"/>
  <c r="S3" i="10"/>
  <c r="R3" i="10"/>
  <c r="Q3" i="10"/>
  <c r="P3" i="10"/>
  <c r="O3" i="10"/>
  <c r="N3" i="10"/>
  <c r="T2" i="10"/>
  <c r="S2" i="10"/>
  <c r="R2" i="10"/>
  <c r="Q2" i="10"/>
  <c r="P2" i="10"/>
  <c r="O2" i="10"/>
  <c r="N2" i="10"/>
  <c r="O2" i="1"/>
  <c r="P2" i="1"/>
  <c r="O3" i="1"/>
  <c r="P3" i="1"/>
  <c r="O4" i="1"/>
  <c r="P4" i="1"/>
  <c r="O5" i="1"/>
  <c r="P5" i="1"/>
  <c r="O6" i="1"/>
  <c r="P6" i="1"/>
  <c r="O7" i="1"/>
  <c r="P7" i="1"/>
  <c r="O8" i="1"/>
  <c r="P8" i="1"/>
  <c r="O9" i="1"/>
  <c r="P9" i="1"/>
  <c r="O10" i="1"/>
  <c r="P10" i="1"/>
  <c r="O11" i="1"/>
  <c r="P11" i="1"/>
  <c r="O12" i="1"/>
  <c r="P12" i="1"/>
  <c r="O13" i="1"/>
  <c r="P13" i="1"/>
  <c r="O14" i="1"/>
  <c r="P14" i="1"/>
  <c r="O15" i="1"/>
  <c r="P15" i="1"/>
  <c r="O16" i="1"/>
  <c r="P16" i="1"/>
  <c r="O17" i="1"/>
  <c r="P17" i="1"/>
  <c r="O18" i="1"/>
  <c r="P18" i="1"/>
  <c r="O19" i="1"/>
  <c r="P19" i="1"/>
  <c r="O20" i="1"/>
  <c r="P20" i="1"/>
  <c r="O21" i="1"/>
  <c r="P21" i="1"/>
  <c r="O22" i="1"/>
  <c r="P22" i="1"/>
  <c r="O23" i="1"/>
  <c r="P23" i="1"/>
  <c r="O24" i="1"/>
  <c r="P24" i="1"/>
  <c r="O25" i="1"/>
  <c r="P25" i="1"/>
  <c r="O26" i="1"/>
  <c r="P26" i="1"/>
  <c r="O27" i="1"/>
  <c r="P27" i="1"/>
  <c r="O28" i="1"/>
  <c r="P28" i="1"/>
  <c r="O29" i="1"/>
  <c r="P29" i="1"/>
  <c r="O30" i="1"/>
  <c r="P30" i="1"/>
  <c r="O31" i="1"/>
  <c r="P31" i="1"/>
  <c r="O32" i="1"/>
  <c r="P32" i="1"/>
  <c r="O33" i="1"/>
  <c r="P33" i="1"/>
  <c r="O34" i="1"/>
  <c r="P34" i="1"/>
  <c r="O35" i="1"/>
  <c r="P35" i="1"/>
  <c r="O36" i="1"/>
  <c r="P36" i="1"/>
  <c r="O37" i="1"/>
  <c r="P37" i="1"/>
  <c r="O38" i="1"/>
  <c r="P38" i="1"/>
  <c r="O39" i="1"/>
  <c r="P39" i="1"/>
  <c r="O40" i="1"/>
  <c r="P40" i="1"/>
  <c r="O41" i="1"/>
  <c r="P41" i="1"/>
  <c r="O42" i="1"/>
  <c r="P42" i="1"/>
  <c r="O43" i="1"/>
  <c r="P43" i="1"/>
  <c r="O44" i="1"/>
  <c r="P44" i="1"/>
  <c r="O45" i="1"/>
  <c r="P45" i="1"/>
  <c r="O46" i="1"/>
  <c r="P46" i="1"/>
  <c r="O47" i="1"/>
  <c r="P47" i="1"/>
  <c r="O48" i="1"/>
  <c r="P48" i="1"/>
  <c r="O49" i="1"/>
  <c r="P49" i="1"/>
  <c r="O50" i="1"/>
  <c r="P50" i="1"/>
  <c r="O51" i="1"/>
  <c r="P51" i="1"/>
  <c r="O52" i="1"/>
  <c r="P52" i="1"/>
  <c r="O53" i="1"/>
  <c r="P53" i="1"/>
  <c r="O54" i="1"/>
  <c r="P54" i="1"/>
  <c r="O55" i="1"/>
  <c r="P55" i="1"/>
  <c r="O56" i="1"/>
  <c r="P56" i="1"/>
  <c r="O57" i="1"/>
  <c r="P57" i="1"/>
  <c r="O58" i="1"/>
  <c r="P58" i="1"/>
  <c r="O59" i="1"/>
  <c r="P59" i="1"/>
  <c r="O60" i="1"/>
  <c r="P60" i="1"/>
  <c r="O61" i="1"/>
  <c r="P61" i="1"/>
  <c r="O62" i="1"/>
  <c r="P62" i="1"/>
  <c r="O63" i="1"/>
  <c r="P63" i="1"/>
  <c r="O64" i="1"/>
  <c r="P64" i="1"/>
  <c r="O65" i="1"/>
  <c r="P65" i="1"/>
  <c r="O66" i="1"/>
  <c r="P66" i="1"/>
  <c r="O67" i="1"/>
  <c r="P67" i="1"/>
  <c r="O68" i="1"/>
  <c r="P68" i="1"/>
  <c r="O69" i="1"/>
  <c r="P69" i="1"/>
  <c r="O70" i="1"/>
  <c r="P70" i="1"/>
  <c r="O71" i="1"/>
  <c r="P71" i="1"/>
  <c r="O72" i="1"/>
  <c r="P72" i="1"/>
  <c r="O73" i="1"/>
  <c r="P73" i="1"/>
  <c r="O74" i="1"/>
  <c r="P74" i="1"/>
  <c r="O75" i="1"/>
  <c r="P75" i="1"/>
  <c r="O76" i="1"/>
  <c r="P76" i="1"/>
  <c r="O77" i="1"/>
  <c r="P77" i="1"/>
  <c r="O78" i="1"/>
  <c r="P78" i="1"/>
  <c r="O79" i="1"/>
  <c r="P79" i="1"/>
  <c r="O80" i="1"/>
  <c r="P80" i="1"/>
  <c r="O81" i="1"/>
  <c r="P81" i="1"/>
  <c r="O82" i="1"/>
  <c r="P82" i="1"/>
  <c r="O83" i="1"/>
  <c r="P83" i="1"/>
  <c r="O84" i="1"/>
  <c r="P84" i="1"/>
  <c r="O85" i="1"/>
  <c r="P85" i="1"/>
  <c r="O86" i="1"/>
  <c r="P86" i="1"/>
  <c r="O87" i="1"/>
  <c r="P87" i="1"/>
  <c r="O88" i="1"/>
  <c r="P88" i="1"/>
  <c r="O89" i="1"/>
  <c r="P89" i="1"/>
  <c r="O90" i="1"/>
  <c r="P90" i="1"/>
  <c r="O91" i="1"/>
  <c r="P91" i="1"/>
  <c r="O92" i="1"/>
  <c r="P92" i="1"/>
  <c r="O93" i="1"/>
  <c r="P93" i="1"/>
  <c r="O94" i="1"/>
  <c r="P94" i="1"/>
  <c r="O95" i="1"/>
  <c r="P95" i="1"/>
  <c r="O96" i="1"/>
  <c r="P96" i="1"/>
  <c r="O97" i="1"/>
  <c r="P97" i="1"/>
  <c r="O98" i="1"/>
  <c r="P98" i="1"/>
  <c r="O99" i="1"/>
  <c r="P99" i="1"/>
  <c r="O100" i="1"/>
  <c r="P100" i="1"/>
  <c r="O101" i="1"/>
  <c r="P101" i="1"/>
  <c r="O102" i="1"/>
  <c r="P102" i="1"/>
  <c r="O103" i="1"/>
  <c r="P103" i="1"/>
  <c r="O104" i="1"/>
  <c r="P104" i="1"/>
  <c r="O105" i="1"/>
  <c r="P105" i="1"/>
  <c r="O106" i="1"/>
  <c r="P106" i="1"/>
  <c r="O107" i="1"/>
  <c r="P107" i="1"/>
  <c r="O108" i="1"/>
  <c r="P108" i="1"/>
  <c r="O109" i="1"/>
  <c r="P109" i="1"/>
  <c r="O110" i="1"/>
  <c r="P110" i="1"/>
  <c r="O111" i="1"/>
  <c r="P111" i="1"/>
  <c r="O112" i="1"/>
  <c r="P112" i="1"/>
  <c r="O113" i="1"/>
  <c r="P113" i="1"/>
  <c r="O114" i="1"/>
  <c r="P114" i="1"/>
  <c r="O115" i="1"/>
  <c r="P115" i="1"/>
  <c r="O116" i="1"/>
  <c r="P116" i="1"/>
  <c r="O117" i="1"/>
  <c r="P117" i="1"/>
  <c r="O118" i="1"/>
  <c r="P118" i="1"/>
  <c r="O119" i="1"/>
  <c r="P119" i="1"/>
  <c r="O120" i="1"/>
  <c r="P120" i="1"/>
  <c r="O121" i="1"/>
  <c r="P121" i="1"/>
  <c r="O122" i="1"/>
  <c r="P122" i="1"/>
  <c r="O123" i="1"/>
  <c r="P123" i="1"/>
  <c r="O124" i="1"/>
  <c r="P124" i="1"/>
  <c r="O125" i="1"/>
  <c r="P125" i="1"/>
  <c r="O126" i="1"/>
  <c r="P126" i="1"/>
  <c r="O127" i="1"/>
  <c r="P127" i="1"/>
  <c r="O128" i="1"/>
  <c r="P128" i="1"/>
  <c r="O129" i="1"/>
  <c r="P129" i="1"/>
  <c r="O130" i="1"/>
  <c r="P130" i="1"/>
  <c r="O131" i="1"/>
  <c r="P131" i="1"/>
  <c r="O132" i="1"/>
  <c r="P132" i="1"/>
  <c r="O133" i="1"/>
  <c r="P133" i="1"/>
  <c r="O134" i="1"/>
  <c r="P134" i="1"/>
  <c r="O135" i="1"/>
  <c r="P135" i="1"/>
  <c r="O136" i="1"/>
  <c r="P136" i="1"/>
  <c r="O137" i="1"/>
  <c r="P137" i="1"/>
  <c r="O138" i="1"/>
  <c r="P138" i="1"/>
  <c r="O139" i="1"/>
  <c r="P139" i="1"/>
  <c r="O140" i="1"/>
  <c r="P140" i="1"/>
  <c r="O141" i="1"/>
  <c r="P141" i="1"/>
  <c r="O142" i="1"/>
  <c r="P142" i="1"/>
  <c r="O143" i="1"/>
  <c r="P143" i="1"/>
  <c r="O144" i="1"/>
  <c r="P144" i="1"/>
  <c r="O145" i="1"/>
  <c r="P145" i="1"/>
  <c r="O146" i="1"/>
  <c r="P146" i="1"/>
  <c r="O147" i="1"/>
  <c r="P147" i="1"/>
  <c r="O148" i="1"/>
  <c r="P148" i="1"/>
  <c r="O149" i="1"/>
  <c r="P149" i="1"/>
  <c r="O150" i="1"/>
  <c r="P150" i="1"/>
  <c r="O151" i="1"/>
  <c r="P151" i="1"/>
  <c r="O152" i="1"/>
  <c r="P152" i="1"/>
  <c r="O153" i="1"/>
  <c r="P153" i="1"/>
  <c r="O154" i="1"/>
  <c r="P154" i="1"/>
  <c r="O155" i="1"/>
  <c r="P155" i="1"/>
  <c r="O156" i="1"/>
  <c r="P156" i="1"/>
  <c r="O157" i="1"/>
  <c r="P157" i="1"/>
  <c r="O158" i="1"/>
  <c r="P158" i="1"/>
  <c r="O159" i="1"/>
  <c r="P159" i="1"/>
  <c r="O160" i="1"/>
  <c r="P160" i="1"/>
  <c r="O161" i="1"/>
  <c r="P161" i="1"/>
  <c r="O162" i="1"/>
  <c r="P162" i="1"/>
  <c r="O163" i="1"/>
  <c r="P163" i="1"/>
  <c r="O164" i="1"/>
  <c r="P164" i="1"/>
  <c r="O165" i="1"/>
  <c r="P165" i="1"/>
  <c r="O166" i="1"/>
  <c r="P166" i="1"/>
  <c r="O167" i="1"/>
  <c r="P167" i="1"/>
  <c r="O168" i="1"/>
  <c r="P168" i="1"/>
  <c r="O169" i="1"/>
  <c r="P169" i="1"/>
  <c r="O170" i="1"/>
  <c r="P170" i="1"/>
  <c r="O171" i="1"/>
  <c r="P171" i="1"/>
  <c r="O172" i="1"/>
  <c r="P172" i="1"/>
  <c r="O173" i="1"/>
  <c r="P173" i="1"/>
  <c r="O174" i="1"/>
  <c r="P174" i="1"/>
  <c r="O175" i="1"/>
  <c r="P175" i="1"/>
  <c r="O176" i="1"/>
  <c r="P176" i="1"/>
  <c r="O177" i="1"/>
  <c r="P177" i="1"/>
  <c r="O178" i="1"/>
  <c r="P178" i="1"/>
  <c r="O179" i="1"/>
  <c r="P179" i="1"/>
  <c r="O180" i="1"/>
  <c r="P180" i="1"/>
  <c r="O181" i="1"/>
  <c r="P181" i="1"/>
  <c r="O182" i="1"/>
  <c r="P182" i="1"/>
  <c r="O183" i="1"/>
  <c r="P183" i="1"/>
  <c r="O184" i="1"/>
  <c r="P184" i="1"/>
  <c r="O185" i="1"/>
  <c r="P185" i="1"/>
  <c r="O186" i="1"/>
  <c r="P186" i="1"/>
  <c r="O187" i="1"/>
  <c r="P187" i="1"/>
  <c r="O188" i="1"/>
  <c r="P188" i="1"/>
  <c r="O189" i="1"/>
  <c r="P189" i="1"/>
  <c r="O190" i="1"/>
  <c r="P190" i="1"/>
  <c r="O191" i="1"/>
  <c r="P191" i="1"/>
  <c r="O192" i="1"/>
  <c r="P192" i="1"/>
  <c r="O193" i="1"/>
  <c r="P193" i="1"/>
  <c r="O194" i="1"/>
  <c r="P194" i="1"/>
  <c r="O195" i="1"/>
  <c r="P195" i="1"/>
  <c r="O196" i="1"/>
  <c r="P196" i="1"/>
  <c r="O197" i="1"/>
  <c r="P197" i="1"/>
  <c r="O198" i="1"/>
  <c r="P198" i="1"/>
  <c r="O199" i="1"/>
  <c r="P199" i="1"/>
  <c r="O200" i="1"/>
  <c r="P200" i="1"/>
  <c r="O201" i="1"/>
  <c r="P201" i="1"/>
  <c r="O202" i="1"/>
  <c r="P202" i="1"/>
  <c r="O203" i="1"/>
  <c r="P203" i="1"/>
  <c r="O204" i="1"/>
  <c r="P204" i="1"/>
  <c r="O205" i="1"/>
  <c r="P205" i="1"/>
  <c r="O206" i="1"/>
  <c r="P206" i="1"/>
  <c r="O207" i="1"/>
  <c r="P207" i="1"/>
  <c r="O208" i="1"/>
  <c r="P208" i="1"/>
  <c r="O209" i="1"/>
  <c r="P209" i="1"/>
  <c r="O210" i="1"/>
  <c r="P210" i="1"/>
  <c r="O211" i="1"/>
  <c r="P211" i="1"/>
  <c r="O212" i="1"/>
  <c r="P212" i="1"/>
  <c r="O213" i="1"/>
  <c r="P213" i="1"/>
  <c r="O214" i="1"/>
  <c r="P214" i="1"/>
  <c r="O215" i="1"/>
  <c r="P215" i="1"/>
  <c r="O216" i="1"/>
  <c r="P216" i="1"/>
  <c r="O217" i="1"/>
  <c r="P217" i="1"/>
  <c r="O218" i="1"/>
  <c r="P218" i="1"/>
  <c r="O219" i="1"/>
  <c r="P219" i="1"/>
  <c r="O220" i="1"/>
  <c r="P220" i="1"/>
  <c r="O221" i="1"/>
  <c r="P221" i="1"/>
  <c r="O222" i="1"/>
  <c r="P222" i="1"/>
  <c r="O223" i="1"/>
  <c r="P223" i="1"/>
  <c r="O224" i="1"/>
  <c r="P224" i="1"/>
  <c r="O225" i="1"/>
  <c r="P225" i="1"/>
  <c r="O226" i="1"/>
  <c r="P226" i="1"/>
  <c r="O227" i="1"/>
  <c r="P227" i="1"/>
  <c r="O228" i="1"/>
  <c r="P228" i="1"/>
  <c r="O229" i="1"/>
  <c r="P229" i="1"/>
  <c r="O230" i="1"/>
  <c r="P230" i="1"/>
  <c r="O231" i="1"/>
  <c r="P231" i="1"/>
  <c r="O232" i="1"/>
  <c r="P232" i="1"/>
  <c r="O233" i="1"/>
  <c r="P233" i="1"/>
  <c r="O234" i="1"/>
  <c r="P234" i="1"/>
  <c r="O235" i="1"/>
  <c r="P235" i="1"/>
  <c r="O236" i="1"/>
  <c r="P236" i="1"/>
  <c r="O237" i="1"/>
  <c r="P237" i="1"/>
  <c r="O238" i="1"/>
  <c r="P238" i="1"/>
  <c r="O239" i="1"/>
  <c r="P239" i="1"/>
  <c r="O240" i="1"/>
  <c r="P240" i="1"/>
  <c r="O241" i="1"/>
  <c r="P241" i="1"/>
  <c r="O242" i="1"/>
  <c r="P242" i="1"/>
  <c r="O243" i="1"/>
  <c r="P243" i="1"/>
  <c r="O244" i="1"/>
  <c r="P244" i="1"/>
  <c r="O245" i="1"/>
  <c r="P245" i="1"/>
  <c r="O246" i="1"/>
  <c r="P246" i="1"/>
  <c r="O247" i="1"/>
  <c r="P247" i="1"/>
  <c r="O248" i="1"/>
  <c r="P248" i="1"/>
  <c r="O249" i="1"/>
  <c r="P249" i="1"/>
  <c r="O250" i="1"/>
  <c r="P250" i="1"/>
  <c r="O251" i="1"/>
  <c r="P251" i="1"/>
  <c r="O252" i="1"/>
  <c r="P252" i="1"/>
  <c r="O253" i="1"/>
  <c r="P253" i="1"/>
  <c r="O254" i="1"/>
  <c r="P254" i="1"/>
  <c r="O255" i="1"/>
  <c r="P255" i="1"/>
  <c r="O256" i="1"/>
  <c r="P256" i="1"/>
  <c r="O257" i="1"/>
  <c r="P257" i="1"/>
  <c r="O258" i="1"/>
  <c r="P258" i="1"/>
  <c r="O259" i="1"/>
  <c r="P259" i="1"/>
  <c r="O260" i="1"/>
  <c r="P260" i="1"/>
  <c r="O261" i="1"/>
  <c r="P261" i="1"/>
  <c r="O262" i="1"/>
  <c r="P262" i="1"/>
  <c r="O263" i="1"/>
  <c r="P263" i="1"/>
  <c r="O264" i="1"/>
  <c r="P264" i="1"/>
  <c r="O265" i="1"/>
  <c r="P265" i="1"/>
  <c r="O266" i="1"/>
  <c r="P266" i="1"/>
  <c r="O267" i="1"/>
  <c r="P267" i="1"/>
  <c r="O268" i="1"/>
  <c r="P268" i="1"/>
  <c r="O269" i="1"/>
  <c r="P269" i="1"/>
  <c r="O270" i="1"/>
  <c r="P270" i="1"/>
  <c r="O271" i="1"/>
  <c r="P271" i="1"/>
  <c r="O272" i="1"/>
  <c r="P272" i="1"/>
  <c r="O273" i="1"/>
  <c r="P273" i="1"/>
  <c r="O274" i="1"/>
  <c r="P274" i="1"/>
  <c r="O275" i="1"/>
  <c r="P275" i="1"/>
  <c r="O276" i="1"/>
  <c r="P276" i="1"/>
  <c r="O277" i="1"/>
  <c r="P277" i="1"/>
  <c r="O278" i="1"/>
  <c r="P278" i="1"/>
  <c r="O279" i="1"/>
  <c r="P279" i="1"/>
  <c r="O280" i="1"/>
  <c r="P280" i="1"/>
  <c r="O281" i="1"/>
  <c r="P281" i="1"/>
  <c r="O282" i="1"/>
  <c r="P282" i="1"/>
  <c r="O283" i="1"/>
  <c r="P283" i="1"/>
  <c r="O284" i="1"/>
  <c r="P284" i="1"/>
  <c r="O285" i="1"/>
  <c r="P285" i="1"/>
  <c r="O286" i="1"/>
  <c r="P286" i="1"/>
  <c r="O287" i="1"/>
  <c r="P287" i="1"/>
  <c r="O288" i="1"/>
  <c r="P288" i="1"/>
  <c r="O289" i="1"/>
  <c r="P289" i="1"/>
  <c r="O290" i="1"/>
  <c r="P290" i="1"/>
  <c r="O291" i="1"/>
  <c r="P291" i="1"/>
  <c r="O292" i="1"/>
  <c r="P292" i="1"/>
  <c r="O293" i="1"/>
  <c r="P293" i="1"/>
  <c r="O294" i="1"/>
  <c r="P294" i="1"/>
  <c r="O295" i="1"/>
  <c r="P295" i="1"/>
  <c r="O296" i="1"/>
  <c r="P296" i="1"/>
  <c r="O297" i="1"/>
  <c r="P297" i="1"/>
  <c r="O298" i="1"/>
  <c r="P298" i="1"/>
  <c r="O299" i="1"/>
  <c r="P299" i="1"/>
  <c r="O300" i="1"/>
  <c r="P300" i="1"/>
  <c r="O301" i="1"/>
  <c r="P301" i="1"/>
  <c r="O302" i="1"/>
  <c r="P302" i="1"/>
  <c r="O303" i="1"/>
  <c r="P303" i="1"/>
  <c r="O304" i="1"/>
  <c r="P304" i="1"/>
  <c r="O305" i="1"/>
  <c r="P305" i="1"/>
  <c r="O306" i="1"/>
  <c r="P306" i="1"/>
  <c r="O307" i="1"/>
  <c r="P307" i="1"/>
  <c r="O308" i="1"/>
  <c r="P308" i="1"/>
  <c r="O309" i="1"/>
  <c r="P309" i="1"/>
  <c r="O310" i="1"/>
  <c r="P310" i="1"/>
  <c r="O311" i="1"/>
  <c r="P311" i="1"/>
  <c r="O312" i="1"/>
  <c r="P312" i="1"/>
  <c r="O313" i="1"/>
  <c r="P313" i="1"/>
  <c r="O314" i="1"/>
  <c r="P314" i="1"/>
  <c r="O315" i="1"/>
  <c r="P315" i="1"/>
  <c r="O316" i="1"/>
  <c r="P316" i="1"/>
  <c r="O317" i="1"/>
  <c r="P317" i="1"/>
  <c r="O318" i="1"/>
  <c r="P318" i="1"/>
  <c r="O319" i="1"/>
  <c r="P319" i="1"/>
  <c r="O320" i="1"/>
  <c r="P320" i="1"/>
  <c r="O321" i="1"/>
  <c r="P321" i="1"/>
  <c r="O322" i="1"/>
  <c r="P322" i="1"/>
  <c r="O323" i="1"/>
  <c r="P323" i="1"/>
  <c r="O324" i="1"/>
  <c r="P324" i="1"/>
  <c r="O325" i="1"/>
  <c r="P325" i="1"/>
  <c r="O326" i="1"/>
  <c r="P326" i="1"/>
  <c r="O327" i="1"/>
  <c r="P327" i="1"/>
  <c r="O328" i="1"/>
  <c r="P328" i="1"/>
  <c r="O329" i="1"/>
  <c r="P329" i="1"/>
  <c r="O330" i="1"/>
  <c r="P330" i="1"/>
  <c r="O331" i="1"/>
  <c r="P331" i="1"/>
  <c r="O332" i="1"/>
  <c r="P332" i="1"/>
  <c r="O333" i="1"/>
  <c r="P333" i="1"/>
  <c r="O334" i="1"/>
  <c r="P334" i="1"/>
  <c r="O335" i="1"/>
  <c r="P335" i="1"/>
  <c r="O336" i="1"/>
  <c r="P336" i="1"/>
  <c r="O337" i="1"/>
  <c r="P337" i="1"/>
  <c r="O338" i="1"/>
  <c r="P338" i="1"/>
  <c r="O339" i="1"/>
  <c r="P339" i="1"/>
  <c r="O340" i="1"/>
  <c r="P340" i="1"/>
  <c r="O341" i="1"/>
  <c r="P341" i="1"/>
  <c r="O342" i="1"/>
  <c r="P342" i="1"/>
  <c r="O343" i="1"/>
  <c r="P343" i="1"/>
  <c r="O344" i="1"/>
  <c r="P344" i="1"/>
  <c r="O345" i="1"/>
  <c r="P345" i="1"/>
  <c r="O346" i="1"/>
  <c r="P346" i="1"/>
  <c r="O347" i="1"/>
  <c r="P347" i="1"/>
  <c r="O348" i="1"/>
  <c r="P348" i="1"/>
  <c r="O349" i="1"/>
  <c r="P349" i="1"/>
  <c r="O350" i="1"/>
  <c r="P350" i="1"/>
  <c r="O351" i="1"/>
  <c r="P351" i="1"/>
  <c r="O352" i="1"/>
  <c r="P352" i="1"/>
  <c r="O353" i="1"/>
  <c r="P353" i="1"/>
  <c r="O354" i="1"/>
  <c r="P354" i="1"/>
  <c r="O355" i="1"/>
  <c r="P355" i="1"/>
  <c r="O356" i="1"/>
  <c r="P356" i="1"/>
  <c r="O357" i="1"/>
  <c r="P357" i="1"/>
  <c r="O358" i="1"/>
  <c r="P358" i="1"/>
  <c r="O359" i="1"/>
  <c r="P359" i="1"/>
  <c r="O360" i="1"/>
  <c r="P360" i="1"/>
  <c r="O361" i="1"/>
  <c r="P361" i="1"/>
  <c r="O362" i="1"/>
  <c r="P362" i="1"/>
  <c r="O363" i="1"/>
  <c r="P363" i="1"/>
  <c r="O364" i="1"/>
  <c r="P364" i="1"/>
  <c r="O365" i="1"/>
  <c r="P365" i="1"/>
  <c r="O366" i="1"/>
  <c r="P366" i="1"/>
  <c r="O367" i="1"/>
  <c r="P367" i="1"/>
  <c r="O368" i="1"/>
  <c r="P368" i="1"/>
  <c r="O369" i="1"/>
  <c r="P369" i="1"/>
  <c r="O370" i="1"/>
  <c r="P370" i="1"/>
  <c r="O371" i="1"/>
  <c r="P371" i="1"/>
  <c r="O372" i="1"/>
  <c r="P372" i="1"/>
  <c r="O373" i="1"/>
  <c r="P373" i="1"/>
  <c r="O374" i="1"/>
  <c r="P374" i="1"/>
  <c r="O375" i="1"/>
  <c r="P375" i="1"/>
  <c r="O376" i="1"/>
  <c r="P376" i="1"/>
  <c r="O377" i="1"/>
  <c r="P377" i="1"/>
  <c r="O378" i="1"/>
  <c r="P378" i="1"/>
  <c r="O379" i="1"/>
  <c r="P379" i="1"/>
  <c r="O380" i="1"/>
  <c r="P380" i="1"/>
  <c r="O381" i="1"/>
  <c r="P381" i="1"/>
  <c r="O382" i="1"/>
  <c r="P382" i="1"/>
  <c r="O383" i="1"/>
  <c r="P383" i="1"/>
  <c r="O384" i="1"/>
  <c r="P384" i="1"/>
  <c r="O385" i="1"/>
  <c r="P385" i="1"/>
  <c r="O386" i="1"/>
  <c r="P386" i="1"/>
  <c r="O387" i="1"/>
  <c r="P387" i="1"/>
  <c r="O388" i="1"/>
  <c r="P388" i="1"/>
  <c r="O389" i="1"/>
  <c r="P389" i="1"/>
  <c r="O390" i="1"/>
  <c r="P390" i="1"/>
  <c r="O391" i="1"/>
  <c r="P391" i="1"/>
  <c r="O392" i="1"/>
  <c r="P392" i="1"/>
  <c r="O393" i="1"/>
  <c r="P393" i="1"/>
  <c r="O394" i="1"/>
  <c r="P394" i="1"/>
  <c r="O395" i="1"/>
  <c r="P395" i="1"/>
  <c r="O396" i="1"/>
  <c r="P396" i="1"/>
  <c r="O397" i="1"/>
  <c r="P397" i="1"/>
  <c r="O398" i="1"/>
  <c r="P398" i="1"/>
  <c r="O399" i="1"/>
  <c r="P399" i="1"/>
  <c r="O400" i="1"/>
  <c r="P400" i="1"/>
  <c r="O401" i="1"/>
  <c r="P401" i="1"/>
  <c r="O402" i="1"/>
  <c r="P402" i="1"/>
  <c r="O403" i="1"/>
  <c r="P403" i="1"/>
  <c r="O404" i="1"/>
  <c r="P404" i="1"/>
  <c r="O405" i="1"/>
  <c r="P405" i="1"/>
  <c r="O406" i="1"/>
  <c r="P406" i="1"/>
  <c r="O407" i="1"/>
  <c r="P407" i="1"/>
  <c r="O408" i="1"/>
  <c r="P408" i="1"/>
  <c r="O409" i="1"/>
  <c r="P409" i="1"/>
  <c r="O410" i="1"/>
  <c r="P410" i="1"/>
  <c r="O411" i="1"/>
  <c r="P411" i="1"/>
  <c r="O412" i="1"/>
  <c r="P412" i="1"/>
  <c r="O413" i="1"/>
  <c r="P413" i="1"/>
  <c r="O414" i="1"/>
  <c r="P414" i="1"/>
  <c r="O415" i="1"/>
  <c r="P415" i="1"/>
  <c r="O416" i="1"/>
  <c r="P416" i="1"/>
  <c r="O417" i="1"/>
  <c r="P417" i="1"/>
  <c r="O418" i="1"/>
  <c r="P418" i="1"/>
  <c r="O419" i="1"/>
  <c r="P419" i="1"/>
  <c r="O420" i="1"/>
  <c r="P420" i="1"/>
  <c r="O421" i="1"/>
  <c r="P421" i="1"/>
  <c r="O422" i="1"/>
  <c r="P422" i="1"/>
  <c r="O423" i="1"/>
  <c r="P423" i="1"/>
  <c r="O424" i="1"/>
  <c r="P424" i="1"/>
  <c r="O425" i="1"/>
  <c r="P425" i="1"/>
  <c r="O426" i="1"/>
  <c r="P426" i="1"/>
  <c r="O427" i="1"/>
  <c r="P427" i="1"/>
  <c r="O428" i="1"/>
  <c r="P428" i="1"/>
  <c r="O429" i="1"/>
  <c r="P429" i="1"/>
  <c r="O430" i="1"/>
  <c r="P430" i="1"/>
  <c r="O431" i="1"/>
  <c r="P431" i="1"/>
  <c r="O432" i="1"/>
  <c r="P432" i="1"/>
  <c r="O433" i="1"/>
  <c r="P433" i="1"/>
  <c r="O434" i="1"/>
  <c r="P434" i="1"/>
  <c r="O435" i="1"/>
  <c r="P435" i="1"/>
  <c r="O436" i="1"/>
  <c r="P436" i="1"/>
  <c r="O437" i="1"/>
  <c r="P437" i="1"/>
  <c r="O438" i="1"/>
  <c r="P438" i="1"/>
  <c r="O439" i="1"/>
  <c r="P439" i="1"/>
  <c r="O440" i="1"/>
  <c r="P440" i="1"/>
  <c r="O441" i="1"/>
  <c r="P441" i="1"/>
  <c r="O442" i="1"/>
  <c r="P442" i="1"/>
  <c r="O443" i="1"/>
  <c r="P443" i="1"/>
  <c r="O444" i="1"/>
  <c r="P444" i="1"/>
  <c r="O445" i="1"/>
  <c r="P445" i="1"/>
  <c r="O446" i="1"/>
  <c r="P446" i="1"/>
  <c r="O447" i="1"/>
  <c r="P447" i="1"/>
  <c r="O448" i="1"/>
  <c r="P448" i="1"/>
  <c r="O449" i="1"/>
  <c r="P449" i="1"/>
  <c r="O450" i="1"/>
  <c r="P450" i="1"/>
  <c r="O451" i="1"/>
  <c r="P451" i="1"/>
  <c r="O452" i="1"/>
  <c r="P452" i="1"/>
  <c r="O453" i="1"/>
  <c r="P453" i="1"/>
  <c r="O454" i="1"/>
  <c r="P454" i="1"/>
  <c r="O455" i="1"/>
  <c r="P455" i="1"/>
  <c r="O456" i="1"/>
  <c r="P456" i="1"/>
  <c r="O457" i="1"/>
  <c r="P457" i="1"/>
  <c r="O458" i="1"/>
  <c r="P458" i="1"/>
  <c r="O459" i="1"/>
  <c r="P459" i="1"/>
  <c r="O460" i="1"/>
  <c r="P460" i="1"/>
  <c r="O461" i="1"/>
  <c r="P461" i="1"/>
  <c r="O462" i="1"/>
  <c r="P462" i="1"/>
  <c r="O463" i="1"/>
  <c r="P463" i="1"/>
  <c r="O464" i="1"/>
  <c r="P464" i="1"/>
  <c r="O465" i="1"/>
  <c r="P465" i="1"/>
  <c r="O466" i="1"/>
  <c r="P466" i="1"/>
  <c r="O467" i="1"/>
  <c r="P467" i="1"/>
  <c r="O468" i="1"/>
  <c r="P468" i="1"/>
  <c r="O469" i="1"/>
  <c r="P469" i="1"/>
  <c r="O470" i="1"/>
  <c r="P470" i="1"/>
  <c r="O471" i="1"/>
  <c r="P471" i="1"/>
  <c r="O472" i="1"/>
  <c r="P472" i="1"/>
  <c r="O473" i="1"/>
  <c r="P473" i="1"/>
  <c r="O474" i="1"/>
  <c r="P474" i="1"/>
  <c r="O475" i="1"/>
  <c r="P475" i="1"/>
  <c r="O476" i="1"/>
  <c r="P476" i="1"/>
  <c r="O477" i="1"/>
  <c r="P477" i="1"/>
  <c r="O478" i="1"/>
  <c r="P478" i="1"/>
  <c r="O479" i="1"/>
  <c r="P479" i="1"/>
  <c r="O480" i="1"/>
  <c r="P480" i="1"/>
  <c r="O481" i="1"/>
  <c r="P481" i="1"/>
  <c r="O482" i="1"/>
  <c r="P482" i="1"/>
  <c r="O483" i="1"/>
  <c r="P483" i="1"/>
  <c r="O484" i="1"/>
  <c r="P484" i="1"/>
  <c r="O485" i="1"/>
  <c r="P485" i="1"/>
  <c r="O486" i="1"/>
  <c r="P486" i="1"/>
  <c r="O487" i="1"/>
  <c r="P487" i="1"/>
  <c r="O488" i="1"/>
  <c r="P488" i="1"/>
  <c r="O489" i="1"/>
  <c r="P489" i="1"/>
  <c r="O490" i="1"/>
  <c r="P490" i="1"/>
  <c r="O491" i="1"/>
  <c r="P491" i="1"/>
  <c r="O492" i="1"/>
  <c r="P492" i="1"/>
  <c r="O493" i="1"/>
  <c r="P493" i="1"/>
  <c r="O494" i="1"/>
  <c r="P494" i="1"/>
  <c r="O495" i="1"/>
  <c r="P495" i="1"/>
  <c r="O496" i="1"/>
  <c r="P496" i="1"/>
  <c r="O497" i="1"/>
  <c r="P497" i="1"/>
  <c r="O498" i="1"/>
  <c r="P498" i="1"/>
  <c r="O499" i="1"/>
  <c r="P499" i="1"/>
  <c r="O500" i="1"/>
  <c r="P500" i="1"/>
  <c r="O501" i="1"/>
  <c r="P501" i="1"/>
  <c r="O502" i="1"/>
  <c r="P502" i="1"/>
  <c r="O503" i="1"/>
  <c r="P503" i="1"/>
  <c r="O504" i="1"/>
  <c r="P504" i="1"/>
  <c r="O505" i="1"/>
  <c r="P505" i="1"/>
  <c r="O506" i="1"/>
  <c r="P506" i="1"/>
  <c r="O507" i="1"/>
  <c r="P507" i="1"/>
  <c r="O508" i="1"/>
  <c r="P508" i="1"/>
  <c r="O509" i="1"/>
  <c r="P509" i="1"/>
  <c r="O510" i="1"/>
  <c r="P510" i="1"/>
  <c r="O511" i="1"/>
  <c r="P511" i="1"/>
  <c r="O512" i="1"/>
  <c r="P512" i="1"/>
  <c r="O513" i="1"/>
  <c r="P513" i="1"/>
  <c r="O514" i="1"/>
  <c r="P514" i="1"/>
  <c r="O515" i="1"/>
  <c r="P515" i="1"/>
  <c r="O516" i="1"/>
  <c r="P516" i="1"/>
  <c r="O517" i="1"/>
  <c r="P517" i="1"/>
  <c r="O518" i="1"/>
  <c r="P518" i="1"/>
  <c r="O519" i="1"/>
  <c r="P519" i="1"/>
  <c r="O520" i="1"/>
  <c r="P520" i="1"/>
  <c r="O521" i="1"/>
  <c r="P521" i="1"/>
  <c r="O522" i="1"/>
  <c r="P522" i="1"/>
  <c r="O523" i="1"/>
  <c r="P523" i="1"/>
  <c r="O524" i="1"/>
  <c r="P524" i="1"/>
  <c r="O525" i="1"/>
  <c r="P525" i="1"/>
  <c r="O526" i="1"/>
  <c r="P526" i="1"/>
  <c r="O527" i="1"/>
  <c r="P527" i="1"/>
  <c r="O528" i="1"/>
  <c r="P528" i="1"/>
  <c r="O529" i="1"/>
  <c r="P529" i="1"/>
  <c r="O530" i="1"/>
  <c r="P530" i="1"/>
  <c r="O531" i="1"/>
  <c r="P531" i="1"/>
  <c r="O532" i="1"/>
  <c r="P532" i="1"/>
  <c r="O533" i="1"/>
  <c r="P533" i="1"/>
  <c r="O534" i="1"/>
  <c r="P534" i="1"/>
  <c r="O535" i="1"/>
  <c r="P535" i="1"/>
  <c r="O536" i="1"/>
  <c r="P536" i="1"/>
  <c r="O537" i="1"/>
  <c r="P537" i="1"/>
  <c r="O538" i="1"/>
  <c r="P538" i="1"/>
  <c r="O539" i="1"/>
  <c r="P539" i="1"/>
  <c r="O540" i="1"/>
  <c r="P540" i="1"/>
  <c r="O541" i="1"/>
  <c r="P541" i="1"/>
  <c r="O542" i="1"/>
  <c r="P542" i="1"/>
  <c r="O543" i="1"/>
  <c r="P543" i="1"/>
  <c r="O544" i="1"/>
  <c r="P544" i="1"/>
  <c r="O545" i="1"/>
  <c r="P545" i="1"/>
  <c r="O546" i="1"/>
  <c r="P546" i="1"/>
  <c r="O547" i="1"/>
  <c r="P547" i="1"/>
  <c r="O548" i="1"/>
  <c r="P548" i="1"/>
  <c r="O549" i="1"/>
  <c r="P549" i="1"/>
  <c r="O550" i="1"/>
  <c r="P550" i="1"/>
  <c r="O551" i="1"/>
  <c r="P551" i="1"/>
  <c r="O552" i="1"/>
  <c r="P552" i="1"/>
  <c r="O553" i="1"/>
  <c r="P553" i="1"/>
  <c r="O554" i="1"/>
  <c r="P554" i="1"/>
  <c r="O555" i="1"/>
  <c r="P555" i="1"/>
  <c r="O556" i="1"/>
  <c r="P556" i="1"/>
  <c r="O557" i="1"/>
  <c r="P557" i="1"/>
  <c r="O558" i="1"/>
  <c r="P558" i="1"/>
  <c r="O559" i="1"/>
  <c r="P559" i="1"/>
  <c r="O560" i="1"/>
  <c r="P560" i="1"/>
  <c r="O561" i="1"/>
  <c r="P561" i="1"/>
  <c r="O562" i="1"/>
  <c r="P562" i="1"/>
  <c r="O563" i="1"/>
  <c r="P563" i="1"/>
  <c r="O564" i="1"/>
  <c r="P564" i="1"/>
  <c r="O565" i="1"/>
  <c r="P565" i="1"/>
  <c r="O566" i="1"/>
  <c r="P566" i="1"/>
  <c r="O567" i="1"/>
  <c r="P567" i="1"/>
  <c r="O568" i="1"/>
  <c r="P568" i="1"/>
  <c r="O569" i="1"/>
  <c r="P569" i="1"/>
  <c r="O570" i="1"/>
  <c r="P570" i="1"/>
  <c r="O571" i="1"/>
  <c r="P571" i="1"/>
  <c r="O572" i="1"/>
  <c r="P572" i="1"/>
  <c r="O573" i="1"/>
  <c r="P573" i="1"/>
  <c r="O574" i="1"/>
  <c r="P574" i="1"/>
  <c r="O575" i="1"/>
  <c r="P575" i="1"/>
  <c r="O576" i="1"/>
  <c r="P576" i="1"/>
  <c r="O577" i="1"/>
  <c r="P577" i="1"/>
  <c r="O578" i="1"/>
  <c r="P578" i="1"/>
  <c r="O579" i="1"/>
  <c r="P579" i="1"/>
  <c r="O580" i="1"/>
  <c r="P580" i="1"/>
  <c r="O581" i="1"/>
  <c r="P581" i="1"/>
  <c r="O582" i="1"/>
  <c r="P582" i="1"/>
  <c r="O583" i="1"/>
  <c r="P583" i="1"/>
  <c r="O584" i="1"/>
  <c r="P584" i="1"/>
  <c r="O585" i="1"/>
  <c r="P585" i="1"/>
  <c r="O586" i="1"/>
  <c r="P586" i="1"/>
  <c r="O587" i="1"/>
  <c r="P587" i="1"/>
  <c r="O588" i="1"/>
  <c r="P588" i="1"/>
  <c r="O589" i="1"/>
  <c r="P589" i="1"/>
  <c r="O590" i="1"/>
  <c r="P590" i="1"/>
  <c r="O591" i="1"/>
  <c r="P591" i="1"/>
  <c r="O592" i="1"/>
  <c r="P592" i="1"/>
  <c r="O593" i="1"/>
  <c r="P593" i="1"/>
  <c r="O594" i="1"/>
  <c r="P594" i="1"/>
  <c r="O595" i="1"/>
  <c r="P595" i="1"/>
  <c r="O596" i="1"/>
  <c r="P596" i="1"/>
  <c r="O597" i="1"/>
  <c r="P597" i="1"/>
  <c r="O598" i="1"/>
  <c r="P598" i="1"/>
  <c r="O599" i="1"/>
  <c r="P599" i="1"/>
  <c r="O600" i="1"/>
  <c r="P600" i="1"/>
  <c r="O601" i="1"/>
  <c r="P601" i="1"/>
  <c r="O602" i="1"/>
  <c r="P602" i="1"/>
  <c r="O603" i="1"/>
  <c r="P603" i="1"/>
  <c r="O604" i="1"/>
  <c r="P604" i="1"/>
  <c r="O605" i="1"/>
  <c r="P605" i="1"/>
  <c r="O606" i="1"/>
  <c r="P606" i="1"/>
  <c r="O607" i="1"/>
  <c r="P607" i="1"/>
  <c r="O608" i="1"/>
  <c r="P608" i="1"/>
  <c r="O609" i="1"/>
  <c r="P609" i="1"/>
  <c r="O610" i="1"/>
  <c r="P610" i="1"/>
  <c r="O611" i="1"/>
  <c r="P611" i="1"/>
  <c r="O612" i="1"/>
  <c r="P612" i="1"/>
  <c r="O613" i="1"/>
  <c r="P613" i="1"/>
  <c r="O614" i="1"/>
  <c r="P614" i="1"/>
  <c r="O615" i="1"/>
  <c r="P615" i="1"/>
  <c r="O616" i="1"/>
  <c r="P616" i="1"/>
  <c r="O617" i="1"/>
  <c r="P617" i="1"/>
  <c r="O618" i="1"/>
  <c r="P618" i="1"/>
  <c r="O619" i="1"/>
  <c r="P619" i="1"/>
  <c r="O620" i="1"/>
  <c r="P620" i="1"/>
  <c r="O621" i="1"/>
  <c r="P621" i="1"/>
  <c r="O622" i="1"/>
  <c r="P622" i="1"/>
  <c r="O623" i="1"/>
  <c r="P623" i="1"/>
  <c r="O624" i="1"/>
  <c r="P624" i="1"/>
  <c r="O625" i="1"/>
  <c r="P625" i="1"/>
  <c r="O626" i="1"/>
  <c r="P626" i="1"/>
  <c r="O627" i="1"/>
  <c r="P627" i="1"/>
  <c r="O628" i="1"/>
  <c r="P628" i="1"/>
  <c r="O629" i="1"/>
  <c r="P629" i="1"/>
  <c r="O630" i="1"/>
  <c r="P630" i="1"/>
  <c r="O631" i="1"/>
  <c r="P631" i="1"/>
  <c r="O632" i="1"/>
  <c r="P632" i="1"/>
  <c r="O633" i="1"/>
  <c r="P633" i="1"/>
  <c r="O634" i="1"/>
  <c r="P634" i="1"/>
  <c r="O635" i="1"/>
  <c r="P635" i="1"/>
  <c r="O636" i="1"/>
  <c r="P636" i="1"/>
  <c r="O637" i="1"/>
  <c r="P637" i="1"/>
  <c r="O638" i="1"/>
  <c r="P638" i="1"/>
  <c r="O639" i="1"/>
  <c r="P639" i="1"/>
  <c r="O640" i="1"/>
  <c r="P640" i="1"/>
  <c r="O641" i="1"/>
  <c r="P641" i="1"/>
  <c r="O642" i="1"/>
  <c r="P642" i="1"/>
  <c r="O643" i="1"/>
  <c r="P643" i="1"/>
  <c r="O644" i="1"/>
  <c r="P644" i="1"/>
  <c r="O645" i="1"/>
  <c r="P645" i="1"/>
  <c r="O646" i="1"/>
  <c r="P646" i="1"/>
  <c r="O647" i="1"/>
  <c r="P647" i="1"/>
  <c r="O648" i="1"/>
  <c r="P648" i="1"/>
  <c r="O649" i="1"/>
  <c r="P649" i="1"/>
  <c r="O650" i="1"/>
  <c r="P650" i="1"/>
  <c r="O651" i="1"/>
  <c r="P651" i="1"/>
  <c r="O652" i="1"/>
  <c r="P652" i="1"/>
  <c r="O653" i="1"/>
  <c r="P653" i="1"/>
  <c r="O654" i="1"/>
  <c r="P654" i="1"/>
  <c r="O655" i="1"/>
  <c r="P655" i="1"/>
  <c r="O656" i="1"/>
  <c r="P656" i="1"/>
  <c r="O657" i="1"/>
  <c r="P657" i="1"/>
  <c r="O658" i="1"/>
  <c r="P658" i="1"/>
  <c r="O659" i="1"/>
  <c r="P659" i="1"/>
  <c r="O660" i="1"/>
  <c r="P660" i="1"/>
  <c r="O661" i="1"/>
  <c r="P661" i="1"/>
  <c r="O662" i="1"/>
  <c r="P662" i="1"/>
  <c r="O663" i="1"/>
  <c r="P663" i="1"/>
  <c r="O664" i="1"/>
  <c r="P664" i="1"/>
  <c r="O665" i="1"/>
  <c r="P665" i="1"/>
  <c r="O666" i="1"/>
  <c r="P666" i="1"/>
  <c r="O667" i="1"/>
  <c r="P667" i="1"/>
  <c r="O668" i="1"/>
  <c r="P668" i="1"/>
  <c r="O669" i="1"/>
  <c r="P669" i="1"/>
  <c r="O670" i="1"/>
  <c r="P670" i="1"/>
  <c r="O671" i="1"/>
  <c r="P671" i="1"/>
  <c r="O672" i="1"/>
  <c r="P672" i="1"/>
  <c r="O673" i="1"/>
  <c r="P673" i="1"/>
  <c r="O674" i="1"/>
  <c r="P674" i="1"/>
  <c r="O675" i="1"/>
  <c r="P675" i="1"/>
  <c r="O676" i="1"/>
  <c r="P676" i="1"/>
  <c r="O677" i="1"/>
  <c r="P677" i="1"/>
  <c r="O678" i="1"/>
  <c r="P678" i="1"/>
  <c r="O679" i="1"/>
  <c r="P679" i="1"/>
  <c r="O680" i="1"/>
  <c r="P680" i="1"/>
  <c r="O681" i="1"/>
  <c r="P681" i="1"/>
  <c r="O682" i="1"/>
  <c r="P682" i="1"/>
  <c r="O683" i="1"/>
  <c r="P683" i="1"/>
  <c r="O684" i="1"/>
  <c r="P684" i="1"/>
  <c r="O685" i="1"/>
  <c r="P685" i="1"/>
  <c r="O686" i="1"/>
  <c r="P686" i="1"/>
  <c r="O687" i="1"/>
  <c r="P687" i="1"/>
  <c r="O688" i="1"/>
  <c r="P688" i="1"/>
  <c r="O689" i="1"/>
  <c r="P689" i="1"/>
  <c r="O690" i="1"/>
  <c r="P690" i="1"/>
  <c r="O691" i="1"/>
  <c r="P691" i="1"/>
  <c r="O692" i="1"/>
  <c r="P692" i="1"/>
  <c r="O693" i="1"/>
  <c r="P693" i="1"/>
  <c r="O694" i="1"/>
  <c r="P694" i="1"/>
  <c r="O695" i="1"/>
  <c r="P695" i="1"/>
  <c r="O696" i="1"/>
  <c r="P696" i="1"/>
  <c r="O697" i="1"/>
  <c r="P697" i="1"/>
  <c r="O698" i="1"/>
  <c r="P698" i="1"/>
  <c r="O699" i="1"/>
  <c r="P699" i="1"/>
  <c r="O700" i="1"/>
  <c r="P700" i="1"/>
  <c r="O701" i="1"/>
  <c r="P701" i="1"/>
  <c r="O702" i="1"/>
  <c r="P702" i="1"/>
  <c r="O703" i="1"/>
  <c r="P703" i="1"/>
  <c r="O704" i="1"/>
  <c r="P704" i="1"/>
  <c r="O705" i="1"/>
  <c r="P705" i="1"/>
  <c r="O706" i="1"/>
  <c r="P706" i="1"/>
  <c r="O707" i="1"/>
  <c r="P707" i="1"/>
  <c r="O708" i="1"/>
  <c r="P708" i="1"/>
  <c r="O709" i="1"/>
  <c r="P709" i="1"/>
  <c r="O710" i="1"/>
  <c r="P710" i="1"/>
  <c r="O711" i="1"/>
  <c r="P711" i="1"/>
  <c r="O712" i="1"/>
  <c r="P712" i="1"/>
  <c r="O713" i="1"/>
  <c r="P713" i="1"/>
  <c r="O714" i="1"/>
  <c r="P714" i="1"/>
  <c r="O715" i="1"/>
  <c r="P715" i="1"/>
  <c r="O716" i="1"/>
  <c r="P716" i="1"/>
  <c r="O717" i="1"/>
  <c r="P717" i="1"/>
  <c r="O718" i="1"/>
  <c r="P718" i="1"/>
  <c r="O719" i="1"/>
  <c r="P719" i="1"/>
  <c r="O720" i="1"/>
  <c r="P720" i="1"/>
  <c r="O721" i="1"/>
  <c r="P721" i="1"/>
  <c r="O722" i="1"/>
  <c r="P722" i="1"/>
  <c r="O723" i="1"/>
  <c r="P723" i="1"/>
  <c r="O724" i="1"/>
  <c r="P724" i="1"/>
  <c r="O725" i="1"/>
  <c r="P725" i="1"/>
  <c r="O726" i="1"/>
  <c r="P726" i="1"/>
  <c r="O727" i="1"/>
  <c r="P727" i="1"/>
  <c r="O728" i="1"/>
  <c r="P728" i="1"/>
  <c r="O729" i="1"/>
  <c r="P729" i="1"/>
  <c r="O730" i="1"/>
  <c r="P730" i="1"/>
  <c r="O731" i="1"/>
  <c r="P731" i="1"/>
  <c r="O732" i="1"/>
  <c r="P732" i="1"/>
  <c r="O733" i="1"/>
  <c r="P733" i="1"/>
  <c r="O734" i="1"/>
  <c r="P734" i="1"/>
  <c r="O735" i="1"/>
  <c r="P735" i="1"/>
  <c r="O736" i="1"/>
  <c r="P736" i="1"/>
  <c r="O737" i="1"/>
  <c r="P737" i="1"/>
  <c r="O738" i="1"/>
  <c r="P738" i="1"/>
  <c r="O739" i="1"/>
  <c r="P739" i="1"/>
  <c r="O740" i="1"/>
  <c r="P740" i="1"/>
  <c r="O741" i="1"/>
  <c r="P741" i="1"/>
  <c r="O742" i="1"/>
  <c r="P742" i="1"/>
  <c r="O743" i="1"/>
  <c r="P743" i="1"/>
  <c r="O744" i="1"/>
  <c r="P744" i="1"/>
  <c r="O745" i="1"/>
  <c r="P745" i="1"/>
  <c r="O746" i="1"/>
  <c r="P746" i="1"/>
  <c r="O747" i="1"/>
  <c r="P747" i="1"/>
  <c r="O748" i="1"/>
  <c r="P748" i="1"/>
  <c r="O749" i="1"/>
  <c r="P749" i="1"/>
  <c r="O750" i="1"/>
  <c r="P750" i="1"/>
  <c r="O751" i="1"/>
  <c r="P751" i="1"/>
  <c r="O752" i="1"/>
  <c r="P752" i="1"/>
  <c r="O753" i="1"/>
  <c r="P753" i="1"/>
  <c r="O754" i="1"/>
  <c r="P754" i="1"/>
  <c r="O755" i="1"/>
  <c r="P755" i="1"/>
  <c r="O756" i="1"/>
  <c r="P756" i="1"/>
  <c r="O757" i="1"/>
  <c r="P757" i="1"/>
  <c r="O758" i="1"/>
  <c r="P758" i="1"/>
  <c r="O759" i="1"/>
  <c r="P759" i="1"/>
  <c r="O760" i="1"/>
  <c r="P760" i="1"/>
  <c r="O761" i="1"/>
  <c r="P761" i="1"/>
  <c r="O762" i="1"/>
  <c r="P762" i="1"/>
  <c r="O763" i="1"/>
  <c r="P763" i="1"/>
  <c r="O764" i="1"/>
  <c r="P764" i="1"/>
  <c r="O765" i="1"/>
  <c r="P765" i="1"/>
  <c r="O766" i="1"/>
  <c r="P766" i="1"/>
  <c r="O767" i="1"/>
  <c r="P767" i="1"/>
  <c r="O768" i="1"/>
  <c r="P768" i="1"/>
  <c r="O769" i="1"/>
  <c r="P769" i="1"/>
  <c r="O770" i="1"/>
  <c r="P770" i="1"/>
  <c r="O771" i="1"/>
  <c r="P771" i="1"/>
  <c r="O772" i="1"/>
  <c r="P772" i="1"/>
  <c r="O773" i="1"/>
  <c r="P773" i="1"/>
  <c r="O774" i="1"/>
  <c r="P774" i="1"/>
  <c r="O775" i="1"/>
  <c r="P775" i="1"/>
  <c r="O776" i="1"/>
  <c r="P776" i="1"/>
  <c r="O777" i="1"/>
  <c r="P777" i="1"/>
  <c r="O778" i="1"/>
  <c r="P778" i="1"/>
  <c r="O779" i="1"/>
  <c r="P779" i="1"/>
  <c r="O780" i="1"/>
  <c r="P780" i="1"/>
  <c r="O781" i="1"/>
  <c r="P781" i="1"/>
  <c r="O782" i="1"/>
  <c r="P782" i="1"/>
  <c r="O783" i="1"/>
  <c r="P783" i="1"/>
  <c r="O784" i="1"/>
  <c r="P784" i="1"/>
  <c r="O785" i="1"/>
  <c r="P785" i="1"/>
  <c r="O786" i="1"/>
  <c r="P786" i="1"/>
  <c r="O787" i="1"/>
  <c r="P787" i="1"/>
  <c r="O788" i="1"/>
  <c r="P788" i="1"/>
  <c r="O789" i="1"/>
  <c r="P789" i="1"/>
  <c r="O790" i="1"/>
  <c r="P790" i="1"/>
  <c r="O791" i="1"/>
  <c r="P791" i="1"/>
  <c r="O792" i="1"/>
  <c r="P792" i="1"/>
  <c r="O793" i="1"/>
  <c r="P793" i="1"/>
  <c r="O794" i="1"/>
  <c r="P794" i="1"/>
  <c r="O795" i="1"/>
  <c r="P795" i="1"/>
  <c r="O796" i="1"/>
  <c r="P796" i="1"/>
  <c r="O797" i="1"/>
  <c r="P797" i="1"/>
  <c r="O798" i="1"/>
  <c r="P798" i="1"/>
  <c r="O799" i="1"/>
  <c r="P799" i="1"/>
  <c r="O800" i="1"/>
  <c r="P800" i="1"/>
  <c r="O801" i="1"/>
  <c r="P801" i="1"/>
  <c r="O802" i="1"/>
  <c r="P802" i="1"/>
  <c r="O803" i="1"/>
  <c r="P803" i="1"/>
  <c r="O804" i="1"/>
  <c r="P804" i="1"/>
  <c r="O805" i="1"/>
  <c r="P805" i="1"/>
  <c r="O806" i="1"/>
  <c r="P806" i="1"/>
  <c r="O807" i="1"/>
  <c r="P807" i="1"/>
  <c r="O808" i="1"/>
  <c r="P808" i="1"/>
  <c r="O809" i="1"/>
  <c r="P809" i="1"/>
  <c r="O810" i="1"/>
  <c r="P810" i="1"/>
  <c r="O811" i="1"/>
  <c r="P811" i="1"/>
  <c r="O812" i="1"/>
  <c r="P812" i="1"/>
  <c r="O813" i="1"/>
  <c r="P813" i="1"/>
  <c r="O814" i="1"/>
  <c r="P814" i="1"/>
  <c r="O815" i="1"/>
  <c r="P815" i="1"/>
  <c r="O816" i="1"/>
  <c r="P816" i="1"/>
  <c r="O817" i="1"/>
  <c r="P817" i="1"/>
  <c r="O818" i="1"/>
  <c r="P818" i="1"/>
  <c r="O819" i="1"/>
  <c r="P819" i="1"/>
  <c r="O820" i="1"/>
  <c r="P820" i="1"/>
  <c r="O821" i="1"/>
  <c r="P821" i="1"/>
  <c r="O822" i="1"/>
  <c r="P822" i="1"/>
  <c r="O823" i="1"/>
  <c r="P823" i="1"/>
  <c r="O824" i="1"/>
  <c r="P824" i="1"/>
  <c r="O825" i="1"/>
  <c r="P825" i="1"/>
  <c r="O826" i="1"/>
  <c r="P826" i="1"/>
  <c r="O827" i="1"/>
  <c r="P827" i="1"/>
  <c r="O828" i="1"/>
  <c r="P828" i="1"/>
  <c r="O829" i="1"/>
  <c r="P829" i="1"/>
  <c r="O830" i="1"/>
  <c r="P830" i="1"/>
  <c r="O831" i="1"/>
  <c r="P831" i="1"/>
  <c r="O832" i="1"/>
  <c r="P832" i="1"/>
  <c r="O833" i="1"/>
  <c r="P833" i="1"/>
  <c r="O834" i="1"/>
  <c r="P834" i="1"/>
  <c r="O835" i="1"/>
  <c r="P835" i="1"/>
  <c r="O836" i="1"/>
  <c r="P836" i="1"/>
  <c r="O837" i="1"/>
  <c r="P837" i="1"/>
  <c r="O838" i="1"/>
  <c r="P838" i="1"/>
  <c r="O839" i="1"/>
  <c r="P839" i="1"/>
  <c r="O840" i="1"/>
  <c r="P840" i="1"/>
  <c r="O841" i="1"/>
  <c r="P841" i="1"/>
  <c r="O842" i="1"/>
  <c r="P842" i="1"/>
  <c r="O843" i="1"/>
  <c r="P843" i="1"/>
  <c r="O844" i="1"/>
  <c r="P844" i="1"/>
  <c r="O845" i="1"/>
  <c r="P845" i="1"/>
  <c r="O846" i="1"/>
  <c r="P846" i="1"/>
  <c r="O847" i="1"/>
  <c r="P847" i="1"/>
  <c r="O848" i="1"/>
  <c r="P848" i="1"/>
  <c r="O849" i="1"/>
  <c r="P849" i="1"/>
  <c r="O850" i="1"/>
  <c r="P850" i="1"/>
  <c r="O851" i="1"/>
  <c r="P851" i="1"/>
  <c r="O852" i="1"/>
  <c r="P852" i="1"/>
  <c r="O853" i="1"/>
  <c r="P853" i="1"/>
  <c r="O854" i="1"/>
  <c r="P854" i="1"/>
  <c r="O855" i="1"/>
  <c r="P855" i="1"/>
  <c r="O856" i="1"/>
  <c r="P856" i="1"/>
  <c r="O857" i="1"/>
  <c r="P857" i="1"/>
  <c r="O858" i="1"/>
  <c r="P858" i="1"/>
  <c r="O859" i="1"/>
  <c r="P859" i="1"/>
  <c r="O860" i="1"/>
  <c r="P860" i="1"/>
  <c r="O861" i="1"/>
  <c r="P861" i="1"/>
  <c r="O862" i="1"/>
  <c r="P862" i="1"/>
  <c r="O863" i="1"/>
  <c r="P863" i="1"/>
  <c r="O864" i="1"/>
  <c r="P864" i="1"/>
  <c r="O865" i="1"/>
  <c r="P865" i="1"/>
  <c r="O866" i="1"/>
  <c r="P866" i="1"/>
  <c r="O867" i="1"/>
  <c r="P867" i="1"/>
  <c r="O868" i="1"/>
  <c r="P868" i="1"/>
  <c r="O869" i="1"/>
  <c r="P869" i="1"/>
  <c r="O870" i="1"/>
  <c r="P870" i="1"/>
  <c r="O871" i="1"/>
  <c r="P871" i="1"/>
  <c r="O872" i="1"/>
  <c r="P872" i="1"/>
  <c r="O873" i="1"/>
  <c r="P873" i="1"/>
  <c r="O874" i="1"/>
  <c r="P874" i="1"/>
  <c r="O875" i="1"/>
  <c r="P875" i="1"/>
  <c r="O876" i="1"/>
  <c r="P876" i="1"/>
  <c r="O877" i="1"/>
  <c r="P877" i="1"/>
  <c r="O878" i="1"/>
  <c r="P878" i="1"/>
  <c r="O879" i="1"/>
  <c r="P879" i="1"/>
  <c r="O880" i="1"/>
  <c r="P880" i="1"/>
  <c r="O881" i="1"/>
  <c r="P881" i="1"/>
  <c r="O882" i="1"/>
  <c r="P882" i="1"/>
  <c r="O883" i="1"/>
  <c r="P883" i="1"/>
  <c r="O884" i="1"/>
  <c r="P884" i="1"/>
  <c r="O885" i="1"/>
  <c r="P885" i="1"/>
  <c r="O886" i="1"/>
  <c r="P886" i="1"/>
  <c r="O887" i="1"/>
  <c r="P887" i="1"/>
  <c r="O888" i="1"/>
  <c r="P888" i="1"/>
  <c r="O889" i="1"/>
  <c r="P889" i="1"/>
  <c r="O890" i="1"/>
  <c r="P890" i="1"/>
  <c r="O891" i="1"/>
  <c r="P891" i="1"/>
  <c r="O892" i="1"/>
  <c r="P892" i="1"/>
  <c r="O893" i="1"/>
  <c r="P893" i="1"/>
  <c r="O894" i="1"/>
  <c r="P894" i="1"/>
  <c r="O895" i="1"/>
  <c r="P895" i="1"/>
  <c r="O896" i="1"/>
  <c r="P896" i="1"/>
  <c r="O897" i="1"/>
  <c r="P897" i="1"/>
  <c r="O898" i="1"/>
  <c r="P898" i="1"/>
  <c r="O899" i="1"/>
  <c r="P899" i="1"/>
  <c r="O900" i="1"/>
  <c r="P900" i="1"/>
  <c r="O901" i="1"/>
  <c r="P901" i="1"/>
  <c r="O902" i="1"/>
  <c r="P902" i="1"/>
  <c r="O903" i="1"/>
  <c r="P903" i="1"/>
  <c r="O904" i="1"/>
  <c r="P904" i="1"/>
  <c r="O905" i="1"/>
  <c r="P905" i="1"/>
  <c r="O906" i="1"/>
  <c r="P906" i="1"/>
  <c r="O907" i="1"/>
  <c r="P907" i="1"/>
  <c r="O908" i="1"/>
  <c r="P908" i="1"/>
  <c r="O909" i="1"/>
  <c r="P909" i="1"/>
  <c r="O910" i="1"/>
  <c r="P910" i="1"/>
  <c r="O911" i="1"/>
  <c r="P911" i="1"/>
  <c r="O912" i="1"/>
  <c r="P912" i="1"/>
  <c r="O913" i="1"/>
  <c r="P913" i="1"/>
  <c r="O914" i="1"/>
  <c r="P914" i="1"/>
  <c r="O915" i="1"/>
  <c r="P915" i="1"/>
  <c r="O916" i="1"/>
  <c r="P916" i="1"/>
  <c r="O917" i="1"/>
  <c r="P917" i="1"/>
  <c r="O918" i="1"/>
  <c r="P918" i="1"/>
  <c r="O919" i="1"/>
  <c r="P919" i="1"/>
  <c r="O920" i="1"/>
  <c r="P920" i="1"/>
  <c r="O921" i="1"/>
  <c r="P921" i="1"/>
  <c r="O922" i="1"/>
  <c r="P922" i="1"/>
  <c r="O923" i="1"/>
  <c r="P923" i="1"/>
  <c r="O924" i="1"/>
  <c r="P924" i="1"/>
  <c r="O925" i="1"/>
  <c r="P925" i="1"/>
  <c r="O926" i="1"/>
  <c r="P926" i="1"/>
  <c r="O927" i="1"/>
  <c r="P927" i="1"/>
  <c r="O928" i="1"/>
  <c r="P928" i="1"/>
  <c r="O929" i="1"/>
  <c r="P929" i="1"/>
  <c r="O930" i="1"/>
  <c r="P930" i="1"/>
  <c r="O931" i="1"/>
  <c r="P931" i="1"/>
  <c r="O932" i="1"/>
  <c r="P932" i="1"/>
  <c r="O933" i="1"/>
  <c r="P933" i="1"/>
  <c r="O934" i="1"/>
  <c r="P934" i="1"/>
  <c r="O935" i="1"/>
  <c r="P935" i="1"/>
  <c r="O936" i="1"/>
  <c r="P936" i="1"/>
  <c r="O937" i="1"/>
  <c r="P937" i="1"/>
  <c r="O938" i="1"/>
  <c r="P938" i="1"/>
  <c r="O939" i="1"/>
  <c r="P939" i="1"/>
  <c r="O940" i="1"/>
  <c r="P940" i="1"/>
  <c r="O941" i="1"/>
  <c r="P941" i="1"/>
  <c r="O942" i="1"/>
  <c r="P942" i="1"/>
  <c r="O943" i="1"/>
  <c r="P943" i="1"/>
  <c r="O944" i="1"/>
  <c r="P944" i="1"/>
  <c r="O945" i="1"/>
  <c r="P945" i="1"/>
  <c r="O946" i="1"/>
  <c r="P946" i="1"/>
  <c r="O947" i="1"/>
  <c r="P947" i="1"/>
  <c r="O948" i="1"/>
  <c r="P948" i="1"/>
  <c r="O949" i="1"/>
  <c r="P949" i="1"/>
  <c r="O950" i="1"/>
  <c r="P950" i="1"/>
  <c r="O951" i="1"/>
  <c r="P951" i="1"/>
  <c r="O952" i="1"/>
  <c r="P952" i="1"/>
  <c r="O953" i="1"/>
  <c r="P953" i="1"/>
  <c r="O954" i="1"/>
  <c r="P954" i="1"/>
  <c r="O955" i="1"/>
  <c r="P955" i="1"/>
  <c r="O956" i="1"/>
  <c r="P956" i="1"/>
  <c r="O957" i="1"/>
  <c r="P957" i="1"/>
  <c r="O958" i="1"/>
  <c r="P958" i="1"/>
  <c r="O959" i="1"/>
  <c r="P959" i="1"/>
  <c r="O960" i="1"/>
  <c r="P960" i="1"/>
  <c r="O961" i="1"/>
  <c r="P961" i="1"/>
  <c r="O962" i="1"/>
  <c r="P962" i="1"/>
  <c r="O963" i="1"/>
  <c r="P963" i="1"/>
  <c r="O964" i="1"/>
  <c r="P964" i="1"/>
  <c r="O965" i="1"/>
  <c r="P965" i="1"/>
  <c r="O966" i="1"/>
  <c r="P966" i="1"/>
  <c r="O967" i="1"/>
  <c r="P967" i="1"/>
  <c r="O968" i="1"/>
  <c r="P968" i="1"/>
  <c r="O969" i="1"/>
  <c r="P969" i="1"/>
  <c r="O970" i="1"/>
  <c r="P970" i="1"/>
  <c r="O971" i="1"/>
  <c r="P971" i="1"/>
  <c r="O972" i="1"/>
  <c r="P972" i="1"/>
  <c r="O973" i="1"/>
  <c r="P973" i="1"/>
  <c r="O974" i="1"/>
  <c r="P974" i="1"/>
  <c r="O975" i="1"/>
  <c r="P975" i="1"/>
  <c r="O976" i="1"/>
  <c r="P976" i="1"/>
  <c r="O977" i="1"/>
  <c r="P977" i="1"/>
  <c r="O978" i="1"/>
  <c r="P978" i="1"/>
  <c r="O979" i="1"/>
  <c r="P979" i="1"/>
  <c r="O980" i="1"/>
  <c r="P980" i="1"/>
  <c r="O981" i="1"/>
  <c r="P981" i="1"/>
  <c r="O982" i="1"/>
  <c r="P982" i="1"/>
  <c r="O983" i="1"/>
  <c r="P983" i="1"/>
  <c r="O984" i="1"/>
  <c r="P984" i="1"/>
  <c r="O985" i="1"/>
  <c r="P985" i="1"/>
  <c r="O986" i="1"/>
  <c r="P986" i="1"/>
  <c r="O987" i="1"/>
  <c r="P987" i="1"/>
  <c r="O988" i="1"/>
  <c r="P988" i="1"/>
  <c r="O989" i="1"/>
  <c r="P989" i="1"/>
  <c r="O990" i="1"/>
  <c r="P990" i="1"/>
  <c r="O991" i="1"/>
  <c r="P991" i="1"/>
  <c r="O992" i="1"/>
  <c r="P992" i="1"/>
  <c r="O993" i="1"/>
  <c r="P993" i="1"/>
  <c r="O994" i="1"/>
  <c r="P994" i="1"/>
  <c r="O995" i="1"/>
  <c r="P995" i="1"/>
  <c r="O996" i="1"/>
  <c r="P996" i="1"/>
  <c r="O997" i="1"/>
  <c r="P997" i="1"/>
  <c r="O998" i="1"/>
  <c r="P998" i="1"/>
  <c r="O999" i="1"/>
  <c r="P999" i="1"/>
  <c r="O1000" i="1"/>
  <c r="P1000" i="1"/>
  <c r="O1001" i="1"/>
  <c r="P1001" i="1"/>
  <c r="O1002" i="1"/>
  <c r="P1002" i="1"/>
  <c r="O1003" i="1"/>
  <c r="P1003" i="1"/>
  <c r="O1004" i="1"/>
  <c r="P1004" i="1"/>
  <c r="O1005" i="1"/>
  <c r="P1005" i="1"/>
  <c r="O1006" i="1"/>
  <c r="P1006" i="1"/>
  <c r="O1007" i="1"/>
  <c r="P1007" i="1"/>
  <c r="O1008" i="1"/>
  <c r="P1008" i="1"/>
  <c r="O1009" i="1"/>
  <c r="P1009" i="1"/>
  <c r="O1010" i="1"/>
  <c r="P1010" i="1"/>
  <c r="O1011" i="1"/>
  <c r="P1011" i="1"/>
  <c r="O1012" i="1"/>
  <c r="P1012" i="1"/>
  <c r="O1013" i="1"/>
  <c r="P1013" i="1"/>
  <c r="O1014" i="1"/>
  <c r="P1014" i="1"/>
  <c r="O1015" i="1"/>
  <c r="P1015" i="1"/>
  <c r="O1016" i="1"/>
  <c r="P1016" i="1"/>
  <c r="O1017" i="1"/>
  <c r="P1017" i="1"/>
  <c r="O1018" i="1"/>
  <c r="P1018" i="1"/>
  <c r="O1019" i="1"/>
  <c r="P1019" i="1"/>
  <c r="O1020" i="1"/>
  <c r="P1020" i="1"/>
  <c r="O1021" i="1"/>
  <c r="P1021" i="1"/>
  <c r="O1022" i="1"/>
  <c r="P1022" i="1"/>
  <c r="O1023" i="1"/>
  <c r="P1023" i="1"/>
  <c r="O1024" i="1"/>
  <c r="P1024" i="1"/>
  <c r="O1025" i="1"/>
  <c r="P1025" i="1"/>
  <c r="O1026" i="1"/>
  <c r="P1026" i="1"/>
  <c r="O1027" i="1"/>
  <c r="P1027" i="1"/>
  <c r="O1028" i="1"/>
  <c r="P1028" i="1"/>
  <c r="O1029" i="1"/>
  <c r="P1029" i="1"/>
  <c r="O1030" i="1"/>
  <c r="P1030" i="1"/>
  <c r="O1031" i="1"/>
  <c r="P1031" i="1"/>
  <c r="O1032" i="1"/>
  <c r="P1032" i="1"/>
  <c r="O1033" i="1"/>
  <c r="P1033" i="1"/>
  <c r="O1034" i="1"/>
  <c r="P1034" i="1"/>
  <c r="O1035" i="1"/>
  <c r="P1035" i="1"/>
  <c r="O1036" i="1"/>
  <c r="P1036" i="1"/>
  <c r="O1037" i="1"/>
  <c r="P1037" i="1"/>
  <c r="O1038" i="1"/>
  <c r="P1038" i="1"/>
  <c r="O1039" i="1"/>
  <c r="P1039" i="1"/>
  <c r="O1040" i="1"/>
  <c r="P1040" i="1"/>
  <c r="O1041" i="1"/>
  <c r="P1041" i="1"/>
  <c r="O1042" i="1"/>
  <c r="P1042" i="1"/>
  <c r="O1043" i="1"/>
  <c r="P1043" i="1"/>
  <c r="O1044" i="1"/>
  <c r="P1044" i="1"/>
  <c r="O1045" i="1"/>
  <c r="P1045" i="1"/>
  <c r="O1046" i="1"/>
  <c r="P1046" i="1"/>
  <c r="O1047" i="1"/>
  <c r="P1047" i="1"/>
  <c r="O1048" i="1"/>
  <c r="P1048" i="1"/>
  <c r="O1049" i="1"/>
  <c r="P1049" i="1"/>
  <c r="O1050" i="1"/>
  <c r="P1050" i="1"/>
  <c r="O1051" i="1"/>
  <c r="P1051" i="1"/>
  <c r="O1052" i="1"/>
  <c r="P1052" i="1"/>
  <c r="O1053" i="1"/>
  <c r="P1053" i="1"/>
  <c r="O1054" i="1"/>
  <c r="P1054" i="1"/>
  <c r="O1055" i="1"/>
  <c r="P1055" i="1"/>
  <c r="O1056" i="1"/>
  <c r="P1056" i="1"/>
  <c r="O1057" i="1"/>
  <c r="P1057" i="1"/>
  <c r="O1058" i="1"/>
  <c r="P1058" i="1"/>
  <c r="O1059" i="1"/>
  <c r="P1059" i="1"/>
  <c r="O1060" i="1"/>
  <c r="P1060" i="1"/>
  <c r="O1061" i="1"/>
  <c r="P1061" i="1"/>
  <c r="O1062" i="1"/>
  <c r="P1062" i="1"/>
  <c r="O1063" i="1"/>
  <c r="P1063" i="1"/>
  <c r="O1064" i="1"/>
  <c r="P1064" i="1"/>
  <c r="O1065" i="1"/>
  <c r="P1065" i="1"/>
  <c r="O1066" i="1"/>
  <c r="P1066" i="1"/>
  <c r="O1067" i="1"/>
  <c r="P1067" i="1"/>
  <c r="O1068" i="1"/>
  <c r="P1068" i="1"/>
  <c r="O1069" i="1"/>
  <c r="P1069" i="1"/>
  <c r="O1070" i="1"/>
  <c r="P1070" i="1"/>
  <c r="O1071" i="1"/>
  <c r="P1071" i="1"/>
  <c r="O1072" i="1"/>
  <c r="P1072" i="1"/>
  <c r="O1073" i="1"/>
  <c r="P1073" i="1"/>
  <c r="O1074" i="1"/>
  <c r="P1074" i="1"/>
  <c r="O1075" i="1"/>
  <c r="P1075" i="1"/>
  <c r="O1076" i="1"/>
  <c r="P1076" i="1"/>
  <c r="O1077" i="1"/>
  <c r="P1077" i="1"/>
  <c r="O1078" i="1"/>
  <c r="P1078" i="1"/>
  <c r="O1079" i="1"/>
  <c r="P1079" i="1"/>
  <c r="O1080" i="1"/>
  <c r="P1080" i="1"/>
  <c r="O1081" i="1"/>
  <c r="P1081" i="1"/>
  <c r="O1082" i="1"/>
  <c r="P1082" i="1"/>
  <c r="O1083" i="1"/>
  <c r="P1083" i="1"/>
  <c r="O1084" i="1"/>
  <c r="P1084" i="1"/>
  <c r="O1085" i="1"/>
  <c r="P1085" i="1"/>
  <c r="O1086" i="1"/>
  <c r="P1086" i="1"/>
  <c r="O1087" i="1"/>
  <c r="P1087" i="1"/>
  <c r="O1088" i="1"/>
  <c r="P1088" i="1"/>
  <c r="O1089" i="1"/>
  <c r="P1089" i="1"/>
  <c r="O1090" i="1"/>
  <c r="P1090" i="1"/>
  <c r="O1091" i="1"/>
  <c r="P1091" i="1"/>
  <c r="O1092" i="1"/>
  <c r="P1092" i="1"/>
  <c r="O1093" i="1"/>
  <c r="P1093" i="1"/>
  <c r="O1094" i="1"/>
  <c r="P1094" i="1"/>
  <c r="O1095" i="1"/>
  <c r="P1095" i="1"/>
  <c r="O1096" i="1"/>
  <c r="P1096" i="1"/>
  <c r="O1097" i="1"/>
  <c r="P1097" i="1"/>
  <c r="O1098" i="1"/>
  <c r="P1098" i="1"/>
  <c r="O1099" i="1"/>
  <c r="P1099" i="1"/>
  <c r="O1100" i="1"/>
  <c r="P1100" i="1"/>
  <c r="O1101" i="1"/>
  <c r="P1101" i="1"/>
  <c r="O1102" i="1"/>
  <c r="P1102" i="1"/>
  <c r="O1103" i="1"/>
  <c r="P1103" i="1"/>
  <c r="O1104" i="1"/>
  <c r="P1104" i="1"/>
  <c r="O1105" i="1"/>
  <c r="P1105" i="1"/>
  <c r="O1106" i="1"/>
  <c r="P1106" i="1"/>
  <c r="O1107" i="1"/>
  <c r="P1107" i="1"/>
  <c r="O1108" i="1"/>
  <c r="P1108" i="1"/>
  <c r="O1109" i="1"/>
  <c r="P1109" i="1"/>
  <c r="O1110" i="1"/>
  <c r="P1110" i="1"/>
  <c r="O1111" i="1"/>
  <c r="P1111" i="1"/>
  <c r="O1112" i="1"/>
  <c r="P1112" i="1"/>
  <c r="O1113" i="1"/>
  <c r="P1113" i="1"/>
  <c r="O1114" i="1"/>
  <c r="P1114" i="1"/>
  <c r="O1115" i="1"/>
  <c r="P1115" i="1"/>
  <c r="O1116" i="1"/>
  <c r="P1116" i="1"/>
  <c r="O1117" i="1"/>
  <c r="P1117" i="1"/>
  <c r="O1118" i="1"/>
  <c r="P1118" i="1"/>
  <c r="O1119" i="1"/>
  <c r="P1119" i="1"/>
  <c r="O1120" i="1"/>
  <c r="P1120" i="1"/>
  <c r="O1121" i="1"/>
  <c r="P1121" i="1"/>
  <c r="O1122" i="1"/>
  <c r="P1122" i="1"/>
  <c r="O1123" i="1"/>
  <c r="P1123" i="1"/>
  <c r="O1124" i="1"/>
  <c r="P1124" i="1"/>
  <c r="O1125" i="1"/>
  <c r="P1125" i="1"/>
  <c r="O1126" i="1"/>
  <c r="P1126" i="1"/>
  <c r="O1127" i="1"/>
  <c r="P1127" i="1"/>
  <c r="O1128" i="1"/>
  <c r="P1128" i="1"/>
  <c r="O1129" i="1"/>
  <c r="P1129" i="1"/>
  <c r="O1130" i="1"/>
  <c r="P1130" i="1"/>
  <c r="O1131" i="1"/>
  <c r="P1131" i="1"/>
  <c r="O1132" i="1"/>
  <c r="P1132" i="1"/>
  <c r="O1133" i="1"/>
  <c r="P1133" i="1"/>
  <c r="O1134" i="1"/>
  <c r="P1134" i="1"/>
  <c r="O1135" i="1"/>
  <c r="P1135" i="1"/>
  <c r="O1136" i="1"/>
  <c r="P1136" i="1"/>
  <c r="O1137" i="1"/>
  <c r="P1137" i="1"/>
  <c r="O1138" i="1"/>
  <c r="P1138" i="1"/>
  <c r="O1139" i="1"/>
  <c r="P1139" i="1"/>
  <c r="O1140" i="1"/>
  <c r="P1140" i="1"/>
  <c r="O1141" i="1"/>
  <c r="P1141" i="1"/>
  <c r="O1142" i="1"/>
  <c r="P1142" i="1"/>
  <c r="O1143" i="1"/>
  <c r="P1143" i="1"/>
  <c r="O1144" i="1"/>
  <c r="P1144" i="1"/>
  <c r="O1145" i="1"/>
  <c r="P1145" i="1"/>
  <c r="O1146" i="1"/>
  <c r="P1146" i="1"/>
  <c r="O1147" i="1"/>
  <c r="P1147" i="1"/>
  <c r="O1148" i="1"/>
  <c r="P1148" i="1"/>
  <c r="O1149" i="1"/>
  <c r="P1149" i="1"/>
  <c r="O1150" i="1"/>
  <c r="P1150" i="1"/>
  <c r="O1151" i="1"/>
  <c r="P1151" i="1"/>
  <c r="O1152" i="1"/>
  <c r="P1152" i="1"/>
  <c r="O1153" i="1"/>
  <c r="P1153" i="1"/>
  <c r="O1154" i="1"/>
  <c r="P1154" i="1"/>
  <c r="O1155" i="1"/>
  <c r="P1155" i="1"/>
  <c r="O1156" i="1"/>
  <c r="P1156" i="1"/>
  <c r="O1157" i="1"/>
  <c r="P1157" i="1"/>
  <c r="O1158" i="1"/>
  <c r="P1158" i="1"/>
  <c r="O1159" i="1"/>
  <c r="P1159" i="1"/>
  <c r="O1160" i="1"/>
  <c r="P1160" i="1"/>
  <c r="O1161" i="1"/>
  <c r="P1161" i="1"/>
  <c r="O1162" i="1"/>
  <c r="P1162" i="1"/>
  <c r="O1163" i="1"/>
  <c r="P1163" i="1"/>
  <c r="O1164" i="1"/>
  <c r="P1164" i="1"/>
  <c r="O1165" i="1"/>
  <c r="P1165" i="1"/>
  <c r="O1166" i="1"/>
  <c r="P1166" i="1"/>
  <c r="O1167" i="1"/>
  <c r="P1167" i="1"/>
  <c r="O1168" i="1"/>
  <c r="P1168" i="1"/>
  <c r="O1169" i="1"/>
  <c r="P1169" i="1"/>
  <c r="O1170" i="1"/>
  <c r="P1170" i="1"/>
  <c r="O1171" i="1"/>
  <c r="P1171" i="1"/>
  <c r="O1172" i="1"/>
  <c r="P1172" i="1"/>
  <c r="O1173" i="1"/>
  <c r="P1173" i="1"/>
  <c r="O1174" i="1"/>
  <c r="P1174" i="1"/>
  <c r="O1175" i="1"/>
  <c r="P1175" i="1"/>
  <c r="O1176" i="1"/>
  <c r="P1176" i="1"/>
  <c r="O1177" i="1"/>
  <c r="P1177" i="1"/>
  <c r="O1178" i="1"/>
  <c r="P1178" i="1"/>
  <c r="O1179" i="1"/>
  <c r="P1179" i="1"/>
  <c r="O1180" i="1"/>
  <c r="P1180" i="1"/>
  <c r="O1181" i="1"/>
  <c r="P1181" i="1"/>
  <c r="O1182" i="1"/>
  <c r="P1182" i="1"/>
  <c r="O1183" i="1"/>
  <c r="P1183" i="1"/>
  <c r="O1184" i="1"/>
  <c r="P1184" i="1"/>
  <c r="O1185" i="1"/>
  <c r="P1185" i="1"/>
  <c r="O1186" i="1"/>
  <c r="P1186" i="1"/>
  <c r="O1187" i="1"/>
  <c r="P1187" i="1"/>
  <c r="O1188" i="1"/>
  <c r="P1188" i="1"/>
  <c r="O1189" i="1"/>
  <c r="P1189" i="1"/>
  <c r="O1190" i="1"/>
  <c r="P1190" i="1"/>
  <c r="O1191" i="1"/>
  <c r="P1191" i="1"/>
  <c r="O1192" i="1"/>
  <c r="P1192" i="1"/>
  <c r="O1193" i="1"/>
  <c r="P1193" i="1"/>
  <c r="O1194" i="1"/>
  <c r="P1194" i="1"/>
  <c r="O1195" i="1"/>
  <c r="P1195" i="1"/>
  <c r="O1196" i="1"/>
  <c r="P1196" i="1"/>
  <c r="O1197" i="1"/>
  <c r="P1197" i="1"/>
  <c r="O1198" i="1"/>
  <c r="P1198" i="1"/>
  <c r="O1199" i="1"/>
  <c r="P1199" i="1"/>
  <c r="O1200" i="1"/>
  <c r="P1200" i="1"/>
  <c r="O1201" i="1"/>
  <c r="P1201" i="1"/>
  <c r="O1202" i="1"/>
  <c r="P1202" i="1"/>
  <c r="O1203" i="1"/>
  <c r="P1203" i="1"/>
  <c r="O1204" i="1"/>
  <c r="P1204" i="1"/>
  <c r="O1205" i="1"/>
  <c r="P1205" i="1"/>
  <c r="O1206" i="1"/>
  <c r="P1206" i="1"/>
  <c r="O1207" i="1"/>
  <c r="P1207" i="1"/>
  <c r="O1208" i="1"/>
  <c r="P1208" i="1"/>
  <c r="O1209" i="1"/>
  <c r="P1209" i="1"/>
  <c r="O1210" i="1"/>
  <c r="P1210" i="1"/>
  <c r="O1211" i="1"/>
  <c r="P1211" i="1"/>
  <c r="O1212" i="1"/>
  <c r="P1212" i="1"/>
  <c r="O1213" i="1"/>
  <c r="P1213" i="1"/>
  <c r="O1214" i="1"/>
  <c r="P1214" i="1"/>
  <c r="O1215" i="1"/>
  <c r="P1215" i="1"/>
  <c r="O1216" i="1"/>
  <c r="P1216" i="1"/>
  <c r="O1217" i="1"/>
  <c r="P1217" i="1"/>
  <c r="O1218" i="1"/>
  <c r="P1218" i="1"/>
  <c r="O1219" i="1"/>
  <c r="P1219" i="1"/>
  <c r="O1220" i="1"/>
  <c r="P1220" i="1"/>
  <c r="O1221" i="1"/>
  <c r="P1221" i="1"/>
  <c r="O1222" i="1"/>
  <c r="P1222" i="1"/>
  <c r="O1223" i="1"/>
  <c r="P1223" i="1"/>
  <c r="O1224" i="1"/>
  <c r="P1224" i="1"/>
  <c r="O1225" i="1"/>
  <c r="P1225" i="1"/>
  <c r="O1226" i="1"/>
  <c r="P1226" i="1"/>
  <c r="O1227" i="1"/>
  <c r="P1227" i="1"/>
  <c r="O1228" i="1"/>
  <c r="P1228" i="1"/>
  <c r="O1229" i="1"/>
  <c r="P1229" i="1"/>
  <c r="O1230" i="1"/>
  <c r="P1230" i="1"/>
  <c r="O1231" i="1"/>
  <c r="P1231" i="1"/>
  <c r="O1232" i="1"/>
  <c r="P1232" i="1"/>
  <c r="O1233" i="1"/>
  <c r="P1233" i="1"/>
  <c r="O1234" i="1"/>
  <c r="P1234" i="1"/>
  <c r="O1235" i="1"/>
  <c r="P1235" i="1"/>
  <c r="O1236" i="1"/>
  <c r="P1236" i="1"/>
  <c r="O1237" i="1"/>
  <c r="P1237" i="1"/>
  <c r="O1238" i="1"/>
  <c r="P1238" i="1"/>
  <c r="O1239" i="1"/>
  <c r="P1239" i="1"/>
  <c r="O1240" i="1"/>
  <c r="P1240" i="1"/>
  <c r="O1241" i="1"/>
  <c r="P1241" i="1"/>
  <c r="O1242" i="1"/>
  <c r="P1242" i="1"/>
  <c r="O1243" i="1"/>
  <c r="P1243" i="1"/>
  <c r="O1244" i="1"/>
  <c r="P1244" i="1"/>
  <c r="O1245" i="1"/>
  <c r="P1245" i="1"/>
  <c r="O1246" i="1"/>
  <c r="P1246" i="1"/>
  <c r="O1247" i="1"/>
  <c r="P1247" i="1"/>
  <c r="O1248" i="1"/>
  <c r="P1248" i="1"/>
  <c r="O1249" i="1"/>
  <c r="P1249" i="1"/>
  <c r="O1250" i="1"/>
  <c r="P1250" i="1"/>
  <c r="O1251" i="1"/>
  <c r="P1251" i="1"/>
  <c r="O1252" i="1"/>
  <c r="P1252" i="1"/>
  <c r="O1253" i="1"/>
  <c r="P1253" i="1"/>
  <c r="O1254" i="1"/>
  <c r="P1254" i="1"/>
  <c r="O1255" i="1"/>
  <c r="P1255" i="1"/>
  <c r="O1256" i="1"/>
  <c r="P1256" i="1"/>
  <c r="O1257" i="1"/>
  <c r="P1257" i="1"/>
  <c r="O1258" i="1"/>
  <c r="P1258" i="1"/>
  <c r="O1259" i="1"/>
  <c r="P1259" i="1"/>
  <c r="O1260" i="1"/>
  <c r="P1260" i="1"/>
  <c r="O1261" i="1"/>
  <c r="P1261" i="1"/>
  <c r="O1262" i="1"/>
  <c r="P1262" i="1"/>
  <c r="O1263" i="1"/>
  <c r="P1263" i="1"/>
  <c r="O1264" i="1"/>
  <c r="P1264" i="1"/>
  <c r="O1265" i="1"/>
  <c r="P1265" i="1"/>
  <c r="O1266" i="1"/>
  <c r="P1266" i="1"/>
  <c r="O1267" i="1"/>
  <c r="P1267" i="1"/>
  <c r="O1268" i="1"/>
  <c r="P1268" i="1"/>
  <c r="O1269" i="1"/>
  <c r="P1269" i="1"/>
  <c r="O1270" i="1"/>
  <c r="P1270" i="1"/>
  <c r="O1271" i="1"/>
  <c r="P1271" i="1"/>
  <c r="O1272" i="1"/>
  <c r="P1272" i="1"/>
  <c r="O1273" i="1"/>
  <c r="P1273" i="1"/>
  <c r="O1274" i="1"/>
  <c r="P1274" i="1"/>
  <c r="O1275" i="1"/>
  <c r="P1275" i="1"/>
  <c r="O1276" i="1"/>
  <c r="P1276" i="1"/>
  <c r="O1277" i="1"/>
  <c r="P1277" i="1"/>
  <c r="O1278" i="1"/>
  <c r="P1278" i="1"/>
  <c r="O1279" i="1"/>
  <c r="P1279" i="1"/>
  <c r="O1280" i="1"/>
  <c r="P1280" i="1"/>
  <c r="O1281" i="1"/>
  <c r="P1281" i="1"/>
  <c r="O1282" i="1"/>
  <c r="P1282" i="1"/>
  <c r="O1283" i="1"/>
  <c r="P1283" i="1"/>
  <c r="O1284" i="1"/>
  <c r="P1284" i="1"/>
  <c r="O1285" i="1"/>
  <c r="P1285" i="1"/>
  <c r="O1286" i="1"/>
  <c r="P1286" i="1"/>
  <c r="O1287" i="1"/>
  <c r="P1287" i="1"/>
  <c r="O1288" i="1"/>
  <c r="P1288" i="1"/>
  <c r="O1289" i="1"/>
  <c r="P1289" i="1"/>
  <c r="O1290" i="1"/>
  <c r="P1290" i="1"/>
  <c r="O1291" i="1"/>
  <c r="P1291" i="1"/>
  <c r="O1292" i="1"/>
  <c r="P1292" i="1"/>
  <c r="O1293" i="1"/>
  <c r="P1293" i="1"/>
  <c r="O1294" i="1"/>
  <c r="P1294" i="1"/>
  <c r="O1295" i="1"/>
  <c r="P1295" i="1"/>
  <c r="O1296" i="1"/>
  <c r="P1296" i="1"/>
  <c r="O1297" i="1"/>
  <c r="P1297" i="1"/>
  <c r="O1298" i="1"/>
  <c r="P1298" i="1"/>
  <c r="O1299" i="1"/>
  <c r="P1299" i="1"/>
  <c r="O1300" i="1"/>
  <c r="P1300" i="1"/>
  <c r="O1301" i="1"/>
  <c r="P1301" i="1"/>
  <c r="O1302" i="1"/>
  <c r="P1302" i="1"/>
  <c r="O1303" i="1"/>
  <c r="P1303" i="1"/>
  <c r="O1304" i="1"/>
  <c r="P1304" i="1"/>
  <c r="O1305" i="1"/>
  <c r="P1305" i="1"/>
  <c r="O1306" i="1"/>
  <c r="P1306" i="1"/>
  <c r="O1307" i="1"/>
  <c r="P1307" i="1"/>
  <c r="O1308" i="1"/>
  <c r="P1308" i="1"/>
  <c r="O1309" i="1"/>
  <c r="P1309" i="1"/>
  <c r="O1310" i="1"/>
  <c r="P1310" i="1"/>
  <c r="O1311" i="1"/>
  <c r="P1311" i="1"/>
  <c r="O1312" i="1"/>
  <c r="P1312" i="1"/>
  <c r="O1313" i="1"/>
  <c r="P1313" i="1"/>
  <c r="O1314" i="1"/>
  <c r="P1314" i="1"/>
  <c r="O1315" i="1"/>
  <c r="P1315" i="1"/>
  <c r="O1316" i="1"/>
  <c r="P1316" i="1"/>
  <c r="O1317" i="1"/>
  <c r="P1317" i="1"/>
  <c r="O1318" i="1"/>
  <c r="P1318" i="1"/>
  <c r="O1319" i="1"/>
  <c r="P1319" i="1"/>
  <c r="O1320" i="1"/>
  <c r="P1320" i="1"/>
  <c r="O1321" i="1"/>
  <c r="P1321" i="1"/>
  <c r="O1322" i="1"/>
  <c r="P1322" i="1"/>
  <c r="O1323" i="1"/>
  <c r="P1323" i="1"/>
  <c r="O1324" i="1"/>
  <c r="P1324" i="1"/>
  <c r="O1325" i="1"/>
  <c r="P1325" i="1"/>
  <c r="O1326" i="1"/>
  <c r="P1326" i="1"/>
  <c r="O1327" i="1"/>
  <c r="P1327" i="1"/>
  <c r="O1328" i="1"/>
  <c r="P1328" i="1"/>
  <c r="O1329" i="1"/>
  <c r="P1329" i="1"/>
  <c r="O1330" i="1"/>
  <c r="P1330" i="1"/>
  <c r="O1331" i="1"/>
  <c r="P1331" i="1"/>
  <c r="O1332" i="1"/>
  <c r="P1332" i="1"/>
  <c r="O1333" i="1"/>
  <c r="P1333" i="1"/>
  <c r="O1334" i="1"/>
  <c r="P1334" i="1"/>
  <c r="O1335" i="1"/>
  <c r="P1335" i="1"/>
  <c r="O1336" i="1"/>
  <c r="P1336" i="1"/>
  <c r="O1337" i="1"/>
  <c r="P1337" i="1"/>
  <c r="O1338" i="1"/>
  <c r="P1338" i="1"/>
  <c r="O1339" i="1"/>
  <c r="P1339" i="1"/>
  <c r="O1340" i="1"/>
  <c r="P1340" i="1"/>
  <c r="O1341" i="1"/>
  <c r="P1341" i="1"/>
  <c r="O1342" i="1"/>
  <c r="P1342" i="1"/>
  <c r="O1343" i="1"/>
  <c r="P1343" i="1"/>
  <c r="O1344" i="1"/>
  <c r="P1344" i="1"/>
  <c r="O1345" i="1"/>
  <c r="P1345" i="1"/>
  <c r="O1346" i="1"/>
  <c r="P1346" i="1"/>
  <c r="O1347" i="1"/>
  <c r="P1347" i="1"/>
  <c r="O1348" i="1"/>
  <c r="P1348" i="1"/>
  <c r="O1349" i="1"/>
  <c r="P1349" i="1"/>
  <c r="O1350" i="1"/>
  <c r="P1350" i="1"/>
  <c r="O1351" i="1"/>
  <c r="P1351" i="1"/>
  <c r="O1352" i="1"/>
  <c r="P1352" i="1"/>
  <c r="O1353" i="1"/>
  <c r="P1353" i="1"/>
  <c r="O1354" i="1"/>
  <c r="P1354" i="1"/>
  <c r="O1355" i="1"/>
  <c r="P1355" i="1"/>
  <c r="O1356" i="1"/>
  <c r="P1356" i="1"/>
  <c r="O1357" i="1"/>
  <c r="P1357" i="1"/>
  <c r="O1358" i="1"/>
  <c r="P1358" i="1"/>
  <c r="O1359" i="1"/>
  <c r="P1359" i="1"/>
  <c r="O1360" i="1"/>
  <c r="P1360" i="1"/>
  <c r="O1361" i="1"/>
  <c r="P1361" i="1"/>
  <c r="O1362" i="1"/>
  <c r="P1362" i="1"/>
  <c r="O1363" i="1"/>
  <c r="P1363" i="1"/>
  <c r="O1364" i="1"/>
  <c r="P1364" i="1"/>
  <c r="O1365" i="1"/>
  <c r="P1365" i="1"/>
  <c r="O1366" i="1"/>
  <c r="P1366" i="1"/>
  <c r="O1367" i="1"/>
  <c r="P1367" i="1"/>
  <c r="O1368" i="1"/>
  <c r="P1368" i="1"/>
  <c r="O1369" i="1"/>
  <c r="P1369" i="1"/>
  <c r="O1370" i="1"/>
  <c r="P1370" i="1"/>
  <c r="O1371" i="1"/>
  <c r="P1371" i="1"/>
  <c r="O1372" i="1"/>
  <c r="P1372" i="1"/>
  <c r="O1373" i="1"/>
  <c r="P1373" i="1"/>
  <c r="O1374" i="1"/>
  <c r="P1374" i="1"/>
  <c r="O1375" i="1"/>
  <c r="P1375" i="1"/>
  <c r="O1376" i="1"/>
  <c r="P1376" i="1"/>
  <c r="O1377" i="1"/>
  <c r="P1377" i="1"/>
  <c r="O1378" i="1"/>
  <c r="P1378" i="1"/>
  <c r="O1379" i="1"/>
  <c r="P1379" i="1"/>
  <c r="O1380" i="1"/>
  <c r="P1380" i="1"/>
  <c r="O1381" i="1"/>
  <c r="P1381" i="1"/>
  <c r="O1382" i="1"/>
  <c r="P1382" i="1"/>
  <c r="O1383" i="1"/>
  <c r="P1383" i="1"/>
  <c r="O1384" i="1"/>
  <c r="P1384" i="1"/>
  <c r="O1385" i="1"/>
  <c r="P1385" i="1"/>
  <c r="O1386" i="1"/>
  <c r="P1386" i="1"/>
  <c r="O1387" i="1"/>
  <c r="P1387" i="1"/>
  <c r="O1388" i="1"/>
  <c r="P1388" i="1"/>
  <c r="O1389" i="1"/>
  <c r="P1389" i="1"/>
  <c r="O1390" i="1"/>
  <c r="P1390" i="1"/>
  <c r="O1391" i="1"/>
  <c r="P1391" i="1"/>
  <c r="O1392" i="1"/>
  <c r="P1392" i="1"/>
  <c r="O1393" i="1"/>
  <c r="P1393" i="1"/>
  <c r="O1394" i="1"/>
  <c r="P1394" i="1"/>
  <c r="O1395" i="1"/>
  <c r="P1395" i="1"/>
  <c r="O1396" i="1"/>
  <c r="P1396" i="1"/>
  <c r="O1397" i="1"/>
  <c r="P1397" i="1"/>
  <c r="O1398" i="1"/>
  <c r="P1398" i="1"/>
  <c r="O1399" i="1"/>
  <c r="P1399" i="1"/>
  <c r="O1400" i="1"/>
  <c r="P1400" i="1"/>
  <c r="O1401" i="1"/>
  <c r="P1401" i="1"/>
  <c r="O1402" i="1"/>
  <c r="P1402" i="1"/>
  <c r="O1403" i="1"/>
  <c r="P1403" i="1"/>
  <c r="O1404" i="1"/>
  <c r="P1404" i="1"/>
  <c r="O1405" i="1"/>
  <c r="P1405" i="1"/>
  <c r="O1406" i="1"/>
  <c r="P1406" i="1"/>
  <c r="O1407" i="1"/>
  <c r="P1407" i="1"/>
  <c r="O1408" i="1"/>
  <c r="P1408" i="1"/>
  <c r="O1409" i="1"/>
  <c r="P1409" i="1"/>
  <c r="O1410" i="1"/>
  <c r="P1410" i="1"/>
  <c r="O1411" i="1"/>
  <c r="P1411" i="1"/>
  <c r="O1412" i="1"/>
  <c r="P1412" i="1"/>
  <c r="O1413" i="1"/>
  <c r="P1413" i="1"/>
  <c r="O1414" i="1"/>
  <c r="P1414" i="1"/>
  <c r="O1415" i="1"/>
  <c r="P1415" i="1"/>
  <c r="O1416" i="1"/>
  <c r="P1416" i="1"/>
  <c r="O1417" i="1"/>
  <c r="P1417" i="1"/>
  <c r="O1418" i="1"/>
  <c r="P1418" i="1"/>
  <c r="O1419" i="1"/>
  <c r="P1419" i="1"/>
  <c r="O1420" i="1"/>
  <c r="P1420" i="1"/>
  <c r="O1421" i="1"/>
  <c r="P1421" i="1"/>
  <c r="O1422" i="1"/>
  <c r="P1422" i="1"/>
  <c r="O1423" i="1"/>
  <c r="P1423" i="1"/>
  <c r="O1424" i="1"/>
  <c r="P1424" i="1"/>
  <c r="O1425" i="1"/>
  <c r="P1425" i="1"/>
  <c r="O1426" i="1"/>
  <c r="P1426" i="1"/>
  <c r="O1427" i="1"/>
  <c r="P1427" i="1"/>
  <c r="O1428" i="1"/>
  <c r="P1428" i="1"/>
  <c r="O1429" i="1"/>
  <c r="P1429" i="1"/>
  <c r="O1430" i="1"/>
  <c r="P1430" i="1"/>
  <c r="O1431" i="1"/>
  <c r="P1431" i="1"/>
  <c r="O1432" i="1"/>
  <c r="P1432" i="1"/>
  <c r="O1433" i="1"/>
  <c r="P1433" i="1"/>
  <c r="O1434" i="1"/>
  <c r="P1434" i="1"/>
  <c r="O1435" i="1"/>
  <c r="P1435" i="1"/>
  <c r="O1436" i="1"/>
  <c r="P1436" i="1"/>
  <c r="O1437" i="1"/>
  <c r="P1437" i="1"/>
  <c r="O1438" i="1"/>
  <c r="P1438" i="1"/>
  <c r="O1439" i="1"/>
  <c r="P1439" i="1"/>
  <c r="O1440" i="1"/>
  <c r="P1440" i="1"/>
  <c r="O1441" i="1"/>
  <c r="P1441" i="1"/>
  <c r="O1442" i="1"/>
  <c r="P1442" i="1"/>
  <c r="O1443" i="1"/>
  <c r="P1443" i="1"/>
  <c r="O1444" i="1"/>
  <c r="P1444" i="1"/>
  <c r="O1445" i="1"/>
  <c r="P1445" i="1"/>
  <c r="O1446" i="1"/>
  <c r="P1446" i="1"/>
  <c r="O1447" i="1"/>
  <c r="P1447" i="1"/>
  <c r="O1448" i="1"/>
  <c r="P1448" i="1"/>
  <c r="O1449" i="1"/>
  <c r="P1449" i="1"/>
  <c r="O1450" i="1"/>
  <c r="P1450" i="1"/>
  <c r="O1451" i="1"/>
  <c r="P1451" i="1"/>
  <c r="O1452" i="1"/>
  <c r="P1452" i="1"/>
  <c r="O1453" i="1"/>
  <c r="P1453" i="1"/>
  <c r="O1454" i="1"/>
  <c r="P1454" i="1"/>
  <c r="O1455" i="1"/>
  <c r="P1455" i="1"/>
  <c r="O1456" i="1"/>
  <c r="P1456" i="1"/>
  <c r="O1457" i="1"/>
  <c r="P1457" i="1"/>
  <c r="O1458" i="1"/>
  <c r="P1458" i="1"/>
  <c r="O1459" i="1"/>
  <c r="P1459" i="1"/>
  <c r="O1460" i="1"/>
  <c r="P1460" i="1"/>
  <c r="O1461" i="1"/>
  <c r="P1461" i="1"/>
  <c r="O1462" i="1"/>
  <c r="P1462" i="1"/>
  <c r="O1463" i="1"/>
  <c r="P1463" i="1"/>
  <c r="O1464" i="1"/>
  <c r="P1464" i="1"/>
  <c r="O1465" i="1"/>
  <c r="P1465" i="1"/>
  <c r="O1466" i="1"/>
  <c r="P1466" i="1"/>
  <c r="O1467" i="1"/>
  <c r="P1467" i="1"/>
  <c r="O1468" i="1"/>
  <c r="P1468" i="1"/>
  <c r="O1469" i="1"/>
  <c r="P1469" i="1"/>
  <c r="O1470" i="1"/>
  <c r="P1470" i="1"/>
  <c r="O1471" i="1"/>
  <c r="P1471" i="1"/>
  <c r="O1472" i="1"/>
  <c r="P1472" i="1"/>
  <c r="O1473" i="1"/>
  <c r="P1473" i="1"/>
  <c r="O1474" i="1"/>
  <c r="P1474" i="1"/>
  <c r="O1475" i="1"/>
  <c r="P1475" i="1"/>
  <c r="O1476" i="1"/>
  <c r="P1476" i="1"/>
  <c r="O1477" i="1"/>
  <c r="P1477" i="1"/>
  <c r="O1478" i="1"/>
  <c r="P1478" i="1"/>
  <c r="O1479" i="1"/>
  <c r="P1479" i="1"/>
  <c r="O1480" i="1"/>
  <c r="P1480" i="1"/>
  <c r="O1481" i="1"/>
  <c r="P1481" i="1"/>
  <c r="O1482" i="1"/>
  <c r="P1482" i="1"/>
  <c r="O1483" i="1"/>
  <c r="P1483" i="1"/>
  <c r="O1484" i="1"/>
  <c r="P1484" i="1"/>
  <c r="O1485" i="1"/>
  <c r="P1485" i="1"/>
  <c r="O1486" i="1"/>
  <c r="P1486" i="1"/>
  <c r="O1487" i="1"/>
  <c r="P1487" i="1"/>
  <c r="O1488" i="1"/>
  <c r="P1488" i="1"/>
  <c r="O1489" i="1"/>
  <c r="P1489" i="1"/>
  <c r="O1490" i="1"/>
  <c r="P1490" i="1"/>
  <c r="O1491" i="1"/>
  <c r="P1491" i="1"/>
  <c r="O1492" i="1"/>
  <c r="P1492" i="1"/>
  <c r="O1493" i="1"/>
  <c r="P1493" i="1"/>
  <c r="O1494" i="1"/>
  <c r="P1494" i="1"/>
  <c r="O1495" i="1"/>
  <c r="P1495" i="1"/>
  <c r="O1496" i="1"/>
  <c r="P1496" i="1"/>
  <c r="O1497" i="1"/>
  <c r="P1497" i="1"/>
  <c r="O1498" i="1"/>
  <c r="P1498" i="1"/>
  <c r="O1499" i="1"/>
  <c r="P1499" i="1"/>
  <c r="O1500" i="1"/>
  <c r="P1500" i="1"/>
  <c r="O1501" i="1"/>
  <c r="P15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S1501" i="1"/>
  <c r="R1501" i="1"/>
  <c r="Q1501" i="1"/>
  <c r="N1501" i="1"/>
  <c r="S1500" i="1"/>
  <c r="R1500" i="1"/>
  <c r="Q1500" i="1"/>
  <c r="N1500" i="1"/>
  <c r="S1499" i="1"/>
  <c r="R1499" i="1"/>
  <c r="Q1499" i="1"/>
  <c r="N1499" i="1"/>
  <c r="S1498" i="1"/>
  <c r="R1498" i="1"/>
  <c r="Q1498" i="1"/>
  <c r="N1498" i="1"/>
  <c r="S1497" i="1"/>
  <c r="R1497" i="1"/>
  <c r="Q1497" i="1"/>
  <c r="N1497" i="1"/>
  <c r="S1496" i="1"/>
  <c r="R1496" i="1"/>
  <c r="Q1496" i="1"/>
  <c r="N1496" i="1"/>
  <c r="S1495" i="1"/>
  <c r="R1495" i="1"/>
  <c r="Q1495" i="1"/>
  <c r="N1495" i="1"/>
  <c r="S1494" i="1"/>
  <c r="R1494" i="1"/>
  <c r="Q1494" i="1"/>
  <c r="N1494" i="1"/>
  <c r="S1493" i="1"/>
  <c r="R1493" i="1"/>
  <c r="Q1493" i="1"/>
  <c r="N1493" i="1"/>
  <c r="S1492" i="1"/>
  <c r="R1492" i="1"/>
  <c r="Q1492" i="1"/>
  <c r="N1492" i="1"/>
  <c r="S1491" i="1"/>
  <c r="R1491" i="1"/>
  <c r="Q1491" i="1"/>
  <c r="N1491" i="1"/>
  <c r="S1490" i="1"/>
  <c r="R1490" i="1"/>
  <c r="Q1490" i="1"/>
  <c r="N1490" i="1"/>
  <c r="S1489" i="1"/>
  <c r="R1489" i="1"/>
  <c r="Q1489" i="1"/>
  <c r="N1489" i="1"/>
  <c r="S1488" i="1"/>
  <c r="R1488" i="1"/>
  <c r="Q1488" i="1"/>
  <c r="N1488" i="1"/>
  <c r="S1487" i="1"/>
  <c r="R1487" i="1"/>
  <c r="Q1487" i="1"/>
  <c r="N1487" i="1"/>
  <c r="S1486" i="1"/>
  <c r="R1486" i="1"/>
  <c r="Q1486" i="1"/>
  <c r="N1486" i="1"/>
  <c r="S1485" i="1"/>
  <c r="R1485" i="1"/>
  <c r="Q1485" i="1"/>
  <c r="N1485" i="1"/>
  <c r="S1484" i="1"/>
  <c r="R1484" i="1"/>
  <c r="Q1484" i="1"/>
  <c r="N1484" i="1"/>
  <c r="S1483" i="1"/>
  <c r="R1483" i="1"/>
  <c r="Q1483" i="1"/>
  <c r="N1483" i="1"/>
  <c r="S1482" i="1"/>
  <c r="R1482" i="1"/>
  <c r="Q1482" i="1"/>
  <c r="N1482" i="1"/>
  <c r="S1481" i="1"/>
  <c r="R1481" i="1"/>
  <c r="Q1481" i="1"/>
  <c r="N1481" i="1"/>
  <c r="S1480" i="1"/>
  <c r="R1480" i="1"/>
  <c r="Q1480" i="1"/>
  <c r="N1480" i="1"/>
  <c r="S1479" i="1"/>
  <c r="R1479" i="1"/>
  <c r="Q1479" i="1"/>
  <c r="N1479" i="1"/>
  <c r="S1478" i="1"/>
  <c r="R1478" i="1"/>
  <c r="Q1478" i="1"/>
  <c r="N1478" i="1"/>
  <c r="S1477" i="1"/>
  <c r="R1477" i="1"/>
  <c r="Q1477" i="1"/>
  <c r="N1477" i="1"/>
  <c r="S1476" i="1"/>
  <c r="R1476" i="1"/>
  <c r="Q1476" i="1"/>
  <c r="N1476" i="1"/>
  <c r="S1475" i="1"/>
  <c r="R1475" i="1"/>
  <c r="Q1475" i="1"/>
  <c r="N1475" i="1"/>
  <c r="S1474" i="1"/>
  <c r="R1474" i="1"/>
  <c r="Q1474" i="1"/>
  <c r="N1474" i="1"/>
  <c r="S1473" i="1"/>
  <c r="R1473" i="1"/>
  <c r="Q1473" i="1"/>
  <c r="N1473" i="1"/>
  <c r="S1472" i="1"/>
  <c r="R1472" i="1"/>
  <c r="Q1472" i="1"/>
  <c r="N1472" i="1"/>
  <c r="S1471" i="1"/>
  <c r="R1471" i="1"/>
  <c r="Q1471" i="1"/>
  <c r="N1471" i="1"/>
  <c r="S1470" i="1"/>
  <c r="R1470" i="1"/>
  <c r="Q1470" i="1"/>
  <c r="N1470" i="1"/>
  <c r="S1469" i="1"/>
  <c r="R1469" i="1"/>
  <c r="Q1469" i="1"/>
  <c r="N1469" i="1"/>
  <c r="S1468" i="1"/>
  <c r="R1468" i="1"/>
  <c r="Q1468" i="1"/>
  <c r="N1468" i="1"/>
  <c r="S1467" i="1"/>
  <c r="R1467" i="1"/>
  <c r="Q1467" i="1"/>
  <c r="N1467" i="1"/>
  <c r="S1466" i="1"/>
  <c r="R1466" i="1"/>
  <c r="Q1466" i="1"/>
  <c r="N1466" i="1"/>
  <c r="S1465" i="1"/>
  <c r="R1465" i="1"/>
  <c r="Q1465" i="1"/>
  <c r="N1465" i="1"/>
  <c r="S1464" i="1"/>
  <c r="R1464" i="1"/>
  <c r="Q1464" i="1"/>
  <c r="N1464" i="1"/>
  <c r="S1463" i="1"/>
  <c r="R1463" i="1"/>
  <c r="Q1463" i="1"/>
  <c r="N1463" i="1"/>
  <c r="S1462" i="1"/>
  <c r="R1462" i="1"/>
  <c r="Q1462" i="1"/>
  <c r="N1462" i="1"/>
  <c r="S1461" i="1"/>
  <c r="R1461" i="1"/>
  <c r="Q1461" i="1"/>
  <c r="N1461" i="1"/>
  <c r="S1460" i="1"/>
  <c r="R1460" i="1"/>
  <c r="Q1460" i="1"/>
  <c r="N1460" i="1"/>
  <c r="S1459" i="1"/>
  <c r="R1459" i="1"/>
  <c r="Q1459" i="1"/>
  <c r="N1459" i="1"/>
  <c r="S1458" i="1"/>
  <c r="R1458" i="1"/>
  <c r="Q1458" i="1"/>
  <c r="N1458" i="1"/>
  <c r="S1457" i="1"/>
  <c r="R1457" i="1"/>
  <c r="Q1457" i="1"/>
  <c r="N1457" i="1"/>
  <c r="S1456" i="1"/>
  <c r="R1456" i="1"/>
  <c r="Q1456" i="1"/>
  <c r="N1456" i="1"/>
  <c r="S1455" i="1"/>
  <c r="R1455" i="1"/>
  <c r="Q1455" i="1"/>
  <c r="N1455" i="1"/>
  <c r="S1454" i="1"/>
  <c r="R1454" i="1"/>
  <c r="Q1454" i="1"/>
  <c r="N1454" i="1"/>
  <c r="S1453" i="1"/>
  <c r="R1453" i="1"/>
  <c r="Q1453" i="1"/>
  <c r="N1453" i="1"/>
  <c r="S1452" i="1"/>
  <c r="R1452" i="1"/>
  <c r="Q1452" i="1"/>
  <c r="N1452" i="1"/>
  <c r="S1451" i="1"/>
  <c r="R1451" i="1"/>
  <c r="Q1451" i="1"/>
  <c r="N1451" i="1"/>
  <c r="S1450" i="1"/>
  <c r="R1450" i="1"/>
  <c r="Q1450" i="1"/>
  <c r="N1450" i="1"/>
  <c r="S1449" i="1"/>
  <c r="R1449" i="1"/>
  <c r="Q1449" i="1"/>
  <c r="N1449" i="1"/>
  <c r="S1448" i="1"/>
  <c r="R1448" i="1"/>
  <c r="Q1448" i="1"/>
  <c r="N1448" i="1"/>
  <c r="S1447" i="1"/>
  <c r="R1447" i="1"/>
  <c r="Q1447" i="1"/>
  <c r="N1447" i="1"/>
  <c r="S1446" i="1"/>
  <c r="R1446" i="1"/>
  <c r="Q1446" i="1"/>
  <c r="N1446" i="1"/>
  <c r="S1445" i="1"/>
  <c r="R1445" i="1"/>
  <c r="Q1445" i="1"/>
  <c r="N1445" i="1"/>
  <c r="S1444" i="1"/>
  <c r="R1444" i="1"/>
  <c r="Q1444" i="1"/>
  <c r="N1444" i="1"/>
  <c r="S1443" i="1"/>
  <c r="R1443" i="1"/>
  <c r="Q1443" i="1"/>
  <c r="N1443" i="1"/>
  <c r="S1442" i="1"/>
  <c r="R1442" i="1"/>
  <c r="Q1442" i="1"/>
  <c r="N1442" i="1"/>
  <c r="S1441" i="1"/>
  <c r="R1441" i="1"/>
  <c r="Q1441" i="1"/>
  <c r="N1441" i="1"/>
  <c r="S1440" i="1"/>
  <c r="R1440" i="1"/>
  <c r="Q1440" i="1"/>
  <c r="N1440" i="1"/>
  <c r="S1439" i="1"/>
  <c r="R1439" i="1"/>
  <c r="Q1439" i="1"/>
  <c r="N1439" i="1"/>
  <c r="S1438" i="1"/>
  <c r="R1438" i="1"/>
  <c r="Q1438" i="1"/>
  <c r="N1438" i="1"/>
  <c r="S1437" i="1"/>
  <c r="R1437" i="1"/>
  <c r="Q1437" i="1"/>
  <c r="N1437" i="1"/>
  <c r="S1436" i="1"/>
  <c r="R1436" i="1"/>
  <c r="Q1436" i="1"/>
  <c r="N1436" i="1"/>
  <c r="S1435" i="1"/>
  <c r="R1435" i="1"/>
  <c r="Q1435" i="1"/>
  <c r="N1435" i="1"/>
  <c r="S1434" i="1"/>
  <c r="R1434" i="1"/>
  <c r="Q1434" i="1"/>
  <c r="N1434" i="1"/>
  <c r="S1433" i="1"/>
  <c r="R1433" i="1"/>
  <c r="Q1433" i="1"/>
  <c r="N1433" i="1"/>
  <c r="S1432" i="1"/>
  <c r="R1432" i="1"/>
  <c r="Q1432" i="1"/>
  <c r="N1432" i="1"/>
  <c r="S1431" i="1"/>
  <c r="R1431" i="1"/>
  <c r="Q1431" i="1"/>
  <c r="N1431" i="1"/>
  <c r="S1430" i="1"/>
  <c r="R1430" i="1"/>
  <c r="Q1430" i="1"/>
  <c r="N1430" i="1"/>
  <c r="S1429" i="1"/>
  <c r="R1429" i="1"/>
  <c r="Q1429" i="1"/>
  <c r="N1429" i="1"/>
  <c r="S1428" i="1"/>
  <c r="R1428" i="1"/>
  <c r="Q1428" i="1"/>
  <c r="N1428" i="1"/>
  <c r="S1427" i="1"/>
  <c r="R1427" i="1"/>
  <c r="Q1427" i="1"/>
  <c r="N1427" i="1"/>
  <c r="S1426" i="1"/>
  <c r="R1426" i="1"/>
  <c r="Q1426" i="1"/>
  <c r="N1426" i="1"/>
  <c r="S1425" i="1"/>
  <c r="R1425" i="1"/>
  <c r="Q1425" i="1"/>
  <c r="N1425" i="1"/>
  <c r="S1424" i="1"/>
  <c r="R1424" i="1"/>
  <c r="Q1424" i="1"/>
  <c r="N1424" i="1"/>
  <c r="S1423" i="1"/>
  <c r="R1423" i="1"/>
  <c r="Q1423" i="1"/>
  <c r="N1423" i="1"/>
  <c r="S1422" i="1"/>
  <c r="R1422" i="1"/>
  <c r="Q1422" i="1"/>
  <c r="N1422" i="1"/>
  <c r="S1421" i="1"/>
  <c r="R1421" i="1"/>
  <c r="Q1421" i="1"/>
  <c r="N1421" i="1"/>
  <c r="S1420" i="1"/>
  <c r="R1420" i="1"/>
  <c r="Q1420" i="1"/>
  <c r="N1420" i="1"/>
  <c r="S1419" i="1"/>
  <c r="R1419" i="1"/>
  <c r="Q1419" i="1"/>
  <c r="N1419" i="1"/>
  <c r="S1418" i="1"/>
  <c r="R1418" i="1"/>
  <c r="Q1418" i="1"/>
  <c r="N1418" i="1"/>
  <c r="S1417" i="1"/>
  <c r="R1417" i="1"/>
  <c r="Q1417" i="1"/>
  <c r="N1417" i="1"/>
  <c r="S1416" i="1"/>
  <c r="R1416" i="1"/>
  <c r="Q1416" i="1"/>
  <c r="N1416" i="1"/>
  <c r="S1415" i="1"/>
  <c r="R1415" i="1"/>
  <c r="Q1415" i="1"/>
  <c r="N1415" i="1"/>
  <c r="S1414" i="1"/>
  <c r="R1414" i="1"/>
  <c r="Q1414" i="1"/>
  <c r="N1414" i="1"/>
  <c r="S1413" i="1"/>
  <c r="R1413" i="1"/>
  <c r="Q1413" i="1"/>
  <c r="N1413" i="1"/>
  <c r="S1412" i="1"/>
  <c r="R1412" i="1"/>
  <c r="Q1412" i="1"/>
  <c r="N1412" i="1"/>
  <c r="S1411" i="1"/>
  <c r="R1411" i="1"/>
  <c r="Q1411" i="1"/>
  <c r="N1411" i="1"/>
  <c r="S1410" i="1"/>
  <c r="R1410" i="1"/>
  <c r="Q1410" i="1"/>
  <c r="N1410" i="1"/>
  <c r="S1409" i="1"/>
  <c r="R1409" i="1"/>
  <c r="Q1409" i="1"/>
  <c r="N1409" i="1"/>
  <c r="S1408" i="1"/>
  <c r="R1408" i="1"/>
  <c r="Q1408" i="1"/>
  <c r="N1408" i="1"/>
  <c r="S1407" i="1"/>
  <c r="R1407" i="1"/>
  <c r="Q1407" i="1"/>
  <c r="N1407" i="1"/>
  <c r="S1406" i="1"/>
  <c r="R1406" i="1"/>
  <c r="Q1406" i="1"/>
  <c r="N1406" i="1"/>
  <c r="S1405" i="1"/>
  <c r="R1405" i="1"/>
  <c r="Q1405" i="1"/>
  <c r="N1405" i="1"/>
  <c r="S1404" i="1"/>
  <c r="R1404" i="1"/>
  <c r="Q1404" i="1"/>
  <c r="N1404" i="1"/>
  <c r="S1403" i="1"/>
  <c r="R1403" i="1"/>
  <c r="Q1403" i="1"/>
  <c r="N1403" i="1"/>
  <c r="S1402" i="1"/>
  <c r="R1402" i="1"/>
  <c r="Q1402" i="1"/>
  <c r="N1402" i="1"/>
  <c r="S1401" i="1"/>
  <c r="R1401" i="1"/>
  <c r="Q1401" i="1"/>
  <c r="N1401" i="1"/>
  <c r="S1400" i="1"/>
  <c r="R1400" i="1"/>
  <c r="Q1400" i="1"/>
  <c r="N1400" i="1"/>
  <c r="S1399" i="1"/>
  <c r="R1399" i="1"/>
  <c r="Q1399" i="1"/>
  <c r="N1399" i="1"/>
  <c r="S1398" i="1"/>
  <c r="R1398" i="1"/>
  <c r="Q1398" i="1"/>
  <c r="N1398" i="1"/>
  <c r="S1397" i="1"/>
  <c r="R1397" i="1"/>
  <c r="Q1397" i="1"/>
  <c r="N1397" i="1"/>
  <c r="S1396" i="1"/>
  <c r="R1396" i="1"/>
  <c r="Q1396" i="1"/>
  <c r="N1396" i="1"/>
  <c r="S1395" i="1"/>
  <c r="R1395" i="1"/>
  <c r="Q1395" i="1"/>
  <c r="N1395" i="1"/>
  <c r="S1394" i="1"/>
  <c r="R1394" i="1"/>
  <c r="Q1394" i="1"/>
  <c r="N1394" i="1"/>
  <c r="S1393" i="1"/>
  <c r="R1393" i="1"/>
  <c r="Q1393" i="1"/>
  <c r="N1393" i="1"/>
  <c r="S1392" i="1"/>
  <c r="R1392" i="1"/>
  <c r="Q1392" i="1"/>
  <c r="N1392" i="1"/>
  <c r="S1391" i="1"/>
  <c r="R1391" i="1"/>
  <c r="Q1391" i="1"/>
  <c r="N1391" i="1"/>
  <c r="S1390" i="1"/>
  <c r="R1390" i="1"/>
  <c r="Q1390" i="1"/>
  <c r="N1390" i="1"/>
  <c r="S1389" i="1"/>
  <c r="R1389" i="1"/>
  <c r="Q1389" i="1"/>
  <c r="N1389" i="1"/>
  <c r="S1388" i="1"/>
  <c r="R1388" i="1"/>
  <c r="Q1388" i="1"/>
  <c r="N1388" i="1"/>
  <c r="S1387" i="1"/>
  <c r="R1387" i="1"/>
  <c r="Q1387" i="1"/>
  <c r="N1387" i="1"/>
  <c r="S1386" i="1"/>
  <c r="R1386" i="1"/>
  <c r="Q1386" i="1"/>
  <c r="N1386" i="1"/>
  <c r="S1385" i="1"/>
  <c r="R1385" i="1"/>
  <c r="Q1385" i="1"/>
  <c r="N1385" i="1"/>
  <c r="S1384" i="1"/>
  <c r="R1384" i="1"/>
  <c r="Q1384" i="1"/>
  <c r="N1384" i="1"/>
  <c r="S1383" i="1"/>
  <c r="R1383" i="1"/>
  <c r="Q1383" i="1"/>
  <c r="N1383" i="1"/>
  <c r="S1382" i="1"/>
  <c r="R1382" i="1"/>
  <c r="Q1382" i="1"/>
  <c r="N1382" i="1"/>
  <c r="S1381" i="1"/>
  <c r="R1381" i="1"/>
  <c r="Q1381" i="1"/>
  <c r="N1381" i="1"/>
  <c r="S1380" i="1"/>
  <c r="R1380" i="1"/>
  <c r="Q1380" i="1"/>
  <c r="N1380" i="1"/>
  <c r="S1379" i="1"/>
  <c r="R1379" i="1"/>
  <c r="Q1379" i="1"/>
  <c r="N1379" i="1"/>
  <c r="S1378" i="1"/>
  <c r="R1378" i="1"/>
  <c r="Q1378" i="1"/>
  <c r="N1378" i="1"/>
  <c r="S1377" i="1"/>
  <c r="R1377" i="1"/>
  <c r="Q1377" i="1"/>
  <c r="N1377" i="1"/>
  <c r="S1376" i="1"/>
  <c r="R1376" i="1"/>
  <c r="Q1376" i="1"/>
  <c r="N1376" i="1"/>
  <c r="S1375" i="1"/>
  <c r="R1375" i="1"/>
  <c r="Q1375" i="1"/>
  <c r="N1375" i="1"/>
  <c r="S1374" i="1"/>
  <c r="R1374" i="1"/>
  <c r="Q1374" i="1"/>
  <c r="N1374" i="1"/>
  <c r="S1373" i="1"/>
  <c r="R1373" i="1"/>
  <c r="Q1373" i="1"/>
  <c r="N1373" i="1"/>
  <c r="S1372" i="1"/>
  <c r="R1372" i="1"/>
  <c r="Q1372" i="1"/>
  <c r="N1372" i="1"/>
  <c r="S1371" i="1"/>
  <c r="R1371" i="1"/>
  <c r="Q1371" i="1"/>
  <c r="N1371" i="1"/>
  <c r="S1370" i="1"/>
  <c r="R1370" i="1"/>
  <c r="Q1370" i="1"/>
  <c r="N1370" i="1"/>
  <c r="S1369" i="1"/>
  <c r="R1369" i="1"/>
  <c r="Q1369" i="1"/>
  <c r="N1369" i="1"/>
  <c r="S1368" i="1"/>
  <c r="R1368" i="1"/>
  <c r="Q1368" i="1"/>
  <c r="N1368" i="1"/>
  <c r="S1367" i="1"/>
  <c r="R1367" i="1"/>
  <c r="Q1367" i="1"/>
  <c r="N1367" i="1"/>
  <c r="S1366" i="1"/>
  <c r="R1366" i="1"/>
  <c r="Q1366" i="1"/>
  <c r="N1366" i="1"/>
  <c r="S1365" i="1"/>
  <c r="R1365" i="1"/>
  <c r="Q1365" i="1"/>
  <c r="N1365" i="1"/>
  <c r="S1364" i="1"/>
  <c r="R1364" i="1"/>
  <c r="Q1364" i="1"/>
  <c r="N1364" i="1"/>
  <c r="S1363" i="1"/>
  <c r="R1363" i="1"/>
  <c r="Q1363" i="1"/>
  <c r="N1363" i="1"/>
  <c r="S1362" i="1"/>
  <c r="R1362" i="1"/>
  <c r="Q1362" i="1"/>
  <c r="N1362" i="1"/>
  <c r="S1361" i="1"/>
  <c r="R1361" i="1"/>
  <c r="Q1361" i="1"/>
  <c r="N1361" i="1"/>
  <c r="S1360" i="1"/>
  <c r="R1360" i="1"/>
  <c r="Q1360" i="1"/>
  <c r="N1360" i="1"/>
  <c r="S1359" i="1"/>
  <c r="R1359" i="1"/>
  <c r="Q1359" i="1"/>
  <c r="N1359" i="1"/>
  <c r="S1358" i="1"/>
  <c r="R1358" i="1"/>
  <c r="Q1358" i="1"/>
  <c r="N1358" i="1"/>
  <c r="S1357" i="1"/>
  <c r="R1357" i="1"/>
  <c r="Q1357" i="1"/>
  <c r="N1357" i="1"/>
  <c r="S1356" i="1"/>
  <c r="R1356" i="1"/>
  <c r="Q1356" i="1"/>
  <c r="N1356" i="1"/>
  <c r="S1355" i="1"/>
  <c r="R1355" i="1"/>
  <c r="Q1355" i="1"/>
  <c r="N1355" i="1"/>
  <c r="S1354" i="1"/>
  <c r="R1354" i="1"/>
  <c r="Q1354" i="1"/>
  <c r="N1354" i="1"/>
  <c r="S1353" i="1"/>
  <c r="R1353" i="1"/>
  <c r="Q1353" i="1"/>
  <c r="N1353" i="1"/>
  <c r="S1352" i="1"/>
  <c r="R1352" i="1"/>
  <c r="Q1352" i="1"/>
  <c r="N1352" i="1"/>
  <c r="S1351" i="1"/>
  <c r="R1351" i="1"/>
  <c r="Q1351" i="1"/>
  <c r="N1351" i="1"/>
  <c r="S1350" i="1"/>
  <c r="R1350" i="1"/>
  <c r="Q1350" i="1"/>
  <c r="N1350" i="1"/>
  <c r="S1349" i="1"/>
  <c r="R1349" i="1"/>
  <c r="Q1349" i="1"/>
  <c r="N1349" i="1"/>
  <c r="S1348" i="1"/>
  <c r="R1348" i="1"/>
  <c r="Q1348" i="1"/>
  <c r="N1348" i="1"/>
  <c r="S1347" i="1"/>
  <c r="R1347" i="1"/>
  <c r="Q1347" i="1"/>
  <c r="N1347" i="1"/>
  <c r="S1346" i="1"/>
  <c r="R1346" i="1"/>
  <c r="Q1346" i="1"/>
  <c r="N1346" i="1"/>
  <c r="S1345" i="1"/>
  <c r="R1345" i="1"/>
  <c r="Q1345" i="1"/>
  <c r="N1345" i="1"/>
  <c r="S1344" i="1"/>
  <c r="R1344" i="1"/>
  <c r="Q1344" i="1"/>
  <c r="N1344" i="1"/>
  <c r="S1343" i="1"/>
  <c r="R1343" i="1"/>
  <c r="Q1343" i="1"/>
  <c r="N1343" i="1"/>
  <c r="S1342" i="1"/>
  <c r="R1342" i="1"/>
  <c r="Q1342" i="1"/>
  <c r="N1342" i="1"/>
  <c r="S1341" i="1"/>
  <c r="R1341" i="1"/>
  <c r="Q1341" i="1"/>
  <c r="N1341" i="1"/>
  <c r="S1340" i="1"/>
  <c r="R1340" i="1"/>
  <c r="Q1340" i="1"/>
  <c r="N1340" i="1"/>
  <c r="S1339" i="1"/>
  <c r="R1339" i="1"/>
  <c r="Q1339" i="1"/>
  <c r="N1339" i="1"/>
  <c r="S1338" i="1"/>
  <c r="R1338" i="1"/>
  <c r="Q1338" i="1"/>
  <c r="N1338" i="1"/>
  <c r="S1337" i="1"/>
  <c r="R1337" i="1"/>
  <c r="Q1337" i="1"/>
  <c r="N1337" i="1"/>
  <c r="S1336" i="1"/>
  <c r="R1336" i="1"/>
  <c r="Q1336" i="1"/>
  <c r="N1336" i="1"/>
  <c r="S1335" i="1"/>
  <c r="R1335" i="1"/>
  <c r="Q1335" i="1"/>
  <c r="N1335" i="1"/>
  <c r="S1334" i="1"/>
  <c r="R1334" i="1"/>
  <c r="Q1334" i="1"/>
  <c r="N1334" i="1"/>
  <c r="S1333" i="1"/>
  <c r="R1333" i="1"/>
  <c r="Q1333" i="1"/>
  <c r="N1333" i="1"/>
  <c r="S1332" i="1"/>
  <c r="R1332" i="1"/>
  <c r="Q1332" i="1"/>
  <c r="N1332" i="1"/>
  <c r="S1331" i="1"/>
  <c r="R1331" i="1"/>
  <c r="Q1331" i="1"/>
  <c r="N1331" i="1"/>
  <c r="S1330" i="1"/>
  <c r="R1330" i="1"/>
  <c r="Q1330" i="1"/>
  <c r="N1330" i="1"/>
  <c r="S1329" i="1"/>
  <c r="R1329" i="1"/>
  <c r="Q1329" i="1"/>
  <c r="N1329" i="1"/>
  <c r="S1328" i="1"/>
  <c r="R1328" i="1"/>
  <c r="Q1328" i="1"/>
  <c r="N1328" i="1"/>
  <c r="S1327" i="1"/>
  <c r="R1327" i="1"/>
  <c r="Q1327" i="1"/>
  <c r="N1327" i="1"/>
  <c r="S1326" i="1"/>
  <c r="R1326" i="1"/>
  <c r="Q1326" i="1"/>
  <c r="N1326" i="1"/>
  <c r="S1325" i="1"/>
  <c r="R1325" i="1"/>
  <c r="Q1325" i="1"/>
  <c r="N1325" i="1"/>
  <c r="S1324" i="1"/>
  <c r="R1324" i="1"/>
  <c r="Q1324" i="1"/>
  <c r="N1324" i="1"/>
  <c r="S1323" i="1"/>
  <c r="R1323" i="1"/>
  <c r="Q1323" i="1"/>
  <c r="N1323" i="1"/>
  <c r="S1322" i="1"/>
  <c r="R1322" i="1"/>
  <c r="Q1322" i="1"/>
  <c r="N1322" i="1"/>
  <c r="S1321" i="1"/>
  <c r="R1321" i="1"/>
  <c r="Q1321" i="1"/>
  <c r="N1321" i="1"/>
  <c r="S1320" i="1"/>
  <c r="R1320" i="1"/>
  <c r="Q1320" i="1"/>
  <c r="N1320" i="1"/>
  <c r="S1319" i="1"/>
  <c r="R1319" i="1"/>
  <c r="Q1319" i="1"/>
  <c r="N1319" i="1"/>
  <c r="S1318" i="1"/>
  <c r="R1318" i="1"/>
  <c r="Q1318" i="1"/>
  <c r="N1318" i="1"/>
  <c r="S1317" i="1"/>
  <c r="R1317" i="1"/>
  <c r="Q1317" i="1"/>
  <c r="N1317" i="1"/>
  <c r="S1316" i="1"/>
  <c r="R1316" i="1"/>
  <c r="Q1316" i="1"/>
  <c r="N1316" i="1"/>
  <c r="S1315" i="1"/>
  <c r="R1315" i="1"/>
  <c r="Q1315" i="1"/>
  <c r="N1315" i="1"/>
  <c r="S1314" i="1"/>
  <c r="R1314" i="1"/>
  <c r="Q1314" i="1"/>
  <c r="N1314" i="1"/>
  <c r="S1313" i="1"/>
  <c r="R1313" i="1"/>
  <c r="Q1313" i="1"/>
  <c r="N1313" i="1"/>
  <c r="S1312" i="1"/>
  <c r="R1312" i="1"/>
  <c r="Q1312" i="1"/>
  <c r="N1312" i="1"/>
  <c r="S1311" i="1"/>
  <c r="R1311" i="1"/>
  <c r="Q1311" i="1"/>
  <c r="N1311" i="1"/>
  <c r="S1310" i="1"/>
  <c r="R1310" i="1"/>
  <c r="Q1310" i="1"/>
  <c r="N1310" i="1"/>
  <c r="S1309" i="1"/>
  <c r="R1309" i="1"/>
  <c r="Q1309" i="1"/>
  <c r="N1309" i="1"/>
  <c r="S1308" i="1"/>
  <c r="R1308" i="1"/>
  <c r="Q1308" i="1"/>
  <c r="N1308" i="1"/>
  <c r="S1307" i="1"/>
  <c r="R1307" i="1"/>
  <c r="Q1307" i="1"/>
  <c r="N1307" i="1"/>
  <c r="S1306" i="1"/>
  <c r="R1306" i="1"/>
  <c r="Q1306" i="1"/>
  <c r="N1306" i="1"/>
  <c r="S1305" i="1"/>
  <c r="R1305" i="1"/>
  <c r="Q1305" i="1"/>
  <c r="N1305" i="1"/>
  <c r="S1304" i="1"/>
  <c r="R1304" i="1"/>
  <c r="Q1304" i="1"/>
  <c r="N1304" i="1"/>
  <c r="S1303" i="1"/>
  <c r="R1303" i="1"/>
  <c r="Q1303" i="1"/>
  <c r="N1303" i="1"/>
  <c r="S1302" i="1"/>
  <c r="R1302" i="1"/>
  <c r="Q1302" i="1"/>
  <c r="N1302" i="1"/>
  <c r="S1301" i="1"/>
  <c r="R1301" i="1"/>
  <c r="Q1301" i="1"/>
  <c r="N1301" i="1"/>
  <c r="S1300" i="1"/>
  <c r="R1300" i="1"/>
  <c r="Q1300" i="1"/>
  <c r="N1300" i="1"/>
  <c r="S1299" i="1"/>
  <c r="R1299" i="1"/>
  <c r="Q1299" i="1"/>
  <c r="N1299" i="1"/>
  <c r="S1298" i="1"/>
  <c r="R1298" i="1"/>
  <c r="Q1298" i="1"/>
  <c r="N1298" i="1"/>
  <c r="S1297" i="1"/>
  <c r="R1297" i="1"/>
  <c r="Q1297" i="1"/>
  <c r="N1297" i="1"/>
  <c r="S1296" i="1"/>
  <c r="R1296" i="1"/>
  <c r="Q1296" i="1"/>
  <c r="N1296" i="1"/>
  <c r="S1295" i="1"/>
  <c r="R1295" i="1"/>
  <c r="Q1295" i="1"/>
  <c r="N1295" i="1"/>
  <c r="S1294" i="1"/>
  <c r="R1294" i="1"/>
  <c r="Q1294" i="1"/>
  <c r="N1294" i="1"/>
  <c r="S1293" i="1"/>
  <c r="R1293" i="1"/>
  <c r="Q1293" i="1"/>
  <c r="N1293" i="1"/>
  <c r="S1292" i="1"/>
  <c r="R1292" i="1"/>
  <c r="Q1292" i="1"/>
  <c r="N1292" i="1"/>
  <c r="S1291" i="1"/>
  <c r="R1291" i="1"/>
  <c r="Q1291" i="1"/>
  <c r="N1291" i="1"/>
  <c r="S1290" i="1"/>
  <c r="R1290" i="1"/>
  <c r="Q1290" i="1"/>
  <c r="N1290" i="1"/>
  <c r="S1289" i="1"/>
  <c r="R1289" i="1"/>
  <c r="Q1289" i="1"/>
  <c r="N1289" i="1"/>
  <c r="S1288" i="1"/>
  <c r="R1288" i="1"/>
  <c r="Q1288" i="1"/>
  <c r="N1288" i="1"/>
  <c r="S1287" i="1"/>
  <c r="R1287" i="1"/>
  <c r="Q1287" i="1"/>
  <c r="N1287" i="1"/>
  <c r="S1286" i="1"/>
  <c r="R1286" i="1"/>
  <c r="Q1286" i="1"/>
  <c r="N1286" i="1"/>
  <c r="S1285" i="1"/>
  <c r="R1285" i="1"/>
  <c r="Q1285" i="1"/>
  <c r="N1285" i="1"/>
  <c r="S1284" i="1"/>
  <c r="R1284" i="1"/>
  <c r="Q1284" i="1"/>
  <c r="N1284" i="1"/>
  <c r="S1283" i="1"/>
  <c r="R1283" i="1"/>
  <c r="Q1283" i="1"/>
  <c r="N1283" i="1"/>
  <c r="S1282" i="1"/>
  <c r="R1282" i="1"/>
  <c r="Q1282" i="1"/>
  <c r="N1282" i="1"/>
  <c r="S1281" i="1"/>
  <c r="R1281" i="1"/>
  <c r="Q1281" i="1"/>
  <c r="N1281" i="1"/>
  <c r="S1280" i="1"/>
  <c r="R1280" i="1"/>
  <c r="Q1280" i="1"/>
  <c r="N1280" i="1"/>
  <c r="S1279" i="1"/>
  <c r="R1279" i="1"/>
  <c r="Q1279" i="1"/>
  <c r="N1279" i="1"/>
  <c r="S1278" i="1"/>
  <c r="R1278" i="1"/>
  <c r="Q1278" i="1"/>
  <c r="N1278" i="1"/>
  <c r="S1277" i="1"/>
  <c r="R1277" i="1"/>
  <c r="Q1277" i="1"/>
  <c r="N1277" i="1"/>
  <c r="S1276" i="1"/>
  <c r="R1276" i="1"/>
  <c r="Q1276" i="1"/>
  <c r="N1276" i="1"/>
  <c r="S1275" i="1"/>
  <c r="R1275" i="1"/>
  <c r="Q1275" i="1"/>
  <c r="N1275" i="1"/>
  <c r="S1274" i="1"/>
  <c r="R1274" i="1"/>
  <c r="Q1274" i="1"/>
  <c r="N1274" i="1"/>
  <c r="S1273" i="1"/>
  <c r="R1273" i="1"/>
  <c r="Q1273" i="1"/>
  <c r="N1273" i="1"/>
  <c r="S1272" i="1"/>
  <c r="R1272" i="1"/>
  <c r="Q1272" i="1"/>
  <c r="N1272" i="1"/>
  <c r="S1271" i="1"/>
  <c r="R1271" i="1"/>
  <c r="Q1271" i="1"/>
  <c r="N1271" i="1"/>
  <c r="S1270" i="1"/>
  <c r="R1270" i="1"/>
  <c r="Q1270" i="1"/>
  <c r="N1270" i="1"/>
  <c r="S1269" i="1"/>
  <c r="R1269" i="1"/>
  <c r="Q1269" i="1"/>
  <c r="N1269" i="1"/>
  <c r="S1268" i="1"/>
  <c r="R1268" i="1"/>
  <c r="Q1268" i="1"/>
  <c r="N1268" i="1"/>
  <c r="S1267" i="1"/>
  <c r="R1267" i="1"/>
  <c r="Q1267" i="1"/>
  <c r="N1267" i="1"/>
  <c r="S1266" i="1"/>
  <c r="R1266" i="1"/>
  <c r="Q1266" i="1"/>
  <c r="N1266" i="1"/>
  <c r="S1265" i="1"/>
  <c r="R1265" i="1"/>
  <c r="Q1265" i="1"/>
  <c r="N1265" i="1"/>
  <c r="S1264" i="1"/>
  <c r="R1264" i="1"/>
  <c r="Q1264" i="1"/>
  <c r="N1264" i="1"/>
  <c r="S1263" i="1"/>
  <c r="R1263" i="1"/>
  <c r="Q1263" i="1"/>
  <c r="N1263" i="1"/>
  <c r="S1262" i="1"/>
  <c r="R1262" i="1"/>
  <c r="Q1262" i="1"/>
  <c r="N1262" i="1"/>
  <c r="S1261" i="1"/>
  <c r="R1261" i="1"/>
  <c r="Q1261" i="1"/>
  <c r="N1261" i="1"/>
  <c r="S1260" i="1"/>
  <c r="R1260" i="1"/>
  <c r="Q1260" i="1"/>
  <c r="N1260" i="1"/>
  <c r="S1259" i="1"/>
  <c r="R1259" i="1"/>
  <c r="Q1259" i="1"/>
  <c r="N1259" i="1"/>
  <c r="S1258" i="1"/>
  <c r="R1258" i="1"/>
  <c r="Q1258" i="1"/>
  <c r="N1258" i="1"/>
  <c r="S1257" i="1"/>
  <c r="R1257" i="1"/>
  <c r="Q1257" i="1"/>
  <c r="N1257" i="1"/>
  <c r="S1256" i="1"/>
  <c r="R1256" i="1"/>
  <c r="Q1256" i="1"/>
  <c r="N1256" i="1"/>
  <c r="S1255" i="1"/>
  <c r="R1255" i="1"/>
  <c r="Q1255" i="1"/>
  <c r="N1255" i="1"/>
  <c r="S1254" i="1"/>
  <c r="R1254" i="1"/>
  <c r="Q1254" i="1"/>
  <c r="N1254" i="1"/>
  <c r="S1253" i="1"/>
  <c r="R1253" i="1"/>
  <c r="Q1253" i="1"/>
  <c r="N1253" i="1"/>
  <c r="S1252" i="1"/>
  <c r="R1252" i="1"/>
  <c r="Q1252" i="1"/>
  <c r="N1252" i="1"/>
  <c r="S1251" i="1"/>
  <c r="R1251" i="1"/>
  <c r="Q1251" i="1"/>
  <c r="N1251" i="1"/>
  <c r="S1250" i="1"/>
  <c r="R1250" i="1"/>
  <c r="Q1250" i="1"/>
  <c r="N1250" i="1"/>
  <c r="S1249" i="1"/>
  <c r="R1249" i="1"/>
  <c r="Q1249" i="1"/>
  <c r="N1249" i="1"/>
  <c r="S1248" i="1"/>
  <c r="R1248" i="1"/>
  <c r="Q1248" i="1"/>
  <c r="N1248" i="1"/>
  <c r="S1247" i="1"/>
  <c r="R1247" i="1"/>
  <c r="Q1247" i="1"/>
  <c r="N1247" i="1"/>
  <c r="S1246" i="1"/>
  <c r="R1246" i="1"/>
  <c r="Q1246" i="1"/>
  <c r="N1246" i="1"/>
  <c r="S1245" i="1"/>
  <c r="R1245" i="1"/>
  <c r="Q1245" i="1"/>
  <c r="N1245" i="1"/>
  <c r="S1244" i="1"/>
  <c r="R1244" i="1"/>
  <c r="Q1244" i="1"/>
  <c r="N1244" i="1"/>
  <c r="S1243" i="1"/>
  <c r="R1243" i="1"/>
  <c r="Q1243" i="1"/>
  <c r="N1243" i="1"/>
  <c r="S1242" i="1"/>
  <c r="R1242" i="1"/>
  <c r="Q1242" i="1"/>
  <c r="N1242" i="1"/>
  <c r="S1241" i="1"/>
  <c r="R1241" i="1"/>
  <c r="Q1241" i="1"/>
  <c r="N1241" i="1"/>
  <c r="S1240" i="1"/>
  <c r="R1240" i="1"/>
  <c r="Q1240" i="1"/>
  <c r="N1240" i="1"/>
  <c r="S1239" i="1"/>
  <c r="R1239" i="1"/>
  <c r="Q1239" i="1"/>
  <c r="N1239" i="1"/>
  <c r="S1238" i="1"/>
  <c r="R1238" i="1"/>
  <c r="Q1238" i="1"/>
  <c r="N1238" i="1"/>
  <c r="S1237" i="1"/>
  <c r="R1237" i="1"/>
  <c r="Q1237" i="1"/>
  <c r="N1237" i="1"/>
  <c r="S1236" i="1"/>
  <c r="R1236" i="1"/>
  <c r="Q1236" i="1"/>
  <c r="N1236" i="1"/>
  <c r="S1235" i="1"/>
  <c r="R1235" i="1"/>
  <c r="Q1235" i="1"/>
  <c r="N1235" i="1"/>
  <c r="S1234" i="1"/>
  <c r="R1234" i="1"/>
  <c r="Q1234" i="1"/>
  <c r="N1234" i="1"/>
  <c r="S1233" i="1"/>
  <c r="R1233" i="1"/>
  <c r="Q1233" i="1"/>
  <c r="N1233" i="1"/>
  <c r="S1232" i="1"/>
  <c r="R1232" i="1"/>
  <c r="Q1232" i="1"/>
  <c r="N1232" i="1"/>
  <c r="S1231" i="1"/>
  <c r="R1231" i="1"/>
  <c r="Q1231" i="1"/>
  <c r="N1231" i="1"/>
  <c r="S1230" i="1"/>
  <c r="R1230" i="1"/>
  <c r="Q1230" i="1"/>
  <c r="N1230" i="1"/>
  <c r="S1229" i="1"/>
  <c r="R1229" i="1"/>
  <c r="Q1229" i="1"/>
  <c r="N1229" i="1"/>
  <c r="S1228" i="1"/>
  <c r="R1228" i="1"/>
  <c r="Q1228" i="1"/>
  <c r="N1228" i="1"/>
  <c r="S1227" i="1"/>
  <c r="R1227" i="1"/>
  <c r="Q1227" i="1"/>
  <c r="N1227" i="1"/>
  <c r="S1226" i="1"/>
  <c r="R1226" i="1"/>
  <c r="Q1226" i="1"/>
  <c r="N1226" i="1"/>
  <c r="S1225" i="1"/>
  <c r="R1225" i="1"/>
  <c r="Q1225" i="1"/>
  <c r="N1225" i="1"/>
  <c r="S1224" i="1"/>
  <c r="R1224" i="1"/>
  <c r="Q1224" i="1"/>
  <c r="N1224" i="1"/>
  <c r="S1223" i="1"/>
  <c r="R1223" i="1"/>
  <c r="Q1223" i="1"/>
  <c r="N1223" i="1"/>
  <c r="S1222" i="1"/>
  <c r="R1222" i="1"/>
  <c r="Q1222" i="1"/>
  <c r="N1222" i="1"/>
  <c r="S1221" i="1"/>
  <c r="R1221" i="1"/>
  <c r="Q1221" i="1"/>
  <c r="N1221" i="1"/>
  <c r="S1220" i="1"/>
  <c r="R1220" i="1"/>
  <c r="Q1220" i="1"/>
  <c r="N1220" i="1"/>
  <c r="S1219" i="1"/>
  <c r="R1219" i="1"/>
  <c r="Q1219" i="1"/>
  <c r="N1219" i="1"/>
  <c r="S1218" i="1"/>
  <c r="R1218" i="1"/>
  <c r="Q1218" i="1"/>
  <c r="N1218" i="1"/>
  <c r="S1217" i="1"/>
  <c r="R1217" i="1"/>
  <c r="Q1217" i="1"/>
  <c r="N1217" i="1"/>
  <c r="S1216" i="1"/>
  <c r="R1216" i="1"/>
  <c r="Q1216" i="1"/>
  <c r="N1216" i="1"/>
  <c r="S1215" i="1"/>
  <c r="R1215" i="1"/>
  <c r="Q1215" i="1"/>
  <c r="N1215" i="1"/>
  <c r="S1214" i="1"/>
  <c r="R1214" i="1"/>
  <c r="Q1214" i="1"/>
  <c r="N1214" i="1"/>
  <c r="S1213" i="1"/>
  <c r="R1213" i="1"/>
  <c r="Q1213" i="1"/>
  <c r="N1213" i="1"/>
  <c r="S1212" i="1"/>
  <c r="R1212" i="1"/>
  <c r="Q1212" i="1"/>
  <c r="N1212" i="1"/>
  <c r="S1211" i="1"/>
  <c r="R1211" i="1"/>
  <c r="Q1211" i="1"/>
  <c r="N1211" i="1"/>
  <c r="S1210" i="1"/>
  <c r="R1210" i="1"/>
  <c r="Q1210" i="1"/>
  <c r="N1210" i="1"/>
  <c r="S1209" i="1"/>
  <c r="R1209" i="1"/>
  <c r="Q1209" i="1"/>
  <c r="N1209" i="1"/>
  <c r="S1208" i="1"/>
  <c r="R1208" i="1"/>
  <c r="Q1208" i="1"/>
  <c r="N1208" i="1"/>
  <c r="S1207" i="1"/>
  <c r="R1207" i="1"/>
  <c r="Q1207" i="1"/>
  <c r="N1207" i="1"/>
  <c r="S1206" i="1"/>
  <c r="R1206" i="1"/>
  <c r="Q1206" i="1"/>
  <c r="N1206" i="1"/>
  <c r="S1205" i="1"/>
  <c r="R1205" i="1"/>
  <c r="Q1205" i="1"/>
  <c r="N1205" i="1"/>
  <c r="S1204" i="1"/>
  <c r="R1204" i="1"/>
  <c r="Q1204" i="1"/>
  <c r="N1204" i="1"/>
  <c r="S1203" i="1"/>
  <c r="R1203" i="1"/>
  <c r="Q1203" i="1"/>
  <c r="N1203" i="1"/>
  <c r="S1202" i="1"/>
  <c r="R1202" i="1"/>
  <c r="Q1202" i="1"/>
  <c r="N1202" i="1"/>
  <c r="S1201" i="1"/>
  <c r="R1201" i="1"/>
  <c r="Q1201" i="1"/>
  <c r="N1201" i="1"/>
  <c r="S1200" i="1"/>
  <c r="R1200" i="1"/>
  <c r="Q1200" i="1"/>
  <c r="N1200" i="1"/>
  <c r="S1199" i="1"/>
  <c r="R1199" i="1"/>
  <c r="Q1199" i="1"/>
  <c r="N1199" i="1"/>
  <c r="S1198" i="1"/>
  <c r="R1198" i="1"/>
  <c r="Q1198" i="1"/>
  <c r="N1198" i="1"/>
  <c r="S1197" i="1"/>
  <c r="R1197" i="1"/>
  <c r="Q1197" i="1"/>
  <c r="N1197" i="1"/>
  <c r="S1196" i="1"/>
  <c r="R1196" i="1"/>
  <c r="Q1196" i="1"/>
  <c r="N1196" i="1"/>
  <c r="S1195" i="1"/>
  <c r="R1195" i="1"/>
  <c r="Q1195" i="1"/>
  <c r="N1195" i="1"/>
  <c r="S1194" i="1"/>
  <c r="R1194" i="1"/>
  <c r="Q1194" i="1"/>
  <c r="N1194" i="1"/>
  <c r="S1193" i="1"/>
  <c r="R1193" i="1"/>
  <c r="Q1193" i="1"/>
  <c r="N1193" i="1"/>
  <c r="S1192" i="1"/>
  <c r="R1192" i="1"/>
  <c r="Q1192" i="1"/>
  <c r="N1192" i="1"/>
  <c r="S1191" i="1"/>
  <c r="R1191" i="1"/>
  <c r="Q1191" i="1"/>
  <c r="N1191" i="1"/>
  <c r="S1190" i="1"/>
  <c r="R1190" i="1"/>
  <c r="Q1190" i="1"/>
  <c r="N1190" i="1"/>
  <c r="S1189" i="1"/>
  <c r="R1189" i="1"/>
  <c r="Q1189" i="1"/>
  <c r="N1189" i="1"/>
  <c r="S1188" i="1"/>
  <c r="R1188" i="1"/>
  <c r="Q1188" i="1"/>
  <c r="N1188" i="1"/>
  <c r="S1187" i="1"/>
  <c r="R1187" i="1"/>
  <c r="Q1187" i="1"/>
  <c r="N1187" i="1"/>
  <c r="S1186" i="1"/>
  <c r="R1186" i="1"/>
  <c r="Q1186" i="1"/>
  <c r="N1186" i="1"/>
  <c r="S1185" i="1"/>
  <c r="R1185" i="1"/>
  <c r="Q1185" i="1"/>
  <c r="N1185" i="1"/>
  <c r="S1184" i="1"/>
  <c r="R1184" i="1"/>
  <c r="Q1184" i="1"/>
  <c r="N1184" i="1"/>
  <c r="S1183" i="1"/>
  <c r="R1183" i="1"/>
  <c r="Q1183" i="1"/>
  <c r="N1183" i="1"/>
  <c r="S1182" i="1"/>
  <c r="R1182" i="1"/>
  <c r="Q1182" i="1"/>
  <c r="N1182" i="1"/>
  <c r="S1181" i="1"/>
  <c r="R1181" i="1"/>
  <c r="Q1181" i="1"/>
  <c r="N1181" i="1"/>
  <c r="S1180" i="1"/>
  <c r="R1180" i="1"/>
  <c r="Q1180" i="1"/>
  <c r="N1180" i="1"/>
  <c r="S1179" i="1"/>
  <c r="R1179" i="1"/>
  <c r="Q1179" i="1"/>
  <c r="N1179" i="1"/>
  <c r="S1178" i="1"/>
  <c r="R1178" i="1"/>
  <c r="Q1178" i="1"/>
  <c r="N1178" i="1"/>
  <c r="S1177" i="1"/>
  <c r="R1177" i="1"/>
  <c r="Q1177" i="1"/>
  <c r="N1177" i="1"/>
  <c r="S1176" i="1"/>
  <c r="R1176" i="1"/>
  <c r="Q1176" i="1"/>
  <c r="N1176" i="1"/>
  <c r="S1175" i="1"/>
  <c r="R1175" i="1"/>
  <c r="Q1175" i="1"/>
  <c r="N1175" i="1"/>
  <c r="S1174" i="1"/>
  <c r="R1174" i="1"/>
  <c r="Q1174" i="1"/>
  <c r="N1174" i="1"/>
  <c r="S1173" i="1"/>
  <c r="R1173" i="1"/>
  <c r="Q1173" i="1"/>
  <c r="N1173" i="1"/>
  <c r="S1172" i="1"/>
  <c r="R1172" i="1"/>
  <c r="Q1172" i="1"/>
  <c r="N1172" i="1"/>
  <c r="S1171" i="1"/>
  <c r="R1171" i="1"/>
  <c r="Q1171" i="1"/>
  <c r="N1171" i="1"/>
  <c r="S1170" i="1"/>
  <c r="R1170" i="1"/>
  <c r="Q1170" i="1"/>
  <c r="N1170" i="1"/>
  <c r="S1169" i="1"/>
  <c r="R1169" i="1"/>
  <c r="Q1169" i="1"/>
  <c r="N1169" i="1"/>
  <c r="S1168" i="1"/>
  <c r="R1168" i="1"/>
  <c r="Q1168" i="1"/>
  <c r="N1168" i="1"/>
  <c r="S1167" i="1"/>
  <c r="R1167" i="1"/>
  <c r="Q1167" i="1"/>
  <c r="N1167" i="1"/>
  <c r="S1166" i="1"/>
  <c r="R1166" i="1"/>
  <c r="Q1166" i="1"/>
  <c r="N1166" i="1"/>
  <c r="S1165" i="1"/>
  <c r="R1165" i="1"/>
  <c r="Q1165" i="1"/>
  <c r="N1165" i="1"/>
  <c r="S1164" i="1"/>
  <c r="R1164" i="1"/>
  <c r="Q1164" i="1"/>
  <c r="N1164" i="1"/>
  <c r="S1163" i="1"/>
  <c r="R1163" i="1"/>
  <c r="Q1163" i="1"/>
  <c r="N1163" i="1"/>
  <c r="S1162" i="1"/>
  <c r="R1162" i="1"/>
  <c r="Q1162" i="1"/>
  <c r="N1162" i="1"/>
  <c r="S1161" i="1"/>
  <c r="R1161" i="1"/>
  <c r="Q1161" i="1"/>
  <c r="N1161" i="1"/>
  <c r="S1160" i="1"/>
  <c r="R1160" i="1"/>
  <c r="Q1160" i="1"/>
  <c r="N1160" i="1"/>
  <c r="S1159" i="1"/>
  <c r="R1159" i="1"/>
  <c r="Q1159" i="1"/>
  <c r="N1159" i="1"/>
  <c r="S1158" i="1"/>
  <c r="R1158" i="1"/>
  <c r="Q1158" i="1"/>
  <c r="N1158" i="1"/>
  <c r="S1157" i="1"/>
  <c r="R1157" i="1"/>
  <c r="Q1157" i="1"/>
  <c r="N1157" i="1"/>
  <c r="S1156" i="1"/>
  <c r="R1156" i="1"/>
  <c r="Q1156" i="1"/>
  <c r="N1156" i="1"/>
  <c r="S1155" i="1"/>
  <c r="R1155" i="1"/>
  <c r="Q1155" i="1"/>
  <c r="N1155" i="1"/>
  <c r="S1154" i="1"/>
  <c r="R1154" i="1"/>
  <c r="Q1154" i="1"/>
  <c r="N1154" i="1"/>
  <c r="S1153" i="1"/>
  <c r="R1153" i="1"/>
  <c r="Q1153" i="1"/>
  <c r="N1153" i="1"/>
  <c r="S1152" i="1"/>
  <c r="R1152" i="1"/>
  <c r="Q1152" i="1"/>
  <c r="N1152" i="1"/>
  <c r="S1151" i="1"/>
  <c r="R1151" i="1"/>
  <c r="Q1151" i="1"/>
  <c r="N1151" i="1"/>
  <c r="S1150" i="1"/>
  <c r="R1150" i="1"/>
  <c r="Q1150" i="1"/>
  <c r="N1150" i="1"/>
  <c r="S1149" i="1"/>
  <c r="R1149" i="1"/>
  <c r="Q1149" i="1"/>
  <c r="N1149" i="1"/>
  <c r="S1148" i="1"/>
  <c r="R1148" i="1"/>
  <c r="Q1148" i="1"/>
  <c r="N1148" i="1"/>
  <c r="S1147" i="1"/>
  <c r="R1147" i="1"/>
  <c r="Q1147" i="1"/>
  <c r="N1147" i="1"/>
  <c r="S1146" i="1"/>
  <c r="R1146" i="1"/>
  <c r="Q1146" i="1"/>
  <c r="N1146" i="1"/>
  <c r="S1145" i="1"/>
  <c r="R1145" i="1"/>
  <c r="Q1145" i="1"/>
  <c r="N1145" i="1"/>
  <c r="S1144" i="1"/>
  <c r="R1144" i="1"/>
  <c r="Q1144" i="1"/>
  <c r="N1144" i="1"/>
  <c r="S1143" i="1"/>
  <c r="R1143" i="1"/>
  <c r="Q1143" i="1"/>
  <c r="N1143" i="1"/>
  <c r="S1142" i="1"/>
  <c r="R1142" i="1"/>
  <c r="Q1142" i="1"/>
  <c r="N1142" i="1"/>
  <c r="S1141" i="1"/>
  <c r="R1141" i="1"/>
  <c r="Q1141" i="1"/>
  <c r="N1141" i="1"/>
  <c r="S1140" i="1"/>
  <c r="R1140" i="1"/>
  <c r="Q1140" i="1"/>
  <c r="N1140" i="1"/>
  <c r="S1139" i="1"/>
  <c r="R1139" i="1"/>
  <c r="Q1139" i="1"/>
  <c r="N1139" i="1"/>
  <c r="S1138" i="1"/>
  <c r="R1138" i="1"/>
  <c r="Q1138" i="1"/>
  <c r="N1138" i="1"/>
  <c r="S1137" i="1"/>
  <c r="R1137" i="1"/>
  <c r="Q1137" i="1"/>
  <c r="N1137" i="1"/>
  <c r="S1136" i="1"/>
  <c r="R1136" i="1"/>
  <c r="Q1136" i="1"/>
  <c r="N1136" i="1"/>
  <c r="S1135" i="1"/>
  <c r="R1135" i="1"/>
  <c r="Q1135" i="1"/>
  <c r="N1135" i="1"/>
  <c r="S1134" i="1"/>
  <c r="R1134" i="1"/>
  <c r="Q1134" i="1"/>
  <c r="N1134" i="1"/>
  <c r="S1133" i="1"/>
  <c r="R1133" i="1"/>
  <c r="Q1133" i="1"/>
  <c r="N1133" i="1"/>
  <c r="S1132" i="1"/>
  <c r="R1132" i="1"/>
  <c r="Q1132" i="1"/>
  <c r="N1132" i="1"/>
  <c r="S1131" i="1"/>
  <c r="R1131" i="1"/>
  <c r="Q1131" i="1"/>
  <c r="N1131" i="1"/>
  <c r="S1130" i="1"/>
  <c r="R1130" i="1"/>
  <c r="Q1130" i="1"/>
  <c r="N1130" i="1"/>
  <c r="S1129" i="1"/>
  <c r="R1129" i="1"/>
  <c r="Q1129" i="1"/>
  <c r="N1129" i="1"/>
  <c r="S1128" i="1"/>
  <c r="R1128" i="1"/>
  <c r="Q1128" i="1"/>
  <c r="N1128" i="1"/>
  <c r="S1127" i="1"/>
  <c r="R1127" i="1"/>
  <c r="Q1127" i="1"/>
  <c r="N1127" i="1"/>
  <c r="S1126" i="1"/>
  <c r="R1126" i="1"/>
  <c r="Q1126" i="1"/>
  <c r="N1126" i="1"/>
  <c r="S1125" i="1"/>
  <c r="R1125" i="1"/>
  <c r="Q1125" i="1"/>
  <c r="N1125" i="1"/>
  <c r="S1124" i="1"/>
  <c r="R1124" i="1"/>
  <c r="Q1124" i="1"/>
  <c r="N1124" i="1"/>
  <c r="S1123" i="1"/>
  <c r="R1123" i="1"/>
  <c r="Q1123" i="1"/>
  <c r="N1123" i="1"/>
  <c r="S1122" i="1"/>
  <c r="R1122" i="1"/>
  <c r="Q1122" i="1"/>
  <c r="N1122" i="1"/>
  <c r="S1121" i="1"/>
  <c r="R1121" i="1"/>
  <c r="Q1121" i="1"/>
  <c r="N1121" i="1"/>
  <c r="S1120" i="1"/>
  <c r="R1120" i="1"/>
  <c r="Q1120" i="1"/>
  <c r="N1120" i="1"/>
  <c r="S1119" i="1"/>
  <c r="R1119" i="1"/>
  <c r="Q1119" i="1"/>
  <c r="N1119" i="1"/>
  <c r="S1118" i="1"/>
  <c r="R1118" i="1"/>
  <c r="Q1118" i="1"/>
  <c r="N1118" i="1"/>
  <c r="S1117" i="1"/>
  <c r="R1117" i="1"/>
  <c r="Q1117" i="1"/>
  <c r="N1117" i="1"/>
  <c r="S1116" i="1"/>
  <c r="R1116" i="1"/>
  <c r="Q1116" i="1"/>
  <c r="N1116" i="1"/>
  <c r="S1115" i="1"/>
  <c r="R1115" i="1"/>
  <c r="Q1115" i="1"/>
  <c r="N1115" i="1"/>
  <c r="S1114" i="1"/>
  <c r="R1114" i="1"/>
  <c r="Q1114" i="1"/>
  <c r="N1114" i="1"/>
  <c r="S1113" i="1"/>
  <c r="R1113" i="1"/>
  <c r="Q1113" i="1"/>
  <c r="N1113" i="1"/>
  <c r="S1112" i="1"/>
  <c r="R1112" i="1"/>
  <c r="Q1112" i="1"/>
  <c r="N1112" i="1"/>
  <c r="S1111" i="1"/>
  <c r="R1111" i="1"/>
  <c r="Q1111" i="1"/>
  <c r="N1111" i="1"/>
  <c r="S1110" i="1"/>
  <c r="R1110" i="1"/>
  <c r="Q1110" i="1"/>
  <c r="N1110" i="1"/>
  <c r="S1109" i="1"/>
  <c r="R1109" i="1"/>
  <c r="Q1109" i="1"/>
  <c r="N1109" i="1"/>
  <c r="S1108" i="1"/>
  <c r="R1108" i="1"/>
  <c r="Q1108" i="1"/>
  <c r="N1108" i="1"/>
  <c r="S1107" i="1"/>
  <c r="R1107" i="1"/>
  <c r="Q1107" i="1"/>
  <c r="N1107" i="1"/>
  <c r="S1106" i="1"/>
  <c r="R1106" i="1"/>
  <c r="Q1106" i="1"/>
  <c r="N1106" i="1"/>
  <c r="S1105" i="1"/>
  <c r="R1105" i="1"/>
  <c r="Q1105" i="1"/>
  <c r="N1105" i="1"/>
  <c r="S1104" i="1"/>
  <c r="R1104" i="1"/>
  <c r="Q1104" i="1"/>
  <c r="N1104" i="1"/>
  <c r="S1103" i="1"/>
  <c r="R1103" i="1"/>
  <c r="Q1103" i="1"/>
  <c r="N1103" i="1"/>
  <c r="S1102" i="1"/>
  <c r="R1102" i="1"/>
  <c r="Q1102" i="1"/>
  <c r="N1102" i="1"/>
  <c r="S1101" i="1"/>
  <c r="R1101" i="1"/>
  <c r="Q1101" i="1"/>
  <c r="N1101" i="1"/>
  <c r="S1100" i="1"/>
  <c r="R1100" i="1"/>
  <c r="Q1100" i="1"/>
  <c r="N1100" i="1"/>
  <c r="S1099" i="1"/>
  <c r="R1099" i="1"/>
  <c r="Q1099" i="1"/>
  <c r="N1099" i="1"/>
  <c r="S1098" i="1"/>
  <c r="R1098" i="1"/>
  <c r="Q1098" i="1"/>
  <c r="N1098" i="1"/>
  <c r="S1097" i="1"/>
  <c r="R1097" i="1"/>
  <c r="Q1097" i="1"/>
  <c r="N1097" i="1"/>
  <c r="S1096" i="1"/>
  <c r="R1096" i="1"/>
  <c r="Q1096" i="1"/>
  <c r="N1096" i="1"/>
  <c r="S1095" i="1"/>
  <c r="R1095" i="1"/>
  <c r="Q1095" i="1"/>
  <c r="N1095" i="1"/>
  <c r="S1094" i="1"/>
  <c r="R1094" i="1"/>
  <c r="Q1094" i="1"/>
  <c r="N1094" i="1"/>
  <c r="S1093" i="1"/>
  <c r="R1093" i="1"/>
  <c r="Q1093" i="1"/>
  <c r="N1093" i="1"/>
  <c r="S1092" i="1"/>
  <c r="R1092" i="1"/>
  <c r="Q1092" i="1"/>
  <c r="N1092" i="1"/>
  <c r="S1091" i="1"/>
  <c r="R1091" i="1"/>
  <c r="Q1091" i="1"/>
  <c r="N1091" i="1"/>
  <c r="S1090" i="1"/>
  <c r="R1090" i="1"/>
  <c r="Q1090" i="1"/>
  <c r="N1090" i="1"/>
  <c r="S1089" i="1"/>
  <c r="R1089" i="1"/>
  <c r="Q1089" i="1"/>
  <c r="N1089" i="1"/>
  <c r="S1088" i="1"/>
  <c r="R1088" i="1"/>
  <c r="Q1088" i="1"/>
  <c r="N1088" i="1"/>
  <c r="S1087" i="1"/>
  <c r="R1087" i="1"/>
  <c r="Q1087" i="1"/>
  <c r="N1087" i="1"/>
  <c r="S1086" i="1"/>
  <c r="R1086" i="1"/>
  <c r="Q1086" i="1"/>
  <c r="N1086" i="1"/>
  <c r="S1085" i="1"/>
  <c r="R1085" i="1"/>
  <c r="Q1085" i="1"/>
  <c r="N1085" i="1"/>
  <c r="S1084" i="1"/>
  <c r="R1084" i="1"/>
  <c r="Q1084" i="1"/>
  <c r="N1084" i="1"/>
  <c r="S1083" i="1"/>
  <c r="R1083" i="1"/>
  <c r="Q1083" i="1"/>
  <c r="N1083" i="1"/>
  <c r="S1082" i="1"/>
  <c r="R1082" i="1"/>
  <c r="Q1082" i="1"/>
  <c r="N1082" i="1"/>
  <c r="S1081" i="1"/>
  <c r="R1081" i="1"/>
  <c r="Q1081" i="1"/>
  <c r="N1081" i="1"/>
  <c r="S1080" i="1"/>
  <c r="R1080" i="1"/>
  <c r="Q1080" i="1"/>
  <c r="N1080" i="1"/>
  <c r="S1079" i="1"/>
  <c r="R1079" i="1"/>
  <c r="Q1079" i="1"/>
  <c r="N1079" i="1"/>
  <c r="S1078" i="1"/>
  <c r="R1078" i="1"/>
  <c r="Q1078" i="1"/>
  <c r="N1078" i="1"/>
  <c r="S1077" i="1"/>
  <c r="R1077" i="1"/>
  <c r="Q1077" i="1"/>
  <c r="N1077" i="1"/>
  <c r="S1076" i="1"/>
  <c r="R1076" i="1"/>
  <c r="Q1076" i="1"/>
  <c r="N1076" i="1"/>
  <c r="S1075" i="1"/>
  <c r="R1075" i="1"/>
  <c r="Q1075" i="1"/>
  <c r="N1075" i="1"/>
  <c r="S1074" i="1"/>
  <c r="R1074" i="1"/>
  <c r="Q1074" i="1"/>
  <c r="N1074" i="1"/>
  <c r="S1073" i="1"/>
  <c r="R1073" i="1"/>
  <c r="Q1073" i="1"/>
  <c r="N1073" i="1"/>
  <c r="S1072" i="1"/>
  <c r="R1072" i="1"/>
  <c r="Q1072" i="1"/>
  <c r="N1072" i="1"/>
  <c r="S1071" i="1"/>
  <c r="R1071" i="1"/>
  <c r="Q1071" i="1"/>
  <c r="N1071" i="1"/>
  <c r="S1070" i="1"/>
  <c r="R1070" i="1"/>
  <c r="Q1070" i="1"/>
  <c r="N1070" i="1"/>
  <c r="S1069" i="1"/>
  <c r="R1069" i="1"/>
  <c r="Q1069" i="1"/>
  <c r="N1069" i="1"/>
  <c r="S1068" i="1"/>
  <c r="R1068" i="1"/>
  <c r="Q1068" i="1"/>
  <c r="N1068" i="1"/>
  <c r="S1067" i="1"/>
  <c r="R1067" i="1"/>
  <c r="Q1067" i="1"/>
  <c r="N1067" i="1"/>
  <c r="S1066" i="1"/>
  <c r="R1066" i="1"/>
  <c r="Q1066" i="1"/>
  <c r="N1066" i="1"/>
  <c r="S1065" i="1"/>
  <c r="R1065" i="1"/>
  <c r="Q1065" i="1"/>
  <c r="N1065" i="1"/>
  <c r="S1064" i="1"/>
  <c r="R1064" i="1"/>
  <c r="Q1064" i="1"/>
  <c r="N1064" i="1"/>
  <c r="S1063" i="1"/>
  <c r="R1063" i="1"/>
  <c r="Q1063" i="1"/>
  <c r="N1063" i="1"/>
  <c r="S1062" i="1"/>
  <c r="R1062" i="1"/>
  <c r="Q1062" i="1"/>
  <c r="N1062" i="1"/>
  <c r="S1061" i="1"/>
  <c r="R1061" i="1"/>
  <c r="Q1061" i="1"/>
  <c r="N1061" i="1"/>
  <c r="S1060" i="1"/>
  <c r="R1060" i="1"/>
  <c r="Q1060" i="1"/>
  <c r="N1060" i="1"/>
  <c r="S1059" i="1"/>
  <c r="R1059" i="1"/>
  <c r="Q1059" i="1"/>
  <c r="N1059" i="1"/>
  <c r="S1058" i="1"/>
  <c r="R1058" i="1"/>
  <c r="Q1058" i="1"/>
  <c r="N1058" i="1"/>
  <c r="S1057" i="1"/>
  <c r="R1057" i="1"/>
  <c r="Q1057" i="1"/>
  <c r="N1057" i="1"/>
  <c r="S1056" i="1"/>
  <c r="R1056" i="1"/>
  <c r="Q1056" i="1"/>
  <c r="N1056" i="1"/>
  <c r="S1055" i="1"/>
  <c r="R1055" i="1"/>
  <c r="Q1055" i="1"/>
  <c r="N1055" i="1"/>
  <c r="S1054" i="1"/>
  <c r="R1054" i="1"/>
  <c r="Q1054" i="1"/>
  <c r="N1054" i="1"/>
  <c r="S1053" i="1"/>
  <c r="R1053" i="1"/>
  <c r="Q1053" i="1"/>
  <c r="N1053" i="1"/>
  <c r="S1052" i="1"/>
  <c r="R1052" i="1"/>
  <c r="Q1052" i="1"/>
  <c r="N1052" i="1"/>
  <c r="S1051" i="1"/>
  <c r="R1051" i="1"/>
  <c r="Q1051" i="1"/>
  <c r="N1051" i="1"/>
  <c r="S1050" i="1"/>
  <c r="R1050" i="1"/>
  <c r="Q1050" i="1"/>
  <c r="N1050" i="1"/>
  <c r="S1049" i="1"/>
  <c r="R1049" i="1"/>
  <c r="Q1049" i="1"/>
  <c r="N1049" i="1"/>
  <c r="S1048" i="1"/>
  <c r="R1048" i="1"/>
  <c r="Q1048" i="1"/>
  <c r="N1048" i="1"/>
  <c r="S1047" i="1"/>
  <c r="R1047" i="1"/>
  <c r="Q1047" i="1"/>
  <c r="N1047" i="1"/>
  <c r="S1046" i="1"/>
  <c r="R1046" i="1"/>
  <c r="Q1046" i="1"/>
  <c r="N1046" i="1"/>
  <c r="S1045" i="1"/>
  <c r="R1045" i="1"/>
  <c r="Q1045" i="1"/>
  <c r="N1045" i="1"/>
  <c r="S1044" i="1"/>
  <c r="R1044" i="1"/>
  <c r="Q1044" i="1"/>
  <c r="N1044" i="1"/>
  <c r="S1043" i="1"/>
  <c r="R1043" i="1"/>
  <c r="Q1043" i="1"/>
  <c r="N1043" i="1"/>
  <c r="S1042" i="1"/>
  <c r="R1042" i="1"/>
  <c r="Q1042" i="1"/>
  <c r="N1042" i="1"/>
  <c r="S1041" i="1"/>
  <c r="R1041" i="1"/>
  <c r="Q1041" i="1"/>
  <c r="N1041" i="1"/>
  <c r="S1040" i="1"/>
  <c r="R1040" i="1"/>
  <c r="Q1040" i="1"/>
  <c r="N1040" i="1"/>
  <c r="S1039" i="1"/>
  <c r="R1039" i="1"/>
  <c r="Q1039" i="1"/>
  <c r="N1039" i="1"/>
  <c r="S1038" i="1"/>
  <c r="R1038" i="1"/>
  <c r="Q1038" i="1"/>
  <c r="N1038" i="1"/>
  <c r="S1037" i="1"/>
  <c r="R1037" i="1"/>
  <c r="Q1037" i="1"/>
  <c r="N1037" i="1"/>
  <c r="S1036" i="1"/>
  <c r="R1036" i="1"/>
  <c r="Q1036" i="1"/>
  <c r="N1036" i="1"/>
  <c r="S1035" i="1"/>
  <c r="R1035" i="1"/>
  <c r="Q1035" i="1"/>
  <c r="N1035" i="1"/>
  <c r="S1034" i="1"/>
  <c r="R1034" i="1"/>
  <c r="Q1034" i="1"/>
  <c r="N1034" i="1"/>
  <c r="S1033" i="1"/>
  <c r="R1033" i="1"/>
  <c r="Q1033" i="1"/>
  <c r="N1033" i="1"/>
  <c r="S1032" i="1"/>
  <c r="R1032" i="1"/>
  <c r="Q1032" i="1"/>
  <c r="N1032" i="1"/>
  <c r="S1031" i="1"/>
  <c r="R1031" i="1"/>
  <c r="Q1031" i="1"/>
  <c r="N1031" i="1"/>
  <c r="S1030" i="1"/>
  <c r="R1030" i="1"/>
  <c r="Q1030" i="1"/>
  <c r="N1030" i="1"/>
  <c r="S1029" i="1"/>
  <c r="R1029" i="1"/>
  <c r="Q1029" i="1"/>
  <c r="N1029" i="1"/>
  <c r="S1028" i="1"/>
  <c r="R1028" i="1"/>
  <c r="Q1028" i="1"/>
  <c r="N1028" i="1"/>
  <c r="S1027" i="1"/>
  <c r="R1027" i="1"/>
  <c r="Q1027" i="1"/>
  <c r="N1027" i="1"/>
  <c r="S1026" i="1"/>
  <c r="R1026" i="1"/>
  <c r="Q1026" i="1"/>
  <c r="N1026" i="1"/>
  <c r="S1025" i="1"/>
  <c r="R1025" i="1"/>
  <c r="Q1025" i="1"/>
  <c r="N1025" i="1"/>
  <c r="S1024" i="1"/>
  <c r="R1024" i="1"/>
  <c r="Q1024" i="1"/>
  <c r="N1024" i="1"/>
  <c r="S1023" i="1"/>
  <c r="R1023" i="1"/>
  <c r="Q1023" i="1"/>
  <c r="N1023" i="1"/>
  <c r="S1022" i="1"/>
  <c r="R1022" i="1"/>
  <c r="Q1022" i="1"/>
  <c r="N1022" i="1"/>
  <c r="S1021" i="1"/>
  <c r="R1021" i="1"/>
  <c r="Q1021" i="1"/>
  <c r="N1021" i="1"/>
  <c r="S1020" i="1"/>
  <c r="R1020" i="1"/>
  <c r="Q1020" i="1"/>
  <c r="N1020" i="1"/>
  <c r="S1019" i="1"/>
  <c r="R1019" i="1"/>
  <c r="Q1019" i="1"/>
  <c r="N1019" i="1"/>
  <c r="S1018" i="1"/>
  <c r="R1018" i="1"/>
  <c r="Q1018" i="1"/>
  <c r="N1018" i="1"/>
  <c r="S1017" i="1"/>
  <c r="R1017" i="1"/>
  <c r="Q1017" i="1"/>
  <c r="N1017" i="1"/>
  <c r="S1016" i="1"/>
  <c r="R1016" i="1"/>
  <c r="Q1016" i="1"/>
  <c r="N1016" i="1"/>
  <c r="S1015" i="1"/>
  <c r="R1015" i="1"/>
  <c r="Q1015" i="1"/>
  <c r="N1015" i="1"/>
  <c r="S1014" i="1"/>
  <c r="R1014" i="1"/>
  <c r="Q1014" i="1"/>
  <c r="N1014" i="1"/>
  <c r="S1013" i="1"/>
  <c r="R1013" i="1"/>
  <c r="Q1013" i="1"/>
  <c r="N1013" i="1"/>
  <c r="S1012" i="1"/>
  <c r="R1012" i="1"/>
  <c r="Q1012" i="1"/>
  <c r="N1012" i="1"/>
  <c r="S1011" i="1"/>
  <c r="R1011" i="1"/>
  <c r="Q1011" i="1"/>
  <c r="N1011" i="1"/>
  <c r="S1010" i="1"/>
  <c r="R1010" i="1"/>
  <c r="Q1010" i="1"/>
  <c r="N1010" i="1"/>
  <c r="S1009" i="1"/>
  <c r="R1009" i="1"/>
  <c r="Q1009" i="1"/>
  <c r="N1009" i="1"/>
  <c r="S1008" i="1"/>
  <c r="R1008" i="1"/>
  <c r="Q1008" i="1"/>
  <c r="N1008" i="1"/>
  <c r="S1007" i="1"/>
  <c r="R1007" i="1"/>
  <c r="Q1007" i="1"/>
  <c r="N1007" i="1"/>
  <c r="S1006" i="1"/>
  <c r="R1006" i="1"/>
  <c r="Q1006" i="1"/>
  <c r="N1006" i="1"/>
  <c r="S1005" i="1"/>
  <c r="R1005" i="1"/>
  <c r="Q1005" i="1"/>
  <c r="N1005" i="1"/>
  <c r="S1004" i="1"/>
  <c r="R1004" i="1"/>
  <c r="Q1004" i="1"/>
  <c r="N1004" i="1"/>
  <c r="S1003" i="1"/>
  <c r="R1003" i="1"/>
  <c r="Q1003" i="1"/>
  <c r="N1003" i="1"/>
  <c r="S1002" i="1"/>
  <c r="R1002" i="1"/>
  <c r="Q1002" i="1"/>
  <c r="N1002" i="1"/>
  <c r="S1001" i="1"/>
  <c r="R1001" i="1"/>
  <c r="Q1001" i="1"/>
  <c r="N1001" i="1"/>
  <c r="S1000" i="1"/>
  <c r="R1000" i="1"/>
  <c r="Q1000" i="1"/>
  <c r="N1000" i="1"/>
  <c r="S999" i="1"/>
  <c r="R999" i="1"/>
  <c r="Q999" i="1"/>
  <c r="N999" i="1"/>
  <c r="S998" i="1"/>
  <c r="R998" i="1"/>
  <c r="Q998" i="1"/>
  <c r="N998" i="1"/>
  <c r="S997" i="1"/>
  <c r="R997" i="1"/>
  <c r="Q997" i="1"/>
  <c r="N997" i="1"/>
  <c r="S996" i="1"/>
  <c r="R996" i="1"/>
  <c r="Q996" i="1"/>
  <c r="N996" i="1"/>
  <c r="S995" i="1"/>
  <c r="R995" i="1"/>
  <c r="Q995" i="1"/>
  <c r="N995" i="1"/>
  <c r="S994" i="1"/>
  <c r="R994" i="1"/>
  <c r="Q994" i="1"/>
  <c r="N994" i="1"/>
  <c r="S993" i="1"/>
  <c r="R993" i="1"/>
  <c r="Q993" i="1"/>
  <c r="N993" i="1"/>
  <c r="S992" i="1"/>
  <c r="R992" i="1"/>
  <c r="Q992" i="1"/>
  <c r="N992" i="1"/>
  <c r="S991" i="1"/>
  <c r="R991" i="1"/>
  <c r="Q991" i="1"/>
  <c r="N991" i="1"/>
  <c r="S990" i="1"/>
  <c r="R990" i="1"/>
  <c r="Q990" i="1"/>
  <c r="N990" i="1"/>
  <c r="S989" i="1"/>
  <c r="R989" i="1"/>
  <c r="Q989" i="1"/>
  <c r="N989" i="1"/>
  <c r="S988" i="1"/>
  <c r="R988" i="1"/>
  <c r="Q988" i="1"/>
  <c r="N988" i="1"/>
  <c r="S987" i="1"/>
  <c r="R987" i="1"/>
  <c r="Q987" i="1"/>
  <c r="N987" i="1"/>
  <c r="S986" i="1"/>
  <c r="R986" i="1"/>
  <c r="Q986" i="1"/>
  <c r="N986" i="1"/>
  <c r="S985" i="1"/>
  <c r="R985" i="1"/>
  <c r="Q985" i="1"/>
  <c r="N985" i="1"/>
  <c r="S984" i="1"/>
  <c r="R984" i="1"/>
  <c r="Q984" i="1"/>
  <c r="N984" i="1"/>
  <c r="S983" i="1"/>
  <c r="R983" i="1"/>
  <c r="Q983" i="1"/>
  <c r="N983" i="1"/>
  <c r="S982" i="1"/>
  <c r="R982" i="1"/>
  <c r="Q982" i="1"/>
  <c r="N982" i="1"/>
  <c r="S981" i="1"/>
  <c r="R981" i="1"/>
  <c r="Q981" i="1"/>
  <c r="N981" i="1"/>
  <c r="S980" i="1"/>
  <c r="R980" i="1"/>
  <c r="Q980" i="1"/>
  <c r="N980" i="1"/>
  <c r="S979" i="1"/>
  <c r="R979" i="1"/>
  <c r="Q979" i="1"/>
  <c r="N979" i="1"/>
  <c r="S978" i="1"/>
  <c r="R978" i="1"/>
  <c r="Q978" i="1"/>
  <c r="N978" i="1"/>
  <c r="S977" i="1"/>
  <c r="R977" i="1"/>
  <c r="Q977" i="1"/>
  <c r="N977" i="1"/>
  <c r="S976" i="1"/>
  <c r="R976" i="1"/>
  <c r="Q976" i="1"/>
  <c r="N976" i="1"/>
  <c r="S975" i="1"/>
  <c r="R975" i="1"/>
  <c r="Q975" i="1"/>
  <c r="N975" i="1"/>
  <c r="S974" i="1"/>
  <c r="R974" i="1"/>
  <c r="Q974" i="1"/>
  <c r="N974" i="1"/>
  <c r="S973" i="1"/>
  <c r="R973" i="1"/>
  <c r="Q973" i="1"/>
  <c r="N973" i="1"/>
  <c r="S972" i="1"/>
  <c r="R972" i="1"/>
  <c r="Q972" i="1"/>
  <c r="N972" i="1"/>
  <c r="S971" i="1"/>
  <c r="R971" i="1"/>
  <c r="Q971" i="1"/>
  <c r="N971" i="1"/>
  <c r="S970" i="1"/>
  <c r="R970" i="1"/>
  <c r="Q970" i="1"/>
  <c r="N970" i="1"/>
  <c r="S969" i="1"/>
  <c r="R969" i="1"/>
  <c r="Q969" i="1"/>
  <c r="N969" i="1"/>
  <c r="S968" i="1"/>
  <c r="R968" i="1"/>
  <c r="Q968" i="1"/>
  <c r="N968" i="1"/>
  <c r="S967" i="1"/>
  <c r="R967" i="1"/>
  <c r="Q967" i="1"/>
  <c r="N967" i="1"/>
  <c r="S966" i="1"/>
  <c r="R966" i="1"/>
  <c r="Q966" i="1"/>
  <c r="N966" i="1"/>
  <c r="S965" i="1"/>
  <c r="R965" i="1"/>
  <c r="Q965" i="1"/>
  <c r="N965" i="1"/>
  <c r="S964" i="1"/>
  <c r="R964" i="1"/>
  <c r="Q964" i="1"/>
  <c r="N964" i="1"/>
  <c r="S963" i="1"/>
  <c r="R963" i="1"/>
  <c r="Q963" i="1"/>
  <c r="N963" i="1"/>
  <c r="S962" i="1"/>
  <c r="R962" i="1"/>
  <c r="Q962" i="1"/>
  <c r="N962" i="1"/>
  <c r="S961" i="1"/>
  <c r="R961" i="1"/>
  <c r="Q961" i="1"/>
  <c r="N961" i="1"/>
  <c r="S960" i="1"/>
  <c r="R960" i="1"/>
  <c r="Q960" i="1"/>
  <c r="N960" i="1"/>
  <c r="S959" i="1"/>
  <c r="R959" i="1"/>
  <c r="Q959" i="1"/>
  <c r="N959" i="1"/>
  <c r="S958" i="1"/>
  <c r="R958" i="1"/>
  <c r="Q958" i="1"/>
  <c r="N958" i="1"/>
  <c r="S957" i="1"/>
  <c r="R957" i="1"/>
  <c r="Q957" i="1"/>
  <c r="N957" i="1"/>
  <c r="S956" i="1"/>
  <c r="R956" i="1"/>
  <c r="Q956" i="1"/>
  <c r="N956" i="1"/>
  <c r="S955" i="1"/>
  <c r="R955" i="1"/>
  <c r="Q955" i="1"/>
  <c r="N955" i="1"/>
  <c r="S954" i="1"/>
  <c r="R954" i="1"/>
  <c r="Q954" i="1"/>
  <c r="N954" i="1"/>
  <c r="S953" i="1"/>
  <c r="R953" i="1"/>
  <c r="Q953" i="1"/>
  <c r="N953" i="1"/>
  <c r="S952" i="1"/>
  <c r="R952" i="1"/>
  <c r="Q952" i="1"/>
  <c r="N952" i="1"/>
  <c r="S951" i="1"/>
  <c r="R951" i="1"/>
  <c r="Q951" i="1"/>
  <c r="N951" i="1"/>
  <c r="S950" i="1"/>
  <c r="R950" i="1"/>
  <c r="Q950" i="1"/>
  <c r="N950" i="1"/>
  <c r="S949" i="1"/>
  <c r="R949" i="1"/>
  <c r="Q949" i="1"/>
  <c r="N949" i="1"/>
  <c r="S948" i="1"/>
  <c r="R948" i="1"/>
  <c r="Q948" i="1"/>
  <c r="N948" i="1"/>
  <c r="S947" i="1"/>
  <c r="R947" i="1"/>
  <c r="Q947" i="1"/>
  <c r="N947" i="1"/>
  <c r="S946" i="1"/>
  <c r="R946" i="1"/>
  <c r="Q946" i="1"/>
  <c r="N946" i="1"/>
  <c r="S945" i="1"/>
  <c r="R945" i="1"/>
  <c r="Q945" i="1"/>
  <c r="N945" i="1"/>
  <c r="S944" i="1"/>
  <c r="R944" i="1"/>
  <c r="Q944" i="1"/>
  <c r="N944" i="1"/>
  <c r="S943" i="1"/>
  <c r="R943" i="1"/>
  <c r="Q943" i="1"/>
  <c r="N943" i="1"/>
  <c r="S942" i="1"/>
  <c r="R942" i="1"/>
  <c r="Q942" i="1"/>
  <c r="N942" i="1"/>
  <c r="S941" i="1"/>
  <c r="R941" i="1"/>
  <c r="Q941" i="1"/>
  <c r="N941" i="1"/>
  <c r="S940" i="1"/>
  <c r="R940" i="1"/>
  <c r="Q940" i="1"/>
  <c r="N940" i="1"/>
  <c r="S939" i="1"/>
  <c r="R939" i="1"/>
  <c r="Q939" i="1"/>
  <c r="N939" i="1"/>
  <c r="S938" i="1"/>
  <c r="R938" i="1"/>
  <c r="Q938" i="1"/>
  <c r="N938" i="1"/>
  <c r="S937" i="1"/>
  <c r="R937" i="1"/>
  <c r="Q937" i="1"/>
  <c r="N937" i="1"/>
  <c r="S936" i="1"/>
  <c r="R936" i="1"/>
  <c r="Q936" i="1"/>
  <c r="N936" i="1"/>
  <c r="S935" i="1"/>
  <c r="R935" i="1"/>
  <c r="Q935" i="1"/>
  <c r="N935" i="1"/>
  <c r="S934" i="1"/>
  <c r="R934" i="1"/>
  <c r="Q934" i="1"/>
  <c r="N934" i="1"/>
  <c r="S933" i="1"/>
  <c r="R933" i="1"/>
  <c r="Q933" i="1"/>
  <c r="N933" i="1"/>
  <c r="S932" i="1"/>
  <c r="R932" i="1"/>
  <c r="Q932" i="1"/>
  <c r="N932" i="1"/>
  <c r="S931" i="1"/>
  <c r="R931" i="1"/>
  <c r="Q931" i="1"/>
  <c r="N931" i="1"/>
  <c r="S930" i="1"/>
  <c r="R930" i="1"/>
  <c r="Q930" i="1"/>
  <c r="N930" i="1"/>
  <c r="S929" i="1"/>
  <c r="R929" i="1"/>
  <c r="Q929" i="1"/>
  <c r="N929" i="1"/>
  <c r="S928" i="1"/>
  <c r="R928" i="1"/>
  <c r="Q928" i="1"/>
  <c r="N928" i="1"/>
  <c r="S927" i="1"/>
  <c r="R927" i="1"/>
  <c r="Q927" i="1"/>
  <c r="N927" i="1"/>
  <c r="S926" i="1"/>
  <c r="R926" i="1"/>
  <c r="Q926" i="1"/>
  <c r="N926" i="1"/>
  <c r="S925" i="1"/>
  <c r="R925" i="1"/>
  <c r="Q925" i="1"/>
  <c r="N925" i="1"/>
  <c r="S924" i="1"/>
  <c r="R924" i="1"/>
  <c r="Q924" i="1"/>
  <c r="N924" i="1"/>
  <c r="S923" i="1"/>
  <c r="R923" i="1"/>
  <c r="Q923" i="1"/>
  <c r="N923" i="1"/>
  <c r="S922" i="1"/>
  <c r="R922" i="1"/>
  <c r="Q922" i="1"/>
  <c r="N922" i="1"/>
  <c r="S921" i="1"/>
  <c r="R921" i="1"/>
  <c r="Q921" i="1"/>
  <c r="N921" i="1"/>
  <c r="S920" i="1"/>
  <c r="R920" i="1"/>
  <c r="Q920" i="1"/>
  <c r="N920" i="1"/>
  <c r="S919" i="1"/>
  <c r="R919" i="1"/>
  <c r="Q919" i="1"/>
  <c r="N919" i="1"/>
  <c r="S918" i="1"/>
  <c r="R918" i="1"/>
  <c r="Q918" i="1"/>
  <c r="N918" i="1"/>
  <c r="S917" i="1"/>
  <c r="R917" i="1"/>
  <c r="Q917" i="1"/>
  <c r="N917" i="1"/>
  <c r="S916" i="1"/>
  <c r="R916" i="1"/>
  <c r="Q916" i="1"/>
  <c r="N916" i="1"/>
  <c r="S915" i="1"/>
  <c r="R915" i="1"/>
  <c r="Q915" i="1"/>
  <c r="N915" i="1"/>
  <c r="S914" i="1"/>
  <c r="R914" i="1"/>
  <c r="Q914" i="1"/>
  <c r="N914" i="1"/>
  <c r="S913" i="1"/>
  <c r="R913" i="1"/>
  <c r="Q913" i="1"/>
  <c r="N913" i="1"/>
  <c r="S912" i="1"/>
  <c r="R912" i="1"/>
  <c r="Q912" i="1"/>
  <c r="N912" i="1"/>
  <c r="S911" i="1"/>
  <c r="R911" i="1"/>
  <c r="Q911" i="1"/>
  <c r="N911" i="1"/>
  <c r="S910" i="1"/>
  <c r="R910" i="1"/>
  <c r="Q910" i="1"/>
  <c r="N910" i="1"/>
  <c r="S909" i="1"/>
  <c r="R909" i="1"/>
  <c r="Q909" i="1"/>
  <c r="N909" i="1"/>
  <c r="S908" i="1"/>
  <c r="R908" i="1"/>
  <c r="Q908" i="1"/>
  <c r="N908" i="1"/>
  <c r="S907" i="1"/>
  <c r="R907" i="1"/>
  <c r="Q907" i="1"/>
  <c r="N907" i="1"/>
  <c r="S906" i="1"/>
  <c r="R906" i="1"/>
  <c r="Q906" i="1"/>
  <c r="N906" i="1"/>
  <c r="S905" i="1"/>
  <c r="R905" i="1"/>
  <c r="Q905" i="1"/>
  <c r="N905" i="1"/>
  <c r="S904" i="1"/>
  <c r="R904" i="1"/>
  <c r="Q904" i="1"/>
  <c r="N904" i="1"/>
  <c r="S903" i="1"/>
  <c r="R903" i="1"/>
  <c r="Q903" i="1"/>
  <c r="N903" i="1"/>
  <c r="S902" i="1"/>
  <c r="R902" i="1"/>
  <c r="Q902" i="1"/>
  <c r="N902" i="1"/>
  <c r="S901" i="1"/>
  <c r="R901" i="1"/>
  <c r="Q901" i="1"/>
  <c r="N901" i="1"/>
  <c r="S900" i="1"/>
  <c r="R900" i="1"/>
  <c r="Q900" i="1"/>
  <c r="N900" i="1"/>
  <c r="S899" i="1"/>
  <c r="R899" i="1"/>
  <c r="Q899" i="1"/>
  <c r="N899" i="1"/>
  <c r="S898" i="1"/>
  <c r="R898" i="1"/>
  <c r="Q898" i="1"/>
  <c r="N898" i="1"/>
  <c r="S897" i="1"/>
  <c r="R897" i="1"/>
  <c r="Q897" i="1"/>
  <c r="N897" i="1"/>
  <c r="S896" i="1"/>
  <c r="R896" i="1"/>
  <c r="Q896" i="1"/>
  <c r="N896" i="1"/>
  <c r="S895" i="1"/>
  <c r="R895" i="1"/>
  <c r="Q895" i="1"/>
  <c r="N895" i="1"/>
  <c r="S894" i="1"/>
  <c r="R894" i="1"/>
  <c r="Q894" i="1"/>
  <c r="N894" i="1"/>
  <c r="S893" i="1"/>
  <c r="R893" i="1"/>
  <c r="Q893" i="1"/>
  <c r="N893" i="1"/>
  <c r="S892" i="1"/>
  <c r="R892" i="1"/>
  <c r="Q892" i="1"/>
  <c r="N892" i="1"/>
  <c r="S891" i="1"/>
  <c r="R891" i="1"/>
  <c r="Q891" i="1"/>
  <c r="N891" i="1"/>
  <c r="S890" i="1"/>
  <c r="R890" i="1"/>
  <c r="Q890" i="1"/>
  <c r="N890" i="1"/>
  <c r="S889" i="1"/>
  <c r="R889" i="1"/>
  <c r="Q889" i="1"/>
  <c r="N889" i="1"/>
  <c r="S888" i="1"/>
  <c r="R888" i="1"/>
  <c r="Q888" i="1"/>
  <c r="N888" i="1"/>
  <c r="S887" i="1"/>
  <c r="R887" i="1"/>
  <c r="Q887" i="1"/>
  <c r="N887" i="1"/>
  <c r="S886" i="1"/>
  <c r="R886" i="1"/>
  <c r="Q886" i="1"/>
  <c r="N886" i="1"/>
  <c r="S885" i="1"/>
  <c r="R885" i="1"/>
  <c r="Q885" i="1"/>
  <c r="N885" i="1"/>
  <c r="S884" i="1"/>
  <c r="R884" i="1"/>
  <c r="Q884" i="1"/>
  <c r="N884" i="1"/>
  <c r="S883" i="1"/>
  <c r="R883" i="1"/>
  <c r="Q883" i="1"/>
  <c r="N883" i="1"/>
  <c r="S882" i="1"/>
  <c r="R882" i="1"/>
  <c r="Q882" i="1"/>
  <c r="N882" i="1"/>
  <c r="S881" i="1"/>
  <c r="R881" i="1"/>
  <c r="Q881" i="1"/>
  <c r="N881" i="1"/>
  <c r="S880" i="1"/>
  <c r="R880" i="1"/>
  <c r="Q880" i="1"/>
  <c r="N880" i="1"/>
  <c r="S879" i="1"/>
  <c r="R879" i="1"/>
  <c r="Q879" i="1"/>
  <c r="N879" i="1"/>
  <c r="S878" i="1"/>
  <c r="R878" i="1"/>
  <c r="Q878" i="1"/>
  <c r="N878" i="1"/>
  <c r="S877" i="1"/>
  <c r="R877" i="1"/>
  <c r="Q877" i="1"/>
  <c r="N877" i="1"/>
  <c r="S876" i="1"/>
  <c r="R876" i="1"/>
  <c r="Q876" i="1"/>
  <c r="N876" i="1"/>
  <c r="S875" i="1"/>
  <c r="R875" i="1"/>
  <c r="Q875" i="1"/>
  <c r="N875" i="1"/>
  <c r="S874" i="1"/>
  <c r="R874" i="1"/>
  <c r="Q874" i="1"/>
  <c r="N874" i="1"/>
  <c r="S873" i="1"/>
  <c r="R873" i="1"/>
  <c r="Q873" i="1"/>
  <c r="N873" i="1"/>
  <c r="S872" i="1"/>
  <c r="R872" i="1"/>
  <c r="Q872" i="1"/>
  <c r="N872" i="1"/>
  <c r="S871" i="1"/>
  <c r="R871" i="1"/>
  <c r="Q871" i="1"/>
  <c r="N871" i="1"/>
  <c r="S870" i="1"/>
  <c r="R870" i="1"/>
  <c r="Q870" i="1"/>
  <c r="N870" i="1"/>
  <c r="S869" i="1"/>
  <c r="R869" i="1"/>
  <c r="Q869" i="1"/>
  <c r="N869" i="1"/>
  <c r="S868" i="1"/>
  <c r="R868" i="1"/>
  <c r="Q868" i="1"/>
  <c r="N868" i="1"/>
  <c r="S867" i="1"/>
  <c r="R867" i="1"/>
  <c r="Q867" i="1"/>
  <c r="N867" i="1"/>
  <c r="S866" i="1"/>
  <c r="R866" i="1"/>
  <c r="Q866" i="1"/>
  <c r="N866" i="1"/>
  <c r="S865" i="1"/>
  <c r="R865" i="1"/>
  <c r="Q865" i="1"/>
  <c r="N865" i="1"/>
  <c r="S864" i="1"/>
  <c r="R864" i="1"/>
  <c r="Q864" i="1"/>
  <c r="N864" i="1"/>
  <c r="S863" i="1"/>
  <c r="R863" i="1"/>
  <c r="Q863" i="1"/>
  <c r="N863" i="1"/>
  <c r="S862" i="1"/>
  <c r="R862" i="1"/>
  <c r="Q862" i="1"/>
  <c r="N862" i="1"/>
  <c r="S861" i="1"/>
  <c r="R861" i="1"/>
  <c r="Q861" i="1"/>
  <c r="N861" i="1"/>
  <c r="S860" i="1"/>
  <c r="R860" i="1"/>
  <c r="Q860" i="1"/>
  <c r="N860" i="1"/>
  <c r="S859" i="1"/>
  <c r="R859" i="1"/>
  <c r="Q859" i="1"/>
  <c r="N859" i="1"/>
  <c r="S858" i="1"/>
  <c r="R858" i="1"/>
  <c r="Q858" i="1"/>
  <c r="N858" i="1"/>
  <c r="S857" i="1"/>
  <c r="R857" i="1"/>
  <c r="Q857" i="1"/>
  <c r="N857" i="1"/>
  <c r="S856" i="1"/>
  <c r="R856" i="1"/>
  <c r="Q856" i="1"/>
  <c r="N856" i="1"/>
  <c r="S855" i="1"/>
  <c r="R855" i="1"/>
  <c r="Q855" i="1"/>
  <c r="N855" i="1"/>
  <c r="S854" i="1"/>
  <c r="R854" i="1"/>
  <c r="Q854" i="1"/>
  <c r="N854" i="1"/>
  <c r="S853" i="1"/>
  <c r="R853" i="1"/>
  <c r="Q853" i="1"/>
  <c r="N853" i="1"/>
  <c r="S852" i="1"/>
  <c r="R852" i="1"/>
  <c r="Q852" i="1"/>
  <c r="N852" i="1"/>
  <c r="S851" i="1"/>
  <c r="R851" i="1"/>
  <c r="Q851" i="1"/>
  <c r="N851" i="1"/>
  <c r="S850" i="1"/>
  <c r="R850" i="1"/>
  <c r="Q850" i="1"/>
  <c r="N850" i="1"/>
  <c r="S849" i="1"/>
  <c r="R849" i="1"/>
  <c r="Q849" i="1"/>
  <c r="N849" i="1"/>
  <c r="S848" i="1"/>
  <c r="R848" i="1"/>
  <c r="Q848" i="1"/>
  <c r="N848" i="1"/>
  <c r="S847" i="1"/>
  <c r="R847" i="1"/>
  <c r="Q847" i="1"/>
  <c r="N847" i="1"/>
  <c r="S846" i="1"/>
  <c r="R846" i="1"/>
  <c r="Q846" i="1"/>
  <c r="N846" i="1"/>
  <c r="S845" i="1"/>
  <c r="R845" i="1"/>
  <c r="Q845" i="1"/>
  <c r="N845" i="1"/>
  <c r="S844" i="1"/>
  <c r="R844" i="1"/>
  <c r="Q844" i="1"/>
  <c r="N844" i="1"/>
  <c r="S843" i="1"/>
  <c r="R843" i="1"/>
  <c r="Q843" i="1"/>
  <c r="N843" i="1"/>
  <c r="S842" i="1"/>
  <c r="R842" i="1"/>
  <c r="Q842" i="1"/>
  <c r="N842" i="1"/>
  <c r="S841" i="1"/>
  <c r="R841" i="1"/>
  <c r="Q841" i="1"/>
  <c r="N841" i="1"/>
  <c r="S840" i="1"/>
  <c r="R840" i="1"/>
  <c r="Q840" i="1"/>
  <c r="N840" i="1"/>
  <c r="S839" i="1"/>
  <c r="R839" i="1"/>
  <c r="Q839" i="1"/>
  <c r="N839" i="1"/>
  <c r="S838" i="1"/>
  <c r="R838" i="1"/>
  <c r="Q838" i="1"/>
  <c r="N838" i="1"/>
  <c r="S837" i="1"/>
  <c r="R837" i="1"/>
  <c r="Q837" i="1"/>
  <c r="N837" i="1"/>
  <c r="S836" i="1"/>
  <c r="R836" i="1"/>
  <c r="Q836" i="1"/>
  <c r="N836" i="1"/>
  <c r="S835" i="1"/>
  <c r="R835" i="1"/>
  <c r="Q835" i="1"/>
  <c r="N835" i="1"/>
  <c r="S834" i="1"/>
  <c r="R834" i="1"/>
  <c r="Q834" i="1"/>
  <c r="N834" i="1"/>
  <c r="S833" i="1"/>
  <c r="R833" i="1"/>
  <c r="Q833" i="1"/>
  <c r="N833" i="1"/>
  <c r="S832" i="1"/>
  <c r="R832" i="1"/>
  <c r="Q832" i="1"/>
  <c r="N832" i="1"/>
  <c r="S831" i="1"/>
  <c r="R831" i="1"/>
  <c r="Q831" i="1"/>
  <c r="N831" i="1"/>
  <c r="S830" i="1"/>
  <c r="R830" i="1"/>
  <c r="Q830" i="1"/>
  <c r="N830" i="1"/>
  <c r="S829" i="1"/>
  <c r="R829" i="1"/>
  <c r="Q829" i="1"/>
  <c r="N829" i="1"/>
  <c r="S828" i="1"/>
  <c r="R828" i="1"/>
  <c r="Q828" i="1"/>
  <c r="N828" i="1"/>
  <c r="S827" i="1"/>
  <c r="R827" i="1"/>
  <c r="Q827" i="1"/>
  <c r="N827" i="1"/>
  <c r="S826" i="1"/>
  <c r="R826" i="1"/>
  <c r="Q826" i="1"/>
  <c r="N826" i="1"/>
  <c r="S825" i="1"/>
  <c r="R825" i="1"/>
  <c r="Q825" i="1"/>
  <c r="N825" i="1"/>
  <c r="S824" i="1"/>
  <c r="R824" i="1"/>
  <c r="Q824" i="1"/>
  <c r="N824" i="1"/>
  <c r="S823" i="1"/>
  <c r="R823" i="1"/>
  <c r="Q823" i="1"/>
  <c r="N823" i="1"/>
  <c r="S822" i="1"/>
  <c r="R822" i="1"/>
  <c r="Q822" i="1"/>
  <c r="N822" i="1"/>
  <c r="S821" i="1"/>
  <c r="R821" i="1"/>
  <c r="Q821" i="1"/>
  <c r="N821" i="1"/>
  <c r="S820" i="1"/>
  <c r="R820" i="1"/>
  <c r="Q820" i="1"/>
  <c r="N820" i="1"/>
  <c r="S819" i="1"/>
  <c r="R819" i="1"/>
  <c r="Q819" i="1"/>
  <c r="N819" i="1"/>
  <c r="S818" i="1"/>
  <c r="R818" i="1"/>
  <c r="Q818" i="1"/>
  <c r="N818" i="1"/>
  <c r="S817" i="1"/>
  <c r="R817" i="1"/>
  <c r="Q817" i="1"/>
  <c r="N817" i="1"/>
  <c r="S816" i="1"/>
  <c r="R816" i="1"/>
  <c r="Q816" i="1"/>
  <c r="N816" i="1"/>
  <c r="S815" i="1"/>
  <c r="R815" i="1"/>
  <c r="Q815" i="1"/>
  <c r="N815" i="1"/>
  <c r="S814" i="1"/>
  <c r="R814" i="1"/>
  <c r="Q814" i="1"/>
  <c r="N814" i="1"/>
  <c r="S813" i="1"/>
  <c r="R813" i="1"/>
  <c r="Q813" i="1"/>
  <c r="N813" i="1"/>
  <c r="S812" i="1"/>
  <c r="R812" i="1"/>
  <c r="Q812" i="1"/>
  <c r="N812" i="1"/>
  <c r="S811" i="1"/>
  <c r="R811" i="1"/>
  <c r="Q811" i="1"/>
  <c r="N811" i="1"/>
  <c r="S810" i="1"/>
  <c r="R810" i="1"/>
  <c r="Q810" i="1"/>
  <c r="N810" i="1"/>
  <c r="S809" i="1"/>
  <c r="R809" i="1"/>
  <c r="Q809" i="1"/>
  <c r="N809" i="1"/>
  <c r="S808" i="1"/>
  <c r="R808" i="1"/>
  <c r="Q808" i="1"/>
  <c r="N808" i="1"/>
  <c r="S807" i="1"/>
  <c r="R807" i="1"/>
  <c r="Q807" i="1"/>
  <c r="N807" i="1"/>
  <c r="S806" i="1"/>
  <c r="R806" i="1"/>
  <c r="Q806" i="1"/>
  <c r="N806" i="1"/>
  <c r="S805" i="1"/>
  <c r="R805" i="1"/>
  <c r="Q805" i="1"/>
  <c r="N805" i="1"/>
  <c r="S804" i="1"/>
  <c r="R804" i="1"/>
  <c r="Q804" i="1"/>
  <c r="N804" i="1"/>
  <c r="S803" i="1"/>
  <c r="R803" i="1"/>
  <c r="Q803" i="1"/>
  <c r="N803" i="1"/>
  <c r="S802" i="1"/>
  <c r="R802" i="1"/>
  <c r="Q802" i="1"/>
  <c r="N802" i="1"/>
  <c r="S801" i="1"/>
  <c r="R801" i="1"/>
  <c r="Q801" i="1"/>
  <c r="N801" i="1"/>
  <c r="S800" i="1"/>
  <c r="R800" i="1"/>
  <c r="Q800" i="1"/>
  <c r="N800" i="1"/>
  <c r="S799" i="1"/>
  <c r="R799" i="1"/>
  <c r="Q799" i="1"/>
  <c r="N799" i="1"/>
  <c r="S798" i="1"/>
  <c r="R798" i="1"/>
  <c r="Q798" i="1"/>
  <c r="N798" i="1"/>
  <c r="S797" i="1"/>
  <c r="R797" i="1"/>
  <c r="Q797" i="1"/>
  <c r="N797" i="1"/>
  <c r="S796" i="1"/>
  <c r="R796" i="1"/>
  <c r="Q796" i="1"/>
  <c r="N796" i="1"/>
  <c r="S795" i="1"/>
  <c r="R795" i="1"/>
  <c r="Q795" i="1"/>
  <c r="N795" i="1"/>
  <c r="S794" i="1"/>
  <c r="R794" i="1"/>
  <c r="Q794" i="1"/>
  <c r="N794" i="1"/>
  <c r="S793" i="1"/>
  <c r="R793" i="1"/>
  <c r="Q793" i="1"/>
  <c r="N793" i="1"/>
  <c r="S792" i="1"/>
  <c r="R792" i="1"/>
  <c r="Q792" i="1"/>
  <c r="N792" i="1"/>
  <c r="S791" i="1"/>
  <c r="R791" i="1"/>
  <c r="Q791" i="1"/>
  <c r="N791" i="1"/>
  <c r="S790" i="1"/>
  <c r="R790" i="1"/>
  <c r="Q790" i="1"/>
  <c r="N790" i="1"/>
  <c r="S789" i="1"/>
  <c r="R789" i="1"/>
  <c r="Q789" i="1"/>
  <c r="N789" i="1"/>
  <c r="S788" i="1"/>
  <c r="R788" i="1"/>
  <c r="Q788" i="1"/>
  <c r="N788" i="1"/>
  <c r="S787" i="1"/>
  <c r="R787" i="1"/>
  <c r="Q787" i="1"/>
  <c r="N787" i="1"/>
  <c r="S786" i="1"/>
  <c r="R786" i="1"/>
  <c r="Q786" i="1"/>
  <c r="N786" i="1"/>
  <c r="S785" i="1"/>
  <c r="R785" i="1"/>
  <c r="Q785" i="1"/>
  <c r="N785" i="1"/>
  <c r="S784" i="1"/>
  <c r="R784" i="1"/>
  <c r="Q784" i="1"/>
  <c r="N784" i="1"/>
  <c r="S783" i="1"/>
  <c r="R783" i="1"/>
  <c r="Q783" i="1"/>
  <c r="N783" i="1"/>
  <c r="S782" i="1"/>
  <c r="R782" i="1"/>
  <c r="Q782" i="1"/>
  <c r="N782" i="1"/>
  <c r="S781" i="1"/>
  <c r="R781" i="1"/>
  <c r="Q781" i="1"/>
  <c r="N781" i="1"/>
  <c r="S780" i="1"/>
  <c r="R780" i="1"/>
  <c r="Q780" i="1"/>
  <c r="N780" i="1"/>
  <c r="S779" i="1"/>
  <c r="R779" i="1"/>
  <c r="Q779" i="1"/>
  <c r="N779" i="1"/>
  <c r="S778" i="1"/>
  <c r="R778" i="1"/>
  <c r="Q778" i="1"/>
  <c r="N778" i="1"/>
  <c r="S777" i="1"/>
  <c r="R777" i="1"/>
  <c r="Q777" i="1"/>
  <c r="N777" i="1"/>
  <c r="S776" i="1"/>
  <c r="R776" i="1"/>
  <c r="Q776" i="1"/>
  <c r="N776" i="1"/>
  <c r="S775" i="1"/>
  <c r="R775" i="1"/>
  <c r="Q775" i="1"/>
  <c r="N775" i="1"/>
  <c r="S774" i="1"/>
  <c r="R774" i="1"/>
  <c r="Q774" i="1"/>
  <c r="N774" i="1"/>
  <c r="S773" i="1"/>
  <c r="R773" i="1"/>
  <c r="Q773" i="1"/>
  <c r="N773" i="1"/>
  <c r="S772" i="1"/>
  <c r="R772" i="1"/>
  <c r="Q772" i="1"/>
  <c r="N772" i="1"/>
  <c r="S771" i="1"/>
  <c r="R771" i="1"/>
  <c r="Q771" i="1"/>
  <c r="N771" i="1"/>
  <c r="S770" i="1"/>
  <c r="R770" i="1"/>
  <c r="Q770" i="1"/>
  <c r="N770" i="1"/>
  <c r="S769" i="1"/>
  <c r="R769" i="1"/>
  <c r="Q769" i="1"/>
  <c r="N769" i="1"/>
  <c r="S768" i="1"/>
  <c r="R768" i="1"/>
  <c r="Q768" i="1"/>
  <c r="N768" i="1"/>
  <c r="S767" i="1"/>
  <c r="R767" i="1"/>
  <c r="Q767" i="1"/>
  <c r="N767" i="1"/>
  <c r="S766" i="1"/>
  <c r="R766" i="1"/>
  <c r="Q766" i="1"/>
  <c r="N766" i="1"/>
  <c r="S765" i="1"/>
  <c r="R765" i="1"/>
  <c r="Q765" i="1"/>
  <c r="N765" i="1"/>
  <c r="S764" i="1"/>
  <c r="R764" i="1"/>
  <c r="Q764" i="1"/>
  <c r="N764" i="1"/>
  <c r="S763" i="1"/>
  <c r="R763" i="1"/>
  <c r="Q763" i="1"/>
  <c r="N763" i="1"/>
  <c r="S762" i="1"/>
  <c r="R762" i="1"/>
  <c r="Q762" i="1"/>
  <c r="N762" i="1"/>
  <c r="S761" i="1"/>
  <c r="R761" i="1"/>
  <c r="Q761" i="1"/>
  <c r="N761" i="1"/>
  <c r="S760" i="1"/>
  <c r="R760" i="1"/>
  <c r="Q760" i="1"/>
  <c r="N760" i="1"/>
  <c r="S759" i="1"/>
  <c r="R759" i="1"/>
  <c r="Q759" i="1"/>
  <c r="N759" i="1"/>
  <c r="S758" i="1"/>
  <c r="R758" i="1"/>
  <c r="Q758" i="1"/>
  <c r="N758" i="1"/>
  <c r="S757" i="1"/>
  <c r="R757" i="1"/>
  <c r="Q757" i="1"/>
  <c r="N757" i="1"/>
  <c r="S756" i="1"/>
  <c r="R756" i="1"/>
  <c r="Q756" i="1"/>
  <c r="N756" i="1"/>
  <c r="S755" i="1"/>
  <c r="R755" i="1"/>
  <c r="Q755" i="1"/>
  <c r="N755" i="1"/>
  <c r="S754" i="1"/>
  <c r="R754" i="1"/>
  <c r="Q754" i="1"/>
  <c r="N754" i="1"/>
  <c r="S753" i="1"/>
  <c r="R753" i="1"/>
  <c r="Q753" i="1"/>
  <c r="N753" i="1"/>
  <c r="S752" i="1"/>
  <c r="R752" i="1"/>
  <c r="Q752" i="1"/>
  <c r="N752" i="1"/>
  <c r="S751" i="1"/>
  <c r="R751" i="1"/>
  <c r="Q751" i="1"/>
  <c r="N751" i="1"/>
  <c r="S750" i="1"/>
  <c r="R750" i="1"/>
  <c r="Q750" i="1"/>
  <c r="N750" i="1"/>
  <c r="S749" i="1"/>
  <c r="R749" i="1"/>
  <c r="Q749" i="1"/>
  <c r="N749" i="1"/>
  <c r="S748" i="1"/>
  <c r="R748" i="1"/>
  <c r="Q748" i="1"/>
  <c r="N748" i="1"/>
  <c r="S747" i="1"/>
  <c r="R747" i="1"/>
  <c r="Q747" i="1"/>
  <c r="N747" i="1"/>
  <c r="S746" i="1"/>
  <c r="R746" i="1"/>
  <c r="Q746" i="1"/>
  <c r="N746" i="1"/>
  <c r="S745" i="1"/>
  <c r="R745" i="1"/>
  <c r="Q745" i="1"/>
  <c r="N745" i="1"/>
  <c r="S744" i="1"/>
  <c r="R744" i="1"/>
  <c r="Q744" i="1"/>
  <c r="N744" i="1"/>
  <c r="S743" i="1"/>
  <c r="R743" i="1"/>
  <c r="Q743" i="1"/>
  <c r="N743" i="1"/>
  <c r="S742" i="1"/>
  <c r="R742" i="1"/>
  <c r="Q742" i="1"/>
  <c r="N742" i="1"/>
  <c r="S741" i="1"/>
  <c r="R741" i="1"/>
  <c r="Q741" i="1"/>
  <c r="N741" i="1"/>
  <c r="S740" i="1"/>
  <c r="R740" i="1"/>
  <c r="Q740" i="1"/>
  <c r="N740" i="1"/>
  <c r="S739" i="1"/>
  <c r="R739" i="1"/>
  <c r="Q739" i="1"/>
  <c r="N739" i="1"/>
  <c r="S738" i="1"/>
  <c r="R738" i="1"/>
  <c r="Q738" i="1"/>
  <c r="N738" i="1"/>
  <c r="S737" i="1"/>
  <c r="R737" i="1"/>
  <c r="Q737" i="1"/>
  <c r="N737" i="1"/>
  <c r="S736" i="1"/>
  <c r="R736" i="1"/>
  <c r="Q736" i="1"/>
  <c r="N736" i="1"/>
  <c r="S735" i="1"/>
  <c r="R735" i="1"/>
  <c r="Q735" i="1"/>
  <c r="N735" i="1"/>
  <c r="S734" i="1"/>
  <c r="R734" i="1"/>
  <c r="Q734" i="1"/>
  <c r="N734" i="1"/>
  <c r="S733" i="1"/>
  <c r="R733" i="1"/>
  <c r="Q733" i="1"/>
  <c r="N733" i="1"/>
  <c r="S732" i="1"/>
  <c r="R732" i="1"/>
  <c r="Q732" i="1"/>
  <c r="N732" i="1"/>
  <c r="S731" i="1"/>
  <c r="R731" i="1"/>
  <c r="Q731" i="1"/>
  <c r="N731" i="1"/>
  <c r="S730" i="1"/>
  <c r="R730" i="1"/>
  <c r="Q730" i="1"/>
  <c r="N730" i="1"/>
  <c r="S729" i="1"/>
  <c r="R729" i="1"/>
  <c r="Q729" i="1"/>
  <c r="N729" i="1"/>
  <c r="S728" i="1"/>
  <c r="R728" i="1"/>
  <c r="Q728" i="1"/>
  <c r="N728" i="1"/>
  <c r="S727" i="1"/>
  <c r="R727" i="1"/>
  <c r="Q727" i="1"/>
  <c r="N727" i="1"/>
  <c r="S726" i="1"/>
  <c r="R726" i="1"/>
  <c r="Q726" i="1"/>
  <c r="N726" i="1"/>
  <c r="S725" i="1"/>
  <c r="R725" i="1"/>
  <c r="Q725" i="1"/>
  <c r="N725" i="1"/>
  <c r="S724" i="1"/>
  <c r="R724" i="1"/>
  <c r="Q724" i="1"/>
  <c r="N724" i="1"/>
  <c r="S723" i="1"/>
  <c r="R723" i="1"/>
  <c r="Q723" i="1"/>
  <c r="N723" i="1"/>
  <c r="S722" i="1"/>
  <c r="R722" i="1"/>
  <c r="Q722" i="1"/>
  <c r="N722" i="1"/>
  <c r="S721" i="1"/>
  <c r="R721" i="1"/>
  <c r="Q721" i="1"/>
  <c r="N721" i="1"/>
  <c r="S720" i="1"/>
  <c r="R720" i="1"/>
  <c r="Q720" i="1"/>
  <c r="N720" i="1"/>
  <c r="S719" i="1"/>
  <c r="R719" i="1"/>
  <c r="Q719" i="1"/>
  <c r="N719" i="1"/>
  <c r="S718" i="1"/>
  <c r="R718" i="1"/>
  <c r="Q718" i="1"/>
  <c r="N718" i="1"/>
  <c r="S717" i="1"/>
  <c r="R717" i="1"/>
  <c r="Q717" i="1"/>
  <c r="N717" i="1"/>
  <c r="S716" i="1"/>
  <c r="R716" i="1"/>
  <c r="Q716" i="1"/>
  <c r="N716" i="1"/>
  <c r="S715" i="1"/>
  <c r="R715" i="1"/>
  <c r="Q715" i="1"/>
  <c r="N715" i="1"/>
  <c r="S714" i="1"/>
  <c r="R714" i="1"/>
  <c r="Q714" i="1"/>
  <c r="N714" i="1"/>
  <c r="S713" i="1"/>
  <c r="R713" i="1"/>
  <c r="Q713" i="1"/>
  <c r="N713" i="1"/>
  <c r="S712" i="1"/>
  <c r="R712" i="1"/>
  <c r="Q712" i="1"/>
  <c r="N712" i="1"/>
  <c r="S711" i="1"/>
  <c r="R711" i="1"/>
  <c r="Q711" i="1"/>
  <c r="N711" i="1"/>
  <c r="S710" i="1"/>
  <c r="R710" i="1"/>
  <c r="Q710" i="1"/>
  <c r="N710" i="1"/>
  <c r="S709" i="1"/>
  <c r="R709" i="1"/>
  <c r="Q709" i="1"/>
  <c r="N709" i="1"/>
  <c r="S708" i="1"/>
  <c r="R708" i="1"/>
  <c r="Q708" i="1"/>
  <c r="N708" i="1"/>
  <c r="S707" i="1"/>
  <c r="R707" i="1"/>
  <c r="Q707" i="1"/>
  <c r="N707" i="1"/>
  <c r="S706" i="1"/>
  <c r="R706" i="1"/>
  <c r="Q706" i="1"/>
  <c r="N706" i="1"/>
  <c r="S705" i="1"/>
  <c r="R705" i="1"/>
  <c r="Q705" i="1"/>
  <c r="N705" i="1"/>
  <c r="S704" i="1"/>
  <c r="R704" i="1"/>
  <c r="Q704" i="1"/>
  <c r="N704" i="1"/>
  <c r="S703" i="1"/>
  <c r="R703" i="1"/>
  <c r="Q703" i="1"/>
  <c r="N703" i="1"/>
  <c r="S702" i="1"/>
  <c r="R702" i="1"/>
  <c r="Q702" i="1"/>
  <c r="N702" i="1"/>
  <c r="S701" i="1"/>
  <c r="R701" i="1"/>
  <c r="Q701" i="1"/>
  <c r="N701" i="1"/>
  <c r="S700" i="1"/>
  <c r="R700" i="1"/>
  <c r="Q700" i="1"/>
  <c r="N700" i="1"/>
  <c r="S699" i="1"/>
  <c r="R699" i="1"/>
  <c r="Q699" i="1"/>
  <c r="N699" i="1"/>
  <c r="S698" i="1"/>
  <c r="R698" i="1"/>
  <c r="Q698" i="1"/>
  <c r="N698" i="1"/>
  <c r="S697" i="1"/>
  <c r="R697" i="1"/>
  <c r="Q697" i="1"/>
  <c r="N697" i="1"/>
  <c r="S696" i="1"/>
  <c r="R696" i="1"/>
  <c r="Q696" i="1"/>
  <c r="N696" i="1"/>
  <c r="S695" i="1"/>
  <c r="R695" i="1"/>
  <c r="Q695" i="1"/>
  <c r="N695" i="1"/>
  <c r="S694" i="1"/>
  <c r="R694" i="1"/>
  <c r="Q694" i="1"/>
  <c r="N694" i="1"/>
  <c r="S693" i="1"/>
  <c r="R693" i="1"/>
  <c r="Q693" i="1"/>
  <c r="N693" i="1"/>
  <c r="S692" i="1"/>
  <c r="R692" i="1"/>
  <c r="Q692" i="1"/>
  <c r="N692" i="1"/>
  <c r="S691" i="1"/>
  <c r="R691" i="1"/>
  <c r="Q691" i="1"/>
  <c r="N691" i="1"/>
  <c r="S690" i="1"/>
  <c r="R690" i="1"/>
  <c r="Q690" i="1"/>
  <c r="N690" i="1"/>
  <c r="S689" i="1"/>
  <c r="R689" i="1"/>
  <c r="Q689" i="1"/>
  <c r="N689" i="1"/>
  <c r="S688" i="1"/>
  <c r="R688" i="1"/>
  <c r="Q688" i="1"/>
  <c r="N688" i="1"/>
  <c r="S687" i="1"/>
  <c r="R687" i="1"/>
  <c r="Q687" i="1"/>
  <c r="N687" i="1"/>
  <c r="S686" i="1"/>
  <c r="R686" i="1"/>
  <c r="Q686" i="1"/>
  <c r="N686" i="1"/>
  <c r="S685" i="1"/>
  <c r="R685" i="1"/>
  <c r="Q685" i="1"/>
  <c r="N685" i="1"/>
  <c r="S684" i="1"/>
  <c r="R684" i="1"/>
  <c r="Q684" i="1"/>
  <c r="N684" i="1"/>
  <c r="S683" i="1"/>
  <c r="R683" i="1"/>
  <c r="Q683" i="1"/>
  <c r="N683" i="1"/>
  <c r="S682" i="1"/>
  <c r="R682" i="1"/>
  <c r="Q682" i="1"/>
  <c r="N682" i="1"/>
  <c r="S681" i="1"/>
  <c r="R681" i="1"/>
  <c r="Q681" i="1"/>
  <c r="N681" i="1"/>
  <c r="S680" i="1"/>
  <c r="R680" i="1"/>
  <c r="Q680" i="1"/>
  <c r="N680" i="1"/>
  <c r="S679" i="1"/>
  <c r="R679" i="1"/>
  <c r="Q679" i="1"/>
  <c r="N679" i="1"/>
  <c r="S678" i="1"/>
  <c r="R678" i="1"/>
  <c r="Q678" i="1"/>
  <c r="N678" i="1"/>
  <c r="S677" i="1"/>
  <c r="R677" i="1"/>
  <c r="Q677" i="1"/>
  <c r="N677" i="1"/>
  <c r="S676" i="1"/>
  <c r="R676" i="1"/>
  <c r="Q676" i="1"/>
  <c r="N676" i="1"/>
  <c r="S675" i="1"/>
  <c r="R675" i="1"/>
  <c r="Q675" i="1"/>
  <c r="N675" i="1"/>
  <c r="S674" i="1"/>
  <c r="R674" i="1"/>
  <c r="Q674" i="1"/>
  <c r="N674" i="1"/>
  <c r="S673" i="1"/>
  <c r="R673" i="1"/>
  <c r="Q673" i="1"/>
  <c r="N673" i="1"/>
  <c r="S672" i="1"/>
  <c r="R672" i="1"/>
  <c r="Q672" i="1"/>
  <c r="N672" i="1"/>
  <c r="S671" i="1"/>
  <c r="R671" i="1"/>
  <c r="Q671" i="1"/>
  <c r="N671" i="1"/>
  <c r="S670" i="1"/>
  <c r="R670" i="1"/>
  <c r="Q670" i="1"/>
  <c r="N670" i="1"/>
  <c r="S669" i="1"/>
  <c r="R669" i="1"/>
  <c r="Q669" i="1"/>
  <c r="N669" i="1"/>
  <c r="S668" i="1"/>
  <c r="R668" i="1"/>
  <c r="Q668" i="1"/>
  <c r="N668" i="1"/>
  <c r="S667" i="1"/>
  <c r="R667" i="1"/>
  <c r="Q667" i="1"/>
  <c r="N667" i="1"/>
  <c r="S666" i="1"/>
  <c r="R666" i="1"/>
  <c r="Q666" i="1"/>
  <c r="N666" i="1"/>
  <c r="S665" i="1"/>
  <c r="R665" i="1"/>
  <c r="Q665" i="1"/>
  <c r="N665" i="1"/>
  <c r="S664" i="1"/>
  <c r="R664" i="1"/>
  <c r="Q664" i="1"/>
  <c r="N664" i="1"/>
  <c r="S663" i="1"/>
  <c r="R663" i="1"/>
  <c r="Q663" i="1"/>
  <c r="N663" i="1"/>
  <c r="S662" i="1"/>
  <c r="R662" i="1"/>
  <c r="Q662" i="1"/>
  <c r="N662" i="1"/>
  <c r="S661" i="1"/>
  <c r="R661" i="1"/>
  <c r="Q661" i="1"/>
  <c r="N661" i="1"/>
  <c r="S660" i="1"/>
  <c r="R660" i="1"/>
  <c r="Q660" i="1"/>
  <c r="N660" i="1"/>
  <c r="S659" i="1"/>
  <c r="R659" i="1"/>
  <c r="Q659" i="1"/>
  <c r="N659" i="1"/>
  <c r="S658" i="1"/>
  <c r="R658" i="1"/>
  <c r="Q658" i="1"/>
  <c r="N658" i="1"/>
  <c r="S657" i="1"/>
  <c r="R657" i="1"/>
  <c r="Q657" i="1"/>
  <c r="N657" i="1"/>
  <c r="S656" i="1"/>
  <c r="R656" i="1"/>
  <c r="Q656" i="1"/>
  <c r="N656" i="1"/>
  <c r="S655" i="1"/>
  <c r="R655" i="1"/>
  <c r="Q655" i="1"/>
  <c r="N655" i="1"/>
  <c r="S654" i="1"/>
  <c r="R654" i="1"/>
  <c r="Q654" i="1"/>
  <c r="N654" i="1"/>
  <c r="S653" i="1"/>
  <c r="R653" i="1"/>
  <c r="Q653" i="1"/>
  <c r="N653" i="1"/>
  <c r="S652" i="1"/>
  <c r="R652" i="1"/>
  <c r="Q652" i="1"/>
  <c r="N652" i="1"/>
  <c r="S651" i="1"/>
  <c r="R651" i="1"/>
  <c r="Q651" i="1"/>
  <c r="N651" i="1"/>
  <c r="S650" i="1"/>
  <c r="R650" i="1"/>
  <c r="Q650" i="1"/>
  <c r="N650" i="1"/>
  <c r="S649" i="1"/>
  <c r="R649" i="1"/>
  <c r="Q649" i="1"/>
  <c r="N649" i="1"/>
  <c r="S648" i="1"/>
  <c r="R648" i="1"/>
  <c r="Q648" i="1"/>
  <c r="N648" i="1"/>
  <c r="S647" i="1"/>
  <c r="R647" i="1"/>
  <c r="Q647" i="1"/>
  <c r="N647" i="1"/>
  <c r="S646" i="1"/>
  <c r="R646" i="1"/>
  <c r="Q646" i="1"/>
  <c r="N646" i="1"/>
  <c r="S645" i="1"/>
  <c r="R645" i="1"/>
  <c r="Q645" i="1"/>
  <c r="N645" i="1"/>
  <c r="S644" i="1"/>
  <c r="R644" i="1"/>
  <c r="Q644" i="1"/>
  <c r="N644" i="1"/>
  <c r="S643" i="1"/>
  <c r="R643" i="1"/>
  <c r="Q643" i="1"/>
  <c r="N643" i="1"/>
  <c r="S642" i="1"/>
  <c r="R642" i="1"/>
  <c r="Q642" i="1"/>
  <c r="N642" i="1"/>
  <c r="S641" i="1"/>
  <c r="R641" i="1"/>
  <c r="Q641" i="1"/>
  <c r="N641" i="1"/>
  <c r="S640" i="1"/>
  <c r="R640" i="1"/>
  <c r="Q640" i="1"/>
  <c r="N640" i="1"/>
  <c r="S639" i="1"/>
  <c r="R639" i="1"/>
  <c r="Q639" i="1"/>
  <c r="N639" i="1"/>
  <c r="S638" i="1"/>
  <c r="R638" i="1"/>
  <c r="Q638" i="1"/>
  <c r="N638" i="1"/>
  <c r="S637" i="1"/>
  <c r="R637" i="1"/>
  <c r="Q637" i="1"/>
  <c r="N637" i="1"/>
  <c r="S636" i="1"/>
  <c r="R636" i="1"/>
  <c r="Q636" i="1"/>
  <c r="N636" i="1"/>
  <c r="S635" i="1"/>
  <c r="R635" i="1"/>
  <c r="Q635" i="1"/>
  <c r="N635" i="1"/>
  <c r="S634" i="1"/>
  <c r="R634" i="1"/>
  <c r="Q634" i="1"/>
  <c r="N634" i="1"/>
  <c r="S633" i="1"/>
  <c r="R633" i="1"/>
  <c r="Q633" i="1"/>
  <c r="N633" i="1"/>
  <c r="S632" i="1"/>
  <c r="R632" i="1"/>
  <c r="Q632" i="1"/>
  <c r="N632" i="1"/>
  <c r="S631" i="1"/>
  <c r="R631" i="1"/>
  <c r="Q631" i="1"/>
  <c r="N631" i="1"/>
  <c r="S630" i="1"/>
  <c r="R630" i="1"/>
  <c r="Q630" i="1"/>
  <c r="N630" i="1"/>
  <c r="S629" i="1"/>
  <c r="R629" i="1"/>
  <c r="Q629" i="1"/>
  <c r="N629" i="1"/>
  <c r="S628" i="1"/>
  <c r="R628" i="1"/>
  <c r="Q628" i="1"/>
  <c r="N628" i="1"/>
  <c r="S627" i="1"/>
  <c r="R627" i="1"/>
  <c r="Q627" i="1"/>
  <c r="N627" i="1"/>
  <c r="S626" i="1"/>
  <c r="R626" i="1"/>
  <c r="Q626" i="1"/>
  <c r="N626" i="1"/>
  <c r="S625" i="1"/>
  <c r="R625" i="1"/>
  <c r="Q625" i="1"/>
  <c r="N625" i="1"/>
  <c r="S624" i="1"/>
  <c r="R624" i="1"/>
  <c r="Q624" i="1"/>
  <c r="N624" i="1"/>
  <c r="S623" i="1"/>
  <c r="R623" i="1"/>
  <c r="Q623" i="1"/>
  <c r="N623" i="1"/>
  <c r="S622" i="1"/>
  <c r="R622" i="1"/>
  <c r="Q622" i="1"/>
  <c r="N622" i="1"/>
  <c r="S621" i="1"/>
  <c r="R621" i="1"/>
  <c r="Q621" i="1"/>
  <c r="N621" i="1"/>
  <c r="S620" i="1"/>
  <c r="R620" i="1"/>
  <c r="Q620" i="1"/>
  <c r="N620" i="1"/>
  <c r="S619" i="1"/>
  <c r="R619" i="1"/>
  <c r="Q619" i="1"/>
  <c r="N619" i="1"/>
  <c r="S618" i="1"/>
  <c r="R618" i="1"/>
  <c r="Q618" i="1"/>
  <c r="N618" i="1"/>
  <c r="S617" i="1"/>
  <c r="R617" i="1"/>
  <c r="Q617" i="1"/>
  <c r="N617" i="1"/>
  <c r="S616" i="1"/>
  <c r="R616" i="1"/>
  <c r="Q616" i="1"/>
  <c r="N616" i="1"/>
  <c r="S615" i="1"/>
  <c r="R615" i="1"/>
  <c r="Q615" i="1"/>
  <c r="N615" i="1"/>
  <c r="S614" i="1"/>
  <c r="R614" i="1"/>
  <c r="Q614" i="1"/>
  <c r="N614" i="1"/>
  <c r="S613" i="1"/>
  <c r="R613" i="1"/>
  <c r="Q613" i="1"/>
  <c r="N613" i="1"/>
  <c r="S612" i="1"/>
  <c r="R612" i="1"/>
  <c r="Q612" i="1"/>
  <c r="N612" i="1"/>
  <c r="S611" i="1"/>
  <c r="R611" i="1"/>
  <c r="Q611" i="1"/>
  <c r="N611" i="1"/>
  <c r="S610" i="1"/>
  <c r="R610" i="1"/>
  <c r="Q610" i="1"/>
  <c r="N610" i="1"/>
  <c r="S609" i="1"/>
  <c r="R609" i="1"/>
  <c r="Q609" i="1"/>
  <c r="N609" i="1"/>
  <c r="S608" i="1"/>
  <c r="R608" i="1"/>
  <c r="Q608" i="1"/>
  <c r="N608" i="1"/>
  <c r="S607" i="1"/>
  <c r="R607" i="1"/>
  <c r="Q607" i="1"/>
  <c r="N607" i="1"/>
  <c r="S606" i="1"/>
  <c r="R606" i="1"/>
  <c r="Q606" i="1"/>
  <c r="N606" i="1"/>
  <c r="S605" i="1"/>
  <c r="R605" i="1"/>
  <c r="Q605" i="1"/>
  <c r="N605" i="1"/>
  <c r="S604" i="1"/>
  <c r="R604" i="1"/>
  <c r="Q604" i="1"/>
  <c r="N604" i="1"/>
  <c r="S603" i="1"/>
  <c r="R603" i="1"/>
  <c r="Q603" i="1"/>
  <c r="N603" i="1"/>
  <c r="S602" i="1"/>
  <c r="R602" i="1"/>
  <c r="Q602" i="1"/>
  <c r="N602" i="1"/>
  <c r="S601" i="1"/>
  <c r="R601" i="1"/>
  <c r="Q601" i="1"/>
  <c r="N601" i="1"/>
  <c r="S600" i="1"/>
  <c r="R600" i="1"/>
  <c r="Q600" i="1"/>
  <c r="N600" i="1"/>
  <c r="S599" i="1"/>
  <c r="R599" i="1"/>
  <c r="Q599" i="1"/>
  <c r="N599" i="1"/>
  <c r="S598" i="1"/>
  <c r="R598" i="1"/>
  <c r="Q598" i="1"/>
  <c r="N598" i="1"/>
  <c r="S597" i="1"/>
  <c r="R597" i="1"/>
  <c r="Q597" i="1"/>
  <c r="N597" i="1"/>
  <c r="S596" i="1"/>
  <c r="R596" i="1"/>
  <c r="Q596" i="1"/>
  <c r="N596" i="1"/>
  <c r="S595" i="1"/>
  <c r="R595" i="1"/>
  <c r="Q595" i="1"/>
  <c r="N595" i="1"/>
  <c r="S594" i="1"/>
  <c r="R594" i="1"/>
  <c r="Q594" i="1"/>
  <c r="N594" i="1"/>
  <c r="S593" i="1"/>
  <c r="R593" i="1"/>
  <c r="Q593" i="1"/>
  <c r="N593" i="1"/>
  <c r="S592" i="1"/>
  <c r="R592" i="1"/>
  <c r="Q592" i="1"/>
  <c r="N592" i="1"/>
  <c r="S591" i="1"/>
  <c r="R591" i="1"/>
  <c r="Q591" i="1"/>
  <c r="N591" i="1"/>
  <c r="S590" i="1"/>
  <c r="R590" i="1"/>
  <c r="Q590" i="1"/>
  <c r="N590" i="1"/>
  <c r="S589" i="1"/>
  <c r="R589" i="1"/>
  <c r="Q589" i="1"/>
  <c r="N589" i="1"/>
  <c r="S588" i="1"/>
  <c r="R588" i="1"/>
  <c r="Q588" i="1"/>
  <c r="N588" i="1"/>
  <c r="S587" i="1"/>
  <c r="R587" i="1"/>
  <c r="Q587" i="1"/>
  <c r="N587" i="1"/>
  <c r="S586" i="1"/>
  <c r="R586" i="1"/>
  <c r="Q586" i="1"/>
  <c r="N586" i="1"/>
  <c r="S585" i="1"/>
  <c r="R585" i="1"/>
  <c r="Q585" i="1"/>
  <c r="N585" i="1"/>
  <c r="S584" i="1"/>
  <c r="R584" i="1"/>
  <c r="Q584" i="1"/>
  <c r="N584" i="1"/>
  <c r="S583" i="1"/>
  <c r="R583" i="1"/>
  <c r="Q583" i="1"/>
  <c r="N583" i="1"/>
  <c r="S582" i="1"/>
  <c r="R582" i="1"/>
  <c r="Q582" i="1"/>
  <c r="N582" i="1"/>
  <c r="S581" i="1"/>
  <c r="R581" i="1"/>
  <c r="Q581" i="1"/>
  <c r="N581" i="1"/>
  <c r="S580" i="1"/>
  <c r="R580" i="1"/>
  <c r="Q580" i="1"/>
  <c r="N580" i="1"/>
  <c r="S579" i="1"/>
  <c r="R579" i="1"/>
  <c r="Q579" i="1"/>
  <c r="N579" i="1"/>
  <c r="S578" i="1"/>
  <c r="R578" i="1"/>
  <c r="Q578" i="1"/>
  <c r="N578" i="1"/>
  <c r="S577" i="1"/>
  <c r="R577" i="1"/>
  <c r="Q577" i="1"/>
  <c r="N577" i="1"/>
  <c r="S576" i="1"/>
  <c r="R576" i="1"/>
  <c r="Q576" i="1"/>
  <c r="N576" i="1"/>
  <c r="S575" i="1"/>
  <c r="R575" i="1"/>
  <c r="Q575" i="1"/>
  <c r="N575" i="1"/>
  <c r="S574" i="1"/>
  <c r="R574" i="1"/>
  <c r="Q574" i="1"/>
  <c r="N574" i="1"/>
  <c r="S573" i="1"/>
  <c r="R573" i="1"/>
  <c r="Q573" i="1"/>
  <c r="N573" i="1"/>
  <c r="S572" i="1"/>
  <c r="R572" i="1"/>
  <c r="Q572" i="1"/>
  <c r="N572" i="1"/>
  <c r="S571" i="1"/>
  <c r="R571" i="1"/>
  <c r="Q571" i="1"/>
  <c r="N571" i="1"/>
  <c r="S570" i="1"/>
  <c r="R570" i="1"/>
  <c r="Q570" i="1"/>
  <c r="N570" i="1"/>
  <c r="S569" i="1"/>
  <c r="R569" i="1"/>
  <c r="Q569" i="1"/>
  <c r="N569" i="1"/>
  <c r="S568" i="1"/>
  <c r="R568" i="1"/>
  <c r="Q568" i="1"/>
  <c r="N568" i="1"/>
  <c r="S567" i="1"/>
  <c r="R567" i="1"/>
  <c r="Q567" i="1"/>
  <c r="N567" i="1"/>
  <c r="S566" i="1"/>
  <c r="R566" i="1"/>
  <c r="Q566" i="1"/>
  <c r="N566" i="1"/>
  <c r="S565" i="1"/>
  <c r="R565" i="1"/>
  <c r="Q565" i="1"/>
  <c r="N565" i="1"/>
  <c r="S564" i="1"/>
  <c r="R564" i="1"/>
  <c r="Q564" i="1"/>
  <c r="N564" i="1"/>
  <c r="S563" i="1"/>
  <c r="R563" i="1"/>
  <c r="Q563" i="1"/>
  <c r="N563" i="1"/>
  <c r="S562" i="1"/>
  <c r="R562" i="1"/>
  <c r="Q562" i="1"/>
  <c r="N562" i="1"/>
  <c r="S561" i="1"/>
  <c r="R561" i="1"/>
  <c r="Q561" i="1"/>
  <c r="N561" i="1"/>
  <c r="S560" i="1"/>
  <c r="R560" i="1"/>
  <c r="Q560" i="1"/>
  <c r="N560" i="1"/>
  <c r="S559" i="1"/>
  <c r="R559" i="1"/>
  <c r="Q559" i="1"/>
  <c r="N559" i="1"/>
  <c r="S558" i="1"/>
  <c r="R558" i="1"/>
  <c r="Q558" i="1"/>
  <c r="N558" i="1"/>
  <c r="S557" i="1"/>
  <c r="R557" i="1"/>
  <c r="Q557" i="1"/>
  <c r="N557" i="1"/>
  <c r="S556" i="1"/>
  <c r="R556" i="1"/>
  <c r="Q556" i="1"/>
  <c r="N556" i="1"/>
  <c r="S555" i="1"/>
  <c r="R555" i="1"/>
  <c r="Q555" i="1"/>
  <c r="N555" i="1"/>
  <c r="S554" i="1"/>
  <c r="R554" i="1"/>
  <c r="Q554" i="1"/>
  <c r="N554" i="1"/>
  <c r="S553" i="1"/>
  <c r="R553" i="1"/>
  <c r="Q553" i="1"/>
  <c r="N553" i="1"/>
  <c r="S552" i="1"/>
  <c r="R552" i="1"/>
  <c r="Q552" i="1"/>
  <c r="N552" i="1"/>
  <c r="S551" i="1"/>
  <c r="R551" i="1"/>
  <c r="Q551" i="1"/>
  <c r="N551" i="1"/>
  <c r="S550" i="1"/>
  <c r="R550" i="1"/>
  <c r="Q550" i="1"/>
  <c r="N550" i="1"/>
  <c r="S549" i="1"/>
  <c r="R549" i="1"/>
  <c r="Q549" i="1"/>
  <c r="N549" i="1"/>
  <c r="S548" i="1"/>
  <c r="R548" i="1"/>
  <c r="Q548" i="1"/>
  <c r="N548" i="1"/>
  <c r="S547" i="1"/>
  <c r="R547" i="1"/>
  <c r="Q547" i="1"/>
  <c r="N547" i="1"/>
  <c r="S546" i="1"/>
  <c r="R546" i="1"/>
  <c r="Q546" i="1"/>
  <c r="N546" i="1"/>
  <c r="S545" i="1"/>
  <c r="R545" i="1"/>
  <c r="Q545" i="1"/>
  <c r="N545" i="1"/>
  <c r="S544" i="1"/>
  <c r="R544" i="1"/>
  <c r="Q544" i="1"/>
  <c r="N544" i="1"/>
  <c r="S543" i="1"/>
  <c r="R543" i="1"/>
  <c r="Q543" i="1"/>
  <c r="N543" i="1"/>
  <c r="S542" i="1"/>
  <c r="R542" i="1"/>
  <c r="Q542" i="1"/>
  <c r="N542" i="1"/>
  <c r="S541" i="1"/>
  <c r="R541" i="1"/>
  <c r="Q541" i="1"/>
  <c r="N541" i="1"/>
  <c r="S540" i="1"/>
  <c r="R540" i="1"/>
  <c r="Q540" i="1"/>
  <c r="N540" i="1"/>
  <c r="S539" i="1"/>
  <c r="R539" i="1"/>
  <c r="Q539" i="1"/>
  <c r="N539" i="1"/>
  <c r="S538" i="1"/>
  <c r="R538" i="1"/>
  <c r="Q538" i="1"/>
  <c r="N538" i="1"/>
  <c r="S537" i="1"/>
  <c r="R537" i="1"/>
  <c r="Q537" i="1"/>
  <c r="N537" i="1"/>
  <c r="S536" i="1"/>
  <c r="R536" i="1"/>
  <c r="Q536" i="1"/>
  <c r="N536" i="1"/>
  <c r="S535" i="1"/>
  <c r="R535" i="1"/>
  <c r="Q535" i="1"/>
  <c r="N535" i="1"/>
  <c r="S534" i="1"/>
  <c r="R534" i="1"/>
  <c r="Q534" i="1"/>
  <c r="N534" i="1"/>
  <c r="S533" i="1"/>
  <c r="R533" i="1"/>
  <c r="Q533" i="1"/>
  <c r="N533" i="1"/>
  <c r="S532" i="1"/>
  <c r="R532" i="1"/>
  <c r="Q532" i="1"/>
  <c r="N532" i="1"/>
  <c r="S531" i="1"/>
  <c r="R531" i="1"/>
  <c r="Q531" i="1"/>
  <c r="N531" i="1"/>
  <c r="S530" i="1"/>
  <c r="R530" i="1"/>
  <c r="Q530" i="1"/>
  <c r="N530" i="1"/>
  <c r="S529" i="1"/>
  <c r="R529" i="1"/>
  <c r="Q529" i="1"/>
  <c r="N529" i="1"/>
  <c r="S528" i="1"/>
  <c r="R528" i="1"/>
  <c r="Q528" i="1"/>
  <c r="N528" i="1"/>
  <c r="S527" i="1"/>
  <c r="R527" i="1"/>
  <c r="Q527" i="1"/>
  <c r="N527" i="1"/>
  <c r="S526" i="1"/>
  <c r="R526" i="1"/>
  <c r="Q526" i="1"/>
  <c r="N526" i="1"/>
  <c r="S525" i="1"/>
  <c r="R525" i="1"/>
  <c r="Q525" i="1"/>
  <c r="N525" i="1"/>
  <c r="S524" i="1"/>
  <c r="R524" i="1"/>
  <c r="Q524" i="1"/>
  <c r="N524" i="1"/>
  <c r="S523" i="1"/>
  <c r="R523" i="1"/>
  <c r="Q523" i="1"/>
  <c r="N523" i="1"/>
  <c r="S522" i="1"/>
  <c r="R522" i="1"/>
  <c r="Q522" i="1"/>
  <c r="N522" i="1"/>
  <c r="S521" i="1"/>
  <c r="R521" i="1"/>
  <c r="Q521" i="1"/>
  <c r="N521" i="1"/>
  <c r="S520" i="1"/>
  <c r="R520" i="1"/>
  <c r="Q520" i="1"/>
  <c r="N520" i="1"/>
  <c r="S519" i="1"/>
  <c r="R519" i="1"/>
  <c r="Q519" i="1"/>
  <c r="N519" i="1"/>
  <c r="S518" i="1"/>
  <c r="R518" i="1"/>
  <c r="Q518" i="1"/>
  <c r="N518" i="1"/>
  <c r="S517" i="1"/>
  <c r="R517" i="1"/>
  <c r="Q517" i="1"/>
  <c r="N517" i="1"/>
  <c r="S516" i="1"/>
  <c r="R516" i="1"/>
  <c r="Q516" i="1"/>
  <c r="N516" i="1"/>
  <c r="S515" i="1"/>
  <c r="R515" i="1"/>
  <c r="Q515" i="1"/>
  <c r="N515" i="1"/>
  <c r="S514" i="1"/>
  <c r="R514" i="1"/>
  <c r="Q514" i="1"/>
  <c r="N514" i="1"/>
  <c r="S513" i="1"/>
  <c r="R513" i="1"/>
  <c r="Q513" i="1"/>
  <c r="N513" i="1"/>
  <c r="S512" i="1"/>
  <c r="R512" i="1"/>
  <c r="Q512" i="1"/>
  <c r="N512" i="1"/>
  <c r="S511" i="1"/>
  <c r="R511" i="1"/>
  <c r="Q511" i="1"/>
  <c r="N511" i="1"/>
  <c r="S510" i="1"/>
  <c r="R510" i="1"/>
  <c r="Q510" i="1"/>
  <c r="N510" i="1"/>
  <c r="S509" i="1"/>
  <c r="R509" i="1"/>
  <c r="Q509" i="1"/>
  <c r="N509" i="1"/>
  <c r="S508" i="1"/>
  <c r="R508" i="1"/>
  <c r="Q508" i="1"/>
  <c r="N508" i="1"/>
  <c r="S507" i="1"/>
  <c r="R507" i="1"/>
  <c r="Q507" i="1"/>
  <c r="N507" i="1"/>
  <c r="S506" i="1"/>
  <c r="R506" i="1"/>
  <c r="Q506" i="1"/>
  <c r="N506" i="1"/>
  <c r="S505" i="1"/>
  <c r="R505" i="1"/>
  <c r="Q505" i="1"/>
  <c r="N505" i="1"/>
  <c r="S504" i="1"/>
  <c r="R504" i="1"/>
  <c r="Q504" i="1"/>
  <c r="N504" i="1"/>
  <c r="S503" i="1"/>
  <c r="R503" i="1"/>
  <c r="Q503" i="1"/>
  <c r="N503" i="1"/>
  <c r="S502" i="1"/>
  <c r="R502" i="1"/>
  <c r="Q502" i="1"/>
  <c r="N502" i="1"/>
  <c r="S501" i="1"/>
  <c r="R501" i="1"/>
  <c r="Q501" i="1"/>
  <c r="N501" i="1"/>
  <c r="S500" i="1"/>
  <c r="R500" i="1"/>
  <c r="Q500" i="1"/>
  <c r="N500" i="1"/>
  <c r="S499" i="1"/>
  <c r="R499" i="1"/>
  <c r="Q499" i="1"/>
  <c r="N499" i="1"/>
  <c r="S498" i="1"/>
  <c r="R498" i="1"/>
  <c r="Q498" i="1"/>
  <c r="N498" i="1"/>
  <c r="S497" i="1"/>
  <c r="R497" i="1"/>
  <c r="Q497" i="1"/>
  <c r="N497" i="1"/>
  <c r="S496" i="1"/>
  <c r="R496" i="1"/>
  <c r="Q496" i="1"/>
  <c r="N496" i="1"/>
  <c r="S495" i="1"/>
  <c r="R495" i="1"/>
  <c r="Q495" i="1"/>
  <c r="N495" i="1"/>
  <c r="S494" i="1"/>
  <c r="R494" i="1"/>
  <c r="Q494" i="1"/>
  <c r="N494" i="1"/>
  <c r="S493" i="1"/>
  <c r="R493" i="1"/>
  <c r="Q493" i="1"/>
  <c r="N493" i="1"/>
  <c r="S492" i="1"/>
  <c r="R492" i="1"/>
  <c r="Q492" i="1"/>
  <c r="N492" i="1"/>
  <c r="S491" i="1"/>
  <c r="R491" i="1"/>
  <c r="Q491" i="1"/>
  <c r="N491" i="1"/>
  <c r="S490" i="1"/>
  <c r="R490" i="1"/>
  <c r="Q490" i="1"/>
  <c r="N490" i="1"/>
  <c r="S489" i="1"/>
  <c r="R489" i="1"/>
  <c r="Q489" i="1"/>
  <c r="N489" i="1"/>
  <c r="S488" i="1"/>
  <c r="R488" i="1"/>
  <c r="Q488" i="1"/>
  <c r="N488" i="1"/>
  <c r="S487" i="1"/>
  <c r="R487" i="1"/>
  <c r="Q487" i="1"/>
  <c r="N487" i="1"/>
  <c r="S486" i="1"/>
  <c r="R486" i="1"/>
  <c r="Q486" i="1"/>
  <c r="N486" i="1"/>
  <c r="S485" i="1"/>
  <c r="R485" i="1"/>
  <c r="Q485" i="1"/>
  <c r="N485" i="1"/>
  <c r="S484" i="1"/>
  <c r="R484" i="1"/>
  <c r="Q484" i="1"/>
  <c r="N484" i="1"/>
  <c r="S483" i="1"/>
  <c r="R483" i="1"/>
  <c r="Q483" i="1"/>
  <c r="N483" i="1"/>
  <c r="S482" i="1"/>
  <c r="R482" i="1"/>
  <c r="Q482" i="1"/>
  <c r="N482" i="1"/>
  <c r="S481" i="1"/>
  <c r="R481" i="1"/>
  <c r="Q481" i="1"/>
  <c r="N481" i="1"/>
  <c r="S480" i="1"/>
  <c r="R480" i="1"/>
  <c r="Q480" i="1"/>
  <c r="N480" i="1"/>
  <c r="S479" i="1"/>
  <c r="R479" i="1"/>
  <c r="Q479" i="1"/>
  <c r="N479" i="1"/>
  <c r="S478" i="1"/>
  <c r="R478" i="1"/>
  <c r="Q478" i="1"/>
  <c r="N478" i="1"/>
  <c r="S477" i="1"/>
  <c r="R477" i="1"/>
  <c r="Q477" i="1"/>
  <c r="N477" i="1"/>
  <c r="S476" i="1"/>
  <c r="R476" i="1"/>
  <c r="Q476" i="1"/>
  <c r="N476" i="1"/>
  <c r="S475" i="1"/>
  <c r="R475" i="1"/>
  <c r="Q475" i="1"/>
  <c r="N475" i="1"/>
  <c r="S474" i="1"/>
  <c r="R474" i="1"/>
  <c r="Q474" i="1"/>
  <c r="N474" i="1"/>
  <c r="S473" i="1"/>
  <c r="R473" i="1"/>
  <c r="Q473" i="1"/>
  <c r="N473" i="1"/>
  <c r="S472" i="1"/>
  <c r="R472" i="1"/>
  <c r="Q472" i="1"/>
  <c r="N472" i="1"/>
  <c r="S471" i="1"/>
  <c r="R471" i="1"/>
  <c r="Q471" i="1"/>
  <c r="N471" i="1"/>
  <c r="S470" i="1"/>
  <c r="R470" i="1"/>
  <c r="Q470" i="1"/>
  <c r="N470" i="1"/>
  <c r="S469" i="1"/>
  <c r="R469" i="1"/>
  <c r="Q469" i="1"/>
  <c r="N469" i="1"/>
  <c r="S468" i="1"/>
  <c r="R468" i="1"/>
  <c r="Q468" i="1"/>
  <c r="N468" i="1"/>
  <c r="S467" i="1"/>
  <c r="R467" i="1"/>
  <c r="Q467" i="1"/>
  <c r="N467" i="1"/>
  <c r="S466" i="1"/>
  <c r="R466" i="1"/>
  <c r="Q466" i="1"/>
  <c r="N466" i="1"/>
  <c r="S465" i="1"/>
  <c r="R465" i="1"/>
  <c r="Q465" i="1"/>
  <c r="N465" i="1"/>
  <c r="S464" i="1"/>
  <c r="R464" i="1"/>
  <c r="Q464" i="1"/>
  <c r="N464" i="1"/>
  <c r="S463" i="1"/>
  <c r="R463" i="1"/>
  <c r="Q463" i="1"/>
  <c r="N463" i="1"/>
  <c r="S462" i="1"/>
  <c r="R462" i="1"/>
  <c r="Q462" i="1"/>
  <c r="N462" i="1"/>
  <c r="S461" i="1"/>
  <c r="R461" i="1"/>
  <c r="Q461" i="1"/>
  <c r="N461" i="1"/>
  <c r="S460" i="1"/>
  <c r="R460" i="1"/>
  <c r="Q460" i="1"/>
  <c r="N460" i="1"/>
  <c r="S459" i="1"/>
  <c r="R459" i="1"/>
  <c r="Q459" i="1"/>
  <c r="N459" i="1"/>
  <c r="S458" i="1"/>
  <c r="R458" i="1"/>
  <c r="Q458" i="1"/>
  <c r="N458" i="1"/>
  <c r="S457" i="1"/>
  <c r="R457" i="1"/>
  <c r="Q457" i="1"/>
  <c r="N457" i="1"/>
  <c r="S456" i="1"/>
  <c r="R456" i="1"/>
  <c r="Q456" i="1"/>
  <c r="N456" i="1"/>
  <c r="S455" i="1"/>
  <c r="R455" i="1"/>
  <c r="Q455" i="1"/>
  <c r="N455" i="1"/>
  <c r="S454" i="1"/>
  <c r="R454" i="1"/>
  <c r="Q454" i="1"/>
  <c r="N454" i="1"/>
  <c r="S453" i="1"/>
  <c r="R453" i="1"/>
  <c r="Q453" i="1"/>
  <c r="N453" i="1"/>
  <c r="S452" i="1"/>
  <c r="R452" i="1"/>
  <c r="Q452" i="1"/>
  <c r="N452" i="1"/>
  <c r="S451" i="1"/>
  <c r="R451" i="1"/>
  <c r="Q451" i="1"/>
  <c r="N451" i="1"/>
  <c r="S450" i="1"/>
  <c r="R450" i="1"/>
  <c r="Q450" i="1"/>
  <c r="N450" i="1"/>
  <c r="S449" i="1"/>
  <c r="R449" i="1"/>
  <c r="Q449" i="1"/>
  <c r="N449" i="1"/>
  <c r="S448" i="1"/>
  <c r="R448" i="1"/>
  <c r="Q448" i="1"/>
  <c r="N448" i="1"/>
  <c r="S447" i="1"/>
  <c r="R447" i="1"/>
  <c r="Q447" i="1"/>
  <c r="N447" i="1"/>
  <c r="S446" i="1"/>
  <c r="R446" i="1"/>
  <c r="Q446" i="1"/>
  <c r="N446" i="1"/>
  <c r="S445" i="1"/>
  <c r="R445" i="1"/>
  <c r="Q445" i="1"/>
  <c r="N445" i="1"/>
  <c r="S444" i="1"/>
  <c r="R444" i="1"/>
  <c r="Q444" i="1"/>
  <c r="N444" i="1"/>
  <c r="S443" i="1"/>
  <c r="R443" i="1"/>
  <c r="Q443" i="1"/>
  <c r="N443" i="1"/>
  <c r="S442" i="1"/>
  <c r="R442" i="1"/>
  <c r="Q442" i="1"/>
  <c r="N442" i="1"/>
  <c r="S441" i="1"/>
  <c r="R441" i="1"/>
  <c r="Q441" i="1"/>
  <c r="N441" i="1"/>
  <c r="S440" i="1"/>
  <c r="R440" i="1"/>
  <c r="Q440" i="1"/>
  <c r="N440" i="1"/>
  <c r="S439" i="1"/>
  <c r="R439" i="1"/>
  <c r="Q439" i="1"/>
  <c r="N439" i="1"/>
  <c r="S438" i="1"/>
  <c r="R438" i="1"/>
  <c r="Q438" i="1"/>
  <c r="N438" i="1"/>
  <c r="S437" i="1"/>
  <c r="R437" i="1"/>
  <c r="Q437" i="1"/>
  <c r="N437" i="1"/>
  <c r="S436" i="1"/>
  <c r="R436" i="1"/>
  <c r="Q436" i="1"/>
  <c r="N436" i="1"/>
  <c r="S435" i="1"/>
  <c r="R435" i="1"/>
  <c r="Q435" i="1"/>
  <c r="N435" i="1"/>
  <c r="S434" i="1"/>
  <c r="R434" i="1"/>
  <c r="Q434" i="1"/>
  <c r="N434" i="1"/>
  <c r="S433" i="1"/>
  <c r="R433" i="1"/>
  <c r="Q433" i="1"/>
  <c r="N433" i="1"/>
  <c r="S432" i="1"/>
  <c r="R432" i="1"/>
  <c r="Q432" i="1"/>
  <c r="N432" i="1"/>
  <c r="S431" i="1"/>
  <c r="R431" i="1"/>
  <c r="Q431" i="1"/>
  <c r="N431" i="1"/>
  <c r="S430" i="1"/>
  <c r="R430" i="1"/>
  <c r="Q430" i="1"/>
  <c r="N430" i="1"/>
  <c r="S429" i="1"/>
  <c r="R429" i="1"/>
  <c r="Q429" i="1"/>
  <c r="N429" i="1"/>
  <c r="S428" i="1"/>
  <c r="R428" i="1"/>
  <c r="Q428" i="1"/>
  <c r="N428" i="1"/>
  <c r="S427" i="1"/>
  <c r="R427" i="1"/>
  <c r="Q427" i="1"/>
  <c r="N427" i="1"/>
  <c r="S426" i="1"/>
  <c r="R426" i="1"/>
  <c r="Q426" i="1"/>
  <c r="N426" i="1"/>
  <c r="S425" i="1"/>
  <c r="R425" i="1"/>
  <c r="Q425" i="1"/>
  <c r="N425" i="1"/>
  <c r="S424" i="1"/>
  <c r="R424" i="1"/>
  <c r="Q424" i="1"/>
  <c r="N424" i="1"/>
  <c r="S423" i="1"/>
  <c r="R423" i="1"/>
  <c r="Q423" i="1"/>
  <c r="N423" i="1"/>
  <c r="S422" i="1"/>
  <c r="R422" i="1"/>
  <c r="Q422" i="1"/>
  <c r="N422" i="1"/>
  <c r="S421" i="1"/>
  <c r="R421" i="1"/>
  <c r="Q421" i="1"/>
  <c r="N421" i="1"/>
  <c r="S420" i="1"/>
  <c r="R420" i="1"/>
  <c r="Q420" i="1"/>
  <c r="N420" i="1"/>
  <c r="S419" i="1"/>
  <c r="R419" i="1"/>
  <c r="Q419" i="1"/>
  <c r="N419" i="1"/>
  <c r="S418" i="1"/>
  <c r="R418" i="1"/>
  <c r="Q418" i="1"/>
  <c r="N418" i="1"/>
  <c r="S417" i="1"/>
  <c r="R417" i="1"/>
  <c r="Q417" i="1"/>
  <c r="N417" i="1"/>
  <c r="S416" i="1"/>
  <c r="R416" i="1"/>
  <c r="Q416" i="1"/>
  <c r="N416" i="1"/>
  <c r="S415" i="1"/>
  <c r="R415" i="1"/>
  <c r="Q415" i="1"/>
  <c r="N415" i="1"/>
  <c r="S414" i="1"/>
  <c r="R414" i="1"/>
  <c r="Q414" i="1"/>
  <c r="N414" i="1"/>
  <c r="S413" i="1"/>
  <c r="R413" i="1"/>
  <c r="Q413" i="1"/>
  <c r="N413" i="1"/>
  <c r="S412" i="1"/>
  <c r="R412" i="1"/>
  <c r="Q412" i="1"/>
  <c r="N412" i="1"/>
  <c r="S411" i="1"/>
  <c r="R411" i="1"/>
  <c r="Q411" i="1"/>
  <c r="N411" i="1"/>
  <c r="S410" i="1"/>
  <c r="R410" i="1"/>
  <c r="Q410" i="1"/>
  <c r="N410" i="1"/>
  <c r="S409" i="1"/>
  <c r="R409" i="1"/>
  <c r="Q409" i="1"/>
  <c r="N409" i="1"/>
  <c r="S408" i="1"/>
  <c r="R408" i="1"/>
  <c r="Q408" i="1"/>
  <c r="N408" i="1"/>
  <c r="S407" i="1"/>
  <c r="R407" i="1"/>
  <c r="Q407" i="1"/>
  <c r="N407" i="1"/>
  <c r="S406" i="1"/>
  <c r="R406" i="1"/>
  <c r="Q406" i="1"/>
  <c r="N406" i="1"/>
  <c r="S405" i="1"/>
  <c r="R405" i="1"/>
  <c r="Q405" i="1"/>
  <c r="N405" i="1"/>
  <c r="S404" i="1"/>
  <c r="R404" i="1"/>
  <c r="Q404" i="1"/>
  <c r="N404" i="1"/>
  <c r="S403" i="1"/>
  <c r="R403" i="1"/>
  <c r="Q403" i="1"/>
  <c r="N403" i="1"/>
  <c r="S402" i="1"/>
  <c r="R402" i="1"/>
  <c r="Q402" i="1"/>
  <c r="N402" i="1"/>
  <c r="S401" i="1"/>
  <c r="R401" i="1"/>
  <c r="Q401" i="1"/>
  <c r="N401" i="1"/>
  <c r="S400" i="1"/>
  <c r="R400" i="1"/>
  <c r="Q400" i="1"/>
  <c r="N400" i="1"/>
  <c r="S399" i="1"/>
  <c r="R399" i="1"/>
  <c r="Q399" i="1"/>
  <c r="N399" i="1"/>
  <c r="S398" i="1"/>
  <c r="R398" i="1"/>
  <c r="Q398" i="1"/>
  <c r="N398" i="1"/>
  <c r="S397" i="1"/>
  <c r="R397" i="1"/>
  <c r="Q397" i="1"/>
  <c r="N397" i="1"/>
  <c r="S396" i="1"/>
  <c r="R396" i="1"/>
  <c r="Q396" i="1"/>
  <c r="N396" i="1"/>
  <c r="S395" i="1"/>
  <c r="R395" i="1"/>
  <c r="Q395" i="1"/>
  <c r="N395" i="1"/>
  <c r="S394" i="1"/>
  <c r="R394" i="1"/>
  <c r="Q394" i="1"/>
  <c r="N394" i="1"/>
  <c r="S393" i="1"/>
  <c r="R393" i="1"/>
  <c r="Q393" i="1"/>
  <c r="N393" i="1"/>
  <c r="S392" i="1"/>
  <c r="R392" i="1"/>
  <c r="Q392" i="1"/>
  <c r="N392" i="1"/>
  <c r="S391" i="1"/>
  <c r="R391" i="1"/>
  <c r="Q391" i="1"/>
  <c r="N391" i="1"/>
  <c r="S390" i="1"/>
  <c r="R390" i="1"/>
  <c r="Q390" i="1"/>
  <c r="N390" i="1"/>
  <c r="S389" i="1"/>
  <c r="R389" i="1"/>
  <c r="Q389" i="1"/>
  <c r="N389" i="1"/>
  <c r="S388" i="1"/>
  <c r="R388" i="1"/>
  <c r="Q388" i="1"/>
  <c r="N388" i="1"/>
  <c r="S387" i="1"/>
  <c r="R387" i="1"/>
  <c r="Q387" i="1"/>
  <c r="N387" i="1"/>
  <c r="S386" i="1"/>
  <c r="R386" i="1"/>
  <c r="Q386" i="1"/>
  <c r="N386" i="1"/>
  <c r="S385" i="1"/>
  <c r="R385" i="1"/>
  <c r="Q385" i="1"/>
  <c r="N385" i="1"/>
  <c r="S384" i="1"/>
  <c r="R384" i="1"/>
  <c r="Q384" i="1"/>
  <c r="N384" i="1"/>
  <c r="S383" i="1"/>
  <c r="R383" i="1"/>
  <c r="Q383" i="1"/>
  <c r="N383" i="1"/>
  <c r="S382" i="1"/>
  <c r="R382" i="1"/>
  <c r="Q382" i="1"/>
  <c r="N382" i="1"/>
  <c r="S381" i="1"/>
  <c r="R381" i="1"/>
  <c r="Q381" i="1"/>
  <c r="N381" i="1"/>
  <c r="S380" i="1"/>
  <c r="R380" i="1"/>
  <c r="Q380" i="1"/>
  <c r="N380" i="1"/>
  <c r="S379" i="1"/>
  <c r="R379" i="1"/>
  <c r="Q379" i="1"/>
  <c r="N379" i="1"/>
  <c r="S378" i="1"/>
  <c r="R378" i="1"/>
  <c r="Q378" i="1"/>
  <c r="N378" i="1"/>
  <c r="S377" i="1"/>
  <c r="R377" i="1"/>
  <c r="Q377" i="1"/>
  <c r="N377" i="1"/>
  <c r="S376" i="1"/>
  <c r="R376" i="1"/>
  <c r="Q376" i="1"/>
  <c r="N376" i="1"/>
  <c r="S375" i="1"/>
  <c r="R375" i="1"/>
  <c r="Q375" i="1"/>
  <c r="N375" i="1"/>
  <c r="S374" i="1"/>
  <c r="R374" i="1"/>
  <c r="Q374" i="1"/>
  <c r="N374" i="1"/>
  <c r="S373" i="1"/>
  <c r="R373" i="1"/>
  <c r="Q373" i="1"/>
  <c r="N373" i="1"/>
  <c r="S372" i="1"/>
  <c r="R372" i="1"/>
  <c r="Q372" i="1"/>
  <c r="N372" i="1"/>
  <c r="S371" i="1"/>
  <c r="R371" i="1"/>
  <c r="Q371" i="1"/>
  <c r="N371" i="1"/>
  <c r="S370" i="1"/>
  <c r="R370" i="1"/>
  <c r="Q370" i="1"/>
  <c r="N370" i="1"/>
  <c r="S369" i="1"/>
  <c r="R369" i="1"/>
  <c r="Q369" i="1"/>
  <c r="N369" i="1"/>
  <c r="S368" i="1"/>
  <c r="R368" i="1"/>
  <c r="Q368" i="1"/>
  <c r="N368" i="1"/>
  <c r="S367" i="1"/>
  <c r="R367" i="1"/>
  <c r="Q367" i="1"/>
  <c r="N367" i="1"/>
  <c r="S366" i="1"/>
  <c r="R366" i="1"/>
  <c r="Q366" i="1"/>
  <c r="N366" i="1"/>
  <c r="S365" i="1"/>
  <c r="R365" i="1"/>
  <c r="Q365" i="1"/>
  <c r="N365" i="1"/>
  <c r="S364" i="1"/>
  <c r="R364" i="1"/>
  <c r="Q364" i="1"/>
  <c r="N364" i="1"/>
  <c r="S363" i="1"/>
  <c r="R363" i="1"/>
  <c r="Q363" i="1"/>
  <c r="N363" i="1"/>
  <c r="S362" i="1"/>
  <c r="R362" i="1"/>
  <c r="Q362" i="1"/>
  <c r="N362" i="1"/>
  <c r="S361" i="1"/>
  <c r="R361" i="1"/>
  <c r="Q361" i="1"/>
  <c r="N361" i="1"/>
  <c r="S360" i="1"/>
  <c r="R360" i="1"/>
  <c r="Q360" i="1"/>
  <c r="N360" i="1"/>
  <c r="S359" i="1"/>
  <c r="R359" i="1"/>
  <c r="Q359" i="1"/>
  <c r="N359" i="1"/>
  <c r="S358" i="1"/>
  <c r="R358" i="1"/>
  <c r="Q358" i="1"/>
  <c r="N358" i="1"/>
  <c r="S357" i="1"/>
  <c r="R357" i="1"/>
  <c r="Q357" i="1"/>
  <c r="N357" i="1"/>
  <c r="S356" i="1"/>
  <c r="R356" i="1"/>
  <c r="Q356" i="1"/>
  <c r="N356" i="1"/>
  <c r="S355" i="1"/>
  <c r="R355" i="1"/>
  <c r="Q355" i="1"/>
  <c r="N355" i="1"/>
  <c r="S354" i="1"/>
  <c r="R354" i="1"/>
  <c r="Q354" i="1"/>
  <c r="N354" i="1"/>
  <c r="S353" i="1"/>
  <c r="R353" i="1"/>
  <c r="Q353" i="1"/>
  <c r="N353" i="1"/>
  <c r="S352" i="1"/>
  <c r="R352" i="1"/>
  <c r="Q352" i="1"/>
  <c r="N352" i="1"/>
  <c r="S351" i="1"/>
  <c r="R351" i="1"/>
  <c r="Q351" i="1"/>
  <c r="N351" i="1"/>
  <c r="S350" i="1"/>
  <c r="R350" i="1"/>
  <c r="Q350" i="1"/>
  <c r="N350" i="1"/>
  <c r="S349" i="1"/>
  <c r="R349" i="1"/>
  <c r="Q349" i="1"/>
  <c r="N349" i="1"/>
  <c r="S348" i="1"/>
  <c r="R348" i="1"/>
  <c r="Q348" i="1"/>
  <c r="N348" i="1"/>
  <c r="S347" i="1"/>
  <c r="R347" i="1"/>
  <c r="Q347" i="1"/>
  <c r="N347" i="1"/>
  <c r="S346" i="1"/>
  <c r="R346" i="1"/>
  <c r="Q346" i="1"/>
  <c r="N346" i="1"/>
  <c r="S345" i="1"/>
  <c r="R345" i="1"/>
  <c r="Q345" i="1"/>
  <c r="N345" i="1"/>
  <c r="S344" i="1"/>
  <c r="R344" i="1"/>
  <c r="Q344" i="1"/>
  <c r="N344" i="1"/>
  <c r="S343" i="1"/>
  <c r="R343" i="1"/>
  <c r="Q343" i="1"/>
  <c r="N343" i="1"/>
  <c r="S342" i="1"/>
  <c r="R342" i="1"/>
  <c r="Q342" i="1"/>
  <c r="N342" i="1"/>
  <c r="S341" i="1"/>
  <c r="R341" i="1"/>
  <c r="Q341" i="1"/>
  <c r="N341" i="1"/>
  <c r="S340" i="1"/>
  <c r="R340" i="1"/>
  <c r="Q340" i="1"/>
  <c r="N340" i="1"/>
  <c r="S339" i="1"/>
  <c r="R339" i="1"/>
  <c r="Q339" i="1"/>
  <c r="N339" i="1"/>
  <c r="S338" i="1"/>
  <c r="R338" i="1"/>
  <c r="Q338" i="1"/>
  <c r="N338" i="1"/>
  <c r="S337" i="1"/>
  <c r="R337" i="1"/>
  <c r="Q337" i="1"/>
  <c r="N337" i="1"/>
  <c r="S336" i="1"/>
  <c r="R336" i="1"/>
  <c r="Q336" i="1"/>
  <c r="N336" i="1"/>
  <c r="S335" i="1"/>
  <c r="R335" i="1"/>
  <c r="Q335" i="1"/>
  <c r="N335" i="1"/>
  <c r="S334" i="1"/>
  <c r="R334" i="1"/>
  <c r="Q334" i="1"/>
  <c r="N334" i="1"/>
  <c r="S333" i="1"/>
  <c r="R333" i="1"/>
  <c r="Q333" i="1"/>
  <c r="N333" i="1"/>
  <c r="S332" i="1"/>
  <c r="R332" i="1"/>
  <c r="Q332" i="1"/>
  <c r="N332" i="1"/>
  <c r="S331" i="1"/>
  <c r="R331" i="1"/>
  <c r="Q331" i="1"/>
  <c r="N331" i="1"/>
  <c r="S330" i="1"/>
  <c r="R330" i="1"/>
  <c r="Q330" i="1"/>
  <c r="N330" i="1"/>
  <c r="S329" i="1"/>
  <c r="R329" i="1"/>
  <c r="Q329" i="1"/>
  <c r="N329" i="1"/>
  <c r="S328" i="1"/>
  <c r="R328" i="1"/>
  <c r="Q328" i="1"/>
  <c r="N328" i="1"/>
  <c r="S327" i="1"/>
  <c r="R327" i="1"/>
  <c r="Q327" i="1"/>
  <c r="N327" i="1"/>
  <c r="S326" i="1"/>
  <c r="R326" i="1"/>
  <c r="Q326" i="1"/>
  <c r="N326" i="1"/>
  <c r="S325" i="1"/>
  <c r="R325" i="1"/>
  <c r="Q325" i="1"/>
  <c r="N325" i="1"/>
  <c r="S324" i="1"/>
  <c r="R324" i="1"/>
  <c r="Q324" i="1"/>
  <c r="N324" i="1"/>
  <c r="S323" i="1"/>
  <c r="R323" i="1"/>
  <c r="Q323" i="1"/>
  <c r="N323" i="1"/>
  <c r="S322" i="1"/>
  <c r="R322" i="1"/>
  <c r="Q322" i="1"/>
  <c r="N322" i="1"/>
  <c r="S321" i="1"/>
  <c r="R321" i="1"/>
  <c r="Q321" i="1"/>
  <c r="N321" i="1"/>
  <c r="S320" i="1"/>
  <c r="R320" i="1"/>
  <c r="Q320" i="1"/>
  <c r="N320" i="1"/>
  <c r="S319" i="1"/>
  <c r="R319" i="1"/>
  <c r="Q319" i="1"/>
  <c r="N319" i="1"/>
  <c r="S318" i="1"/>
  <c r="R318" i="1"/>
  <c r="Q318" i="1"/>
  <c r="N318" i="1"/>
  <c r="S317" i="1"/>
  <c r="R317" i="1"/>
  <c r="Q317" i="1"/>
  <c r="N317" i="1"/>
  <c r="S316" i="1"/>
  <c r="R316" i="1"/>
  <c r="Q316" i="1"/>
  <c r="N316" i="1"/>
  <c r="S315" i="1"/>
  <c r="R315" i="1"/>
  <c r="Q315" i="1"/>
  <c r="N315" i="1"/>
  <c r="S314" i="1"/>
  <c r="R314" i="1"/>
  <c r="Q314" i="1"/>
  <c r="N314" i="1"/>
  <c r="S313" i="1"/>
  <c r="R313" i="1"/>
  <c r="Q313" i="1"/>
  <c r="N313" i="1"/>
  <c r="S312" i="1"/>
  <c r="R312" i="1"/>
  <c r="Q312" i="1"/>
  <c r="N312" i="1"/>
  <c r="S311" i="1"/>
  <c r="R311" i="1"/>
  <c r="Q311" i="1"/>
  <c r="N311" i="1"/>
  <c r="S310" i="1"/>
  <c r="R310" i="1"/>
  <c r="Q310" i="1"/>
  <c r="N310" i="1"/>
  <c r="S309" i="1"/>
  <c r="R309" i="1"/>
  <c r="Q309" i="1"/>
  <c r="N309" i="1"/>
  <c r="S308" i="1"/>
  <c r="R308" i="1"/>
  <c r="Q308" i="1"/>
  <c r="N308" i="1"/>
  <c r="S307" i="1"/>
  <c r="R307" i="1"/>
  <c r="Q307" i="1"/>
  <c r="N307" i="1"/>
  <c r="S306" i="1"/>
  <c r="R306" i="1"/>
  <c r="Q306" i="1"/>
  <c r="N306" i="1"/>
  <c r="S305" i="1"/>
  <c r="R305" i="1"/>
  <c r="Q305" i="1"/>
  <c r="N305" i="1"/>
  <c r="S304" i="1"/>
  <c r="R304" i="1"/>
  <c r="Q304" i="1"/>
  <c r="N304" i="1"/>
  <c r="S303" i="1"/>
  <c r="R303" i="1"/>
  <c r="Q303" i="1"/>
  <c r="N303" i="1"/>
  <c r="S302" i="1"/>
  <c r="R302" i="1"/>
  <c r="Q302" i="1"/>
  <c r="N302" i="1"/>
  <c r="S301" i="1"/>
  <c r="R301" i="1"/>
  <c r="Q301" i="1"/>
  <c r="N301" i="1"/>
  <c r="S300" i="1"/>
  <c r="R300" i="1"/>
  <c r="Q300" i="1"/>
  <c r="N300" i="1"/>
  <c r="S299" i="1"/>
  <c r="R299" i="1"/>
  <c r="Q299" i="1"/>
  <c r="N299" i="1"/>
  <c r="S298" i="1"/>
  <c r="R298" i="1"/>
  <c r="Q298" i="1"/>
  <c r="N298" i="1"/>
  <c r="S297" i="1"/>
  <c r="R297" i="1"/>
  <c r="Q297" i="1"/>
  <c r="N297" i="1"/>
  <c r="S296" i="1"/>
  <c r="R296" i="1"/>
  <c r="Q296" i="1"/>
  <c r="N296" i="1"/>
  <c r="S295" i="1"/>
  <c r="R295" i="1"/>
  <c r="Q295" i="1"/>
  <c r="N295" i="1"/>
  <c r="S294" i="1"/>
  <c r="R294" i="1"/>
  <c r="Q294" i="1"/>
  <c r="N294" i="1"/>
  <c r="S293" i="1"/>
  <c r="R293" i="1"/>
  <c r="Q293" i="1"/>
  <c r="N293" i="1"/>
  <c r="S292" i="1"/>
  <c r="R292" i="1"/>
  <c r="Q292" i="1"/>
  <c r="N292" i="1"/>
  <c r="S291" i="1"/>
  <c r="R291" i="1"/>
  <c r="Q291" i="1"/>
  <c r="N291" i="1"/>
  <c r="S290" i="1"/>
  <c r="R290" i="1"/>
  <c r="Q290" i="1"/>
  <c r="N290" i="1"/>
  <c r="S289" i="1"/>
  <c r="R289" i="1"/>
  <c r="Q289" i="1"/>
  <c r="N289" i="1"/>
  <c r="S288" i="1"/>
  <c r="R288" i="1"/>
  <c r="Q288" i="1"/>
  <c r="N288" i="1"/>
  <c r="S287" i="1"/>
  <c r="R287" i="1"/>
  <c r="Q287" i="1"/>
  <c r="N287" i="1"/>
  <c r="S286" i="1"/>
  <c r="R286" i="1"/>
  <c r="Q286" i="1"/>
  <c r="N286" i="1"/>
  <c r="S285" i="1"/>
  <c r="R285" i="1"/>
  <c r="Q285" i="1"/>
  <c r="N285" i="1"/>
  <c r="S284" i="1"/>
  <c r="R284" i="1"/>
  <c r="Q284" i="1"/>
  <c r="N284" i="1"/>
  <c r="S283" i="1"/>
  <c r="R283" i="1"/>
  <c r="Q283" i="1"/>
  <c r="N283" i="1"/>
  <c r="S282" i="1"/>
  <c r="R282" i="1"/>
  <c r="Q282" i="1"/>
  <c r="N282" i="1"/>
  <c r="S281" i="1"/>
  <c r="R281" i="1"/>
  <c r="Q281" i="1"/>
  <c r="N281" i="1"/>
  <c r="S280" i="1"/>
  <c r="R280" i="1"/>
  <c r="Q280" i="1"/>
  <c r="N280" i="1"/>
  <c r="S279" i="1"/>
  <c r="R279" i="1"/>
  <c r="Q279" i="1"/>
  <c r="N279" i="1"/>
  <c r="S278" i="1"/>
  <c r="R278" i="1"/>
  <c r="Q278" i="1"/>
  <c r="N278" i="1"/>
  <c r="S277" i="1"/>
  <c r="R277" i="1"/>
  <c r="Q277" i="1"/>
  <c r="N277" i="1"/>
  <c r="S276" i="1"/>
  <c r="R276" i="1"/>
  <c r="Q276" i="1"/>
  <c r="N276" i="1"/>
  <c r="S275" i="1"/>
  <c r="R275" i="1"/>
  <c r="Q275" i="1"/>
  <c r="N275" i="1"/>
  <c r="S274" i="1"/>
  <c r="R274" i="1"/>
  <c r="Q274" i="1"/>
  <c r="N274" i="1"/>
  <c r="S273" i="1"/>
  <c r="R273" i="1"/>
  <c r="Q273" i="1"/>
  <c r="N273" i="1"/>
  <c r="S272" i="1"/>
  <c r="R272" i="1"/>
  <c r="Q272" i="1"/>
  <c r="N272" i="1"/>
  <c r="S271" i="1"/>
  <c r="R271" i="1"/>
  <c r="Q271" i="1"/>
  <c r="N271" i="1"/>
  <c r="S270" i="1"/>
  <c r="R270" i="1"/>
  <c r="Q270" i="1"/>
  <c r="N270" i="1"/>
  <c r="S269" i="1"/>
  <c r="R269" i="1"/>
  <c r="Q269" i="1"/>
  <c r="N269" i="1"/>
  <c r="S268" i="1"/>
  <c r="R268" i="1"/>
  <c r="Q268" i="1"/>
  <c r="N268" i="1"/>
  <c r="S267" i="1"/>
  <c r="R267" i="1"/>
  <c r="Q267" i="1"/>
  <c r="N267" i="1"/>
  <c r="S266" i="1"/>
  <c r="R266" i="1"/>
  <c r="Q266" i="1"/>
  <c r="N266" i="1"/>
  <c r="S265" i="1"/>
  <c r="R265" i="1"/>
  <c r="Q265" i="1"/>
  <c r="N265" i="1"/>
  <c r="S264" i="1"/>
  <c r="R264" i="1"/>
  <c r="Q264" i="1"/>
  <c r="N264" i="1"/>
  <c r="S263" i="1"/>
  <c r="R263" i="1"/>
  <c r="Q263" i="1"/>
  <c r="N263" i="1"/>
  <c r="S262" i="1"/>
  <c r="R262" i="1"/>
  <c r="Q262" i="1"/>
  <c r="N262" i="1"/>
  <c r="S261" i="1"/>
  <c r="R261" i="1"/>
  <c r="Q261" i="1"/>
  <c r="N261" i="1"/>
  <c r="S260" i="1"/>
  <c r="R260" i="1"/>
  <c r="Q260" i="1"/>
  <c r="N260" i="1"/>
  <c r="S259" i="1"/>
  <c r="R259" i="1"/>
  <c r="Q259" i="1"/>
  <c r="N259" i="1"/>
  <c r="S258" i="1"/>
  <c r="R258" i="1"/>
  <c r="Q258" i="1"/>
  <c r="N258" i="1"/>
  <c r="S257" i="1"/>
  <c r="R257" i="1"/>
  <c r="Q257" i="1"/>
  <c r="N257" i="1"/>
  <c r="S256" i="1"/>
  <c r="R256" i="1"/>
  <c r="Q256" i="1"/>
  <c r="N256" i="1"/>
  <c r="S255" i="1"/>
  <c r="R255" i="1"/>
  <c r="Q255" i="1"/>
  <c r="N255" i="1"/>
  <c r="S254" i="1"/>
  <c r="R254" i="1"/>
  <c r="Q254" i="1"/>
  <c r="N254" i="1"/>
  <c r="S253" i="1"/>
  <c r="R253" i="1"/>
  <c r="Q253" i="1"/>
  <c r="N253" i="1"/>
  <c r="S252" i="1"/>
  <c r="R252" i="1"/>
  <c r="Q252" i="1"/>
  <c r="N252" i="1"/>
  <c r="S251" i="1"/>
  <c r="R251" i="1"/>
  <c r="Q251" i="1"/>
  <c r="N251" i="1"/>
  <c r="S250" i="1"/>
  <c r="R250" i="1"/>
  <c r="Q250" i="1"/>
  <c r="N250" i="1"/>
  <c r="S249" i="1"/>
  <c r="R249" i="1"/>
  <c r="Q249" i="1"/>
  <c r="N249" i="1"/>
  <c r="S248" i="1"/>
  <c r="R248" i="1"/>
  <c r="Q248" i="1"/>
  <c r="N248" i="1"/>
  <c r="S247" i="1"/>
  <c r="R247" i="1"/>
  <c r="Q247" i="1"/>
  <c r="N247" i="1"/>
  <c r="S246" i="1"/>
  <c r="R246" i="1"/>
  <c r="Q246" i="1"/>
  <c r="N246" i="1"/>
  <c r="S245" i="1"/>
  <c r="R245" i="1"/>
  <c r="Q245" i="1"/>
  <c r="N245" i="1"/>
  <c r="S244" i="1"/>
  <c r="R244" i="1"/>
  <c r="Q244" i="1"/>
  <c r="N244" i="1"/>
  <c r="S243" i="1"/>
  <c r="R243" i="1"/>
  <c r="Q243" i="1"/>
  <c r="N243" i="1"/>
  <c r="S242" i="1"/>
  <c r="R242" i="1"/>
  <c r="Q242" i="1"/>
  <c r="N242" i="1"/>
  <c r="S241" i="1"/>
  <c r="R241" i="1"/>
  <c r="Q241" i="1"/>
  <c r="N241" i="1"/>
  <c r="S240" i="1"/>
  <c r="R240" i="1"/>
  <c r="Q240" i="1"/>
  <c r="N240" i="1"/>
  <c r="S239" i="1"/>
  <c r="R239" i="1"/>
  <c r="Q239" i="1"/>
  <c r="N239" i="1"/>
  <c r="S238" i="1"/>
  <c r="R238" i="1"/>
  <c r="Q238" i="1"/>
  <c r="N238" i="1"/>
  <c r="S237" i="1"/>
  <c r="R237" i="1"/>
  <c r="Q237" i="1"/>
  <c r="N237" i="1"/>
  <c r="S236" i="1"/>
  <c r="R236" i="1"/>
  <c r="Q236" i="1"/>
  <c r="N236" i="1"/>
  <c r="S235" i="1"/>
  <c r="R235" i="1"/>
  <c r="Q235" i="1"/>
  <c r="N235" i="1"/>
  <c r="S234" i="1"/>
  <c r="R234" i="1"/>
  <c r="Q234" i="1"/>
  <c r="N234" i="1"/>
  <c r="S233" i="1"/>
  <c r="R233" i="1"/>
  <c r="Q233" i="1"/>
  <c r="N233" i="1"/>
  <c r="S232" i="1"/>
  <c r="R232" i="1"/>
  <c r="Q232" i="1"/>
  <c r="N232" i="1"/>
  <c r="S231" i="1"/>
  <c r="R231" i="1"/>
  <c r="Q231" i="1"/>
  <c r="N231" i="1"/>
  <c r="S230" i="1"/>
  <c r="R230" i="1"/>
  <c r="Q230" i="1"/>
  <c r="N230" i="1"/>
  <c r="S229" i="1"/>
  <c r="R229" i="1"/>
  <c r="Q229" i="1"/>
  <c r="N229" i="1"/>
  <c r="S228" i="1"/>
  <c r="R228" i="1"/>
  <c r="Q228" i="1"/>
  <c r="N228" i="1"/>
  <c r="S227" i="1"/>
  <c r="R227" i="1"/>
  <c r="Q227" i="1"/>
  <c r="N227" i="1"/>
  <c r="S226" i="1"/>
  <c r="R226" i="1"/>
  <c r="Q226" i="1"/>
  <c r="N226" i="1"/>
  <c r="S225" i="1"/>
  <c r="R225" i="1"/>
  <c r="Q225" i="1"/>
  <c r="N225" i="1"/>
  <c r="S224" i="1"/>
  <c r="R224" i="1"/>
  <c r="Q224" i="1"/>
  <c r="N224" i="1"/>
  <c r="S223" i="1"/>
  <c r="R223" i="1"/>
  <c r="Q223" i="1"/>
  <c r="N223" i="1"/>
  <c r="S222" i="1"/>
  <c r="R222" i="1"/>
  <c r="Q222" i="1"/>
  <c r="N222" i="1"/>
  <c r="S221" i="1"/>
  <c r="R221" i="1"/>
  <c r="Q221" i="1"/>
  <c r="N221" i="1"/>
  <c r="S220" i="1"/>
  <c r="R220" i="1"/>
  <c r="Q220" i="1"/>
  <c r="N220" i="1"/>
  <c r="S219" i="1"/>
  <c r="R219" i="1"/>
  <c r="Q219" i="1"/>
  <c r="N219" i="1"/>
  <c r="S218" i="1"/>
  <c r="R218" i="1"/>
  <c r="Q218" i="1"/>
  <c r="N218" i="1"/>
  <c r="S217" i="1"/>
  <c r="R217" i="1"/>
  <c r="Q217" i="1"/>
  <c r="N217" i="1"/>
  <c r="S216" i="1"/>
  <c r="R216" i="1"/>
  <c r="Q216" i="1"/>
  <c r="N216" i="1"/>
  <c r="S215" i="1"/>
  <c r="R215" i="1"/>
  <c r="Q215" i="1"/>
  <c r="N215" i="1"/>
  <c r="S214" i="1"/>
  <c r="R214" i="1"/>
  <c r="Q214" i="1"/>
  <c r="N214" i="1"/>
  <c r="S213" i="1"/>
  <c r="R213" i="1"/>
  <c r="Q213" i="1"/>
  <c r="N213" i="1"/>
  <c r="S212" i="1"/>
  <c r="R212" i="1"/>
  <c r="Q212" i="1"/>
  <c r="N212" i="1"/>
  <c r="S211" i="1"/>
  <c r="R211" i="1"/>
  <c r="Q211" i="1"/>
  <c r="N211" i="1"/>
  <c r="S210" i="1"/>
  <c r="R210" i="1"/>
  <c r="Q210" i="1"/>
  <c r="N210" i="1"/>
  <c r="S209" i="1"/>
  <c r="R209" i="1"/>
  <c r="Q209" i="1"/>
  <c r="N209" i="1"/>
  <c r="S208" i="1"/>
  <c r="R208" i="1"/>
  <c r="Q208" i="1"/>
  <c r="N208" i="1"/>
  <c r="S207" i="1"/>
  <c r="R207" i="1"/>
  <c r="Q207" i="1"/>
  <c r="N207" i="1"/>
  <c r="S206" i="1"/>
  <c r="R206" i="1"/>
  <c r="Q206" i="1"/>
  <c r="N206" i="1"/>
  <c r="S205" i="1"/>
  <c r="R205" i="1"/>
  <c r="Q205" i="1"/>
  <c r="N205" i="1"/>
  <c r="S204" i="1"/>
  <c r="R204" i="1"/>
  <c r="Q204" i="1"/>
  <c r="N204" i="1"/>
  <c r="S203" i="1"/>
  <c r="R203" i="1"/>
  <c r="Q203" i="1"/>
  <c r="N203" i="1"/>
  <c r="S202" i="1"/>
  <c r="R202" i="1"/>
  <c r="Q202" i="1"/>
  <c r="N202" i="1"/>
  <c r="S201" i="1"/>
  <c r="R201" i="1"/>
  <c r="Q201" i="1"/>
  <c r="N201" i="1"/>
  <c r="S200" i="1"/>
  <c r="R200" i="1"/>
  <c r="Q200" i="1"/>
  <c r="N200" i="1"/>
  <c r="S199" i="1"/>
  <c r="R199" i="1"/>
  <c r="Q199" i="1"/>
  <c r="N199" i="1"/>
  <c r="S198" i="1"/>
  <c r="R198" i="1"/>
  <c r="Q198" i="1"/>
  <c r="N198" i="1"/>
  <c r="S197" i="1"/>
  <c r="R197" i="1"/>
  <c r="Q197" i="1"/>
  <c r="N197" i="1"/>
  <c r="S196" i="1"/>
  <c r="R196" i="1"/>
  <c r="Q196" i="1"/>
  <c r="N196" i="1"/>
  <c r="S195" i="1"/>
  <c r="R195" i="1"/>
  <c r="Q195" i="1"/>
  <c r="N195" i="1"/>
  <c r="S194" i="1"/>
  <c r="R194" i="1"/>
  <c r="Q194" i="1"/>
  <c r="N194" i="1"/>
  <c r="S193" i="1"/>
  <c r="R193" i="1"/>
  <c r="Q193" i="1"/>
  <c r="N193" i="1"/>
  <c r="S192" i="1"/>
  <c r="R192" i="1"/>
  <c r="Q192" i="1"/>
  <c r="N192" i="1"/>
  <c r="S191" i="1"/>
  <c r="R191" i="1"/>
  <c r="Q191" i="1"/>
  <c r="N191" i="1"/>
  <c r="S190" i="1"/>
  <c r="R190" i="1"/>
  <c r="Q190" i="1"/>
  <c r="N190" i="1"/>
  <c r="S189" i="1"/>
  <c r="R189" i="1"/>
  <c r="Q189" i="1"/>
  <c r="N189" i="1"/>
  <c r="S188" i="1"/>
  <c r="R188" i="1"/>
  <c r="Q188" i="1"/>
  <c r="N188" i="1"/>
  <c r="S187" i="1"/>
  <c r="R187" i="1"/>
  <c r="Q187" i="1"/>
  <c r="N187" i="1"/>
  <c r="S186" i="1"/>
  <c r="R186" i="1"/>
  <c r="Q186" i="1"/>
  <c r="N186" i="1"/>
  <c r="S185" i="1"/>
  <c r="R185" i="1"/>
  <c r="Q185" i="1"/>
  <c r="N185" i="1"/>
  <c r="S184" i="1"/>
  <c r="R184" i="1"/>
  <c r="Q184" i="1"/>
  <c r="N184" i="1"/>
  <c r="S183" i="1"/>
  <c r="R183" i="1"/>
  <c r="Q183" i="1"/>
  <c r="N183" i="1"/>
  <c r="S182" i="1"/>
  <c r="R182" i="1"/>
  <c r="Q182" i="1"/>
  <c r="N182" i="1"/>
  <c r="S181" i="1"/>
  <c r="R181" i="1"/>
  <c r="Q181" i="1"/>
  <c r="N181" i="1"/>
  <c r="S180" i="1"/>
  <c r="R180" i="1"/>
  <c r="Q180" i="1"/>
  <c r="N180" i="1"/>
  <c r="S179" i="1"/>
  <c r="R179" i="1"/>
  <c r="Q179" i="1"/>
  <c r="N179" i="1"/>
  <c r="S178" i="1"/>
  <c r="R178" i="1"/>
  <c r="Q178" i="1"/>
  <c r="N178" i="1"/>
  <c r="S177" i="1"/>
  <c r="R177" i="1"/>
  <c r="Q177" i="1"/>
  <c r="N177" i="1"/>
  <c r="S176" i="1"/>
  <c r="R176" i="1"/>
  <c r="Q176" i="1"/>
  <c r="N176" i="1"/>
  <c r="S175" i="1"/>
  <c r="R175" i="1"/>
  <c r="Q175" i="1"/>
  <c r="N175" i="1"/>
  <c r="S174" i="1"/>
  <c r="R174" i="1"/>
  <c r="Q174" i="1"/>
  <c r="N174" i="1"/>
  <c r="S173" i="1"/>
  <c r="R173" i="1"/>
  <c r="Q173" i="1"/>
  <c r="N173" i="1"/>
  <c r="S172" i="1"/>
  <c r="R172" i="1"/>
  <c r="Q172" i="1"/>
  <c r="N172" i="1"/>
  <c r="S171" i="1"/>
  <c r="R171" i="1"/>
  <c r="Q171" i="1"/>
  <c r="N171" i="1"/>
  <c r="S170" i="1"/>
  <c r="R170" i="1"/>
  <c r="Q170" i="1"/>
  <c r="N170" i="1"/>
  <c r="S169" i="1"/>
  <c r="R169" i="1"/>
  <c r="Q169" i="1"/>
  <c r="N169" i="1"/>
  <c r="S168" i="1"/>
  <c r="R168" i="1"/>
  <c r="Q168" i="1"/>
  <c r="N168" i="1"/>
  <c r="S167" i="1"/>
  <c r="R167" i="1"/>
  <c r="Q167" i="1"/>
  <c r="N167" i="1"/>
  <c r="S166" i="1"/>
  <c r="R166" i="1"/>
  <c r="Q166" i="1"/>
  <c r="N166" i="1"/>
  <c r="S165" i="1"/>
  <c r="R165" i="1"/>
  <c r="Q165" i="1"/>
  <c r="N165" i="1"/>
  <c r="S164" i="1"/>
  <c r="R164" i="1"/>
  <c r="Q164" i="1"/>
  <c r="N164" i="1"/>
  <c r="S163" i="1"/>
  <c r="R163" i="1"/>
  <c r="Q163" i="1"/>
  <c r="N163" i="1"/>
  <c r="S162" i="1"/>
  <c r="R162" i="1"/>
  <c r="Q162" i="1"/>
  <c r="N162" i="1"/>
  <c r="S161" i="1"/>
  <c r="R161" i="1"/>
  <c r="Q161" i="1"/>
  <c r="N161" i="1"/>
  <c r="S160" i="1"/>
  <c r="R160" i="1"/>
  <c r="Q160" i="1"/>
  <c r="N160" i="1"/>
  <c r="S159" i="1"/>
  <c r="R159" i="1"/>
  <c r="Q159" i="1"/>
  <c r="N159" i="1"/>
  <c r="S158" i="1"/>
  <c r="R158" i="1"/>
  <c r="Q158" i="1"/>
  <c r="N158" i="1"/>
  <c r="S157" i="1"/>
  <c r="R157" i="1"/>
  <c r="Q157" i="1"/>
  <c r="N157" i="1"/>
  <c r="S156" i="1"/>
  <c r="R156" i="1"/>
  <c r="Q156" i="1"/>
  <c r="N156" i="1"/>
  <c r="S155" i="1"/>
  <c r="R155" i="1"/>
  <c r="Q155" i="1"/>
  <c r="N155" i="1"/>
  <c r="S154" i="1"/>
  <c r="R154" i="1"/>
  <c r="Q154" i="1"/>
  <c r="N154" i="1"/>
  <c r="S153" i="1"/>
  <c r="R153" i="1"/>
  <c r="Q153" i="1"/>
  <c r="N153" i="1"/>
  <c r="S152" i="1"/>
  <c r="R152" i="1"/>
  <c r="Q152" i="1"/>
  <c r="N152" i="1"/>
  <c r="S151" i="1"/>
  <c r="R151" i="1"/>
  <c r="Q151" i="1"/>
  <c r="N151" i="1"/>
  <c r="S150" i="1"/>
  <c r="R150" i="1"/>
  <c r="Q150" i="1"/>
  <c r="N150" i="1"/>
  <c r="S149" i="1"/>
  <c r="R149" i="1"/>
  <c r="Q149" i="1"/>
  <c r="N149" i="1"/>
  <c r="S148" i="1"/>
  <c r="R148" i="1"/>
  <c r="Q148" i="1"/>
  <c r="N148" i="1"/>
  <c r="S147" i="1"/>
  <c r="R147" i="1"/>
  <c r="Q147" i="1"/>
  <c r="N147" i="1"/>
  <c r="S146" i="1"/>
  <c r="R146" i="1"/>
  <c r="Q146" i="1"/>
  <c r="N146" i="1"/>
  <c r="S145" i="1"/>
  <c r="R145" i="1"/>
  <c r="Q145" i="1"/>
  <c r="N145" i="1"/>
  <c r="S144" i="1"/>
  <c r="R144" i="1"/>
  <c r="Q144" i="1"/>
  <c r="N144" i="1"/>
  <c r="S143" i="1"/>
  <c r="R143" i="1"/>
  <c r="Q143" i="1"/>
  <c r="N143" i="1"/>
  <c r="S142" i="1"/>
  <c r="R142" i="1"/>
  <c r="Q142" i="1"/>
  <c r="N142" i="1"/>
  <c r="S141" i="1"/>
  <c r="R141" i="1"/>
  <c r="Q141" i="1"/>
  <c r="N141" i="1"/>
  <c r="S140" i="1"/>
  <c r="R140" i="1"/>
  <c r="Q140" i="1"/>
  <c r="N140" i="1"/>
  <c r="S139" i="1"/>
  <c r="R139" i="1"/>
  <c r="Q139" i="1"/>
  <c r="N139" i="1"/>
  <c r="S138" i="1"/>
  <c r="R138" i="1"/>
  <c r="Q138" i="1"/>
  <c r="N138" i="1"/>
  <c r="S137" i="1"/>
  <c r="R137" i="1"/>
  <c r="Q137" i="1"/>
  <c r="N137" i="1"/>
  <c r="S136" i="1"/>
  <c r="R136" i="1"/>
  <c r="Q136" i="1"/>
  <c r="N136" i="1"/>
  <c r="S135" i="1"/>
  <c r="R135" i="1"/>
  <c r="Q135" i="1"/>
  <c r="N135" i="1"/>
  <c r="S134" i="1"/>
  <c r="R134" i="1"/>
  <c r="Q134" i="1"/>
  <c r="N134" i="1"/>
  <c r="S133" i="1"/>
  <c r="R133" i="1"/>
  <c r="Q133" i="1"/>
  <c r="N133" i="1"/>
  <c r="S132" i="1"/>
  <c r="R132" i="1"/>
  <c r="Q132" i="1"/>
  <c r="N132" i="1"/>
  <c r="S131" i="1"/>
  <c r="R131" i="1"/>
  <c r="Q131" i="1"/>
  <c r="N131" i="1"/>
  <c r="S130" i="1"/>
  <c r="R130" i="1"/>
  <c r="Q130" i="1"/>
  <c r="N130" i="1"/>
  <c r="S129" i="1"/>
  <c r="R129" i="1"/>
  <c r="Q129" i="1"/>
  <c r="N129" i="1"/>
  <c r="S128" i="1"/>
  <c r="R128" i="1"/>
  <c r="Q128" i="1"/>
  <c r="N128" i="1"/>
  <c r="S127" i="1"/>
  <c r="R127" i="1"/>
  <c r="Q127" i="1"/>
  <c r="N127" i="1"/>
  <c r="S126" i="1"/>
  <c r="R126" i="1"/>
  <c r="Q126" i="1"/>
  <c r="N126" i="1"/>
  <c r="S125" i="1"/>
  <c r="R125" i="1"/>
  <c r="Q125" i="1"/>
  <c r="N125" i="1"/>
  <c r="S124" i="1"/>
  <c r="R124" i="1"/>
  <c r="Q124" i="1"/>
  <c r="N124" i="1"/>
  <c r="S123" i="1"/>
  <c r="R123" i="1"/>
  <c r="Q123" i="1"/>
  <c r="N123" i="1"/>
  <c r="S122" i="1"/>
  <c r="R122" i="1"/>
  <c r="Q122" i="1"/>
  <c r="N122" i="1"/>
  <c r="S121" i="1"/>
  <c r="R121" i="1"/>
  <c r="Q121" i="1"/>
  <c r="N121" i="1"/>
  <c r="S120" i="1"/>
  <c r="R120" i="1"/>
  <c r="Q120" i="1"/>
  <c r="N120" i="1"/>
  <c r="S119" i="1"/>
  <c r="R119" i="1"/>
  <c r="Q119" i="1"/>
  <c r="N119" i="1"/>
  <c r="S118" i="1"/>
  <c r="R118" i="1"/>
  <c r="Q118" i="1"/>
  <c r="N118" i="1"/>
  <c r="S117" i="1"/>
  <c r="R117" i="1"/>
  <c r="Q117" i="1"/>
  <c r="N117" i="1"/>
  <c r="S116" i="1"/>
  <c r="R116" i="1"/>
  <c r="Q116" i="1"/>
  <c r="N116" i="1"/>
  <c r="S115" i="1"/>
  <c r="R115" i="1"/>
  <c r="Q115" i="1"/>
  <c r="N115" i="1"/>
  <c r="S114" i="1"/>
  <c r="R114" i="1"/>
  <c r="Q114" i="1"/>
  <c r="N114" i="1"/>
  <c r="S113" i="1"/>
  <c r="R113" i="1"/>
  <c r="Q113" i="1"/>
  <c r="N113" i="1"/>
  <c r="S112" i="1"/>
  <c r="R112" i="1"/>
  <c r="Q112" i="1"/>
  <c r="N112" i="1"/>
  <c r="S111" i="1"/>
  <c r="R111" i="1"/>
  <c r="Q111" i="1"/>
  <c r="N111" i="1"/>
  <c r="S110" i="1"/>
  <c r="R110" i="1"/>
  <c r="Q110" i="1"/>
  <c r="N110" i="1"/>
  <c r="S109" i="1"/>
  <c r="R109" i="1"/>
  <c r="Q109" i="1"/>
  <c r="N109" i="1"/>
  <c r="S108" i="1"/>
  <c r="R108" i="1"/>
  <c r="Q108" i="1"/>
  <c r="N108" i="1"/>
  <c r="S107" i="1"/>
  <c r="R107" i="1"/>
  <c r="Q107" i="1"/>
  <c r="N107" i="1"/>
  <c r="S106" i="1"/>
  <c r="R106" i="1"/>
  <c r="Q106" i="1"/>
  <c r="N106" i="1"/>
  <c r="S105" i="1"/>
  <c r="R105" i="1"/>
  <c r="Q105" i="1"/>
  <c r="N105" i="1"/>
  <c r="S104" i="1"/>
  <c r="R104" i="1"/>
  <c r="Q104" i="1"/>
  <c r="N104" i="1"/>
  <c r="S103" i="1"/>
  <c r="R103" i="1"/>
  <c r="Q103" i="1"/>
  <c r="N103" i="1"/>
  <c r="S102" i="1"/>
  <c r="R102" i="1"/>
  <c r="Q102" i="1"/>
  <c r="N102" i="1"/>
  <c r="S101" i="1"/>
  <c r="R101" i="1"/>
  <c r="Q101" i="1"/>
  <c r="N101" i="1"/>
  <c r="S100" i="1"/>
  <c r="R100" i="1"/>
  <c r="Q100" i="1"/>
  <c r="N100" i="1"/>
  <c r="S99" i="1"/>
  <c r="R99" i="1"/>
  <c r="Q99" i="1"/>
  <c r="N99" i="1"/>
  <c r="S98" i="1"/>
  <c r="R98" i="1"/>
  <c r="Q98" i="1"/>
  <c r="N98" i="1"/>
  <c r="S97" i="1"/>
  <c r="R97" i="1"/>
  <c r="Q97" i="1"/>
  <c r="N97" i="1"/>
  <c r="S96" i="1"/>
  <c r="R96" i="1"/>
  <c r="Q96" i="1"/>
  <c r="N96" i="1"/>
  <c r="S95" i="1"/>
  <c r="R95" i="1"/>
  <c r="Q95" i="1"/>
  <c r="N95" i="1"/>
  <c r="S94" i="1"/>
  <c r="R94" i="1"/>
  <c r="Q94" i="1"/>
  <c r="N94" i="1"/>
  <c r="S93" i="1"/>
  <c r="R93" i="1"/>
  <c r="Q93" i="1"/>
  <c r="N93" i="1"/>
  <c r="S92" i="1"/>
  <c r="R92" i="1"/>
  <c r="Q92" i="1"/>
  <c r="N92" i="1"/>
  <c r="S91" i="1"/>
  <c r="R91" i="1"/>
  <c r="Q91" i="1"/>
  <c r="N91" i="1"/>
  <c r="S90" i="1"/>
  <c r="R90" i="1"/>
  <c r="Q90" i="1"/>
  <c r="N90" i="1"/>
  <c r="S89" i="1"/>
  <c r="R89" i="1"/>
  <c r="Q89" i="1"/>
  <c r="N89" i="1"/>
  <c r="S88" i="1"/>
  <c r="R88" i="1"/>
  <c r="Q88" i="1"/>
  <c r="N88" i="1"/>
  <c r="S87" i="1"/>
  <c r="R87" i="1"/>
  <c r="Q87" i="1"/>
  <c r="N87" i="1"/>
  <c r="S86" i="1"/>
  <c r="R86" i="1"/>
  <c r="Q86" i="1"/>
  <c r="N86" i="1"/>
  <c r="S85" i="1"/>
  <c r="R85" i="1"/>
  <c r="Q85" i="1"/>
  <c r="N85" i="1"/>
  <c r="S84" i="1"/>
  <c r="R84" i="1"/>
  <c r="Q84" i="1"/>
  <c r="N84" i="1"/>
  <c r="S83" i="1"/>
  <c r="R83" i="1"/>
  <c r="Q83" i="1"/>
  <c r="N83" i="1"/>
  <c r="S82" i="1"/>
  <c r="R82" i="1"/>
  <c r="Q82" i="1"/>
  <c r="N82" i="1"/>
  <c r="S81" i="1"/>
  <c r="R81" i="1"/>
  <c r="Q81" i="1"/>
  <c r="N81" i="1"/>
  <c r="S80" i="1"/>
  <c r="R80" i="1"/>
  <c r="Q80" i="1"/>
  <c r="N80" i="1"/>
  <c r="S79" i="1"/>
  <c r="R79" i="1"/>
  <c r="Q79" i="1"/>
  <c r="N79" i="1"/>
  <c r="S78" i="1"/>
  <c r="R78" i="1"/>
  <c r="Q78" i="1"/>
  <c r="N78" i="1"/>
  <c r="S77" i="1"/>
  <c r="R77" i="1"/>
  <c r="Q77" i="1"/>
  <c r="N77" i="1"/>
  <c r="S76" i="1"/>
  <c r="R76" i="1"/>
  <c r="Q76" i="1"/>
  <c r="N76" i="1"/>
  <c r="S75" i="1"/>
  <c r="R75" i="1"/>
  <c r="Q75" i="1"/>
  <c r="N75" i="1"/>
  <c r="S74" i="1"/>
  <c r="R74" i="1"/>
  <c r="Q74" i="1"/>
  <c r="N74" i="1"/>
  <c r="S73" i="1"/>
  <c r="R73" i="1"/>
  <c r="Q73" i="1"/>
  <c r="N73" i="1"/>
  <c r="S72" i="1"/>
  <c r="R72" i="1"/>
  <c r="Q72" i="1"/>
  <c r="N72" i="1"/>
  <c r="S71" i="1"/>
  <c r="R71" i="1"/>
  <c r="Q71" i="1"/>
  <c r="N71" i="1"/>
  <c r="S70" i="1"/>
  <c r="R70" i="1"/>
  <c r="Q70" i="1"/>
  <c r="N70" i="1"/>
  <c r="S69" i="1"/>
  <c r="R69" i="1"/>
  <c r="Q69" i="1"/>
  <c r="N69" i="1"/>
  <c r="S68" i="1"/>
  <c r="R68" i="1"/>
  <c r="Q68" i="1"/>
  <c r="N68" i="1"/>
  <c r="S67" i="1"/>
  <c r="R67" i="1"/>
  <c r="Q67" i="1"/>
  <c r="N67" i="1"/>
  <c r="S66" i="1"/>
  <c r="R66" i="1"/>
  <c r="Q66" i="1"/>
  <c r="N66" i="1"/>
  <c r="S65" i="1"/>
  <c r="R65" i="1"/>
  <c r="Q65" i="1"/>
  <c r="N65" i="1"/>
  <c r="S64" i="1"/>
  <c r="R64" i="1"/>
  <c r="Q64" i="1"/>
  <c r="N64" i="1"/>
  <c r="S63" i="1"/>
  <c r="R63" i="1"/>
  <c r="Q63" i="1"/>
  <c r="N63" i="1"/>
  <c r="S62" i="1"/>
  <c r="R62" i="1"/>
  <c r="Q62" i="1"/>
  <c r="N62" i="1"/>
  <c r="S61" i="1"/>
  <c r="R61" i="1"/>
  <c r="Q61" i="1"/>
  <c r="N61" i="1"/>
  <c r="S60" i="1"/>
  <c r="R60" i="1"/>
  <c r="Q60" i="1"/>
  <c r="N60" i="1"/>
  <c r="S59" i="1"/>
  <c r="R59" i="1"/>
  <c r="Q59" i="1"/>
  <c r="N59" i="1"/>
  <c r="S58" i="1"/>
  <c r="R58" i="1"/>
  <c r="Q58" i="1"/>
  <c r="N58" i="1"/>
  <c r="S57" i="1"/>
  <c r="R57" i="1"/>
  <c r="Q57" i="1"/>
  <c r="N57" i="1"/>
  <c r="S56" i="1"/>
  <c r="R56" i="1"/>
  <c r="Q56" i="1"/>
  <c r="N56" i="1"/>
  <c r="S55" i="1"/>
  <c r="R55" i="1"/>
  <c r="Q55" i="1"/>
  <c r="N55" i="1"/>
  <c r="S54" i="1"/>
  <c r="R54" i="1"/>
  <c r="Q54" i="1"/>
  <c r="N54" i="1"/>
  <c r="S53" i="1"/>
  <c r="R53" i="1"/>
  <c r="Q53" i="1"/>
  <c r="N53" i="1"/>
  <c r="S52" i="1"/>
  <c r="R52" i="1"/>
  <c r="Q52" i="1"/>
  <c r="N52" i="1"/>
  <c r="S51" i="1"/>
  <c r="R51" i="1"/>
  <c r="Q51" i="1"/>
  <c r="N51" i="1"/>
  <c r="S50" i="1"/>
  <c r="R50" i="1"/>
  <c r="Q50" i="1"/>
  <c r="N50" i="1"/>
  <c r="S49" i="1"/>
  <c r="R49" i="1"/>
  <c r="Q49" i="1"/>
  <c r="N49" i="1"/>
  <c r="S48" i="1"/>
  <c r="R48" i="1"/>
  <c r="Q48" i="1"/>
  <c r="N48" i="1"/>
  <c r="S47" i="1"/>
  <c r="R47" i="1"/>
  <c r="Q47" i="1"/>
  <c r="N47" i="1"/>
  <c r="S46" i="1"/>
  <c r="R46" i="1"/>
  <c r="Q46" i="1"/>
  <c r="N46" i="1"/>
  <c r="S45" i="1"/>
  <c r="R45" i="1"/>
  <c r="Q45" i="1"/>
  <c r="N45" i="1"/>
  <c r="S44" i="1"/>
  <c r="R44" i="1"/>
  <c r="Q44" i="1"/>
  <c r="N44" i="1"/>
  <c r="S43" i="1"/>
  <c r="R43" i="1"/>
  <c r="Q43" i="1"/>
  <c r="N43" i="1"/>
  <c r="S42" i="1"/>
  <c r="R42" i="1"/>
  <c r="Q42" i="1"/>
  <c r="N42" i="1"/>
  <c r="S41" i="1"/>
  <c r="R41" i="1"/>
  <c r="Q41" i="1"/>
  <c r="N41" i="1"/>
  <c r="S40" i="1"/>
  <c r="R40" i="1"/>
  <c r="Q40" i="1"/>
  <c r="N40" i="1"/>
  <c r="S39" i="1"/>
  <c r="R39" i="1"/>
  <c r="Q39" i="1"/>
  <c r="N39" i="1"/>
  <c r="S38" i="1"/>
  <c r="R38" i="1"/>
  <c r="Q38" i="1"/>
  <c r="N38" i="1"/>
  <c r="S37" i="1"/>
  <c r="R37" i="1"/>
  <c r="Q37" i="1"/>
  <c r="N37" i="1"/>
  <c r="S36" i="1"/>
  <c r="R36" i="1"/>
  <c r="Q36" i="1"/>
  <c r="N36" i="1"/>
  <c r="S35" i="1"/>
  <c r="R35" i="1"/>
  <c r="Q35" i="1"/>
  <c r="N35" i="1"/>
  <c r="S34" i="1"/>
  <c r="R34" i="1"/>
  <c r="Q34" i="1"/>
  <c r="N34" i="1"/>
  <c r="S33" i="1"/>
  <c r="R33" i="1"/>
  <c r="Q33" i="1"/>
  <c r="N33" i="1"/>
  <c r="S32" i="1"/>
  <c r="R32" i="1"/>
  <c r="Q32" i="1"/>
  <c r="N32" i="1"/>
  <c r="S31" i="1"/>
  <c r="R31" i="1"/>
  <c r="Q31" i="1"/>
  <c r="N31" i="1"/>
  <c r="S30" i="1"/>
  <c r="R30" i="1"/>
  <c r="Q30" i="1"/>
  <c r="N30" i="1"/>
  <c r="S29" i="1"/>
  <c r="R29" i="1"/>
  <c r="Q29" i="1"/>
  <c r="N29" i="1"/>
  <c r="S28" i="1"/>
  <c r="R28" i="1"/>
  <c r="Q28" i="1"/>
  <c r="N28" i="1"/>
  <c r="S27" i="1"/>
  <c r="R27" i="1"/>
  <c r="Q27" i="1"/>
  <c r="N27" i="1"/>
  <c r="S26" i="1"/>
  <c r="R26" i="1"/>
  <c r="Q26" i="1"/>
  <c r="N26" i="1"/>
  <c r="S25" i="1"/>
  <c r="R25" i="1"/>
  <c r="Q25" i="1"/>
  <c r="N25" i="1"/>
  <c r="S24" i="1"/>
  <c r="R24" i="1"/>
  <c r="Q24" i="1"/>
  <c r="N24" i="1"/>
  <c r="S23" i="1"/>
  <c r="R23" i="1"/>
  <c r="Q23" i="1"/>
  <c r="N23" i="1"/>
  <c r="S22" i="1"/>
  <c r="R22" i="1"/>
  <c r="Q22" i="1"/>
  <c r="N22" i="1"/>
  <c r="S21" i="1"/>
  <c r="R21" i="1"/>
  <c r="Q21" i="1"/>
  <c r="N21" i="1"/>
  <c r="S20" i="1"/>
  <c r="R20" i="1"/>
  <c r="Q20" i="1"/>
  <c r="N20" i="1"/>
  <c r="S19" i="1"/>
  <c r="R19" i="1"/>
  <c r="Q19" i="1"/>
  <c r="N19" i="1"/>
  <c r="S18" i="1"/>
  <c r="R18" i="1"/>
  <c r="Q18" i="1"/>
  <c r="N18" i="1"/>
  <c r="S17" i="1"/>
  <c r="R17" i="1"/>
  <c r="Q17" i="1"/>
  <c r="N17" i="1"/>
  <c r="S16" i="1"/>
  <c r="R16" i="1"/>
  <c r="Q16" i="1"/>
  <c r="N16" i="1"/>
  <c r="S15" i="1"/>
  <c r="R15" i="1"/>
  <c r="Q15" i="1"/>
  <c r="N15" i="1"/>
  <c r="S14" i="1"/>
  <c r="R14" i="1"/>
  <c r="Q14" i="1"/>
  <c r="N14" i="1"/>
  <c r="S13" i="1"/>
  <c r="R13" i="1"/>
  <c r="Q13" i="1"/>
  <c r="N13" i="1"/>
  <c r="S12" i="1"/>
  <c r="R12" i="1"/>
  <c r="Q12" i="1"/>
  <c r="N12" i="1"/>
  <c r="S11" i="1"/>
  <c r="R11" i="1"/>
  <c r="Q11" i="1"/>
  <c r="N11" i="1"/>
  <c r="S10" i="1"/>
  <c r="R10" i="1"/>
  <c r="Q10" i="1"/>
  <c r="N10" i="1"/>
  <c r="S9" i="1"/>
  <c r="R9" i="1"/>
  <c r="Q9" i="1"/>
  <c r="N9" i="1"/>
  <c r="S8" i="1"/>
  <c r="R8" i="1"/>
  <c r="Q8" i="1"/>
  <c r="N8" i="1"/>
  <c r="S7" i="1"/>
  <c r="R7" i="1"/>
  <c r="Q7" i="1"/>
  <c r="N7" i="1"/>
  <c r="S6" i="1"/>
  <c r="R6" i="1"/>
  <c r="Q6" i="1"/>
  <c r="N6" i="1"/>
  <c r="S5" i="1"/>
  <c r="R5" i="1"/>
  <c r="Q5" i="1"/>
  <c r="N5" i="1"/>
  <c r="S4" i="1"/>
  <c r="R4" i="1"/>
  <c r="Q4" i="1"/>
  <c r="N4" i="1"/>
  <c r="S3" i="1"/>
  <c r="R3" i="1"/>
  <c r="Q3" i="1"/>
  <c r="N3" i="1"/>
  <c r="S2" i="1"/>
  <c r="R2" i="1"/>
  <c r="Q2" i="1"/>
  <c r="N2" i="1"/>
  <c r="C10" i="11"/>
  <c r="C11" i="11"/>
  <c r="C12" i="11"/>
  <c r="C13" i="11"/>
  <c r="AA2" i="10"/>
  <c r="E13" i="11"/>
  <c r="E11" i="11"/>
  <c r="E10" i="11"/>
  <c r="D13" i="11"/>
  <c r="E12" i="11"/>
  <c r="D12" i="11"/>
  <c r="D11" i="11"/>
  <c r="D10" i="11"/>
</calcChain>
</file>

<file path=xl/sharedStrings.xml><?xml version="1.0" encoding="utf-8"?>
<sst xmlns="http://schemas.openxmlformats.org/spreadsheetml/2006/main" count="27125" uniqueCount="1636">
  <si>
    <t>Order ID</t>
  </si>
  <si>
    <t>Delivery Address</t>
  </si>
  <si>
    <t>Order Timestamp</t>
  </si>
  <si>
    <t>Order Status</t>
  </si>
  <si>
    <t>Driver ID</t>
  </si>
  <si>
    <t>Vehicle Info</t>
  </si>
  <si>
    <t>Current Location</t>
  </si>
  <si>
    <t>Delivery Time (min)</t>
  </si>
  <si>
    <t>Delays (min)</t>
  </si>
  <si>
    <t>Customer Feedback</t>
  </si>
  <si>
    <t>Route</t>
  </si>
  <si>
    <t>Delivery Zone</t>
  </si>
  <si>
    <t>Allocation Rules</t>
  </si>
  <si>
    <t>884 Main St, CityE</t>
  </si>
  <si>
    <t>Completed</t>
  </si>
  <si>
    <t>D59</t>
  </si>
  <si>
    <t>Van A</t>
  </si>
  <si>
    <t>CityE</t>
  </si>
  <si>
    <t>Neutral</t>
  </si>
  <si>
    <t>Route2</t>
  </si>
  <si>
    <t>Zone2</t>
  </si>
  <si>
    <t>Custom Rules</t>
  </si>
  <si>
    <t>55 Oak St, CityE</t>
  </si>
  <si>
    <t>D4</t>
  </si>
  <si>
    <t>Truck B</t>
  </si>
  <si>
    <t>CityA</t>
  </si>
  <si>
    <t>Positive</t>
  </si>
  <si>
    <t>Route1</t>
  </si>
  <si>
    <t>Zone3</t>
  </si>
  <si>
    <t>123 Main St, CityE</t>
  </si>
  <si>
    <t>D21</t>
  </si>
  <si>
    <t>CityD</t>
  </si>
  <si>
    <t>Negative</t>
  </si>
  <si>
    <t>66 Cedar St, CityD</t>
  </si>
  <si>
    <t>D70</t>
  </si>
  <si>
    <t>Route3</t>
  </si>
  <si>
    <t>748 Elm St, CityB</t>
  </si>
  <si>
    <t>D77</t>
  </si>
  <si>
    <t>Bike C</t>
  </si>
  <si>
    <t>CityC</t>
  </si>
  <si>
    <t>Zone1</t>
  </si>
  <si>
    <t>Expedited Rules</t>
  </si>
  <si>
    <t>255 Cedar St, CityB</t>
  </si>
  <si>
    <t>In Progress</t>
  </si>
  <si>
    <t>D54</t>
  </si>
  <si>
    <t>Route5</t>
  </si>
  <si>
    <t>Standard Rules</t>
  </si>
  <si>
    <t>856 Elm St, CityA</t>
  </si>
  <si>
    <t>D99</t>
  </si>
  <si>
    <t>Route4</t>
  </si>
  <si>
    <t>665 Pine St, CityA</t>
  </si>
  <si>
    <t>D84</t>
  </si>
  <si>
    <t>340 Main St, CityA</t>
  </si>
  <si>
    <t>D49</t>
  </si>
  <si>
    <t>969 Pine St, CityE</t>
  </si>
  <si>
    <t>D53</t>
  </si>
  <si>
    <t>CityB</t>
  </si>
  <si>
    <t>718 Pine St, CityD</t>
  </si>
  <si>
    <t>D1</t>
  </si>
  <si>
    <t>391 Pine St, CityB</t>
  </si>
  <si>
    <t>D44</t>
  </si>
  <si>
    <t>868 Oak St, CityB</t>
  </si>
  <si>
    <t>D32</t>
  </si>
  <si>
    <t>99 Oak St, CityC</t>
  </si>
  <si>
    <t>D38</t>
  </si>
  <si>
    <t>182 Pine St, CityC</t>
  </si>
  <si>
    <t>D23</t>
  </si>
  <si>
    <t>512 Main St, CityB</t>
  </si>
  <si>
    <t>D67</t>
  </si>
  <si>
    <t>267 Pine St, CityB</t>
  </si>
  <si>
    <t>D11</t>
  </si>
  <si>
    <t>233 Oak St, CityA</t>
  </si>
  <si>
    <t>348 Pine St, CityA</t>
  </si>
  <si>
    <t>D33</t>
  </si>
  <si>
    <t>537 Oak St, CityA</t>
  </si>
  <si>
    <t>901 Cedar St, CityA</t>
  </si>
  <si>
    <t>D9</t>
  </si>
  <si>
    <t>571 Main St, CityC</t>
  </si>
  <si>
    <t>D91</t>
  </si>
  <si>
    <t>98 Elm St, CityA</t>
  </si>
  <si>
    <t>D88</t>
  </si>
  <si>
    <t>987 Cedar St, CityA</t>
  </si>
  <si>
    <t>5 Oak St, CityD</t>
  </si>
  <si>
    <t>D10</t>
  </si>
  <si>
    <t>314 Main St, CityE</t>
  </si>
  <si>
    <t>D5</t>
  </si>
  <si>
    <t>577 Oak St, CityA</t>
  </si>
  <si>
    <t>D14</t>
  </si>
  <si>
    <t>979 Elm St, CityB</t>
  </si>
  <si>
    <t>D80</t>
  </si>
  <si>
    <t>652 Cedar St, CityD</t>
  </si>
  <si>
    <t>D90</t>
  </si>
  <si>
    <t>187 Cedar St, CityB</t>
  </si>
  <si>
    <t>D60</t>
  </si>
  <si>
    <t>1000 Oak St, CityA</t>
  </si>
  <si>
    <t>D42</t>
  </si>
  <si>
    <t>894 Elm St, CityE</t>
  </si>
  <si>
    <t>D82</t>
  </si>
  <si>
    <t>384 Cedar St, CityB</t>
  </si>
  <si>
    <t>D27</t>
  </si>
  <si>
    <t>913 Pine St, CityB</t>
  </si>
  <si>
    <t>D43</t>
  </si>
  <si>
    <t>520 Elm St, CityD</t>
  </si>
  <si>
    <t>D69</t>
  </si>
  <si>
    <t>32 Cedar St, CityA</t>
  </si>
  <si>
    <t>958 Cedar St, CityA</t>
  </si>
  <si>
    <t>D39</t>
  </si>
  <si>
    <t>827 Oak St, CityC</t>
  </si>
  <si>
    <t>111 Oak St, CityB</t>
  </si>
  <si>
    <t>D34</t>
  </si>
  <si>
    <t>605 Cedar St, CityB</t>
  </si>
  <si>
    <t>D6</t>
  </si>
  <si>
    <t>922 Main St, CityD</t>
  </si>
  <si>
    <t>D48</t>
  </si>
  <si>
    <t>198 Cedar St, CityB</t>
  </si>
  <si>
    <t>D16</t>
  </si>
  <si>
    <t>628 Oak St, CityD</t>
  </si>
  <si>
    <t>951 Cedar St, CityD</t>
  </si>
  <si>
    <t>D25</t>
  </si>
  <si>
    <t>803 Pine St, CityA</t>
  </si>
  <si>
    <t>D86</t>
  </si>
  <si>
    <t>685 Cedar St, CityA</t>
  </si>
  <si>
    <t>D72</t>
  </si>
  <si>
    <t>347 Elm St, CityC</t>
  </si>
  <si>
    <t>145 Elm St, CityD</t>
  </si>
  <si>
    <t>193 Pine St, CityA</t>
  </si>
  <si>
    <t>D18</t>
  </si>
  <si>
    <t>367 Main St, CityD</t>
  </si>
  <si>
    <t>D63</t>
  </si>
  <si>
    <t>831 Cedar St, CityA</t>
  </si>
  <si>
    <t>D28</t>
  </si>
  <si>
    <t>869 Cedar St, CityA</t>
  </si>
  <si>
    <t>D2</t>
  </si>
  <si>
    <t>680 Oak St, CityE</t>
  </si>
  <si>
    <t>577 Cedar St, CityE</t>
  </si>
  <si>
    <t>D19</t>
  </si>
  <si>
    <t>535 Pine St, CityE</t>
  </si>
  <si>
    <t>659 Elm St, CityC</t>
  </si>
  <si>
    <t>329 Elm St, CityD</t>
  </si>
  <si>
    <t>782 Elm St, CityC</t>
  </si>
  <si>
    <t>D55</t>
  </si>
  <si>
    <t>967 Pine St, CityD</t>
  </si>
  <si>
    <t>446 Pine St, CityA</t>
  </si>
  <si>
    <t>D66</t>
  </si>
  <si>
    <t>503 Main St, CityD</t>
  </si>
  <si>
    <t>107 Oak St, CityE</t>
  </si>
  <si>
    <t>496 Cedar St, CityD</t>
  </si>
  <si>
    <t>314 Pine St, CityC</t>
  </si>
  <si>
    <t>790 Main St, CityE</t>
  </si>
  <si>
    <t>D87</t>
  </si>
  <si>
    <t>852 Main St, CityB</t>
  </si>
  <si>
    <t>D35</t>
  </si>
  <si>
    <t>970 Main St, CityC</t>
  </si>
  <si>
    <t>914 Cedar St, CityE</t>
  </si>
  <si>
    <t>D15</t>
  </si>
  <si>
    <t>556 Elm St, CityC</t>
  </si>
  <si>
    <t>D68</t>
  </si>
  <si>
    <t>757 Main St, CityE</t>
  </si>
  <si>
    <t>D97</t>
  </si>
  <si>
    <t>29 Main St, CityC</t>
  </si>
  <si>
    <t>D75</t>
  </si>
  <si>
    <t>395 Elm St, CityC</t>
  </si>
  <si>
    <t>D30</t>
  </si>
  <si>
    <t>988 Cedar St, CityA</t>
  </si>
  <si>
    <t>D76</t>
  </si>
  <si>
    <t>844 Pine St, CityE</t>
  </si>
  <si>
    <t>D41</t>
  </si>
  <si>
    <t>537 Elm St, CityE</t>
  </si>
  <si>
    <t>380 Main St, CityB</t>
  </si>
  <si>
    <t>D3</t>
  </si>
  <si>
    <t>102 Pine St, CityB</t>
  </si>
  <si>
    <t>D74</t>
  </si>
  <si>
    <t>914 Elm St, CityC</t>
  </si>
  <si>
    <t>75 Elm St, CityD</t>
  </si>
  <si>
    <t>212 Cedar St, CityE</t>
  </si>
  <si>
    <t>16 Main St, CityD</t>
  </si>
  <si>
    <t>211 Main St, CityC</t>
  </si>
  <si>
    <t>D64</t>
  </si>
  <si>
    <t>5 Elm St, CityC</t>
  </si>
  <si>
    <t>D52</t>
  </si>
  <si>
    <t>182 Pine St, CityB</t>
  </si>
  <si>
    <t>381 Pine St, CityA</t>
  </si>
  <si>
    <t>D89</t>
  </si>
  <si>
    <t>160 Elm St, CityE</t>
  </si>
  <si>
    <t>253 Cedar St, CityC</t>
  </si>
  <si>
    <t>D85</t>
  </si>
  <si>
    <t>904 Pine St, CityE</t>
  </si>
  <si>
    <t>D78</t>
  </si>
  <si>
    <t>728 Oak St, CityB</t>
  </si>
  <si>
    <t>D81</t>
  </si>
  <si>
    <t>963 Oak St, CityD</t>
  </si>
  <si>
    <t>707 Main St, CityD</t>
  </si>
  <si>
    <t>844 Pine St, CityD</t>
  </si>
  <si>
    <t>D73</t>
  </si>
  <si>
    <t>285 Elm St, CityD</t>
  </si>
  <si>
    <t>260 Cedar St, CityA</t>
  </si>
  <si>
    <t>642 Pine St, CityA</t>
  </si>
  <si>
    <t>D65</t>
  </si>
  <si>
    <t>713 Pine St, CityB</t>
  </si>
  <si>
    <t>679 Elm St, CityA</t>
  </si>
  <si>
    <t>D98</t>
  </si>
  <si>
    <t>653 Main St, CityA</t>
  </si>
  <si>
    <t>D36</t>
  </si>
  <si>
    <t>163 Pine St, CityA</t>
  </si>
  <si>
    <t>D79</t>
  </si>
  <si>
    <t>188 Cedar St, CityC</t>
  </si>
  <si>
    <t>172 Oak St, CityD</t>
  </si>
  <si>
    <t>292 Cedar St, CityC</t>
  </si>
  <si>
    <t>112 Main St, CityD</t>
  </si>
  <si>
    <t>843 Elm St, CityA</t>
  </si>
  <si>
    <t>569 Pine St, CityB</t>
  </si>
  <si>
    <t>D45</t>
  </si>
  <si>
    <t>131 Cedar St, CityA</t>
  </si>
  <si>
    <t>481 Pine St, CityA</t>
  </si>
  <si>
    <t>115 Elm St, CityA</t>
  </si>
  <si>
    <t>D31</t>
  </si>
  <si>
    <t>854 Pine St, CityB</t>
  </si>
  <si>
    <t>86 Main St, CityB</t>
  </si>
  <si>
    <t>447 Cedar St, CityC</t>
  </si>
  <si>
    <t>449 Elm St, CityD</t>
  </si>
  <si>
    <t>D96</t>
  </si>
  <si>
    <t>612 Main St, CityE</t>
  </si>
  <si>
    <t>786 Elm St, CityB</t>
  </si>
  <si>
    <t>743 Oak St, CityA</t>
  </si>
  <si>
    <t>583 Main St, CityB</t>
  </si>
  <si>
    <t>350 Oak St, CityB</t>
  </si>
  <si>
    <t>359 Pine St, CityB</t>
  </si>
  <si>
    <t>924 Main St, CityD</t>
  </si>
  <si>
    <t>D26</t>
  </si>
  <si>
    <t>390 Elm St, CityC</t>
  </si>
  <si>
    <t>518 Main St, CityB</t>
  </si>
  <si>
    <t>D83</t>
  </si>
  <si>
    <t>189 Elm St, CityC</t>
  </si>
  <si>
    <t>674 Pine St, CityA</t>
  </si>
  <si>
    <t>D71</t>
  </si>
  <si>
    <t>893 Pine St, CityA</t>
  </si>
  <si>
    <t>864 Elm St, CityE</t>
  </si>
  <si>
    <t>542 Oak St, CityE</t>
  </si>
  <si>
    <t>165 Elm St, CityE</t>
  </si>
  <si>
    <t>988 Oak St, CityA</t>
  </si>
  <si>
    <t>D50</t>
  </si>
  <si>
    <t>115 Main St, CityD</t>
  </si>
  <si>
    <t>531 Cedar St, CityA</t>
  </si>
  <si>
    <t>D100</t>
  </si>
  <si>
    <t>634 Elm St, CityC</t>
  </si>
  <si>
    <t>D93</t>
  </si>
  <si>
    <t>924 Main St, CityB</t>
  </si>
  <si>
    <t>7 Pine St, CityA</t>
  </si>
  <si>
    <t>577 Main St, CityD</t>
  </si>
  <si>
    <t>D40</t>
  </si>
  <si>
    <t>788 Cedar St, CityA</t>
  </si>
  <si>
    <t>878 Elm St, CityA</t>
  </si>
  <si>
    <t>578 Cedar St, CityA</t>
  </si>
  <si>
    <t>21 Pine St, CityE</t>
  </si>
  <si>
    <t>661 Pine St, CityC</t>
  </si>
  <si>
    <t>703 Cedar St, CityD</t>
  </si>
  <si>
    <t>461 Elm St, CityD</t>
  </si>
  <si>
    <t>628 Oak St, CityC</t>
  </si>
  <si>
    <t>652 Pine St, CityD</t>
  </si>
  <si>
    <t>942 Elm St, CityD</t>
  </si>
  <si>
    <t>550 Oak St, CityB</t>
  </si>
  <si>
    <t>D61</t>
  </si>
  <si>
    <t>148 Oak St, CityB</t>
  </si>
  <si>
    <t>D57</t>
  </si>
  <si>
    <t>987 Pine St, CityC</t>
  </si>
  <si>
    <t>904 Elm St, CityC</t>
  </si>
  <si>
    <t>758 Main St, CityD</t>
  </si>
  <si>
    <t>D46</t>
  </si>
  <si>
    <t>825 Oak St, CityB</t>
  </si>
  <si>
    <t>44 Pine St, CityD</t>
  </si>
  <si>
    <t>D29</t>
  </si>
  <si>
    <t>728 Cedar St, CityB</t>
  </si>
  <si>
    <t>D94</t>
  </si>
  <si>
    <t>412 Elm St, CityC</t>
  </si>
  <si>
    <t>214 Pine St, CityD</t>
  </si>
  <si>
    <t>905 Pine St, CityD</t>
  </si>
  <si>
    <t>752 Pine St, CityD</t>
  </si>
  <si>
    <t>D37</t>
  </si>
  <si>
    <t>976 Pine St, CityD</t>
  </si>
  <si>
    <t>373 Oak St, CityC</t>
  </si>
  <si>
    <t>682 Pine St, CityB</t>
  </si>
  <si>
    <t>D58</t>
  </si>
  <si>
    <t>741 Cedar St, CityB</t>
  </si>
  <si>
    <t>252 Elm St, CityB</t>
  </si>
  <si>
    <t>583 Elm St, CityE</t>
  </si>
  <si>
    <t>D13</t>
  </si>
  <si>
    <t>373 Pine St, CityE</t>
  </si>
  <si>
    <t>884 Pine St, CityC</t>
  </si>
  <si>
    <t>D92</t>
  </si>
  <si>
    <t>660 Oak St, CityB</t>
  </si>
  <si>
    <t>403 Elm St, CityD</t>
  </si>
  <si>
    <t>112 Cedar St, CityD</t>
  </si>
  <si>
    <t>308 Cedar St, CityD</t>
  </si>
  <si>
    <t>53 Elm St, CityB</t>
  </si>
  <si>
    <t>346 Cedar St, CityB</t>
  </si>
  <si>
    <t>676 Pine St, CityE</t>
  </si>
  <si>
    <t>443 Elm St, CityD</t>
  </si>
  <si>
    <t>25 Elm St, CityD</t>
  </si>
  <si>
    <t>582 Elm St, CityC</t>
  </si>
  <si>
    <t>764 Cedar St, CityB</t>
  </si>
  <si>
    <t>657 Pine St, CityE</t>
  </si>
  <si>
    <t>D24</t>
  </si>
  <si>
    <t>801 Elm St, CityB</t>
  </si>
  <si>
    <t>422 Oak St, CityD</t>
  </si>
  <si>
    <t>D17</t>
  </si>
  <si>
    <t>252 Elm St, CityD</t>
  </si>
  <si>
    <t>D51</t>
  </si>
  <si>
    <t>324 Cedar St, CityE</t>
  </si>
  <si>
    <t>544 Main St, CityA</t>
  </si>
  <si>
    <t>806 Main St, CityA</t>
  </si>
  <si>
    <t>22 Main St, CityA</t>
  </si>
  <si>
    <t>D22</t>
  </si>
  <si>
    <t>340 Main St, CityC</t>
  </si>
  <si>
    <t>954 Oak St, CityB</t>
  </si>
  <si>
    <t>762 Elm St, CityB</t>
  </si>
  <si>
    <t>315 Main St, CityC</t>
  </si>
  <si>
    <t>639 Oak St, CityE</t>
  </si>
  <si>
    <t>927 Pine St, CityD</t>
  </si>
  <si>
    <t>311 Main St, CityE</t>
  </si>
  <si>
    <t>164 Elm St, CityB</t>
  </si>
  <si>
    <t>426 Main St, CityE</t>
  </si>
  <si>
    <t>933 Cedar St, CityD</t>
  </si>
  <si>
    <t>163 Cedar St, CityE</t>
  </si>
  <si>
    <t>644 Pine St, CityC</t>
  </si>
  <si>
    <t>707 Elm St, CityA</t>
  </si>
  <si>
    <t>680 Elm St, CityD</t>
  </si>
  <si>
    <t>100 Main St, CityB</t>
  </si>
  <si>
    <t>902 Pine St, CityD</t>
  </si>
  <si>
    <t>389 Pine St, CityB</t>
  </si>
  <si>
    <t>786 Main St, CityE</t>
  </si>
  <si>
    <t>705 Oak St, CityD</t>
  </si>
  <si>
    <t>599 Cedar St, CityB</t>
  </si>
  <si>
    <t>459 Main St, CityD</t>
  </si>
  <si>
    <t>D8</t>
  </si>
  <si>
    <t>970 Cedar St, CityC</t>
  </si>
  <si>
    <t>907 Oak St, CityA</t>
  </si>
  <si>
    <t>908 Oak St, CityA</t>
  </si>
  <si>
    <t>182 Elm St, CityE</t>
  </si>
  <si>
    <t>308 Pine St, CityB</t>
  </si>
  <si>
    <t>114 Elm St, CityC</t>
  </si>
  <si>
    <t>300 Main St, CityC</t>
  </si>
  <si>
    <t>618 Pine St, CityA</t>
  </si>
  <si>
    <t>637 Cedar St, CityD</t>
  </si>
  <si>
    <t>174 Oak St, CityC</t>
  </si>
  <si>
    <t>197 Cedar St, CityC</t>
  </si>
  <si>
    <t>533 Main St, CityD</t>
  </si>
  <si>
    <t>327 Elm St, CityA</t>
  </si>
  <si>
    <t>665 Elm St, CityC</t>
  </si>
  <si>
    <t>270 Pine St, CityD</t>
  </si>
  <si>
    <t>346 Main St, CityC</t>
  </si>
  <si>
    <t>768 Pine St, CityA</t>
  </si>
  <si>
    <t>341 Cedar St, CityA</t>
  </si>
  <si>
    <t>134 Cedar St, CityA</t>
  </si>
  <si>
    <t>753 Cedar St, CityA</t>
  </si>
  <si>
    <t>310 Pine St, CityB</t>
  </si>
  <si>
    <t>D62</t>
  </si>
  <si>
    <t>398 Main St, CityC</t>
  </si>
  <si>
    <t>714 Pine St, CityC</t>
  </si>
  <si>
    <t>376 Cedar St, CityD</t>
  </si>
  <si>
    <t>417 Oak St, CityB</t>
  </si>
  <si>
    <t>966 Oak St, CityC</t>
  </si>
  <si>
    <t>566 Elm St, CityD</t>
  </si>
  <si>
    <t>289 Oak St, CityA</t>
  </si>
  <si>
    <t>936 Pine St, CityA</t>
  </si>
  <si>
    <t>825 Oak St, CityE</t>
  </si>
  <si>
    <t>918 Main St, CityA</t>
  </si>
  <si>
    <t>831 Elm St, CityA</t>
  </si>
  <si>
    <t>249 Main St, CityB</t>
  </si>
  <si>
    <t>383 Main St, CityB</t>
  </si>
  <si>
    <t>586 Elm St, CityA</t>
  </si>
  <si>
    <t>D95</t>
  </si>
  <si>
    <t>885 Main St, CityA</t>
  </si>
  <si>
    <t>741 Main St, CityC</t>
  </si>
  <si>
    <t>892 Cedar St, CityA</t>
  </si>
  <si>
    <t>D20</t>
  </si>
  <si>
    <t>160 Cedar St, CityD</t>
  </si>
  <si>
    <t>647 Oak St, CityA</t>
  </si>
  <si>
    <t>628 Main St, CityA</t>
  </si>
  <si>
    <t>722 Elm St, CityB</t>
  </si>
  <si>
    <t>941 Main St, CityB</t>
  </si>
  <si>
    <t>94 Main St, CityA</t>
  </si>
  <si>
    <t>444 Elm St, CityB</t>
  </si>
  <si>
    <t>52 Main St, CityD</t>
  </si>
  <si>
    <t>329 Cedar St, CityB</t>
  </si>
  <si>
    <t>488 Elm St, CityD</t>
  </si>
  <si>
    <t>620 Elm St, CityD</t>
  </si>
  <si>
    <t>295 Cedar St, CityA</t>
  </si>
  <si>
    <t>454 Elm St, CityE</t>
  </si>
  <si>
    <t>7 Main St, CityB</t>
  </si>
  <si>
    <t>998 Elm St, CityC</t>
  </si>
  <si>
    <t>148 Cedar St, CityE</t>
  </si>
  <si>
    <t>997 Elm St, CityA</t>
  </si>
  <si>
    <t>720 Main St, CityB</t>
  </si>
  <si>
    <t>192 Oak St, CityB</t>
  </si>
  <si>
    <t>167 Pine St, CityE</t>
  </si>
  <si>
    <t>304 Cedar St, CityD</t>
  </si>
  <si>
    <t>519 Oak St, CityB</t>
  </si>
  <si>
    <t>437 Oak St, CityC</t>
  </si>
  <si>
    <t>754 Elm St, CityE</t>
  </si>
  <si>
    <t>8 Oak St, CityC</t>
  </si>
  <si>
    <t>773 Elm St, CityA</t>
  </si>
  <si>
    <t>64 Main St, CityD</t>
  </si>
  <si>
    <t>353 Main St, CityE</t>
  </si>
  <si>
    <t>D7</t>
  </si>
  <si>
    <t>774 Pine St, CityA</t>
  </si>
  <si>
    <t>691 Pine St, CityA</t>
  </si>
  <si>
    <t>763 Main St, CityC</t>
  </si>
  <si>
    <t>603 Oak St, CityE</t>
  </si>
  <si>
    <t>695 Main St, CityE</t>
  </si>
  <si>
    <t>269 Oak St, CityD</t>
  </si>
  <si>
    <t>D56</t>
  </si>
  <si>
    <t>367 Pine St, CityC</t>
  </si>
  <si>
    <t>512 Oak St, CityD</t>
  </si>
  <si>
    <t>321 Cedar St, CityB</t>
  </si>
  <si>
    <t>234 Cedar St, CityB</t>
  </si>
  <si>
    <t>44 Oak St, CityD</t>
  </si>
  <si>
    <t>477 Pine St, CityC</t>
  </si>
  <si>
    <t>946 Pine St, CityD</t>
  </si>
  <si>
    <t>890 Pine St, CityD</t>
  </si>
  <si>
    <t>157 Elm St, CityD</t>
  </si>
  <si>
    <t>430 Main St, CityB</t>
  </si>
  <si>
    <t>808 Oak St, CityD</t>
  </si>
  <si>
    <t>892 Elm St, CityD</t>
  </si>
  <si>
    <t>375 Main St, CityD</t>
  </si>
  <si>
    <t>811 Elm St, CityB</t>
  </si>
  <si>
    <t>608 Elm St, CityB</t>
  </si>
  <si>
    <t>98 Main St, CityD</t>
  </si>
  <si>
    <t>484 Elm St, CityC</t>
  </si>
  <si>
    <t>346 Elm St, CityA</t>
  </si>
  <si>
    <t>510 Pine St, CityB</t>
  </si>
  <si>
    <t>311 Cedar St, CityC</t>
  </si>
  <si>
    <t>234 Elm St, CityD</t>
  </si>
  <si>
    <t>622 Pine St, CityD</t>
  </si>
  <si>
    <t>446 Elm St, CityD</t>
  </si>
  <si>
    <t>993 Main St, CityC</t>
  </si>
  <si>
    <t>985 Main St, CityA</t>
  </si>
  <si>
    <t>976 Oak St, CityD</t>
  </si>
  <si>
    <t>623 Oak St, CityB</t>
  </si>
  <si>
    <t>241 Cedar St, CityD</t>
  </si>
  <si>
    <t>823 Elm St, CityD</t>
  </si>
  <si>
    <t>503 Main St, CityC</t>
  </si>
  <si>
    <t>D47</t>
  </si>
  <si>
    <t>647 Elm St, CityC</t>
  </si>
  <si>
    <t>646 Oak St, CityE</t>
  </si>
  <si>
    <t>440 Cedar St, CityA</t>
  </si>
  <si>
    <t>614 Elm St, CityE</t>
  </si>
  <si>
    <t>289 Oak St, CityC</t>
  </si>
  <si>
    <t>827 Elm St, CityC</t>
  </si>
  <si>
    <t>579 Pine St, CityA</t>
  </si>
  <si>
    <t>19 Pine St, CityC</t>
  </si>
  <si>
    <t>428 Elm St, CityB</t>
  </si>
  <si>
    <t>968 Oak St, CityB</t>
  </si>
  <si>
    <t>932 Oak St, CityD</t>
  </si>
  <si>
    <t>806 Oak St, CityE</t>
  </si>
  <si>
    <t>349 Cedar St, CityC</t>
  </si>
  <si>
    <t>716 Elm St, CityB</t>
  </si>
  <si>
    <t>989 Oak St, CityE</t>
  </si>
  <si>
    <t>995 Elm St, CityE</t>
  </si>
  <si>
    <t>625 Elm St, CityB</t>
  </si>
  <si>
    <t>501 Cedar St, CityD</t>
  </si>
  <si>
    <t>912 Main St, CityC</t>
  </si>
  <si>
    <t>524 Main St, CityD</t>
  </si>
  <si>
    <t>769 Elm St, CityE</t>
  </si>
  <si>
    <t>330 Main St, CityE</t>
  </si>
  <si>
    <t>503 Pine St, CityE</t>
  </si>
  <si>
    <t>923 Oak St, CityA</t>
  </si>
  <si>
    <t>461 Pine St, CityB</t>
  </si>
  <si>
    <t>811 Oak St, CityB</t>
  </si>
  <si>
    <t>D12</t>
  </si>
  <si>
    <t>373 Main St, CityD</t>
  </si>
  <si>
    <t>253 Elm St, CityA</t>
  </si>
  <si>
    <t>336 Oak St, CityE</t>
  </si>
  <si>
    <t>495 Cedar St, CityB</t>
  </si>
  <si>
    <t>803 Oak St, CityC</t>
  </si>
  <si>
    <t>497 Oak St, CityE</t>
  </si>
  <si>
    <t>905 Cedar St, CityB</t>
  </si>
  <si>
    <t>844 Elm St, CityE</t>
  </si>
  <si>
    <t>620 Main St, CityC</t>
  </si>
  <si>
    <t>752 Main St, CityB</t>
  </si>
  <si>
    <t>537 Cedar St, CityC</t>
  </si>
  <si>
    <t>255 Pine St, CityD</t>
  </si>
  <si>
    <t>718 Main St, CityC</t>
  </si>
  <si>
    <t>268 Elm St, CityB</t>
  </si>
  <si>
    <t>304 Main St, CityA</t>
  </si>
  <si>
    <t>668 Pine St, CityA</t>
  </si>
  <si>
    <t>378 Pine St, CityB</t>
  </si>
  <si>
    <t>458 Pine St, CityE</t>
  </si>
  <si>
    <t>161 Cedar St, CityD</t>
  </si>
  <si>
    <t>777 Oak St, CityA</t>
  </si>
  <si>
    <t>960 Oak St, CityD</t>
  </si>
  <si>
    <t>283 Elm St, CityE</t>
  </si>
  <si>
    <t>465 Oak St, CityB</t>
  </si>
  <si>
    <t>601 Elm St, CityC</t>
  </si>
  <si>
    <t>980 Main St, CityA</t>
  </si>
  <si>
    <t>54 Oak St, CityE</t>
  </si>
  <si>
    <t>489 Oak St, CityB</t>
  </si>
  <si>
    <t>323 Pine St, CityE</t>
  </si>
  <si>
    <t>27 Pine St, CityC</t>
  </si>
  <si>
    <t>406 Elm St, CityC</t>
  </si>
  <si>
    <t>628 Main St, CityC</t>
  </si>
  <si>
    <t>332 Cedar St, CityE</t>
  </si>
  <si>
    <t>41 Cedar St, CityA</t>
  </si>
  <si>
    <t>741 Elm St, CityD</t>
  </si>
  <si>
    <t>66 Main St, CityB</t>
  </si>
  <si>
    <t>156 Main St, CityE</t>
  </si>
  <si>
    <t>168 Elm St, CityA</t>
  </si>
  <si>
    <t>773 Oak St, CityC</t>
  </si>
  <si>
    <t>347 Main St, CityD</t>
  </si>
  <si>
    <t>352 Main St, CityD</t>
  </si>
  <si>
    <t>411 Cedar St, CityA</t>
  </si>
  <si>
    <t>538 Pine St, CityD</t>
  </si>
  <si>
    <t>712 Elm St, CityE</t>
  </si>
  <si>
    <t>843 Main St, CityB</t>
  </si>
  <si>
    <t>460 Elm St, CityA</t>
  </si>
  <si>
    <t>782 Oak St, CityB</t>
  </si>
  <si>
    <t>246 Main St, CityE</t>
  </si>
  <si>
    <t>25 Main St, CityB</t>
  </si>
  <si>
    <t>491 Main St, CityA</t>
  </si>
  <si>
    <t>225 Elm St, CityB</t>
  </si>
  <si>
    <t>978 Elm St, CityE</t>
  </si>
  <si>
    <t>328 Oak St, CityD</t>
  </si>
  <si>
    <t>775 Pine St, CityA</t>
  </si>
  <si>
    <t>523 Oak St, CityD</t>
  </si>
  <si>
    <t>25 Pine St, CityE</t>
  </si>
  <si>
    <t>70 Main St, CityB</t>
  </si>
  <si>
    <t>604 Main St, CityB</t>
  </si>
  <si>
    <t>236 Cedar St, CityD</t>
  </si>
  <si>
    <t>8 Oak St, CityA</t>
  </si>
  <si>
    <t>596 Oak St, CityE</t>
  </si>
  <si>
    <t>921 Elm St, CityD</t>
  </si>
  <si>
    <t>218 Elm St, CityE</t>
  </si>
  <si>
    <t>8 Cedar St, CityC</t>
  </si>
  <si>
    <t>273 Cedar St, CityC</t>
  </si>
  <si>
    <t>524 Pine St, CityB</t>
  </si>
  <si>
    <t>855 Elm St, CityE</t>
  </si>
  <si>
    <t>263 Oak St, CityB</t>
  </si>
  <si>
    <t>335 Oak St, CityD</t>
  </si>
  <si>
    <t>123 Oak St, CityD</t>
  </si>
  <si>
    <t>30 Pine St, CityE</t>
  </si>
  <si>
    <t>991 Cedar St, CityD</t>
  </si>
  <si>
    <t>210 Elm St, CityA</t>
  </si>
  <si>
    <t>43 Pine St, CityA</t>
  </si>
  <si>
    <t>761 Elm St, CityB</t>
  </si>
  <si>
    <t>778 Cedar St, CityC</t>
  </si>
  <si>
    <t>853 Elm St, CityE</t>
  </si>
  <si>
    <t>838 Oak St, CityC</t>
  </si>
  <si>
    <t>475 Main St, CityB</t>
  </si>
  <si>
    <t>581 Oak St, CityB</t>
  </si>
  <si>
    <t>524 Main St, CityC</t>
  </si>
  <si>
    <t>13 Elm St, CityB</t>
  </si>
  <si>
    <t>882 Oak St, CityB</t>
  </si>
  <si>
    <t>512 Pine St, CityC</t>
  </si>
  <si>
    <t>469 Pine St, CityE</t>
  </si>
  <si>
    <t>772 Elm St, CityD</t>
  </si>
  <si>
    <t>492 Cedar St, CityE</t>
  </si>
  <si>
    <t>293 Elm St, CityA</t>
  </si>
  <si>
    <t>632 Main St, CityA</t>
  </si>
  <si>
    <t>874 Main St, CityE</t>
  </si>
  <si>
    <t>52 Main St, CityC</t>
  </si>
  <si>
    <t>953 Main St, CityC</t>
  </si>
  <si>
    <t>456 Pine St, CityE</t>
  </si>
  <si>
    <t>985 Elm St, CityA</t>
  </si>
  <si>
    <t>55 Oak St, CityB</t>
  </si>
  <si>
    <t>662 Elm St, CityD</t>
  </si>
  <si>
    <t>760 Oak St, CityA</t>
  </si>
  <si>
    <t>287 Pine St, CityA</t>
  </si>
  <si>
    <t>305 Main St, CityA</t>
  </si>
  <si>
    <t>310 Elm St, CityC</t>
  </si>
  <si>
    <t>468 Elm St, CityA</t>
  </si>
  <si>
    <t>942 Main St, CityD</t>
  </si>
  <si>
    <t>179 Main St, CityA</t>
  </si>
  <si>
    <t>89 Elm St, CityD</t>
  </si>
  <si>
    <t>891 Cedar St, CityE</t>
  </si>
  <si>
    <t>280 Oak St, CityA</t>
  </si>
  <si>
    <t>720 Cedar St, CityD</t>
  </si>
  <si>
    <t>65 Elm St, CityB</t>
  </si>
  <si>
    <t>67 Pine St, CityD</t>
  </si>
  <si>
    <t>31 Main St, CityD</t>
  </si>
  <si>
    <t>443 Pine St, CityD</t>
  </si>
  <si>
    <t>180 Main St, CityE</t>
  </si>
  <si>
    <t>919 Main St, CityA</t>
  </si>
  <si>
    <t>983 Oak St, CityC</t>
  </si>
  <si>
    <t>737 Pine St, CityB</t>
  </si>
  <si>
    <t>822 Oak St, CityA</t>
  </si>
  <si>
    <t>688 Oak St, CityB</t>
  </si>
  <si>
    <t>241 Pine St, CityA</t>
  </si>
  <si>
    <t>666 Main St, CityE</t>
  </si>
  <si>
    <t>856 Pine St, CityE</t>
  </si>
  <si>
    <t>975 Pine St, CityB</t>
  </si>
  <si>
    <t>733 Main St, CityC</t>
  </si>
  <si>
    <t>373 Main St, CityE</t>
  </si>
  <si>
    <t>377 Pine St, CityD</t>
  </si>
  <si>
    <t>558 Elm St, CityC</t>
  </si>
  <si>
    <t>675 Oak St, CityE</t>
  </si>
  <si>
    <t>554 Elm St, CityC</t>
  </si>
  <si>
    <t>753 Oak St, CityD</t>
  </si>
  <si>
    <t>179 Cedar St, CityD</t>
  </si>
  <si>
    <t>382 Pine St, CityC</t>
  </si>
  <si>
    <t>786 Oak St, CityB</t>
  </si>
  <si>
    <t>834 Pine St, CityE</t>
  </si>
  <si>
    <t>418 Oak St, CityD</t>
  </si>
  <si>
    <t>89 Cedar St, CityC</t>
  </si>
  <si>
    <t>907 Elm St, CityC</t>
  </si>
  <si>
    <t>947 Oak St, CityD</t>
  </si>
  <si>
    <t>462 Cedar St, CityB</t>
  </si>
  <si>
    <t>519 Elm St, CityE</t>
  </si>
  <si>
    <t>350 Cedar St, CityB</t>
  </si>
  <si>
    <t>872 Cedar St, CityB</t>
  </si>
  <si>
    <t>836 Elm St, CityD</t>
  </si>
  <si>
    <t>84 Pine St, CityA</t>
  </si>
  <si>
    <t>514 Cedar St, CityA</t>
  </si>
  <si>
    <t>533 Main St, CityE</t>
  </si>
  <si>
    <t>5 Oak St, CityE</t>
  </si>
  <si>
    <t>681 Elm St, CityB</t>
  </si>
  <si>
    <t>701 Oak St, CityD</t>
  </si>
  <si>
    <t>120 Oak St, CityC</t>
  </si>
  <si>
    <t>562 Pine St, CityE</t>
  </si>
  <si>
    <t>673 Pine St, CityB</t>
  </si>
  <si>
    <t>591 Oak St, CityD</t>
  </si>
  <si>
    <t>705 Main St, CityB</t>
  </si>
  <si>
    <t>656 Pine St, CityB</t>
  </si>
  <si>
    <t>855 Elm St, CityA</t>
  </si>
  <si>
    <t>915 Cedar St, CityA</t>
  </si>
  <si>
    <t>508 Elm St, CityA</t>
  </si>
  <si>
    <t>712 Oak St, CityB</t>
  </si>
  <si>
    <t>774 Pine St, CityC</t>
  </si>
  <si>
    <t>846 Elm St, CityE</t>
  </si>
  <si>
    <t>654 Main St, CityB</t>
  </si>
  <si>
    <t>25 Main St, CityA</t>
  </si>
  <si>
    <t>303 Main St, CityB</t>
  </si>
  <si>
    <t>191 Main St, CityA</t>
  </si>
  <si>
    <t>260 Pine St, CityA</t>
  </si>
  <si>
    <t>433 Oak St, CityD</t>
  </si>
  <si>
    <t>11 Cedar St, CityC</t>
  </si>
  <si>
    <t>352 Pine St, CityC</t>
  </si>
  <si>
    <t>214 Oak St, CityD</t>
  </si>
  <si>
    <t>635 Cedar St, CityD</t>
  </si>
  <si>
    <t>651 Cedar St, CityE</t>
  </si>
  <si>
    <t>512 Oak St, CityC</t>
  </si>
  <si>
    <t>32 Oak St, CityD</t>
  </si>
  <si>
    <t>882 Pine St, CityE</t>
  </si>
  <si>
    <t>789 Main St, CityD</t>
  </si>
  <si>
    <t>706 Cedar St, CityE</t>
  </si>
  <si>
    <t>902 Oak St, CityD</t>
  </si>
  <si>
    <t>28 Pine St, CityA</t>
  </si>
  <si>
    <t>986 Pine St, CityA</t>
  </si>
  <si>
    <t>487 Oak St, CityE</t>
  </si>
  <si>
    <t>95 Main St, CityB</t>
  </si>
  <si>
    <t>742 Main St, CityD</t>
  </si>
  <si>
    <t>389 Oak St, CityB</t>
  </si>
  <si>
    <t>619 Pine St, CityA</t>
  </si>
  <si>
    <t>331 Oak St, CityE</t>
  </si>
  <si>
    <t>796 Pine St, CityB</t>
  </si>
  <si>
    <t>629 Pine St, CityA</t>
  </si>
  <si>
    <t>11 Elm St, CityE</t>
  </si>
  <si>
    <t>456 Main St, CityE</t>
  </si>
  <si>
    <t>186 Pine St, CityC</t>
  </si>
  <si>
    <t>714 Cedar St, CityD</t>
  </si>
  <si>
    <t>821 Cedar St, CityA</t>
  </si>
  <si>
    <t>715 Cedar St, CityD</t>
  </si>
  <si>
    <t>179 Pine St, CityC</t>
  </si>
  <si>
    <t>875 Elm St, CityA</t>
  </si>
  <si>
    <t>298 Cedar St, CityC</t>
  </si>
  <si>
    <t>437 Main St, CityB</t>
  </si>
  <si>
    <t>992 Main St, CityB</t>
  </si>
  <si>
    <t>494 Pine St, CityB</t>
  </si>
  <si>
    <t>6 Pine St, CityB</t>
  </si>
  <si>
    <t>792 Pine St, CityA</t>
  </si>
  <si>
    <t>310 Elm St, CityB</t>
  </si>
  <si>
    <t>349 Cedar St, CityD</t>
  </si>
  <si>
    <t>235 Pine St, CityA</t>
  </si>
  <si>
    <t>104 Elm St, CityB</t>
  </si>
  <si>
    <t>136 Cedar St, CityE</t>
  </si>
  <si>
    <t>25 Pine St, CityD</t>
  </si>
  <si>
    <t>376 Pine St, CityA</t>
  </si>
  <si>
    <t>726 Cedar St, CityC</t>
  </si>
  <si>
    <t>651 Cedar St, CityA</t>
  </si>
  <si>
    <t>429 Pine St, CityA</t>
  </si>
  <si>
    <t>286 Pine St, CityE</t>
  </si>
  <si>
    <t>719 Pine St, CityA</t>
  </si>
  <si>
    <t>67 Main St, CityC</t>
  </si>
  <si>
    <t>899 Oak St, CityD</t>
  </si>
  <si>
    <t>411 Cedar St, CityB</t>
  </si>
  <si>
    <t>929 Elm St, CityA</t>
  </si>
  <si>
    <t>25 Elm St, CityA</t>
  </si>
  <si>
    <t>585 Elm St, CityB</t>
  </si>
  <si>
    <t>457 Cedar St, CityC</t>
  </si>
  <si>
    <t>571 Oak St, CityD</t>
  </si>
  <si>
    <t>69 Elm St, CityE</t>
  </si>
  <si>
    <t>424 Main St, CityE</t>
  </si>
  <si>
    <t>41 Elm St, CityB</t>
  </si>
  <si>
    <t>151 Oak St, CityB</t>
  </si>
  <si>
    <t>765 Pine St, CityA</t>
  </si>
  <si>
    <t>381 Main St, CityE</t>
  </si>
  <si>
    <t>808 Main St, CityA</t>
  </si>
  <si>
    <t>538 Oak St, CityE</t>
  </si>
  <si>
    <t>544 Main St, CityC</t>
  </si>
  <si>
    <t>902 Elm St, CityC</t>
  </si>
  <si>
    <t>943 Elm St, CityD</t>
  </si>
  <si>
    <t>821 Elm St, CityB</t>
  </si>
  <si>
    <t>680 Pine St, CityD</t>
  </si>
  <si>
    <t>491 Elm St, CityA</t>
  </si>
  <si>
    <t>177 Pine St, CityE</t>
  </si>
  <si>
    <t>649 Cedar St, CityA</t>
  </si>
  <si>
    <t>150 Elm St, CityE</t>
  </si>
  <si>
    <t>149 Main St, CityD</t>
  </si>
  <si>
    <t>526 Main St, CityE</t>
  </si>
  <si>
    <t>169 Elm St, CityD</t>
  </si>
  <si>
    <t>860 Oak St, CityB</t>
  </si>
  <si>
    <t>848 Oak St, CityD</t>
  </si>
  <si>
    <t>62 Pine St, CityA</t>
  </si>
  <si>
    <t>892 Oak St, CityD</t>
  </si>
  <si>
    <t>29 Elm St, CityC</t>
  </si>
  <si>
    <t>401 Pine St, CityE</t>
  </si>
  <si>
    <t>857 Elm St, CityB</t>
  </si>
  <si>
    <t>491 Cedar St, CityE</t>
  </si>
  <si>
    <t>911 Pine St, CityB</t>
  </si>
  <si>
    <t>248 Cedar St, CityE</t>
  </si>
  <si>
    <t>295 Pine St, CityA</t>
  </si>
  <si>
    <t>444 Cedar St, CityA</t>
  </si>
  <si>
    <t>428 Main St, CityE</t>
  </si>
  <si>
    <t>87 Elm St, CityA</t>
  </si>
  <si>
    <t>379 Oak St, CityD</t>
  </si>
  <si>
    <t>288 Pine St, CityC</t>
  </si>
  <si>
    <t>311 Cedar St, CityE</t>
  </si>
  <si>
    <t>524 Pine St, CityD</t>
  </si>
  <si>
    <t>776 Cedar St, CityE</t>
  </si>
  <si>
    <t>946 Cedar St, CityE</t>
  </si>
  <si>
    <t>677 Cedar St, CityB</t>
  </si>
  <si>
    <t>481 Oak St, CityA</t>
  </si>
  <si>
    <t>709 Pine St, CityC</t>
  </si>
  <si>
    <t>546 Cedar St, CityE</t>
  </si>
  <si>
    <t>647 Main St, CityC</t>
  </si>
  <si>
    <t>645 Oak St, CityC</t>
  </si>
  <si>
    <t>896 Oak St, CityE</t>
  </si>
  <si>
    <t>526 Elm St, CityC</t>
  </si>
  <si>
    <t>950 Oak St, CityB</t>
  </si>
  <si>
    <t>580 Elm St, CityC</t>
  </si>
  <si>
    <t>996 Oak St, CityB</t>
  </si>
  <si>
    <t>846 Oak St, CityE</t>
  </si>
  <si>
    <t>693 Pine St, CityC</t>
  </si>
  <si>
    <t>271 Cedar St, CityD</t>
  </si>
  <si>
    <t>686 Elm St, CityE</t>
  </si>
  <si>
    <t>912 Elm St, CityC</t>
  </si>
  <si>
    <t>195 Oak St, CityE</t>
  </si>
  <si>
    <t>567 Oak St, CityB</t>
  </si>
  <si>
    <t>818 Pine St, CityE</t>
  </si>
  <si>
    <t>533 Elm St, CityA</t>
  </si>
  <si>
    <t>742 Oak St, CityB</t>
  </si>
  <si>
    <t>211 Cedar St, CityC</t>
  </si>
  <si>
    <t>188 Pine St, CityC</t>
  </si>
  <si>
    <t>252 Pine St, CityD</t>
  </si>
  <si>
    <t>735 Oak St, CityE</t>
  </si>
  <si>
    <t>471 Cedar St, CityC</t>
  </si>
  <si>
    <t>150 Oak St, CityE</t>
  </si>
  <si>
    <t>74 Oak St, CityA</t>
  </si>
  <si>
    <t>990 Pine St, CityE</t>
  </si>
  <si>
    <t>403 Main St, CityA</t>
  </si>
  <si>
    <t>194 Oak St, CityD</t>
  </si>
  <si>
    <t>466 Cedar St, CityE</t>
  </si>
  <si>
    <t>841 Oak St, CityE</t>
  </si>
  <si>
    <t>582 Pine St, CityB</t>
  </si>
  <si>
    <t>273 Main St, CityD</t>
  </si>
  <si>
    <t>644 Pine St, CityE</t>
  </si>
  <si>
    <t>111 Pine St, CityD</t>
  </si>
  <si>
    <t>397 Oak St, CityA</t>
  </si>
  <si>
    <t>144 Elm St, CityA</t>
  </si>
  <si>
    <t>371 Main St, CityA</t>
  </si>
  <si>
    <t>868 Main St, CityC</t>
  </si>
  <si>
    <t>111 Cedar St, CityE</t>
  </si>
  <si>
    <t>275 Elm St, CityA</t>
  </si>
  <si>
    <t>948 Pine St, CityB</t>
  </si>
  <si>
    <t>11 Main St, CityC</t>
  </si>
  <si>
    <t>640 Oak St, CityC</t>
  </si>
  <si>
    <t>441 Elm St, CityB</t>
  </si>
  <si>
    <t>226 Cedar St, CityE</t>
  </si>
  <si>
    <t>585 Oak St, CityE</t>
  </si>
  <si>
    <t>363 Elm St, CityB</t>
  </si>
  <si>
    <t>24 Cedar St, CityE</t>
  </si>
  <si>
    <t>325 Elm St, CityB</t>
  </si>
  <si>
    <t>826 Pine St, CityB</t>
  </si>
  <si>
    <t>555 Cedar St, CityA</t>
  </si>
  <si>
    <t>978 Elm St, CityA</t>
  </si>
  <si>
    <t>585 Cedar St, CityC</t>
  </si>
  <si>
    <t>829 Pine St, CityA</t>
  </si>
  <si>
    <t>98 Elm St, CityD</t>
  </si>
  <si>
    <t>227 Elm St, CityD</t>
  </si>
  <si>
    <t>940 Elm St, CityC</t>
  </si>
  <si>
    <t>110 Main St, CityB</t>
  </si>
  <si>
    <t>688 Oak St, CityD</t>
  </si>
  <si>
    <t>594 Cedar St, CityD</t>
  </si>
  <si>
    <t>457 Elm St, CityB</t>
  </si>
  <si>
    <t>103 Main St, CityD</t>
  </si>
  <si>
    <t>730 Pine St, CityD</t>
  </si>
  <si>
    <t>154 Pine St, CityE</t>
  </si>
  <si>
    <t>769 Pine St, CityA</t>
  </si>
  <si>
    <t>555 Oak St, CityB</t>
  </si>
  <si>
    <t>903 Pine St, CityD</t>
  </si>
  <si>
    <t>809 Cedar St, CityC</t>
  </si>
  <si>
    <t>330 Main St, CityD</t>
  </si>
  <si>
    <t>520 Cedar St, CityD</t>
  </si>
  <si>
    <t>859 Pine St, CityE</t>
  </si>
  <si>
    <t>211 Oak St, CityB</t>
  </si>
  <si>
    <t>721 Main St, CityE</t>
  </si>
  <si>
    <t>858 Pine St, CityB</t>
  </si>
  <si>
    <t>807 Pine St, CityB</t>
  </si>
  <si>
    <t>224 Oak St, CityC</t>
  </si>
  <si>
    <t>415 Oak St, CityB</t>
  </si>
  <si>
    <t>733 Oak St, CityB</t>
  </si>
  <si>
    <t>389 Cedar St, CityD</t>
  </si>
  <si>
    <t>984 Main St, CityE</t>
  </si>
  <si>
    <t>250 Main St, CityD</t>
  </si>
  <si>
    <t>731 Main St, CityD</t>
  </si>
  <si>
    <t>586 Oak St, CityC</t>
  </si>
  <si>
    <t>391 Main St, CityD</t>
  </si>
  <si>
    <t>447 Pine St, CityD</t>
  </si>
  <si>
    <t>92 Pine St, CityC</t>
  </si>
  <si>
    <t>357 Elm St, CityC</t>
  </si>
  <si>
    <t>376 Oak St, CityD</t>
  </si>
  <si>
    <t>162 Elm St, CityB</t>
  </si>
  <si>
    <t>875 Cedar St, CityE</t>
  </si>
  <si>
    <t>614 Cedar St, CityB</t>
  </si>
  <si>
    <t>867 Main St, CityD</t>
  </si>
  <si>
    <t>374 Main St, CityB</t>
  </si>
  <si>
    <t>93 Elm St, CityA</t>
  </si>
  <si>
    <t>631 Cedar St, CityA</t>
  </si>
  <si>
    <t>257 Main St, CityE</t>
  </si>
  <si>
    <t>955 Oak St, CityD</t>
  </si>
  <si>
    <t>153 Oak St, CityB</t>
  </si>
  <si>
    <t>880 Pine St, CityC</t>
  </si>
  <si>
    <t>892 Elm St, CityB</t>
  </si>
  <si>
    <t>420 Oak St, CityB</t>
  </si>
  <si>
    <t>534 Main St, CityB</t>
  </si>
  <si>
    <t>893 Main St, CityE</t>
  </si>
  <si>
    <t>54 Cedar St, CityB</t>
  </si>
  <si>
    <t>296 Cedar St, CityD</t>
  </si>
  <si>
    <t>965 Pine St, CityB</t>
  </si>
  <si>
    <t>242 Main St, CityB</t>
  </si>
  <si>
    <t>618 Main St, CityA</t>
  </si>
  <si>
    <t>792 Main St, CityC</t>
  </si>
  <si>
    <t>837 Elm St, CityE</t>
  </si>
  <si>
    <t>128 Pine St, CityE</t>
  </si>
  <si>
    <t>780 Oak St, CityB</t>
  </si>
  <si>
    <t>157 Cedar St, CityB</t>
  </si>
  <si>
    <t>252 Main St, CityC</t>
  </si>
  <si>
    <t>876 Elm St, CityC</t>
  </si>
  <si>
    <t>517 Main St, CityD</t>
  </si>
  <si>
    <t>139 Elm St, CityA</t>
  </si>
  <si>
    <t>481 Elm St, CityB</t>
  </si>
  <si>
    <t>248 Cedar St, CityC</t>
  </si>
  <si>
    <t>588 Oak St, CityD</t>
  </si>
  <si>
    <t>252 Pine St, CityB</t>
  </si>
  <si>
    <t>728 Main St, CityB</t>
  </si>
  <si>
    <t>166 Cedar St, CityA</t>
  </si>
  <si>
    <t>69 Pine St, CityB</t>
  </si>
  <si>
    <t>1 Oak St, CityD</t>
  </si>
  <si>
    <t>542 Pine St, CityD</t>
  </si>
  <si>
    <t>564 Cedar St, CityD</t>
  </si>
  <si>
    <t>911 Cedar St, CityD</t>
  </si>
  <si>
    <t>986 Cedar St, CityC</t>
  </si>
  <si>
    <t>806 Cedar St, CityE</t>
  </si>
  <si>
    <t>736 Pine St, CityC</t>
  </si>
  <si>
    <t>537 Pine St, CityB</t>
  </si>
  <si>
    <t>516 Pine St, CityB</t>
  </si>
  <si>
    <t>825 Main St, CityB</t>
  </si>
  <si>
    <t>76 Cedar St, CityC</t>
  </si>
  <si>
    <t>863 Oak St, CityA</t>
  </si>
  <si>
    <t>619 Pine St, CityD</t>
  </si>
  <si>
    <t>385 Oak St, CityC</t>
  </si>
  <si>
    <t>25 Oak St, CityD</t>
  </si>
  <si>
    <t>204 Main St, CityB</t>
  </si>
  <si>
    <t>886 Cedar St, CityB</t>
  </si>
  <si>
    <t>665 Oak St, CityD</t>
  </si>
  <si>
    <t>251 Elm St, CityA</t>
  </si>
  <si>
    <t>923 Elm St, CityD</t>
  </si>
  <si>
    <t>259 Pine St, CityD</t>
  </si>
  <si>
    <t>478 Pine St, CityC</t>
  </si>
  <si>
    <t>904 Elm St, CityD</t>
  </si>
  <si>
    <t>134 Pine St, CityA</t>
  </si>
  <si>
    <t>252 Elm St, CityA</t>
  </si>
  <si>
    <t>303 Oak St, CityA</t>
  </si>
  <si>
    <t>359 Pine St, CityD</t>
  </si>
  <si>
    <t>909 Pine St, CityA</t>
  </si>
  <si>
    <t>613 Oak St, CityC</t>
  </si>
  <si>
    <t>841 Cedar St, CityE</t>
  </si>
  <si>
    <t>489 Main St, CityD</t>
  </si>
  <si>
    <t>70 Oak St, CityC</t>
  </si>
  <si>
    <t>199 Oak St, CityE</t>
  </si>
  <si>
    <t>170 Main St, CityA</t>
  </si>
  <si>
    <t>150 Cedar St, CityC</t>
  </si>
  <si>
    <t>62 Main St, CityE</t>
  </si>
  <si>
    <t>224 Cedar St, CityC</t>
  </si>
  <si>
    <t>343 Cedar St, CityD</t>
  </si>
  <si>
    <t>356 Cedar St, CityC</t>
  </si>
  <si>
    <t>292 Oak St, CityA</t>
  </si>
  <si>
    <t>821 Cedar St, CityE</t>
  </si>
  <si>
    <t>127 Pine St, CityD</t>
  </si>
  <si>
    <t>683 Cedar St, CityE</t>
  </si>
  <si>
    <t>519 Main St, CityB</t>
  </si>
  <si>
    <t>956 Pine St, CityC</t>
  </si>
  <si>
    <t>677 Pine St, CityC</t>
  </si>
  <si>
    <t>148 Elm St, CityB</t>
  </si>
  <si>
    <t>96 Cedar St, CityD</t>
  </si>
  <si>
    <t>283 Pine St, CityB</t>
  </si>
  <si>
    <t>43 Main St, CityC</t>
  </si>
  <si>
    <t>429 Cedar St, CityB</t>
  </si>
  <si>
    <t>428 Elm St, CityD</t>
  </si>
  <si>
    <t>561 Cedar St, CityC</t>
  </si>
  <si>
    <t>939 Elm St, CityA</t>
  </si>
  <si>
    <t>68 Elm St, CityA</t>
  </si>
  <si>
    <t>272 Pine St, CityA</t>
  </si>
  <si>
    <t>225 Pine St, CityB</t>
  </si>
  <si>
    <t>948 Pine St, CityA</t>
  </si>
  <si>
    <t>82 Pine St, CityC</t>
  </si>
  <si>
    <t>632 Oak St, CityD</t>
  </si>
  <si>
    <t>979 Oak St, CityE</t>
  </si>
  <si>
    <t>572 Cedar St, CityC</t>
  </si>
  <si>
    <t>647 Oak St, CityE</t>
  </si>
  <si>
    <t>160 Cedar St, CityE</t>
  </si>
  <si>
    <t>699 Oak St, CityE</t>
  </si>
  <si>
    <t>797 Elm St, CityB</t>
  </si>
  <si>
    <t>835 Main St, CityD</t>
  </si>
  <si>
    <t>495 Oak St, CityC</t>
  </si>
  <si>
    <t>963 Cedar St, CityC</t>
  </si>
  <si>
    <t>511 Pine St, CityA</t>
  </si>
  <si>
    <t>975 Cedar St, CityC</t>
  </si>
  <si>
    <t>821 Oak St, CityA</t>
  </si>
  <si>
    <t>229 Elm St, CityB</t>
  </si>
  <si>
    <t>476 Elm St, CityA</t>
  </si>
  <si>
    <t>715 Cedar St, CityE</t>
  </si>
  <si>
    <t>372 Pine St, CityD</t>
  </si>
  <si>
    <t>430 Cedar St, CityC</t>
  </si>
  <si>
    <t>307 Main St, CityB</t>
  </si>
  <si>
    <t>167 Cedar St, CityD</t>
  </si>
  <si>
    <t>972 Main St, CityC</t>
  </si>
  <si>
    <t>949 Main St, CityD</t>
  </si>
  <si>
    <t>416 Pine St, CityB</t>
  </si>
  <si>
    <t>425 Pine St, CityA</t>
  </si>
  <si>
    <t>342 Oak St, CityA</t>
  </si>
  <si>
    <t>316 Elm St, CityD</t>
  </si>
  <si>
    <t>901 Pine St, CityD</t>
  </si>
  <si>
    <t>603 Elm St, CityD</t>
  </si>
  <si>
    <t>441 Elm St, CityC</t>
  </si>
  <si>
    <t>250 Cedar St, CityB</t>
  </si>
  <si>
    <t>345 Elm St, CityE</t>
  </si>
  <si>
    <t>335 Cedar St, CityD</t>
  </si>
  <si>
    <t>874 Main St, CityA</t>
  </si>
  <si>
    <t>85 Main St, CityA</t>
  </si>
  <si>
    <t>154 Cedar St, CityD</t>
  </si>
  <si>
    <t>505 Main St, CityB</t>
  </si>
  <si>
    <t>53 Main St, CityD</t>
  </si>
  <si>
    <t>182 Main St, CityB</t>
  </si>
  <si>
    <t>299 Oak St, CityC</t>
  </si>
  <si>
    <t>683 Cedar St, CityA</t>
  </si>
  <si>
    <t>42 Elm St, CityC</t>
  </si>
  <si>
    <t>339 Main St, CityA</t>
  </si>
  <si>
    <t>597 Main St, CityA</t>
  </si>
  <si>
    <t>630 Main St, CityB</t>
  </si>
  <si>
    <t>809 Elm St, CityD</t>
  </si>
  <si>
    <t>844 Pine St, CityA</t>
  </si>
  <si>
    <t>274 Cedar St, CityC</t>
  </si>
  <si>
    <t>852 Cedar St, CityC</t>
  </si>
  <si>
    <t>142 Main St, CityD</t>
  </si>
  <si>
    <t>621 Oak St, CityB</t>
  </si>
  <si>
    <t>659 Cedar St, CityA</t>
  </si>
  <si>
    <t>509 Cedar St, CityB</t>
  </si>
  <si>
    <t>706 Oak St, CityA</t>
  </si>
  <si>
    <t>403 Oak St, CityB</t>
  </si>
  <si>
    <t>712 Pine St, CityD</t>
  </si>
  <si>
    <t>368 Cedar St, CityC</t>
  </si>
  <si>
    <t>301 Pine St, CityD</t>
  </si>
  <si>
    <t>683 Oak St, CityB</t>
  </si>
  <si>
    <t>247 Pine St, CityB</t>
  </si>
  <si>
    <t>721 Elm St, CityA</t>
  </si>
  <si>
    <t>82 Main St, CityE</t>
  </si>
  <si>
    <t>897 Main St, CityB</t>
  </si>
  <si>
    <t>111 Pine St, CityB</t>
  </si>
  <si>
    <t>153 Main St, CityC</t>
  </si>
  <si>
    <t>789 Oak St, CityC</t>
  </si>
  <si>
    <t>594 Elm St, CityD</t>
  </si>
  <si>
    <t>953 Cedar St, CityE</t>
  </si>
  <si>
    <t>310 Elm St, CityD</t>
  </si>
  <si>
    <t>672 Main St, CityC</t>
  </si>
  <si>
    <t>161 Pine St, CityB</t>
  </si>
  <si>
    <t>354 Main St, CityA</t>
  </si>
  <si>
    <t>33 Oak St, CityD</t>
  </si>
  <si>
    <t>192 Pine St, CityD</t>
  </si>
  <si>
    <t>675 Pine St, CityC</t>
  </si>
  <si>
    <t>461 Elm St, CityC</t>
  </si>
  <si>
    <t>764 Pine St, CityC</t>
  </si>
  <si>
    <t>982 Cedar St, CityB</t>
  </si>
  <si>
    <t>8 Elm St, CityC</t>
  </si>
  <si>
    <t>426 Main St, CityD</t>
  </si>
  <si>
    <t>897 Oak St, CityB</t>
  </si>
  <si>
    <t>44 Elm St, CityB</t>
  </si>
  <si>
    <t>526 Cedar St, CityD</t>
  </si>
  <si>
    <t>981 Oak St, CityB</t>
  </si>
  <si>
    <t>739 Elm St, CityD</t>
  </si>
  <si>
    <t>40 Main St, CityC</t>
  </si>
  <si>
    <t>729 Oak St, CityE</t>
  </si>
  <si>
    <t>382 Oak St, CityA</t>
  </si>
  <si>
    <t>108 Pine St, CityE</t>
  </si>
  <si>
    <t>207 Elm St, CityB</t>
  </si>
  <si>
    <t>341 Cedar St, CityC</t>
  </si>
  <si>
    <t>544 Pine St, CityE</t>
  </si>
  <si>
    <t>605 Cedar St, CityE</t>
  </si>
  <si>
    <t>202 Pine St, CityA</t>
  </si>
  <si>
    <t>298 Cedar St, CityD</t>
  </si>
  <si>
    <t>46 Oak St, CityC</t>
  </si>
  <si>
    <t>19 Pine St, CityE</t>
  </si>
  <si>
    <t>643 Main St, CityD</t>
  </si>
  <si>
    <t>850 Pine St, CityD</t>
  </si>
  <si>
    <t>937 Cedar St, CityE</t>
  </si>
  <si>
    <t>237 Oak St, CityE</t>
  </si>
  <si>
    <t>229 Pine St, CityC</t>
  </si>
  <si>
    <t>308 Main St, CityB</t>
  </si>
  <si>
    <t>685 Cedar St, CityC</t>
  </si>
  <si>
    <t>405 Oak St, CityA</t>
  </si>
  <si>
    <t>544 Elm St, CityA</t>
  </si>
  <si>
    <t>228 Pine St, CityB</t>
  </si>
  <si>
    <t>407 Main St, CityD</t>
  </si>
  <si>
    <t>49 Main St, CityC</t>
  </si>
  <si>
    <t>549 Cedar St, CityD</t>
  </si>
  <si>
    <t>17 Cedar St, CityC</t>
  </si>
  <si>
    <t>547 Cedar St, CityC</t>
  </si>
  <si>
    <t>799 Main St, CityB</t>
  </si>
  <si>
    <t>948 Pine St, CityE</t>
  </si>
  <si>
    <t>744 Oak St, CityB</t>
  </si>
  <si>
    <t>559 Elm St, CityA</t>
  </si>
  <si>
    <t>702 Pine St, CityA</t>
  </si>
  <si>
    <t>337 Elm St, CityD</t>
  </si>
  <si>
    <t>22 Main St, CityB</t>
  </si>
  <si>
    <t>674 Oak St, CityC</t>
  </si>
  <si>
    <t>426 Elm St, CityD</t>
  </si>
  <si>
    <t>209 Elm St, CityC</t>
  </si>
  <si>
    <t>100 Oak St, CityC</t>
  </si>
  <si>
    <t>556 Cedar St, CityA</t>
  </si>
  <si>
    <t>79 Elm St, CityA</t>
  </si>
  <si>
    <t>874 Main St, CityB</t>
  </si>
  <si>
    <t>68 Oak St, CityB</t>
  </si>
  <si>
    <t>117 Pine St, CityC</t>
  </si>
  <si>
    <t>125 Cedar St, CityE</t>
  </si>
  <si>
    <t>477 Cedar St, CityA</t>
  </si>
  <si>
    <t>493 Cedar St, CityC</t>
  </si>
  <si>
    <t>805 Main St, CityC</t>
  </si>
  <si>
    <t>808 Main St, CityC</t>
  </si>
  <si>
    <t>181 Pine St, CityB</t>
  </si>
  <si>
    <t>559 Oak St, CityA</t>
  </si>
  <si>
    <t>933 Cedar St, CityA</t>
  </si>
  <si>
    <t>351 Elm St, CityE</t>
  </si>
  <si>
    <t>835 Cedar St, CityB</t>
  </si>
  <si>
    <t>491 Oak St, CityA</t>
  </si>
  <si>
    <t>349 Pine St, CityD</t>
  </si>
  <si>
    <t>107 Cedar St, CityD</t>
  </si>
  <si>
    <t>218 Elm St, CityB</t>
  </si>
  <si>
    <t>636 Pine St, CityE</t>
  </si>
  <si>
    <t>766 Main St, CityB</t>
  </si>
  <si>
    <t>855 Pine St, CityE</t>
  </si>
  <si>
    <t>790 Pine St, CityD</t>
  </si>
  <si>
    <t>330 Oak St, CityB</t>
  </si>
  <si>
    <t>922 Main St, CityA</t>
  </si>
  <si>
    <t>464 Elm St, CityA</t>
  </si>
  <si>
    <t>585 Oak St, CityA</t>
  </si>
  <si>
    <t>681 Oak St, CityC</t>
  </si>
  <si>
    <t>426 Main St, CityC</t>
  </si>
  <si>
    <t>883 Pine St, CityA</t>
  </si>
  <si>
    <t>138 Main St, CityE</t>
  </si>
  <si>
    <t>534 Cedar St, CityA</t>
  </si>
  <si>
    <t>608 Elm St, CityD</t>
  </si>
  <si>
    <t>507 Cedar St, CityE</t>
  </si>
  <si>
    <t>744 Oak St, CityA</t>
  </si>
  <si>
    <t>640 Main St, CityC</t>
  </si>
  <si>
    <t>252 Oak St, CityE</t>
  </si>
  <si>
    <t>842 Pine St, CityC</t>
  </si>
  <si>
    <t>40 Main St, CityA</t>
  </si>
  <si>
    <t>962 Oak St, CityB</t>
  </si>
  <si>
    <t>713 Oak St, CityD</t>
  </si>
  <si>
    <t>157 Oak St, CityC</t>
  </si>
  <si>
    <t>871 Pine St, CityA</t>
  </si>
  <si>
    <t>999 Cedar St, CityC</t>
  </si>
  <si>
    <t>77 Pine St, CityC</t>
  </si>
  <si>
    <t>757 Oak St, CityD</t>
  </si>
  <si>
    <t>24 Main St, CityC</t>
  </si>
  <si>
    <t>336 Elm St, CityA</t>
  </si>
  <si>
    <t>891 Elm St, CityE</t>
  </si>
  <si>
    <t>618 Cedar St, CityA</t>
  </si>
  <si>
    <t>372 Main St, CityA</t>
  </si>
  <si>
    <t>999 Oak St, CityC</t>
  </si>
  <si>
    <t>326 Main St, CityB</t>
  </si>
  <si>
    <t>591 Elm St, CityE</t>
  </si>
  <si>
    <t>820 Main St, CityB</t>
  </si>
  <si>
    <t>51 Oak St, CityC</t>
  </si>
  <si>
    <t>862 Cedar St, CityE</t>
  </si>
  <si>
    <t>935 Main St, CityE</t>
  </si>
  <si>
    <t>958 Cedar St, CityE</t>
  </si>
  <si>
    <t>305 Cedar St, CityC</t>
  </si>
  <si>
    <t>103 Pine St, CityA</t>
  </si>
  <si>
    <t>320 Pine St, CityA</t>
  </si>
  <si>
    <t>759 Main St, CityB</t>
  </si>
  <si>
    <t>71 Main St, CityE</t>
  </si>
  <si>
    <t>5 Main St, CityD</t>
  </si>
  <si>
    <t>44 Pine St, CityC</t>
  </si>
  <si>
    <t>416 Cedar St, CityA</t>
  </si>
  <si>
    <t>271 Elm St, CityE</t>
  </si>
  <si>
    <t>963 Cedar St, CityB</t>
  </si>
  <si>
    <t>84 Oak St, CityB</t>
  </si>
  <si>
    <t>190 Cedar St, CityA</t>
  </si>
  <si>
    <t>646 Main St, CityD</t>
  </si>
  <si>
    <t>224 Elm St, CityB</t>
  </si>
  <si>
    <t>756 Cedar St, CityB</t>
  </si>
  <si>
    <t>418 Main St, CityE</t>
  </si>
  <si>
    <t>897 Oak St, CityE</t>
  </si>
  <si>
    <t>814 Elm St, CityD</t>
  </si>
  <si>
    <t>561 Elm St, CityA</t>
  </si>
  <si>
    <t>441 Elm St, CityE</t>
  </si>
  <si>
    <t>683 Pine St, CityB</t>
  </si>
  <si>
    <t>845 Cedar St, CityC</t>
  </si>
  <si>
    <t>353 Elm St, CityD</t>
  </si>
  <si>
    <t>998 Cedar St, CityD</t>
  </si>
  <si>
    <t>933 Cedar St, CityC</t>
  </si>
  <si>
    <t>276 Elm St, CityE</t>
  </si>
  <si>
    <t>877 Main St, CityD</t>
  </si>
  <si>
    <t>262 Cedar St, CityD</t>
  </si>
  <si>
    <t>2 Main St, CityD</t>
  </si>
  <si>
    <t>605 Elm St, CityC</t>
  </si>
  <si>
    <t>708 Elm St, CityE</t>
  </si>
  <si>
    <t>189 Cedar St, CityA</t>
  </si>
  <si>
    <t>991 Elm St, CityB</t>
  </si>
  <si>
    <t>729 Main St, CityB</t>
  </si>
  <si>
    <t>256 Main St, CityA</t>
  </si>
  <si>
    <t>701 Pine St, CityB</t>
  </si>
  <si>
    <t>989 Elm St, CityC</t>
  </si>
  <si>
    <t>983 Main St, CityE</t>
  </si>
  <si>
    <t>3 Elm St, CityA</t>
  </si>
  <si>
    <t>850 Main St, CityD</t>
  </si>
  <si>
    <t>110 Oak St, CityB</t>
  </si>
  <si>
    <t>458 Elm St, CityB</t>
  </si>
  <si>
    <t>742 Main St, CityC</t>
  </si>
  <si>
    <t>333 Pine St, CityD</t>
  </si>
  <si>
    <t>676 Cedar St, CityC</t>
  </si>
  <si>
    <t>455 Elm St, CityB</t>
  </si>
  <si>
    <t>212 Pine St, CityC</t>
  </si>
  <si>
    <t>193 Elm St, CityD</t>
  </si>
  <si>
    <t>501 Oak St, CityD</t>
  </si>
  <si>
    <t>51 Oak St, CityA</t>
  </si>
  <si>
    <t>444 Pine St, CityB</t>
  </si>
  <si>
    <t>63 Main St, CityD</t>
  </si>
  <si>
    <t>537 Oak St, CityB</t>
  </si>
  <si>
    <t>424 Main St, CityC</t>
  </si>
  <si>
    <t>145 Oak St, CityC</t>
  </si>
  <si>
    <t>182 Pine St, CityA</t>
  </si>
  <si>
    <t>485 Cedar St, CityA</t>
  </si>
  <si>
    <t>601 Pine St, CityC</t>
  </si>
  <si>
    <t>311 Elm St, CityD</t>
  </si>
  <si>
    <t>206 Oak St, CityD</t>
  </si>
  <si>
    <t>165 Pine St, CityB</t>
  </si>
  <si>
    <t>449 Elm St, CityA</t>
  </si>
  <si>
    <t>800 Elm St, CityD</t>
  </si>
  <si>
    <t>394 Elm St, CityE</t>
  </si>
  <si>
    <t>522 Elm St, CityA</t>
  </si>
  <si>
    <t>275 Oak St, CityE</t>
  </si>
  <si>
    <t>261 Main St, CityC</t>
  </si>
  <si>
    <t>883 Cedar St, CityC</t>
  </si>
  <si>
    <t>65 Cedar St, CityA</t>
  </si>
  <si>
    <t>248 Oak St, CityC</t>
  </si>
  <si>
    <t>830 Elm St, CityE</t>
  </si>
  <si>
    <t>877 Cedar St, CityE</t>
  </si>
  <si>
    <t>819 Cedar St, CityB</t>
  </si>
  <si>
    <t>643 Pine St, CityE</t>
  </si>
  <si>
    <t>4 Elm St, CityA</t>
  </si>
  <si>
    <t>336 Cedar St, CityD</t>
  </si>
  <si>
    <t>582 Oak St, CityA</t>
  </si>
  <si>
    <t>493 Elm St, CityB</t>
  </si>
  <si>
    <t>112 Oak St, CityD</t>
  </si>
  <si>
    <t>258 Oak St, CityE</t>
  </si>
  <si>
    <t>205 Pine St, CityE</t>
  </si>
  <si>
    <t>579 Cedar St, CityC</t>
  </si>
  <si>
    <t>99 Pine St, CityD</t>
  </si>
  <si>
    <t>640 Elm St, CityB</t>
  </si>
  <si>
    <t>333 Main St, CityC</t>
  </si>
  <si>
    <t>366 Pine St, CityB</t>
  </si>
  <si>
    <t>546 Oak St, CityD</t>
  </si>
  <si>
    <t>234 Pine St, CityE</t>
  </si>
  <si>
    <t>17 Main St, CityA</t>
  </si>
  <si>
    <t>579 Elm St, CityB</t>
  </si>
  <si>
    <t>421 Main St, CityB</t>
  </si>
  <si>
    <t>479 Pine St, CityE</t>
  </si>
  <si>
    <t>757 Main St, CityA</t>
  </si>
  <si>
    <t>698 Cedar St, CityD</t>
  </si>
  <si>
    <t>736 Elm St, CityB</t>
  </si>
  <si>
    <t>756 Elm St, CityB</t>
  </si>
  <si>
    <t>380 Main St, CityA</t>
  </si>
  <si>
    <t>263 Main St, CityE</t>
  </si>
  <si>
    <t>419 Main St, CityC</t>
  </si>
  <si>
    <t>659 Cedar St, CityD</t>
  </si>
  <si>
    <t>915 Elm St, CityA</t>
  </si>
  <si>
    <t>349 Elm St, CityE</t>
  </si>
  <si>
    <t>122 Main St, CityC</t>
  </si>
  <si>
    <t>811 Cedar St, CityE</t>
  </si>
  <si>
    <t>765 Elm St, CityA</t>
  </si>
  <si>
    <t>488 Oak St, CityE</t>
  </si>
  <si>
    <t>172 Main St, CityD</t>
  </si>
  <si>
    <t>837 Elm St, CityD</t>
  </si>
  <si>
    <t>909 Oak St, CityA</t>
  </si>
  <si>
    <t>91 Cedar St, CityE</t>
  </si>
  <si>
    <t>235 Cedar St, CityC</t>
  </si>
  <si>
    <t>1 Pine St, CityC</t>
  </si>
  <si>
    <t>958 Oak St, CityD</t>
  </si>
  <si>
    <t>570 Elm St, CityA</t>
  </si>
  <si>
    <t>22 Oak St, CityB</t>
  </si>
  <si>
    <t>177 Elm St, CityB</t>
  </si>
  <si>
    <t>756 Main St, CityB</t>
  </si>
  <si>
    <t>201 Elm St, CityB</t>
  </si>
  <si>
    <t>136 Oak St, CityD</t>
  </si>
  <si>
    <t>63 Pine St, CityB</t>
  </si>
  <si>
    <t>634 Elm St, CityA</t>
  </si>
  <si>
    <t>121 Elm St, CityC</t>
  </si>
  <si>
    <t>643 Oak St, CityD</t>
  </si>
  <si>
    <t>158 Main St, CityB</t>
  </si>
  <si>
    <t>486 Pine St, CityA</t>
  </si>
  <si>
    <t>176 Oak St, CityA</t>
  </si>
  <si>
    <t>546 Elm St, CityD</t>
  </si>
  <si>
    <t>112 Main St, CityB</t>
  </si>
  <si>
    <t>217 Main St, CityB</t>
  </si>
  <si>
    <t>235 Elm St, CityC</t>
  </si>
  <si>
    <t>731 Cedar St, CityE</t>
  </si>
  <si>
    <t>906 Cedar St, CityE</t>
  </si>
  <si>
    <t>921 Cedar St, CityC</t>
  </si>
  <si>
    <t>908 Pine St, CityB</t>
  </si>
  <si>
    <t>849 Cedar St, CityE</t>
  </si>
  <si>
    <t>977 Pine St, CityD</t>
  </si>
  <si>
    <t>177 Cedar St, CityD</t>
  </si>
  <si>
    <t>286 Oak St, CityC</t>
  </si>
  <si>
    <t>621 Elm St, CityA</t>
  </si>
  <si>
    <t>201 Pine St, CityC</t>
  </si>
  <si>
    <t>385 Cedar St, CityD</t>
  </si>
  <si>
    <t>950 Main St, CityE</t>
  </si>
  <si>
    <t>119 Elm St, CityA</t>
  </si>
  <si>
    <t>236 Cedar St, CityA</t>
  </si>
  <si>
    <t>574 Pine St, CityD</t>
  </si>
  <si>
    <t>932 Cedar St, CityB</t>
  </si>
  <si>
    <t>55 Cedar St, CityB</t>
  </si>
  <si>
    <t>552 Elm St, CityB</t>
  </si>
  <si>
    <t>247 Main St, CityE</t>
  </si>
  <si>
    <t>879 Cedar St, CityE</t>
  </si>
  <si>
    <t>906 Main St, CityB</t>
  </si>
  <si>
    <t>552 Cedar St, CityA</t>
  </si>
  <si>
    <t>348 Cedar St, CityE</t>
  </si>
  <si>
    <t>96 Oak St, CityC</t>
  </si>
  <si>
    <t>341 Cedar St, CityB</t>
  </si>
  <si>
    <t>848 Elm St, CityA</t>
  </si>
  <si>
    <t>438 Pine St, CityB</t>
  </si>
  <si>
    <t>531 Elm St, CityE</t>
  </si>
  <si>
    <t>453 Main St, CityD</t>
  </si>
  <si>
    <t>739 Cedar St, CityA</t>
  </si>
  <si>
    <t>756 Oak St, CityD</t>
  </si>
  <si>
    <t>169 Oak St, CityC</t>
  </si>
  <si>
    <t>31 Main St, CityA</t>
  </si>
  <si>
    <t>799 Main St, CityA</t>
  </si>
  <si>
    <t>884 Main St, CityA</t>
  </si>
  <si>
    <t>331 Elm St, CityE</t>
  </si>
  <si>
    <t>84 Main St, CityB</t>
  </si>
  <si>
    <t>493 Main St, CityD</t>
  </si>
  <si>
    <t>803 Cedar St, CityC</t>
  </si>
  <si>
    <t>59 Cedar St, CityA</t>
  </si>
  <si>
    <t>737 Elm St, CityC</t>
  </si>
  <si>
    <t>321 Pine St, CityA</t>
  </si>
  <si>
    <t>814 Cedar St, CityC</t>
  </si>
  <si>
    <t>771 Oak St, CityC</t>
  </si>
  <si>
    <t>164 Main St, CityE</t>
  </si>
  <si>
    <t>833 Elm St, CityE</t>
  </si>
  <si>
    <t>685 Cedar St, CityE</t>
  </si>
  <si>
    <t>489 Oak St, CityD</t>
  </si>
  <si>
    <t>535 Main St, CityB</t>
  </si>
  <si>
    <t>180 Oak St, CityE</t>
  </si>
  <si>
    <t>637 Main St, CityC</t>
  </si>
  <si>
    <t>389 Pine St, CityA</t>
  </si>
  <si>
    <t>520 Pine St, CityD</t>
  </si>
  <si>
    <t>27 Main St, CityE</t>
  </si>
  <si>
    <t>51 Main St, CityC</t>
  </si>
  <si>
    <t>908 Elm St, CityD</t>
  </si>
  <si>
    <t>354 Oak St, CityA</t>
  </si>
  <si>
    <t>371 Cedar St, CityC</t>
  </si>
  <si>
    <t>543 Elm St, CityD</t>
  </si>
  <si>
    <t>387 Cedar St, CityA</t>
  </si>
  <si>
    <t>242 Pine St, CityB</t>
  </si>
  <si>
    <t>817 Oak St, CityE</t>
  </si>
  <si>
    <t>234 Oak St, CityC</t>
  </si>
  <si>
    <t>678 Main St, CityC</t>
  </si>
  <si>
    <t>318 Elm St, CityE</t>
  </si>
  <si>
    <t>385 Main St, CityE</t>
  </si>
  <si>
    <t>732 Main St, CityD</t>
  </si>
  <si>
    <t>55 Pine St, CityB</t>
  </si>
  <si>
    <t>247 Pine St, CityE</t>
  </si>
  <si>
    <t>472 Cedar St, CityC</t>
  </si>
  <si>
    <t>806 Main St, CityE</t>
  </si>
  <si>
    <t>798 Cedar St, CityB</t>
  </si>
  <si>
    <t>129 Main St, CityA</t>
  </si>
  <si>
    <t>275 Main St, CityA</t>
  </si>
  <si>
    <t>887 Pine St, CityC</t>
  </si>
  <si>
    <t>855 Cedar St, CityA</t>
  </si>
  <si>
    <t>912 Cedar St, CityE</t>
  </si>
  <si>
    <t>757 Main St, CityC</t>
  </si>
  <si>
    <t>641 Oak St, CityB</t>
  </si>
  <si>
    <t>561 Pine St, CityD</t>
  </si>
  <si>
    <t>902 Elm St, CityE</t>
  </si>
  <si>
    <t>199 Pine St, CityB</t>
  </si>
  <si>
    <t>542 Main St, CityD</t>
  </si>
  <si>
    <t>275 Elm St, CityB</t>
  </si>
  <si>
    <t>690 Main St, CityB</t>
  </si>
  <si>
    <t>714 Pine St, CityE</t>
  </si>
  <si>
    <t>695 Oak St, CityB</t>
  </si>
  <si>
    <t>535 Cedar St, CityC</t>
  </si>
  <si>
    <t>418 Oak St, CityB</t>
  </si>
  <si>
    <t>22 Elm St, CityD</t>
  </si>
  <si>
    <t>775 Elm St, CityC</t>
  </si>
  <si>
    <t>740 Cedar St, CityD</t>
  </si>
  <si>
    <t>220 Main St, CityC</t>
  </si>
  <si>
    <t>984 Oak St, CityA</t>
  </si>
  <si>
    <t>474 Main St, CityD</t>
  </si>
  <si>
    <t>299 Pine St, CityB</t>
  </si>
  <si>
    <t>364 Oak St, CityC</t>
  </si>
  <si>
    <t>888 Main St, CityB</t>
  </si>
  <si>
    <t>413 Elm St, CityC</t>
  </si>
  <si>
    <t>349 Cedar St, CityB</t>
  </si>
  <si>
    <t>301 Elm St, CityA</t>
  </si>
  <si>
    <t>685 Main St, CityD</t>
  </si>
  <si>
    <t>387 Oak St, CityD</t>
  </si>
  <si>
    <t>812 Oak St, CityC</t>
  </si>
  <si>
    <t>526 Cedar St, CityE</t>
  </si>
  <si>
    <t>749 Main St, CityC</t>
  </si>
  <si>
    <t>532 Elm St, CityC</t>
  </si>
  <si>
    <t>340 Elm St, CityD</t>
  </si>
  <si>
    <t>625 Main St, CityC</t>
  </si>
  <si>
    <t>39 Oak St, CityA</t>
  </si>
  <si>
    <t>874 Oak St, CityB</t>
  </si>
  <si>
    <t>210 Elm St, CityB</t>
  </si>
  <si>
    <t>994 Oak St, CityB</t>
  </si>
  <si>
    <t>849 Cedar St, CityC</t>
  </si>
  <si>
    <t>602 Oak St, CityA</t>
  </si>
  <si>
    <t>405 Elm St, CityB</t>
  </si>
  <si>
    <t>826 Main St, CityA</t>
  </si>
  <si>
    <t>97 Cedar St, CityD</t>
  </si>
  <si>
    <t>539 Pine St, CityA</t>
  </si>
  <si>
    <t>558 Main St, CityE</t>
  </si>
  <si>
    <t>1000 Elm St, CityB</t>
  </si>
  <si>
    <t>608 Main St, CityB</t>
  </si>
  <si>
    <t>505 Elm St, CityB</t>
  </si>
  <si>
    <t>41 Pine St, CityA</t>
  </si>
  <si>
    <t>741 Main St, CityA</t>
  </si>
  <si>
    <t>941 Cedar St, CityE</t>
  </si>
  <si>
    <t>509 Oak St, CityD</t>
  </si>
  <si>
    <t>98 Pine St, CityE</t>
  </si>
  <si>
    <t>879 Pine St, CityE</t>
  </si>
  <si>
    <t>738 Cedar St, CityA</t>
  </si>
  <si>
    <t>11 Elm St, CityB</t>
  </si>
  <si>
    <t>841 Main St, CityA</t>
  </si>
  <si>
    <t>601 Main St, CityC</t>
  </si>
  <si>
    <t>798 Pine St, CityA</t>
  </si>
  <si>
    <t>563 Elm St, CityE</t>
  </si>
  <si>
    <t>537 Main St, CityB</t>
  </si>
  <si>
    <t>705 Pine St, CityC</t>
  </si>
  <si>
    <t>484 Pine St, CityC</t>
  </si>
  <si>
    <t>747 Oak St, CityE</t>
  </si>
  <si>
    <t>123 Pine St, CityA</t>
  </si>
  <si>
    <t>904 Cedar St, CityB</t>
  </si>
  <si>
    <t>402 Oak St, CityE</t>
  </si>
  <si>
    <t>812 Oak St, CityB</t>
  </si>
  <si>
    <t>908 Main St, CityA</t>
  </si>
  <si>
    <t>319 Cedar St, CityA</t>
  </si>
  <si>
    <t>828 Main St, CityE</t>
  </si>
  <si>
    <t>655 Cedar St, CityC</t>
  </si>
  <si>
    <t>112 Cedar St, CityC</t>
  </si>
  <si>
    <t>232 Elm St, CityD</t>
  </si>
  <si>
    <t>543 Pine St, CityC</t>
  </si>
  <si>
    <t>859 Main St, CityE</t>
  </si>
  <si>
    <t>143 Pine St, CityB</t>
  </si>
  <si>
    <t>175 Elm St, CityB</t>
  </si>
  <si>
    <t>622 Cedar St, CityE</t>
  </si>
  <si>
    <t>152 Main St, CityB</t>
  </si>
  <si>
    <t>463 Oak St, CityC</t>
  </si>
  <si>
    <t>346 Pine St, CityA</t>
  </si>
  <si>
    <t>95 Oak St, CityA</t>
  </si>
  <si>
    <t>713 Oak St, CityB</t>
  </si>
  <si>
    <t>533 Cedar St, CityD</t>
  </si>
  <si>
    <t>964 Main St, CityC</t>
  </si>
  <si>
    <t>646 Main St, CityC</t>
  </si>
  <si>
    <t>244 Pine St, CityD</t>
  </si>
  <si>
    <t>439 Pine St, CityA</t>
  </si>
  <si>
    <t>532 Main St, CityA</t>
  </si>
  <si>
    <t>765 Elm St, CityD</t>
  </si>
  <si>
    <t>800 Main St, CityA</t>
  </si>
  <si>
    <t>967 Elm St, CityA</t>
  </si>
  <si>
    <t>533 Elm St, CityC</t>
  </si>
  <si>
    <t>400 Pine St, CityE</t>
  </si>
  <si>
    <t>91 Main St, CityD</t>
  </si>
  <si>
    <t>158 Pine St, CityA</t>
  </si>
  <si>
    <t>329 Elm St, CityA</t>
  </si>
  <si>
    <t>976 Elm St, CityB</t>
  </si>
  <si>
    <t>261 Oak St, CityC</t>
  </si>
  <si>
    <t>54 Pine St, CityE</t>
  </si>
  <si>
    <t>564 Elm St, CityD</t>
  </si>
  <si>
    <t>586 Main St, CityD</t>
  </si>
  <si>
    <t>642 Pine St, CityD</t>
  </si>
  <si>
    <t>782 Cedar St, CityB</t>
  </si>
  <si>
    <t>637 Elm St, CityE</t>
  </si>
  <si>
    <t>852 Oak St, CityC</t>
  </si>
  <si>
    <t>768 Main St, CityA</t>
  </si>
  <si>
    <t>248 Oak St, CityE</t>
  </si>
  <si>
    <t>6 Cedar St, CityD</t>
  </si>
  <si>
    <t>799 Elm St, CityC</t>
  </si>
  <si>
    <t>306 Elm St, CityD</t>
  </si>
  <si>
    <t>884 Cedar St, CityE</t>
  </si>
  <si>
    <t>140 Pine St, CityA</t>
  </si>
  <si>
    <t>218 Elm St, CityC</t>
  </si>
  <si>
    <t>630 Main St, CityA</t>
  </si>
  <si>
    <t>105 Oak St, CityD</t>
  </si>
  <si>
    <t>708 Main St, CityE</t>
  </si>
  <si>
    <t>842 Main St, CityE</t>
  </si>
  <si>
    <t>378 Cedar St, CityE</t>
  </si>
  <si>
    <t>725 Main St, CityC</t>
  </si>
  <si>
    <t>293 Cedar St, CityB</t>
  </si>
  <si>
    <t>958 Main St, CityD</t>
  </si>
  <si>
    <t>262 Cedar St, CityB</t>
  </si>
  <si>
    <t>413 Cedar St, CityE</t>
  </si>
  <si>
    <t>639 Pine St, CityE</t>
  </si>
  <si>
    <t>587 Pine St, CityC</t>
  </si>
  <si>
    <t>851 Cedar St, CityE</t>
  </si>
  <si>
    <t>778 Cedar St, CityD</t>
  </si>
  <si>
    <t>92 Cedar St, CityC</t>
  </si>
  <si>
    <t>149 Cedar St, CityC</t>
  </si>
  <si>
    <t>594 Pine St, CityE</t>
  </si>
  <si>
    <t>255 Elm St, CityC</t>
  </si>
  <si>
    <t>579 Main St, CityC</t>
  </si>
  <si>
    <t>22 Cedar St, CityC</t>
  </si>
  <si>
    <t>584 Cedar St, CityB</t>
  </si>
  <si>
    <t>977 Elm St, CityB</t>
  </si>
  <si>
    <t>111 Elm St, CityB</t>
  </si>
  <si>
    <t>302 Elm St, CityD</t>
  </si>
  <si>
    <t>414 Cedar St, CityE</t>
  </si>
  <si>
    <t>984 Main St, CityD</t>
  </si>
  <si>
    <t>638 Main St, CityE</t>
  </si>
  <si>
    <t>485 Elm St, CityD</t>
  </si>
  <si>
    <t>656 Main St, CityD</t>
  </si>
  <si>
    <t>783 Pine St, CityA</t>
  </si>
  <si>
    <t>658 Pine St, CityB</t>
  </si>
  <si>
    <t>768 Elm St, CityC</t>
  </si>
  <si>
    <t>576 Elm St, CityE</t>
  </si>
  <si>
    <t>622 Elm St, CityC</t>
  </si>
  <si>
    <t>687 Cedar St, CityC</t>
  </si>
  <si>
    <t>666 Elm St, CityE</t>
  </si>
  <si>
    <t>142 Cedar St, CityA</t>
  </si>
  <si>
    <t>857 Oak St, CityA</t>
  </si>
  <si>
    <t>919 Oak St, CityD</t>
  </si>
  <si>
    <t>909 Main St, CityB</t>
  </si>
  <si>
    <t>924 Cedar St, CityE</t>
  </si>
  <si>
    <t>445 Oak St, CityA</t>
  </si>
  <si>
    <t>563 Elm St, CityD</t>
  </si>
  <si>
    <t>605 Oak St, CityE</t>
  </si>
  <si>
    <t>693 Elm St, CityD</t>
  </si>
  <si>
    <t>677 Oak St, CityA</t>
  </si>
  <si>
    <t>803 Cedar St, CityD</t>
  </si>
  <si>
    <t>417 Main St, CityB</t>
  </si>
  <si>
    <t>16 Cedar St, CityD</t>
  </si>
  <si>
    <t>689 Elm St, CityB</t>
  </si>
  <si>
    <t>827 Cedar St, CityC</t>
  </si>
  <si>
    <t>586 Oak St, CityA</t>
  </si>
  <si>
    <t>258 Elm St, CityC</t>
  </si>
  <si>
    <t>409 Cedar St, CityB</t>
  </si>
  <si>
    <t>247 Cedar St, CityC</t>
  </si>
  <si>
    <t>871 Cedar St, CityC</t>
  </si>
  <si>
    <t>642 Main St, CityA</t>
  </si>
  <si>
    <t>853 Elm St, CityD</t>
  </si>
  <si>
    <t>771 Elm St, CityA</t>
  </si>
  <si>
    <t>7 Cedar St, CityD</t>
  </si>
  <si>
    <t>615 Pine St, CityD</t>
  </si>
  <si>
    <t>65 Main St, CityA</t>
  </si>
  <si>
    <t>854 Pine St, CityE</t>
  </si>
  <si>
    <t>207 Main St, CityA</t>
  </si>
  <si>
    <t>685 Elm St, CityE</t>
  </si>
  <si>
    <t>343 Main St, CityA</t>
  </si>
  <si>
    <t>969 Main St, CityD</t>
  </si>
  <si>
    <t>541 Main St, CityE</t>
  </si>
  <si>
    <t>664 Oak St, CityA</t>
  </si>
  <si>
    <t>301 Cedar St, CityA</t>
  </si>
  <si>
    <t>879 Oak St, CityA</t>
  </si>
  <si>
    <t>465 Pine St, CityB</t>
  </si>
  <si>
    <t>884 Cedar St, CityB</t>
  </si>
  <si>
    <t>893 Cedar St, CityD</t>
  </si>
  <si>
    <t>52 Oak St, CityB</t>
  </si>
  <si>
    <t>653 Oak St, CityC</t>
  </si>
  <si>
    <t>18 Pine St, CityD</t>
  </si>
  <si>
    <t>454 Cedar St, CityC</t>
  </si>
  <si>
    <t>401 Elm St, CityA</t>
  </si>
  <si>
    <t>732 Pine St, CityB</t>
  </si>
  <si>
    <t>744 Pine St, CityD</t>
  </si>
  <si>
    <t>688 Elm St, CityE</t>
  </si>
  <si>
    <t>141 Oak St, CityA</t>
  </si>
  <si>
    <t>569 Main St, CityD</t>
  </si>
  <si>
    <t>743 Pine St, CityD</t>
  </si>
  <si>
    <t>946 Main St, CityB</t>
  </si>
  <si>
    <t>579 Cedar St, CityA</t>
  </si>
  <si>
    <t>788 Oak St, CityA</t>
  </si>
  <si>
    <t>407 Cedar St, CityE</t>
  </si>
  <si>
    <t>270 Main St, CityB</t>
  </si>
  <si>
    <t>204 Elm St, CityD</t>
  </si>
  <si>
    <t>238 Main St, CityB</t>
  </si>
  <si>
    <t>978 Oak St, CityC</t>
  </si>
  <si>
    <t>733 Elm St, CityB</t>
  </si>
  <si>
    <t>354 Pine St, CityA</t>
  </si>
  <si>
    <t>479 Cedar St, CityA</t>
  </si>
  <si>
    <t>476 Main St, CityB</t>
  </si>
  <si>
    <t>870 Elm St, CityA</t>
  </si>
  <si>
    <t>81 Cedar St, CityB</t>
  </si>
  <si>
    <t>1 Pine St, CityA</t>
  </si>
  <si>
    <t>136 Pine St, CityD</t>
  </si>
  <si>
    <t>560 Cedar St, CityC</t>
  </si>
  <si>
    <t>386 Main St, CityB</t>
  </si>
  <si>
    <t>224 Pine St, CityA</t>
  </si>
  <si>
    <t>913 Cedar St, CityC</t>
  </si>
  <si>
    <t>315 Oak St, CityE</t>
  </si>
  <si>
    <t>51 Elm St, CityE</t>
  </si>
  <si>
    <t>331 Main St, CityB</t>
  </si>
  <si>
    <t>885 Pine St, CityC</t>
  </si>
  <si>
    <t>523 Main St, CityA</t>
  </si>
  <si>
    <t>442 Oak St, CityC</t>
  </si>
  <si>
    <t>55 Elm St, CityD</t>
  </si>
  <si>
    <t>210 Oak St, CityA</t>
  </si>
  <si>
    <t>408 Pine St, CityE</t>
  </si>
  <si>
    <t>111 Elm St, CityD</t>
  </si>
  <si>
    <t>759 Pine St, CityE</t>
  </si>
  <si>
    <t>175 Elm St, CityA</t>
  </si>
  <si>
    <t>15 Elm St, CityA</t>
  </si>
  <si>
    <t>900 Pine St, CityE</t>
  </si>
  <si>
    <t>550 Elm St, CityA</t>
  </si>
  <si>
    <t>644 Elm St, CityC</t>
  </si>
  <si>
    <t>532 Pine St, CityB</t>
  </si>
  <si>
    <t>587 Cedar St, CityC</t>
  </si>
  <si>
    <t>753 Pine St, CityE</t>
  </si>
  <si>
    <t>888 Elm St, CityE</t>
  </si>
  <si>
    <t>249 Main St, CityE</t>
  </si>
  <si>
    <t>182 Cedar St, CityC</t>
  </si>
  <si>
    <t>235 Cedar St, CityD</t>
  </si>
  <si>
    <t>983 Main St, CityD</t>
  </si>
  <si>
    <t>805 Cedar St, CityE</t>
  </si>
  <si>
    <t>737 Pine St, CityD</t>
  </si>
  <si>
    <t>698 Main St, CityD</t>
  </si>
  <si>
    <t>490 Main St, CityD</t>
  </si>
  <si>
    <t>882 Pine St, CityB</t>
  </si>
  <si>
    <t>922 Pine St, CityE</t>
  </si>
  <si>
    <t>799 Elm St, CityA</t>
  </si>
  <si>
    <t>374 Main St, CityD</t>
  </si>
  <si>
    <t>554 Elm St, CityA</t>
  </si>
  <si>
    <t>675 Elm St, CityB</t>
  </si>
  <si>
    <t>230 Oak St, CityC</t>
  </si>
  <si>
    <t>691 Elm St, CityA</t>
  </si>
  <si>
    <t>403 Oak St, CityA</t>
  </si>
  <si>
    <t>796 Oak St, CityE</t>
  </si>
  <si>
    <t>459 Main St, CityC</t>
  </si>
  <si>
    <t>415 Cedar St, CityB</t>
  </si>
  <si>
    <t>751 Main St, CityE</t>
  </si>
  <si>
    <t>667 Elm St, CityA</t>
  </si>
  <si>
    <t>585 Elm St, CityC</t>
  </si>
  <si>
    <t>582 Pine St, CityD</t>
  </si>
  <si>
    <t>774 Cedar St, CityA</t>
  </si>
  <si>
    <t>571 Cedar St, CityE</t>
  </si>
  <si>
    <t>792 Oak St, CityB</t>
  </si>
  <si>
    <t>441 Cedar St, CityE</t>
  </si>
  <si>
    <t>555 Oak St, CityE</t>
  </si>
  <si>
    <t>889 Main St, CityB</t>
  </si>
  <si>
    <t>130 Main St, CityC</t>
  </si>
  <si>
    <t>818 Main St, CityE</t>
  </si>
  <si>
    <t>709 Elm St, CityE</t>
  </si>
  <si>
    <t>444 Cedar St, CityC</t>
  </si>
  <si>
    <t>520 Oak St, CityB</t>
  </si>
  <si>
    <t>306 Cedar St, CityC</t>
  </si>
  <si>
    <t>867 Cedar St, CityE</t>
  </si>
  <si>
    <t>567 Main St, CityA</t>
  </si>
  <si>
    <t>291 Oak St, CityD</t>
  </si>
  <si>
    <t>642 Cedar St, CityE</t>
  </si>
  <si>
    <t>469 Main St, CityD</t>
  </si>
  <si>
    <t>94 Oak St, CityB</t>
  </si>
  <si>
    <t>459 Pine St, CityD</t>
  </si>
  <si>
    <t>201 Cedar St, CityB</t>
  </si>
  <si>
    <t>27 Cedar St, CityD</t>
  </si>
  <si>
    <t>282 Pine St, CityA</t>
  </si>
  <si>
    <t>626 Cedar St, CityD</t>
  </si>
  <si>
    <t>394 Cedar St, CityB</t>
  </si>
  <si>
    <t>878 Cedar St, CityE</t>
  </si>
  <si>
    <t>938 Pine St, CityE</t>
  </si>
  <si>
    <t>510 Elm St, CityB</t>
  </si>
  <si>
    <t>Allocation Rule</t>
  </si>
  <si>
    <t>Explanation</t>
  </si>
  <si>
    <t xml:space="preserve">Standard Rules  </t>
  </si>
  <si>
    <t>Orders assigned this rule are processed using default allocation criteria, considering factors like order volume, geographic location, and delivery time windows. This represents the standard operating procedure for resource allocation.</t>
  </si>
  <si>
    <t xml:space="preserve">Expedited Rules  </t>
  </si>
  <si>
    <t>Orders assigned this rule receive priority treatment. Resources are allocated to expedite processing and delivery, typically applied to urgent or time-sensitive orders.</t>
  </si>
  <si>
    <t xml:space="preserve">Custom Rules    </t>
  </si>
  <si>
    <t>Custom allocation rules may be applied to specific orders. These rules are tailored to unique scenarios or customer requirements and can include specialized allocation criteria or preferences.</t>
  </si>
  <si>
    <t>Average of Delivery Time (min)</t>
  </si>
  <si>
    <t>Average of Delays (min)</t>
  </si>
  <si>
    <t xml:space="preserve">Count of Delays </t>
  </si>
  <si>
    <t>Row Labels</t>
  </si>
  <si>
    <t>Grand Total</t>
  </si>
  <si>
    <t>1-Sep</t>
  </si>
  <si>
    <t>2-Sep</t>
  </si>
  <si>
    <t>3-Sep</t>
  </si>
  <si>
    <t>4-Sep</t>
  </si>
  <si>
    <t>5-Sep</t>
  </si>
  <si>
    <t>6-Sep</t>
  </si>
  <si>
    <t>7-Sep</t>
  </si>
  <si>
    <t>8-Sep</t>
  </si>
  <si>
    <t>Sentiment Scores</t>
  </si>
  <si>
    <t>Delivery date</t>
  </si>
  <si>
    <t>Day of Week</t>
  </si>
  <si>
    <t>Hour od Day</t>
  </si>
  <si>
    <t>Delivery Efficiency (%)</t>
  </si>
  <si>
    <t xml:space="preserve">Driver Performance Score </t>
  </si>
  <si>
    <t>On Time %</t>
  </si>
  <si>
    <t>No</t>
  </si>
  <si>
    <t>Yes</t>
  </si>
  <si>
    <t>Count of Order ID</t>
  </si>
  <si>
    <t>Average of Delivery Efficiency (%)</t>
  </si>
  <si>
    <t>Count of Route</t>
  </si>
  <si>
    <t>On-Time %</t>
  </si>
  <si>
    <t>Count of Sentiment Scores</t>
  </si>
  <si>
    <t>Count of Delivery Zone</t>
  </si>
  <si>
    <t>Customer Sentiment (Negavitive)</t>
  </si>
  <si>
    <t>target</t>
  </si>
  <si>
    <t>Forcast</t>
  </si>
  <si>
    <t>Timeline</t>
  </si>
  <si>
    <t>Values</t>
  </si>
  <si>
    <t>Forecast</t>
  </si>
  <si>
    <t>Lower Confidence Bound</t>
  </si>
  <si>
    <t>Upper Confidence Bound</t>
  </si>
  <si>
    <t>Count of Order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</si>
</sst>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65" formatCode="m/d/yy;@"/>
    <numFmt numFmtId="166" formatCode="0.0%"/>
  </numFmts>
  <fonts count="6" x14ac:knownFonts="1">
    <font>
      <sz val="11"/>
      <color theme="1"/>
      <name val="Calibri"/>
      <scheme val="minor"/>
    </font>
    <font>
      <sz val="11"/>
      <color theme="1"/>
      <name val="Calibri"/>
      <family val="2"/>
      <scheme val="minor"/>
    </font>
    <font>
      <sz val="11"/>
      <color theme="1"/>
      <name val="Calibri"/>
      <family val="2"/>
    </font>
    <font>
      <sz val="11"/>
      <color theme="1"/>
      <name val="Calibri"/>
      <family val="2"/>
    </font>
    <font>
      <sz val="11"/>
      <color theme="1"/>
      <name val="Calibri"/>
      <family val="2"/>
      <scheme val="minor"/>
    </font>
    <font>
      <sz val="11"/>
      <color rgb="FFFFD700"/>
      <name val="Calibri"/>
      <family val="2"/>
      <scheme val="minor"/>
    </font>
  </fonts>
  <fills count="3">
    <fill>
      <patternFill patternType="none"/>
    </fill>
    <fill>
      <patternFill patternType="gray125"/>
    </fill>
    <fill>
      <patternFill patternType="solid">
        <fgColor theme="0" tint="-0.49998474074526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3" fontId="4" fillId="0" borderId="0" applyFont="0" applyFill="0" applyBorder="0" applyAlignment="0" applyProtection="0"/>
  </cellStyleXfs>
  <cellXfs count="51">
    <xf numFmtId="0" fontId="0" fillId="0" borderId="0" xfId="0"/>
    <xf numFmtId="0" fontId="2" fillId="0" borderId="0" xfId="0" applyFont="1"/>
    <xf numFmtId="0" fontId="3" fillId="0" borderId="0" xfId="0" applyFont="1" applyAlignment="1">
      <alignment wrapText="1"/>
    </xf>
    <xf numFmtId="0" fontId="2" fillId="0" borderId="3" xfId="0" applyFont="1" applyBorder="1"/>
    <xf numFmtId="0" fontId="2" fillId="0" borderId="5" xfId="0" applyFont="1" applyBorder="1"/>
    <xf numFmtId="0" fontId="2" fillId="0" borderId="1" xfId="0" applyFont="1" applyBorder="1"/>
    <xf numFmtId="22" fontId="3" fillId="0" borderId="1" xfId="0" applyNumberFormat="1" applyFont="1" applyBorder="1"/>
    <xf numFmtId="0" fontId="2" fillId="0" borderId="6" xfId="0" applyFont="1" applyBorder="1"/>
    <xf numFmtId="0" fontId="2" fillId="0" borderId="7" xfId="0" applyFont="1" applyBorder="1"/>
    <xf numFmtId="0" fontId="2" fillId="0" borderId="8" xfId="0" applyFont="1" applyBorder="1"/>
    <xf numFmtId="22" fontId="3" fillId="0" borderId="8" xfId="0" applyNumberFormat="1" applyFont="1" applyBorder="1"/>
    <xf numFmtId="0" fontId="2" fillId="0" borderId="9" xfId="0" applyFont="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164" fontId="0" fillId="0" borderId="0" xfId="0" applyNumberFormat="1"/>
    <xf numFmtId="0" fontId="0" fillId="0" borderId="0" xfId="0" applyAlignment="1">
      <alignment horizontal="left"/>
    </xf>
    <xf numFmtId="22" fontId="0" fillId="0" borderId="0" xfId="0" applyNumberFormat="1" applyAlignment="1">
      <alignment horizontal="left"/>
    </xf>
    <xf numFmtId="3" fontId="2" fillId="0" borderId="3" xfId="1" applyNumberFormat="1" applyFont="1" applyBorder="1"/>
    <xf numFmtId="3" fontId="2" fillId="0" borderId="1" xfId="1" applyNumberFormat="1" applyFont="1" applyBorder="1"/>
    <xf numFmtId="3" fontId="2" fillId="0" borderId="8" xfId="1" applyNumberFormat="1" applyFont="1" applyBorder="1"/>
    <xf numFmtId="2" fontId="2" fillId="0" borderId="1" xfId="0" applyNumberFormat="1" applyFont="1" applyBorder="1"/>
    <xf numFmtId="43" fontId="2" fillId="0" borderId="1" xfId="1" applyFont="1" applyBorder="1"/>
    <xf numFmtId="2" fontId="2" fillId="0" borderId="3" xfId="0" applyNumberFormat="1" applyFont="1" applyBorder="1"/>
    <xf numFmtId="43" fontId="2" fillId="0" borderId="3" xfId="1" applyFont="1" applyBorder="1"/>
    <xf numFmtId="2" fontId="2" fillId="0" borderId="8" xfId="0" applyNumberFormat="1" applyFont="1" applyBorder="1"/>
    <xf numFmtId="43" fontId="2" fillId="0" borderId="8" xfId="1" applyFont="1" applyBorder="1"/>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0" fillId="0" borderId="0" xfId="0" applyAlignment="1">
      <alignment wrapText="1"/>
    </xf>
    <xf numFmtId="10" fontId="0" fillId="0" borderId="0" xfId="0" applyNumberFormat="1"/>
    <xf numFmtId="9" fontId="0" fillId="0" borderId="0" xfId="0" applyNumberFormat="1"/>
    <xf numFmtId="165" fontId="2" fillId="0" borderId="3" xfId="0" applyNumberFormat="1" applyFont="1" applyBorder="1" applyAlignment="1">
      <alignment wrapText="1"/>
    </xf>
    <xf numFmtId="165" fontId="2" fillId="0" borderId="3" xfId="0" applyNumberFormat="1" applyFont="1" applyBorder="1"/>
    <xf numFmtId="165" fontId="2" fillId="0" borderId="1" xfId="0" applyNumberFormat="1" applyFont="1" applyBorder="1"/>
    <xf numFmtId="165" fontId="2" fillId="0" borderId="8" xfId="0" applyNumberFormat="1" applyFont="1" applyBorder="1"/>
    <xf numFmtId="165" fontId="0" fillId="0" borderId="0" xfId="0" applyNumberFormat="1"/>
    <xf numFmtId="1" fontId="0" fillId="0" borderId="0" xfId="0" applyNumberFormat="1"/>
    <xf numFmtId="166" fontId="0" fillId="0" borderId="0" xfId="0" applyNumberFormat="1"/>
    <xf numFmtId="0" fontId="5" fillId="2" borderId="0" xfId="0" applyFont="1" applyFill="1"/>
    <xf numFmtId="0" fontId="1" fillId="0" borderId="0" xfId="0" applyFont="1" applyAlignment="1">
      <alignment wrapText="1"/>
    </xf>
    <xf numFmtId="14" fontId="0" fillId="0" borderId="0" xfId="0" applyNumberFormat="1"/>
    <xf numFmtId="164" fontId="0" fillId="0" borderId="0" xfId="1" applyNumberFormat="1" applyFont="1"/>
  </cellXfs>
  <cellStyles count="2">
    <cellStyle name="Comma" xfId="1" builtinId="3"/>
    <cellStyle name="Normal" xfId="0" builtinId="0"/>
  </cellStyles>
  <dxfs count="86">
    <dxf>
      <numFmt numFmtId="1" formatCode="0"/>
    </dxf>
    <dxf>
      <numFmt numFmtId="2" formatCode="0.00"/>
    </dxf>
    <dxf>
      <numFmt numFmtId="2" formatCode="0.00"/>
    </dxf>
    <dxf>
      <numFmt numFmtId="1" formatCode="0"/>
    </dxf>
    <dxf>
      <numFmt numFmtId="1" formatCode="0"/>
    </dxf>
    <dxf>
      <numFmt numFmtId="2" formatCode="0.00"/>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3" formatCode="0%"/>
    </dxf>
    <dxf>
      <numFmt numFmtId="14" formatCode="0.00%"/>
    </dxf>
    <dxf>
      <numFmt numFmtId="164" formatCode="_(* #,##0_);_(* \(#,##0\);_(* &quot;-&quot;??_);_(@_)"/>
    </dxf>
    <dxf>
      <numFmt numFmtId="13" formatCode="0%"/>
    </dxf>
    <dxf>
      <numFmt numFmtId="14" formatCode="0.00%"/>
    </dxf>
    <dxf>
      <numFmt numFmtId="35" formatCode="_(* #,##0.00_);_(* \(#,##0.00\);_(* &quot;-&quot;??_);_(@_)"/>
    </dxf>
    <dxf>
      <numFmt numFmtId="166" formatCode="0.0%"/>
    </dxf>
    <dxf>
      <numFmt numFmtId="1" formatCode="0"/>
    </dxf>
    <dxf>
      <numFmt numFmtId="164" formatCode="_(* #,##0_);_(* \(#,##0\);_(* &quot;-&quot;??_);_(@_)"/>
    </dxf>
    <dxf>
      <numFmt numFmtId="13" formatCode="0%"/>
    </dxf>
    <dxf>
      <numFmt numFmtId="14" formatCode="0.00%"/>
    </dxf>
    <dxf>
      <numFmt numFmtId="35" formatCode="_(* #,##0.00_);_(* \(#,##0.00\);_(* &quot;-&quot;??_);_(@_)"/>
    </dxf>
    <dxf>
      <font>
        <b val="0"/>
        <i val="0"/>
        <strike val="0"/>
        <condense val="0"/>
        <extend val="0"/>
        <outline val="0"/>
        <shadow val="0"/>
        <u val="none"/>
        <vertAlign val="baseline"/>
        <sz val="11"/>
        <color theme="1"/>
        <name val="Calibri"/>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5" formatCode="m/d/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27" formatCode="m/d/yyyy\ 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dxf>
    <dxf>
      <border>
        <bottom style="thin">
          <color indexed="64"/>
        </bottom>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numFmt numFmtId="2" formatCode="0.00"/>
    </dxf>
    <dxf>
      <numFmt numFmtId="2" formatCode="0.00"/>
    </dxf>
    <dxf>
      <numFmt numFmtId="165" formatCode="m/d/yy;@"/>
    </dxf>
    <dxf>
      <font>
        <b val="0"/>
        <i val="0"/>
        <strike val="0"/>
        <condense val="0"/>
        <extend val="0"/>
        <outline val="0"/>
        <shadow val="0"/>
        <u val="none"/>
        <vertAlign val="baseline"/>
        <sz val="11"/>
        <color theme="1"/>
        <name val="Calibri"/>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5" formatCode="m/d/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27" formatCode="m/d/yyyy\ 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dxf>
    <dxf>
      <border>
        <bottom style="thin">
          <color indexed="64"/>
        </bottom>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color rgb="FFFFC000"/>
      </font>
    </dxf>
    <dxf>
      <font>
        <b/>
        <i val="0"/>
        <sz val="10"/>
        <color rgb="FFFFFF00"/>
      </font>
      <fill>
        <patternFill>
          <fgColor theme="1"/>
          <bgColor theme="1"/>
        </patternFill>
      </fill>
      <border>
        <left style="medium">
          <color auto="1"/>
        </left>
        <right style="medium">
          <color auto="1"/>
        </right>
        <top style="medium">
          <color auto="1"/>
        </top>
        <bottom style="medium">
          <color auto="1"/>
        </bottom>
      </border>
    </dxf>
    <dxf>
      <font>
        <b/>
        <i val="0"/>
        <color rgb="FFFFC857"/>
      </font>
    </dxf>
    <dxf>
      <font>
        <b/>
        <i val="0"/>
        <color rgb="FFFFFF00"/>
      </font>
      <fill>
        <patternFill>
          <bgColor theme="1"/>
        </patternFill>
      </fill>
      <border>
        <left style="thin">
          <color auto="1"/>
        </left>
        <right style="thin">
          <color auto="1"/>
        </right>
        <top style="thin">
          <color auto="1"/>
        </top>
        <bottom style="thin">
          <color auto="1"/>
        </bottom>
      </border>
    </dxf>
  </dxfs>
  <tableStyles count="4" defaultTableStyle="TableStyleMedium2" defaultPivotStyle="PivotStyleLight16">
    <tableStyle name="Slicer Style 1" pivot="0" table="0" count="2" xr9:uid="{8ADD1C79-0C01-415D-AFE5-0A3D3B545213}">
      <tableStyleElement type="wholeTable" dxfId="85"/>
      <tableStyleElement type="headerRow" dxfId="84"/>
    </tableStyle>
    <tableStyle name="Slicer Style 3" pivot="0" table="0" count="2" xr9:uid="{9917A80C-BD72-40A0-84C7-B6C706CCE7CC}"/>
    <tableStyle name="Slicer Style 5" pivot="0" table="0" count="6" xr9:uid="{3F505C7A-505A-464D-B6A0-DCA9CC74256F}">
      <tableStyleElement type="wholeTable" dxfId="83"/>
      <tableStyleElement type="headerRow" dxfId="82"/>
    </tableStyle>
    <tableStyle name="Slicer Style 6" pivot="0" table="0" count="1" xr9:uid="{8F8BF99A-1098-415A-9D72-DD854ED0EA32}"/>
  </tableStyles>
  <colors>
    <mruColors>
      <color rgb="FFFFC857"/>
      <color rgb="FFFFD700"/>
      <color rgb="FF342C0A"/>
      <color rgb="FFB08D57"/>
      <color rgb="FF6D5E3F"/>
      <color rgb="FF8FABD4"/>
      <color rgb="FF4A70A9"/>
      <color rgb="FF000000"/>
      <color rgb="FFEFECE3"/>
    </mruColors>
  </colors>
  <extLst>
    <ext xmlns:x14="http://schemas.microsoft.com/office/spreadsheetml/2009/9/main" uri="{46F421CA-312F-682f-3DD2-61675219B42D}">
      <x14:dxfs count="7">
        <dxf>
          <font>
            <color rgb="FFFFFF00"/>
          </font>
        </dxf>
        <dxf>
          <fill>
            <patternFill>
              <fgColor rgb="FFFFC857"/>
            </patternFill>
          </fill>
        </dxf>
        <dxf>
          <font>
            <color rgb="FFFFC000"/>
          </font>
          <border>
            <left style="medium">
              <color auto="1"/>
            </left>
            <right style="medium">
              <color auto="1"/>
            </right>
            <top style="medium">
              <color auto="1"/>
            </top>
            <bottom style="medium">
              <color auto="1"/>
            </bottom>
          </border>
        </dxf>
        <dxf>
          <fill>
            <patternFill>
              <fgColor rgb="FFFFC000"/>
            </patternFill>
          </fill>
          <border>
            <left style="medium">
              <color auto="1"/>
            </left>
            <right style="medium">
              <color auto="1"/>
            </right>
            <top style="medium">
              <color auto="1"/>
            </top>
            <bottom style="medium">
              <color auto="1"/>
            </bottom>
          </border>
        </dxf>
        <dxf>
          <font>
            <b/>
            <i val="0"/>
          </font>
          <border>
            <left style="medium">
              <color auto="1"/>
            </left>
            <right style="medium">
              <color auto="1"/>
            </right>
            <top style="medium">
              <color auto="1"/>
            </top>
            <bottom style="medium">
              <color auto="1"/>
            </bottom>
          </border>
        </dxf>
        <dxf>
          <border>
            <left style="thin">
              <color auto="1"/>
            </left>
            <right style="thin">
              <color auto="1"/>
            </right>
            <top style="thin">
              <color auto="1"/>
            </top>
            <bottom style="thin">
              <color auto="1"/>
            </bottom>
          </border>
        </dxf>
        <dxf>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 Style 5">
        <x14:slicerStyle name="Slicer Style 1"/>
        <x14:slicerStyle name="Slicer Style 3">
          <x14:slicerStyleElements>
            <x14:slicerStyleElement type="selectedItemWithData" dxfId="6"/>
            <x14:slicerStyleElement type="selectedItemWithNoData" dxfId="5"/>
          </x14:slicerStyleElements>
        </x14:slicerStyle>
        <x14:slicerStyle name="Slicer Style 5">
          <x14:slicerStyleElements>
            <x14:slicerStyleElement type="unselectedItemWithNoData" dxfId="4"/>
            <x14:slicerStyleElement type="selectedItemWithData" dxfId="3"/>
            <x14:slicerStyleElement type="selectedItemWithNoData" dxfId="2"/>
            <x14:slicerStyleElement type="hoveredSelectedItemWithData" dxfId="1"/>
          </x14:slicerStyleElements>
        </x14:slicerStyle>
        <x14:slicerStyle name="Slicer Style 6">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Dashboard.xlsx]PIVOT TABLE!PivotTable13</c:name>
    <c:fmtId val="24"/>
  </c:pivotSource>
  <c:chart>
    <c:title>
      <c:tx>
        <c:rich>
          <a:bodyPr rot="0" spcFirstLastPara="1" vertOverflow="ellipsis" vert="horz" wrap="square" anchor="ctr" anchorCtr="1"/>
          <a:lstStyle/>
          <a:p>
            <a:pPr>
              <a:defRPr sz="2000" b="0" i="0" u="none" strike="noStrike" kern="1200" spc="0" baseline="0">
                <a:solidFill>
                  <a:srgbClr val="FFC857"/>
                </a:solidFill>
                <a:latin typeface="+mn-lt"/>
                <a:ea typeface="+mn-ea"/>
                <a:cs typeface="+mn-cs"/>
              </a:defRPr>
            </a:pPr>
            <a:r>
              <a:rPr lang="en-US" sz="2000" b="1"/>
              <a:t>Order Backlog Trend by Day</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rgbClr val="FFC857"/>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w="28575" cap="rnd">
            <a:solidFill>
              <a:schemeClr val="accent1"/>
            </a:solidFill>
            <a:round/>
          </a:ln>
          <a:effectLst/>
        </c:spPr>
        <c:marker>
          <c:spPr>
            <a:solidFill>
              <a:srgbClr val="8FABD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rgbClr val="8FABD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rgbClr val="FFD700"/>
            </a:solidFill>
            <a:round/>
          </a:ln>
          <a:effectLst/>
        </c:spPr>
        <c:marker>
          <c:symbol val="circle"/>
          <c:size val="5"/>
          <c:spPr>
            <a:solidFill>
              <a:srgbClr val="FFC857"/>
            </a:solidFill>
            <a:ln w="9525">
              <a:solidFill>
                <a:srgbClr val="FFD7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D7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FFD700"/>
            </a:solidFill>
            <a:round/>
          </a:ln>
          <a:effectLst/>
        </c:spPr>
        <c:marker>
          <c:symbol val="circle"/>
          <c:size val="5"/>
          <c:spPr>
            <a:solidFill>
              <a:srgbClr val="FFC857"/>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FFFF00"/>
            </a:solidFill>
            <a:round/>
          </a:ln>
          <a:effectLst/>
        </c:spPr>
        <c:marker>
          <c:symbol val="circle"/>
          <c:size val="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57348116802652E-2"/>
          <c:y val="0.18704099487564055"/>
          <c:w val="0.95135433941404091"/>
          <c:h val="0.72088764946048411"/>
        </c:manualLayout>
      </c:layout>
      <c:lineChart>
        <c:grouping val="standard"/>
        <c:varyColors val="0"/>
        <c:ser>
          <c:idx val="0"/>
          <c:order val="0"/>
          <c:tx>
            <c:strRef>
              <c:f>'PIVOT TABLE'!$B$3</c:f>
              <c:strCache>
                <c:ptCount val="1"/>
                <c:pt idx="0">
                  <c:v>Total</c:v>
                </c:pt>
              </c:strCache>
            </c:strRef>
          </c:tx>
          <c:spPr>
            <a:ln w="28575" cap="rnd">
              <a:solidFill>
                <a:srgbClr val="FFFF00"/>
              </a:solidFill>
              <a:round/>
            </a:ln>
            <a:effectLst/>
          </c:spPr>
          <c:marker>
            <c:symbol val="circle"/>
            <c:size val="5"/>
            <c:spPr>
              <a:solidFill>
                <a:srgbClr val="FFFF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TABLE'!$A$4:$A$12</c:f>
              <c:strCache>
                <c:ptCount val="8"/>
                <c:pt idx="0">
                  <c:v>1-Sep</c:v>
                </c:pt>
                <c:pt idx="1">
                  <c:v>2-Sep</c:v>
                </c:pt>
                <c:pt idx="2">
                  <c:v>3-Sep</c:v>
                </c:pt>
                <c:pt idx="3">
                  <c:v>4-Sep</c:v>
                </c:pt>
                <c:pt idx="4">
                  <c:v>5-Sep</c:v>
                </c:pt>
                <c:pt idx="5">
                  <c:v>6-Sep</c:v>
                </c:pt>
                <c:pt idx="6">
                  <c:v>7-Sep</c:v>
                </c:pt>
                <c:pt idx="7">
                  <c:v>8-Sep</c:v>
                </c:pt>
              </c:strCache>
            </c:strRef>
          </c:cat>
          <c:val>
            <c:numRef>
              <c:f>'PIVOT TABLE'!$B$4:$B$12</c:f>
              <c:numCache>
                <c:formatCode>_(* #,##0_);_(* \(#,##0\);_(* "-"??_);_(@_)</c:formatCode>
                <c:ptCount val="8"/>
                <c:pt idx="0">
                  <c:v>105</c:v>
                </c:pt>
                <c:pt idx="1">
                  <c:v>106</c:v>
                </c:pt>
                <c:pt idx="2">
                  <c:v>98</c:v>
                </c:pt>
                <c:pt idx="3">
                  <c:v>96</c:v>
                </c:pt>
                <c:pt idx="4">
                  <c:v>86</c:v>
                </c:pt>
                <c:pt idx="5">
                  <c:v>95</c:v>
                </c:pt>
                <c:pt idx="6">
                  <c:v>94</c:v>
                </c:pt>
                <c:pt idx="7">
                  <c:v>87</c:v>
                </c:pt>
              </c:numCache>
            </c:numRef>
          </c:val>
          <c:smooth val="0"/>
          <c:extLst>
            <c:ext xmlns:c16="http://schemas.microsoft.com/office/drawing/2014/chart" uri="{C3380CC4-5D6E-409C-BE32-E72D297353CC}">
              <c16:uniqueId val="{00000002-E092-4F3D-AF8F-7C25A4F897DB}"/>
            </c:ext>
          </c:extLst>
        </c:ser>
        <c:dLbls>
          <c:dLblPos val="t"/>
          <c:showLegendKey val="0"/>
          <c:showVal val="1"/>
          <c:showCatName val="0"/>
          <c:showSerName val="0"/>
          <c:showPercent val="0"/>
          <c:showBubbleSize val="0"/>
        </c:dLbls>
        <c:marker val="1"/>
        <c:smooth val="0"/>
        <c:axId val="1886181871"/>
        <c:axId val="1886182351"/>
      </c:lineChart>
      <c:catAx>
        <c:axId val="188618187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rgbClr val="FFC857"/>
                </a:solidFill>
                <a:latin typeface="+mn-lt"/>
                <a:ea typeface="+mn-ea"/>
                <a:cs typeface="+mn-cs"/>
              </a:defRPr>
            </a:pPr>
            <a:endParaRPr lang="en-US"/>
          </a:p>
        </c:txPr>
        <c:crossAx val="1886182351"/>
        <c:crosses val="autoZero"/>
        <c:auto val="1"/>
        <c:lblAlgn val="ctr"/>
        <c:lblOffset val="100"/>
        <c:noMultiLvlLbl val="0"/>
      </c:catAx>
      <c:valAx>
        <c:axId val="1886182351"/>
        <c:scaling>
          <c:orientation val="minMax"/>
        </c:scaling>
        <c:delete val="1"/>
        <c:axPos val="l"/>
        <c:numFmt formatCode="_(* #,##0_);_(* \(#,##0\);_(* &quot;-&quot;??_);_(@_)" sourceLinked="1"/>
        <c:majorTickMark val="out"/>
        <c:minorTickMark val="none"/>
        <c:tickLblPos val="nextTo"/>
        <c:crossAx val="1886181871"/>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a:outerShdw blurRad="50800" dist="50800" dir="5400000" sx="1000" sy="1000" algn="ctr" rotWithShape="0">
        <a:srgbClr val="FFD7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Dashboard.xlsx]PIVOT TABLE!PivotTable3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C857"/>
                </a:solidFill>
              </a:rPr>
              <a:t>Delivery</a:t>
            </a:r>
            <a:r>
              <a:rPr lang="en-US" b="1" baseline="0">
                <a:solidFill>
                  <a:srgbClr val="FFC857"/>
                </a:solidFill>
              </a:rPr>
              <a:t> Zone by Feedback</a:t>
            </a:r>
            <a:endParaRPr lang="en-US" b="1">
              <a:solidFill>
                <a:srgbClr val="FFC85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D7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700"/>
          </a:solidFill>
          <a:ln>
            <a:noFill/>
          </a:ln>
          <a:effectLst/>
          <a:sp3d/>
        </c:spPr>
        <c:dLbl>
          <c:idx val="0"/>
          <c:layout>
            <c:manualLayout>
              <c:x val="-2.5462668816039986E-17"/>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700"/>
          </a:solidFill>
          <a:ln>
            <a:noFill/>
          </a:ln>
          <a:effectLst/>
          <a:sp3d/>
        </c:spPr>
        <c:dLbl>
          <c:idx val="0"/>
          <c:layout>
            <c:manualLayout>
              <c:x val="-5.0925337632079971E-17"/>
              <c:y val="-4.1666484397783608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5222222222222227E-2"/>
                  <c:h val="0.10641221930592007"/>
                </c:manualLayout>
              </c15:layout>
            </c:ext>
          </c:extLst>
        </c:dLbl>
      </c:pivotFmt>
      <c:pivotFmt>
        <c:idx val="3"/>
        <c:spPr>
          <a:solidFill>
            <a:srgbClr val="FFD700"/>
          </a:soli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111111111111114E-2"/>
                  <c:h val="0.16659740449110527"/>
                </c:manualLayout>
              </c15:layout>
            </c:ext>
          </c:extLst>
        </c:dLbl>
      </c:pivotFmt>
      <c:pivotFmt>
        <c:idx val="4"/>
        <c:spPr>
          <a:solidFill>
            <a:srgbClr val="FFD7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700"/>
          </a:solidFill>
          <a:ln>
            <a:noFill/>
          </a:ln>
          <a:effectLst/>
          <a:sp3d/>
        </c:spPr>
        <c:dLbl>
          <c:idx val="0"/>
          <c:layout>
            <c:manualLayout>
              <c:x val="-2.5462668816039986E-17"/>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700"/>
          </a:solidFill>
          <a:ln>
            <a:noFill/>
          </a:ln>
          <a:effectLst/>
          <a:sp3d/>
        </c:spPr>
        <c:dLbl>
          <c:idx val="0"/>
          <c:layout>
            <c:manualLayout>
              <c:x val="-5.0925337632079971E-17"/>
              <c:y val="-4.1666484397783608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5222222222222227E-2"/>
                  <c:h val="0.10641221930592007"/>
                </c:manualLayout>
              </c15:layout>
            </c:ext>
          </c:extLst>
        </c:dLbl>
      </c:pivotFmt>
      <c:pivotFmt>
        <c:idx val="7"/>
        <c:spPr>
          <a:solidFill>
            <a:srgbClr val="FFD700"/>
          </a:soli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111111111111114E-2"/>
                  <c:h val="0.16659740449110527"/>
                </c:manualLayout>
              </c15:layout>
            </c:ext>
          </c:extLst>
        </c:dLbl>
      </c:pivotFmt>
      <c:pivotFmt>
        <c:idx val="8"/>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a:sp3d/>
        </c:spPr>
        <c:dLbl>
          <c:idx val="0"/>
          <c:layout>
            <c:manualLayout>
              <c:x val="-2.5462668816039986E-17"/>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a:sp3d/>
        </c:spPr>
        <c:dLbl>
          <c:idx val="0"/>
          <c:layout>
            <c:manualLayout>
              <c:x val="-5.0925337632079971E-17"/>
              <c:y val="-4.1666484397783608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5222222222222227E-2"/>
                  <c:h val="0.10641221930592007"/>
                </c:manualLayout>
              </c15:layout>
            </c:ext>
          </c:extLst>
        </c:dLbl>
      </c:pivotFmt>
      <c:pivotFmt>
        <c:idx val="11"/>
        <c:spPr>
          <a:solidFill>
            <a:srgbClr val="FFFF00"/>
          </a:soli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111111111111114E-2"/>
                  <c:h val="0.16659740449110527"/>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TABLE'!$P$1</c:f>
              <c:strCache>
                <c:ptCount val="1"/>
                <c:pt idx="0">
                  <c:v>Total</c:v>
                </c:pt>
              </c:strCache>
            </c:strRef>
          </c:tx>
          <c:spPr>
            <a:solidFill>
              <a:srgbClr val="FFFF00"/>
            </a:solidFill>
            <a:ln>
              <a:noFill/>
            </a:ln>
            <a:effectLst/>
            <a:sp3d/>
          </c:spPr>
          <c:invertIfNegative val="0"/>
          <c:dPt>
            <c:idx val="0"/>
            <c:invertIfNegative val="0"/>
            <c:bubble3D val="0"/>
            <c:spPr>
              <a:solidFill>
                <a:srgbClr val="FFFF00"/>
              </a:solidFill>
              <a:ln>
                <a:noFill/>
              </a:ln>
              <a:effectLst/>
              <a:sp3d/>
            </c:spPr>
            <c:extLst>
              <c:ext xmlns:c16="http://schemas.microsoft.com/office/drawing/2014/chart" uri="{C3380CC4-5D6E-409C-BE32-E72D297353CC}">
                <c16:uniqueId val="{00000000-2D0D-4D96-A0E2-CDB665ADA0B8}"/>
              </c:ext>
            </c:extLst>
          </c:dPt>
          <c:dPt>
            <c:idx val="1"/>
            <c:invertIfNegative val="0"/>
            <c:bubble3D val="0"/>
            <c:spPr>
              <a:solidFill>
                <a:srgbClr val="FFFF00"/>
              </a:solidFill>
              <a:ln>
                <a:noFill/>
              </a:ln>
              <a:effectLst/>
              <a:sp3d/>
            </c:spPr>
            <c:extLst>
              <c:ext xmlns:c16="http://schemas.microsoft.com/office/drawing/2014/chart" uri="{C3380CC4-5D6E-409C-BE32-E72D297353CC}">
                <c16:uniqueId val="{00000001-2D0D-4D96-A0E2-CDB665ADA0B8}"/>
              </c:ext>
            </c:extLst>
          </c:dPt>
          <c:dPt>
            <c:idx val="2"/>
            <c:invertIfNegative val="0"/>
            <c:bubble3D val="0"/>
            <c:spPr>
              <a:solidFill>
                <a:srgbClr val="FFFF00"/>
              </a:solidFill>
              <a:ln>
                <a:noFill/>
              </a:ln>
              <a:effectLst/>
              <a:sp3d/>
            </c:spPr>
            <c:extLst>
              <c:ext xmlns:c16="http://schemas.microsoft.com/office/drawing/2014/chart" uri="{C3380CC4-5D6E-409C-BE32-E72D297353CC}">
                <c16:uniqueId val="{00000002-2D0D-4D96-A0E2-CDB665ADA0B8}"/>
              </c:ext>
            </c:extLst>
          </c:dPt>
          <c:dLbls>
            <c:dLbl>
              <c:idx val="0"/>
              <c:layout>
                <c:manualLayout>
                  <c:x val="-2.5462668816039986E-17"/>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D0D-4D96-A0E2-CDB665ADA0B8}"/>
                </c:ext>
              </c:extLst>
            </c:dLbl>
            <c:dLbl>
              <c:idx val="1"/>
              <c:layout>
                <c:manualLayout>
                  <c:x val="-5.0925337632079971E-17"/>
                  <c:y val="-4.1666484397783608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5222222222222227E-2"/>
                      <c:h val="0.10641221930592007"/>
                    </c:manualLayout>
                  </c15:layout>
                </c:ext>
                <c:ext xmlns:c16="http://schemas.microsoft.com/office/drawing/2014/chart" uri="{C3380CC4-5D6E-409C-BE32-E72D297353CC}">
                  <c16:uniqueId val="{00000001-2D0D-4D96-A0E2-CDB665ADA0B8}"/>
                </c:ext>
              </c:extLst>
            </c:dLbl>
            <c:dLbl>
              <c:idx val="2"/>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111111111111114E-2"/>
                      <c:h val="0.16659740449110527"/>
                    </c:manualLayout>
                  </c15:layout>
                </c:ext>
                <c:ext xmlns:c16="http://schemas.microsoft.com/office/drawing/2014/chart" uri="{C3380CC4-5D6E-409C-BE32-E72D297353CC}">
                  <c16:uniqueId val="{00000002-2D0D-4D96-A0E2-CDB665ADA0B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C85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TABLE'!$O$2:$O$5</c:f>
              <c:strCache>
                <c:ptCount val="3"/>
                <c:pt idx="0">
                  <c:v>Negative</c:v>
                </c:pt>
                <c:pt idx="1">
                  <c:v>Neutral</c:v>
                </c:pt>
                <c:pt idx="2">
                  <c:v>Positive</c:v>
                </c:pt>
              </c:strCache>
            </c:strRef>
          </c:cat>
          <c:val>
            <c:numRef>
              <c:f>'PIVOT TABLE'!$P$2:$P$5</c:f>
              <c:numCache>
                <c:formatCode>General</c:formatCode>
                <c:ptCount val="3"/>
                <c:pt idx="0">
                  <c:v>529</c:v>
                </c:pt>
                <c:pt idx="1">
                  <c:v>490</c:v>
                </c:pt>
                <c:pt idx="2">
                  <c:v>481</c:v>
                </c:pt>
              </c:numCache>
            </c:numRef>
          </c:val>
          <c:extLst>
            <c:ext xmlns:c16="http://schemas.microsoft.com/office/drawing/2014/chart" uri="{C3380CC4-5D6E-409C-BE32-E72D297353CC}">
              <c16:uniqueId val="{00000003-2D0D-4D96-A0E2-CDB665ADA0B8}"/>
            </c:ext>
          </c:extLst>
        </c:ser>
        <c:dLbls>
          <c:showLegendKey val="0"/>
          <c:showVal val="1"/>
          <c:showCatName val="0"/>
          <c:showSerName val="0"/>
          <c:showPercent val="0"/>
          <c:showBubbleSize val="0"/>
        </c:dLbls>
        <c:gapWidth val="150"/>
        <c:shape val="box"/>
        <c:axId val="934133679"/>
        <c:axId val="934135599"/>
        <c:axId val="0"/>
      </c:bar3DChart>
      <c:catAx>
        <c:axId val="934133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C857"/>
                </a:solidFill>
                <a:latin typeface="+mn-lt"/>
                <a:ea typeface="+mn-ea"/>
                <a:cs typeface="+mn-cs"/>
              </a:defRPr>
            </a:pPr>
            <a:endParaRPr lang="en-US"/>
          </a:p>
        </c:txPr>
        <c:crossAx val="934135599"/>
        <c:crosses val="autoZero"/>
        <c:auto val="1"/>
        <c:lblAlgn val="ctr"/>
        <c:lblOffset val="100"/>
        <c:noMultiLvlLbl val="0"/>
      </c:catAx>
      <c:valAx>
        <c:axId val="934135599"/>
        <c:scaling>
          <c:orientation val="minMax"/>
        </c:scaling>
        <c:delete val="1"/>
        <c:axPos val="l"/>
        <c:numFmt formatCode="General" sourceLinked="1"/>
        <c:majorTickMark val="none"/>
        <c:minorTickMark val="none"/>
        <c:tickLblPos val="nextTo"/>
        <c:crossAx val="93413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Dashboard.xlsx]PIVOT TABLE!PivotTable21</c:name>
    <c:fmtId val="30"/>
  </c:pivotSource>
  <c:chart>
    <c:title>
      <c:tx>
        <c:rich>
          <a:bodyPr rot="0" spcFirstLastPara="1" vertOverflow="ellipsis" vert="horz" wrap="square" anchor="ctr" anchorCtr="1"/>
          <a:lstStyle/>
          <a:p>
            <a:pPr>
              <a:defRPr lang="en-US" sz="1800" b="0" i="0" u="none" strike="noStrike" kern="1200" spc="0" baseline="0">
                <a:solidFill>
                  <a:srgbClr val="FFC857"/>
                </a:solidFill>
                <a:latin typeface="+mn-lt"/>
                <a:ea typeface="+mn-ea"/>
                <a:cs typeface="+mn-cs"/>
              </a:defRPr>
            </a:pPr>
            <a:r>
              <a:rPr lang="en-US" sz="1800" b="1" i="0" u="none" strike="noStrike" kern="1200" spc="0" baseline="0">
                <a:solidFill>
                  <a:srgbClr val="FFC857"/>
                </a:solidFill>
              </a:rPr>
              <a:t>Order Status by Route</a:t>
            </a:r>
          </a:p>
        </c:rich>
      </c:tx>
      <c:overlay val="0"/>
      <c:spPr>
        <a:noFill/>
        <a:ln>
          <a:noFill/>
        </a:ln>
        <a:effectLst/>
      </c:spPr>
      <c:txPr>
        <a:bodyPr rot="0" spcFirstLastPara="1" vertOverflow="ellipsis" vert="horz" wrap="square" anchor="ctr" anchorCtr="1"/>
        <a:lstStyle/>
        <a:p>
          <a:pPr>
            <a:defRPr lang="en-US" sz="1800" b="0" i="0" u="none" strike="noStrike" kern="1200" spc="0" baseline="0">
              <a:solidFill>
                <a:srgbClr val="FFC857"/>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031401122139108"/>
          <c:y val="0.176901957925194"/>
          <c:w val="0.71178761501763077"/>
          <c:h val="0.75955410598185036"/>
        </c:manualLayout>
      </c:layout>
      <c:bar3DChart>
        <c:barDir val="bar"/>
        <c:grouping val="stacked"/>
        <c:varyColors val="0"/>
        <c:ser>
          <c:idx val="0"/>
          <c:order val="0"/>
          <c:tx>
            <c:strRef>
              <c:f>'PIVOT TABLE'!$I$1</c:f>
              <c:strCache>
                <c:ptCount val="1"/>
                <c:pt idx="0">
                  <c:v>Total</c:v>
                </c:pt>
              </c:strCache>
            </c:strRef>
          </c:tx>
          <c:spPr>
            <a:solidFill>
              <a:srgbClr val="FFFF00"/>
            </a:solidFill>
            <a:ln>
              <a:noFill/>
            </a:ln>
            <a:effectLst/>
            <a:sp3d/>
          </c:spPr>
          <c:invertIfNegative val="0"/>
          <c:dLbls>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TABLE'!$H$2:$H$4</c:f>
              <c:strCache>
                <c:ptCount val="2"/>
                <c:pt idx="0">
                  <c:v>Completed</c:v>
                </c:pt>
                <c:pt idx="1">
                  <c:v>In Progress</c:v>
                </c:pt>
              </c:strCache>
            </c:strRef>
          </c:cat>
          <c:val>
            <c:numRef>
              <c:f>'PIVOT TABLE'!$I$2:$I$4</c:f>
              <c:numCache>
                <c:formatCode>General</c:formatCode>
                <c:ptCount val="2"/>
                <c:pt idx="0">
                  <c:v>733</c:v>
                </c:pt>
                <c:pt idx="1">
                  <c:v>767</c:v>
                </c:pt>
              </c:numCache>
            </c:numRef>
          </c:val>
          <c:extLst>
            <c:ext xmlns:c16="http://schemas.microsoft.com/office/drawing/2014/chart" uri="{C3380CC4-5D6E-409C-BE32-E72D297353CC}">
              <c16:uniqueId val="{00000000-7DA1-4AAD-8E0F-B9C26B55534D}"/>
            </c:ext>
          </c:extLst>
        </c:ser>
        <c:dLbls>
          <c:showLegendKey val="0"/>
          <c:showVal val="1"/>
          <c:showCatName val="0"/>
          <c:showSerName val="0"/>
          <c:showPercent val="0"/>
          <c:showBubbleSize val="0"/>
        </c:dLbls>
        <c:gapWidth val="150"/>
        <c:shape val="box"/>
        <c:axId val="898993583"/>
        <c:axId val="898993103"/>
        <c:axId val="0"/>
      </c:bar3DChart>
      <c:catAx>
        <c:axId val="898993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rgbClr val="FFC857"/>
                </a:solidFill>
                <a:latin typeface="+mn-lt"/>
                <a:ea typeface="+mn-ea"/>
                <a:cs typeface="+mn-cs"/>
              </a:defRPr>
            </a:pPr>
            <a:endParaRPr lang="en-US"/>
          </a:p>
        </c:txPr>
        <c:crossAx val="898993103"/>
        <c:crosses val="autoZero"/>
        <c:auto val="1"/>
        <c:lblAlgn val="ctr"/>
        <c:lblOffset val="100"/>
        <c:noMultiLvlLbl val="0"/>
      </c:catAx>
      <c:valAx>
        <c:axId val="898993103"/>
        <c:scaling>
          <c:orientation val="minMax"/>
        </c:scaling>
        <c:delete val="1"/>
        <c:axPos val="b"/>
        <c:numFmt formatCode="General" sourceLinked="1"/>
        <c:majorTickMark val="none"/>
        <c:minorTickMark val="none"/>
        <c:tickLblPos val="nextTo"/>
        <c:crossAx val="89899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lang="en-US" sz="1000" b="0" i="0" u="none" strike="noStrike" kern="1200" baseline="0">
          <a:solidFill>
            <a:srgbClr val="FFC857"/>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Dashboard.xlsx]PIVOT TABLE!PivotTable6</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FFC857"/>
                </a:solidFill>
                <a:effectLst/>
              </a:rPr>
              <a:t>Operational Cost Drivers by Vehicle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sp3d/>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8.8379629629629641E-2"/>
          <c:w val="0.81725240594925641"/>
          <c:h val="0.80422098279381748"/>
        </c:manualLayout>
      </c:layout>
      <c:bar3DChart>
        <c:barDir val="col"/>
        <c:grouping val="stacked"/>
        <c:varyColors val="0"/>
        <c:ser>
          <c:idx val="0"/>
          <c:order val="0"/>
          <c:tx>
            <c:strRef>
              <c:f>'PIVOT TABLE'!$W$1</c:f>
              <c:strCache>
                <c:ptCount val="1"/>
                <c:pt idx="0">
                  <c:v>Average of Delays (min)</c:v>
                </c:pt>
              </c:strCache>
            </c:strRef>
          </c:tx>
          <c:spPr>
            <a:solidFill>
              <a:srgbClr val="FFC000"/>
            </a:solidFill>
            <a:ln>
              <a:noFill/>
            </a:ln>
            <a:effectLst/>
            <a:sp3d/>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TABLE'!$V$2:$V$5</c:f>
              <c:strCache>
                <c:ptCount val="3"/>
                <c:pt idx="0">
                  <c:v>Bike C</c:v>
                </c:pt>
                <c:pt idx="1">
                  <c:v>Truck B</c:v>
                </c:pt>
                <c:pt idx="2">
                  <c:v>Van A</c:v>
                </c:pt>
              </c:strCache>
            </c:strRef>
          </c:cat>
          <c:val>
            <c:numRef>
              <c:f>'PIVOT TABLE'!$W$2:$W$5</c:f>
              <c:numCache>
                <c:formatCode>0</c:formatCode>
                <c:ptCount val="3"/>
                <c:pt idx="0">
                  <c:v>14.806772908366534</c:v>
                </c:pt>
                <c:pt idx="1">
                  <c:v>14.596153846153847</c:v>
                </c:pt>
                <c:pt idx="2">
                  <c:v>14.145283018867925</c:v>
                </c:pt>
              </c:numCache>
            </c:numRef>
          </c:val>
          <c:extLst>
            <c:ext xmlns:c16="http://schemas.microsoft.com/office/drawing/2014/chart" uri="{C3380CC4-5D6E-409C-BE32-E72D297353CC}">
              <c16:uniqueId val="{00000000-649F-4078-90C0-839EED6FAE50}"/>
            </c:ext>
          </c:extLst>
        </c:ser>
        <c:ser>
          <c:idx val="1"/>
          <c:order val="1"/>
          <c:tx>
            <c:strRef>
              <c:f>'PIVOT TABLE'!$X$1</c:f>
              <c:strCache>
                <c:ptCount val="1"/>
                <c:pt idx="0">
                  <c:v>Average of Delivery Time (min)</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TABLE'!$V$2:$V$5</c:f>
              <c:strCache>
                <c:ptCount val="3"/>
                <c:pt idx="0">
                  <c:v>Bike C</c:v>
                </c:pt>
                <c:pt idx="1">
                  <c:v>Truck B</c:v>
                </c:pt>
                <c:pt idx="2">
                  <c:v>Van A</c:v>
                </c:pt>
              </c:strCache>
            </c:strRef>
          </c:cat>
          <c:val>
            <c:numRef>
              <c:f>'PIVOT TABLE'!$X$2:$X$5</c:f>
              <c:numCache>
                <c:formatCode>0</c:formatCode>
                <c:ptCount val="3"/>
                <c:pt idx="0">
                  <c:v>151.51593625498009</c:v>
                </c:pt>
                <c:pt idx="1">
                  <c:v>155.41025641025641</c:v>
                </c:pt>
                <c:pt idx="2">
                  <c:v>148.79622641509434</c:v>
                </c:pt>
              </c:numCache>
            </c:numRef>
          </c:val>
          <c:extLst>
            <c:ext xmlns:c16="http://schemas.microsoft.com/office/drawing/2014/chart" uri="{C3380CC4-5D6E-409C-BE32-E72D297353CC}">
              <c16:uniqueId val="{00000001-649F-4078-90C0-839EED6FAE50}"/>
            </c:ext>
          </c:extLst>
        </c:ser>
        <c:dLbls>
          <c:showLegendKey val="0"/>
          <c:showVal val="1"/>
          <c:showCatName val="0"/>
          <c:showSerName val="0"/>
          <c:showPercent val="0"/>
          <c:showBubbleSize val="0"/>
        </c:dLbls>
        <c:gapWidth val="150"/>
        <c:shape val="box"/>
        <c:axId val="891035983"/>
        <c:axId val="891036463"/>
        <c:axId val="0"/>
      </c:bar3DChart>
      <c:catAx>
        <c:axId val="891035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crossAx val="891036463"/>
        <c:crosses val="autoZero"/>
        <c:auto val="1"/>
        <c:lblAlgn val="ctr"/>
        <c:lblOffset val="100"/>
        <c:noMultiLvlLbl val="0"/>
      </c:catAx>
      <c:valAx>
        <c:axId val="891036463"/>
        <c:scaling>
          <c:orientation val="minMax"/>
        </c:scaling>
        <c:delete val="1"/>
        <c:axPos val="l"/>
        <c:numFmt formatCode="0" sourceLinked="1"/>
        <c:majorTickMark val="none"/>
        <c:minorTickMark val="none"/>
        <c:tickLblPos val="nextTo"/>
        <c:crossAx val="891035983"/>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800" b="1" i="0" u="none" strike="noStrike" kern="1200" baseline="0">
                <a:solidFill>
                  <a:srgbClr val="FFC857"/>
                </a:solidFill>
                <a:latin typeface="+mn-lt"/>
                <a:ea typeface="+mn-ea"/>
                <a:cs typeface="+mn-cs"/>
              </a:defRPr>
            </a:pPr>
            <a:endParaRPr lang="en-US"/>
          </a:p>
        </c:txPr>
      </c:legendEntry>
      <c:layout>
        <c:manualLayout>
          <c:xMode val="edge"/>
          <c:yMode val="edge"/>
          <c:x val="0.84503018372703409"/>
          <c:y val="0.28415573053368332"/>
          <c:w val="0.13830314960629922"/>
          <c:h val="0.34877150772820059"/>
        </c:manualLayout>
      </c:layout>
      <c:overlay val="0"/>
      <c:spPr>
        <a:solidFill>
          <a:schemeClr val="tx1"/>
        </a:solidFill>
        <a:ln>
          <a:noFill/>
        </a:ln>
        <a:effectLst/>
      </c:spPr>
      <c:txPr>
        <a:bodyPr rot="0" spcFirstLastPara="1" vertOverflow="ellipsis" vert="horz" wrap="square" anchor="ctr" anchorCtr="1"/>
        <a:lstStyle/>
        <a:p>
          <a:pPr>
            <a:defRPr sz="800" b="1" i="0" u="none" strike="noStrike" kern="1200" baseline="0">
              <a:solidFill>
                <a:srgbClr val="FFD7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[Streamline Logistics Dashboard.xlsx]PIVOT TABLE!PivotTable7</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C000"/>
                </a:solidFill>
              </a:rPr>
              <a:t>Customer Sentiment vs. Delivery Delays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366709456568248E-2"/>
          <c:y val="0.16708333333333336"/>
          <c:w val="0.81052260872454229"/>
          <c:h val="0.66077172645086035"/>
        </c:manualLayout>
      </c:layout>
      <c:bar3DChart>
        <c:barDir val="col"/>
        <c:grouping val="clustered"/>
        <c:varyColors val="0"/>
        <c:ser>
          <c:idx val="0"/>
          <c:order val="0"/>
          <c:tx>
            <c:strRef>
              <c:f>'PIVOT TABLE'!$S$3</c:f>
              <c:strCache>
                <c:ptCount val="1"/>
                <c:pt idx="0">
                  <c:v>Average of Delays (min)</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TABLE'!$R$4:$R$12</c:f>
              <c:strCache>
                <c:ptCount val="8"/>
                <c:pt idx="0">
                  <c:v>9/1/2023 0:00</c:v>
                </c:pt>
                <c:pt idx="1">
                  <c:v>9/2/2023 0:00</c:v>
                </c:pt>
                <c:pt idx="2">
                  <c:v>9/3/2023 0:00</c:v>
                </c:pt>
                <c:pt idx="3">
                  <c:v>9/4/2023 0:00</c:v>
                </c:pt>
                <c:pt idx="4">
                  <c:v>9/5/2023 0:00</c:v>
                </c:pt>
                <c:pt idx="5">
                  <c:v>9/6/2023 0:00</c:v>
                </c:pt>
                <c:pt idx="6">
                  <c:v>9/7/2023 0:00</c:v>
                </c:pt>
                <c:pt idx="7">
                  <c:v>9/8/2023 0:00</c:v>
                </c:pt>
              </c:strCache>
            </c:strRef>
          </c:cat>
          <c:val>
            <c:numRef>
              <c:f>'PIVOT TABLE'!$S$4:$S$12</c:f>
              <c:numCache>
                <c:formatCode>0</c:formatCode>
                <c:ptCount val="8"/>
                <c:pt idx="0">
                  <c:v>13.784313725490197</c:v>
                </c:pt>
                <c:pt idx="1">
                  <c:v>13.450704225352112</c:v>
                </c:pt>
                <c:pt idx="2">
                  <c:v>14.848101265822784</c:v>
                </c:pt>
                <c:pt idx="3">
                  <c:v>14.614285714285714</c:v>
                </c:pt>
                <c:pt idx="4">
                  <c:v>13.473684210526315</c:v>
                </c:pt>
                <c:pt idx="5">
                  <c:v>16.281690140845072</c:v>
                </c:pt>
                <c:pt idx="6">
                  <c:v>16.333333333333332</c:v>
                </c:pt>
                <c:pt idx="7">
                  <c:v>13.484375</c:v>
                </c:pt>
              </c:numCache>
            </c:numRef>
          </c:val>
          <c:extLst>
            <c:ext xmlns:c16="http://schemas.microsoft.com/office/drawing/2014/chart" uri="{C3380CC4-5D6E-409C-BE32-E72D297353CC}">
              <c16:uniqueId val="{00000000-99E6-4050-8C10-5E1FAE8D9FE6}"/>
            </c:ext>
          </c:extLst>
        </c:ser>
        <c:ser>
          <c:idx val="1"/>
          <c:order val="1"/>
          <c:tx>
            <c:strRef>
              <c:f>'PIVOT TABLE'!$T$3</c:f>
              <c:strCache>
                <c:ptCount val="1"/>
                <c:pt idx="0">
                  <c:v>Customer Sentiment (Negavitive)</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TABLE'!$R$4:$R$12</c:f>
              <c:strCache>
                <c:ptCount val="8"/>
                <c:pt idx="0">
                  <c:v>9/1/2023 0:00</c:v>
                </c:pt>
                <c:pt idx="1">
                  <c:v>9/2/2023 0:00</c:v>
                </c:pt>
                <c:pt idx="2">
                  <c:v>9/3/2023 0:00</c:v>
                </c:pt>
                <c:pt idx="3">
                  <c:v>9/4/2023 0:00</c:v>
                </c:pt>
                <c:pt idx="4">
                  <c:v>9/5/2023 0:00</c:v>
                </c:pt>
                <c:pt idx="5">
                  <c:v>9/6/2023 0:00</c:v>
                </c:pt>
                <c:pt idx="6">
                  <c:v>9/7/2023 0:00</c:v>
                </c:pt>
                <c:pt idx="7">
                  <c:v>9/8/2023 0:00</c:v>
                </c:pt>
              </c:strCache>
            </c:strRef>
          </c:cat>
          <c:val>
            <c:numRef>
              <c:f>'PIVOT TABLE'!$T$4:$T$12</c:f>
              <c:numCache>
                <c:formatCode>0</c:formatCode>
                <c:ptCount val="8"/>
                <c:pt idx="0">
                  <c:v>51</c:v>
                </c:pt>
                <c:pt idx="1">
                  <c:v>71</c:v>
                </c:pt>
                <c:pt idx="2">
                  <c:v>79</c:v>
                </c:pt>
                <c:pt idx="3">
                  <c:v>70</c:v>
                </c:pt>
                <c:pt idx="4">
                  <c:v>57</c:v>
                </c:pt>
                <c:pt idx="5">
                  <c:v>71</c:v>
                </c:pt>
                <c:pt idx="6">
                  <c:v>66</c:v>
                </c:pt>
                <c:pt idx="7">
                  <c:v>64</c:v>
                </c:pt>
              </c:numCache>
            </c:numRef>
          </c:val>
          <c:extLst>
            <c:ext xmlns:c16="http://schemas.microsoft.com/office/drawing/2014/chart" uri="{C3380CC4-5D6E-409C-BE32-E72D297353CC}">
              <c16:uniqueId val="{00000001-99E6-4050-8C10-5E1FAE8D9FE6}"/>
            </c:ext>
          </c:extLst>
        </c:ser>
        <c:dLbls>
          <c:showLegendKey val="0"/>
          <c:showVal val="1"/>
          <c:showCatName val="0"/>
          <c:showSerName val="0"/>
          <c:showPercent val="0"/>
          <c:showBubbleSize val="0"/>
        </c:dLbls>
        <c:gapWidth val="150"/>
        <c:shape val="box"/>
        <c:axId val="1612414271"/>
        <c:axId val="1612411391"/>
        <c:axId val="0"/>
      </c:bar3DChart>
      <c:catAx>
        <c:axId val="1612414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US"/>
          </a:p>
        </c:txPr>
        <c:crossAx val="1612411391"/>
        <c:crosses val="autoZero"/>
        <c:auto val="1"/>
        <c:lblAlgn val="ctr"/>
        <c:lblOffset val="100"/>
        <c:noMultiLvlLbl val="0"/>
      </c:catAx>
      <c:valAx>
        <c:axId val="1612411391"/>
        <c:scaling>
          <c:orientation val="minMax"/>
        </c:scaling>
        <c:delete val="1"/>
        <c:axPos val="l"/>
        <c:numFmt formatCode="0" sourceLinked="1"/>
        <c:majorTickMark val="none"/>
        <c:minorTickMark val="none"/>
        <c:tickLblPos val="nextTo"/>
        <c:crossAx val="1612414271"/>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Entry>
      <c:layout>
        <c:manualLayout>
          <c:xMode val="edge"/>
          <c:yMode val="edge"/>
          <c:x val="0.81931891424964287"/>
          <c:y val="0.17675538221273743"/>
          <c:w val="0.17880545419627428"/>
          <c:h val="0.545096769445875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C000"/>
                </a:solidFill>
              </a:rPr>
              <a:t>Delivery</a:t>
            </a:r>
            <a:r>
              <a:rPr lang="en-US" b="1" baseline="0">
                <a:solidFill>
                  <a:srgbClr val="FFC000"/>
                </a:solidFill>
              </a:rPr>
              <a:t> Trend Forecast</a:t>
            </a:r>
            <a:endParaRPr lang="en-US" b="1">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FORCASTSHEET!$B$1</c:f>
              <c:strCache>
                <c:ptCount val="1"/>
                <c:pt idx="0">
                  <c:v>Values</c:v>
                </c:pt>
              </c:strCache>
            </c:strRef>
          </c:tx>
          <c:spPr>
            <a:ln w="28575" cap="rnd">
              <a:solidFill>
                <a:srgbClr val="FFFF00"/>
              </a:solidFill>
              <a:round/>
            </a:ln>
            <a:effectLst/>
          </c:spPr>
          <c:marker>
            <c:symbol val="none"/>
          </c:marker>
          <c:dPt>
            <c:idx val="4"/>
            <c:marker>
              <c:symbol val="none"/>
            </c:marker>
            <c:bubble3D val="0"/>
            <c:spPr>
              <a:ln w="28575" cap="rnd">
                <a:solidFill>
                  <a:srgbClr val="FFFF00"/>
                </a:solidFill>
                <a:round/>
              </a:ln>
              <a:effectLst/>
            </c:spPr>
            <c:extLst>
              <c:ext xmlns:c16="http://schemas.microsoft.com/office/drawing/2014/chart" uri="{C3380CC4-5D6E-409C-BE32-E72D297353CC}">
                <c16:uniqueId val="{00000001-F3D5-4885-9D41-791D85C276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FORCASTSHEET!$B$2:$B$13</c:f>
              <c:numCache>
                <c:formatCode>0</c:formatCode>
                <c:ptCount val="12"/>
                <c:pt idx="0">
                  <c:v>147.81958762886597</c:v>
                </c:pt>
                <c:pt idx="1">
                  <c:v>155.77948717948718</c:v>
                </c:pt>
                <c:pt idx="2">
                  <c:v>147.55238095238096</c:v>
                </c:pt>
                <c:pt idx="3">
                  <c:v>154.27683615819208</c:v>
                </c:pt>
                <c:pt idx="4">
                  <c:v>149.17415730337078</c:v>
                </c:pt>
                <c:pt idx="5">
                  <c:v>152.23711340206185</c:v>
                </c:pt>
                <c:pt idx="6">
                  <c:v>152.05978260869566</c:v>
                </c:pt>
                <c:pt idx="7">
                  <c:v>156.20238095238096</c:v>
                </c:pt>
              </c:numCache>
            </c:numRef>
          </c:val>
          <c:smooth val="0"/>
          <c:extLst>
            <c:ext xmlns:c16="http://schemas.microsoft.com/office/drawing/2014/chart" uri="{C3380CC4-5D6E-409C-BE32-E72D297353CC}">
              <c16:uniqueId val="{00000002-F3D5-4885-9D41-791D85C276F6}"/>
            </c:ext>
          </c:extLst>
        </c:ser>
        <c:ser>
          <c:idx val="1"/>
          <c:order val="1"/>
          <c:tx>
            <c:strRef>
              <c:f>FORCASTSHEET!$C$1</c:f>
              <c:strCache>
                <c:ptCount val="1"/>
                <c:pt idx="0">
                  <c:v>Forecast</c:v>
                </c:pt>
              </c:strCache>
            </c:strRef>
          </c:tx>
          <c:spPr>
            <a:ln w="254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FORCASTSHEET!$A$2:$A$13</c:f>
              <c:numCache>
                <c:formatCode>m/d/yy;@</c:formatCode>
                <c:ptCount val="12"/>
                <c:pt idx="0">
                  <c:v>45170</c:v>
                </c:pt>
                <c:pt idx="1">
                  <c:v>45171</c:v>
                </c:pt>
                <c:pt idx="2">
                  <c:v>45172</c:v>
                </c:pt>
                <c:pt idx="3">
                  <c:v>45173</c:v>
                </c:pt>
                <c:pt idx="4">
                  <c:v>45174</c:v>
                </c:pt>
                <c:pt idx="5">
                  <c:v>45175</c:v>
                </c:pt>
                <c:pt idx="6">
                  <c:v>45176</c:v>
                </c:pt>
                <c:pt idx="7">
                  <c:v>45177</c:v>
                </c:pt>
                <c:pt idx="8">
                  <c:v>45178</c:v>
                </c:pt>
                <c:pt idx="9">
                  <c:v>45179</c:v>
                </c:pt>
                <c:pt idx="10">
                  <c:v>45180</c:v>
                </c:pt>
                <c:pt idx="11">
                  <c:v>45181</c:v>
                </c:pt>
              </c:numCache>
            </c:numRef>
          </c:cat>
          <c:val>
            <c:numRef>
              <c:f>FORCASTSHEET!$C$2:$C$13</c:f>
              <c:numCache>
                <c:formatCode>General</c:formatCode>
                <c:ptCount val="12"/>
                <c:pt idx="7" formatCode="0">
                  <c:v>156.20238095238096</c:v>
                </c:pt>
                <c:pt idx="8" formatCode="0">
                  <c:v>150.2464665912876</c:v>
                </c:pt>
                <c:pt idx="9" formatCode="0">
                  <c:v>156.44005743115235</c:v>
                </c:pt>
                <c:pt idx="10" formatCode="0">
                  <c:v>150.78255226373125</c:v>
                </c:pt>
                <c:pt idx="11" formatCode="0">
                  <c:v>156.976143103596</c:v>
                </c:pt>
              </c:numCache>
            </c:numRef>
          </c:val>
          <c:smooth val="0"/>
          <c:extLst>
            <c:ext xmlns:c16="http://schemas.microsoft.com/office/drawing/2014/chart" uri="{C3380CC4-5D6E-409C-BE32-E72D297353CC}">
              <c16:uniqueId val="{00000003-F3D5-4885-9D41-791D85C276F6}"/>
            </c:ext>
          </c:extLst>
        </c:ser>
        <c:ser>
          <c:idx val="2"/>
          <c:order val="2"/>
          <c:tx>
            <c:strRef>
              <c:f>FORCASTSHEET!$D$1</c:f>
              <c:strCache>
                <c:ptCount val="1"/>
                <c:pt idx="0">
                  <c:v>Lower Confidence Bound</c:v>
                </c:pt>
              </c:strCache>
            </c:strRef>
          </c:tx>
          <c:spPr>
            <a:ln w="12700" cap="rnd">
              <a:solidFill>
                <a:srgbClr val="ED7D31"/>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FORCASTSHEET!$A$2:$A$13</c:f>
              <c:numCache>
                <c:formatCode>m/d/yy;@</c:formatCode>
                <c:ptCount val="12"/>
                <c:pt idx="0">
                  <c:v>45170</c:v>
                </c:pt>
                <c:pt idx="1">
                  <c:v>45171</c:v>
                </c:pt>
                <c:pt idx="2">
                  <c:v>45172</c:v>
                </c:pt>
                <c:pt idx="3">
                  <c:v>45173</c:v>
                </c:pt>
                <c:pt idx="4">
                  <c:v>45174</c:v>
                </c:pt>
                <c:pt idx="5">
                  <c:v>45175</c:v>
                </c:pt>
                <c:pt idx="6">
                  <c:v>45176</c:v>
                </c:pt>
                <c:pt idx="7">
                  <c:v>45177</c:v>
                </c:pt>
                <c:pt idx="8">
                  <c:v>45178</c:v>
                </c:pt>
                <c:pt idx="9">
                  <c:v>45179</c:v>
                </c:pt>
                <c:pt idx="10">
                  <c:v>45180</c:v>
                </c:pt>
                <c:pt idx="11">
                  <c:v>45181</c:v>
                </c:pt>
              </c:numCache>
            </c:numRef>
          </c:cat>
          <c:val>
            <c:numRef>
              <c:f>FORCASTSHEET!$D$2:$D$13</c:f>
              <c:numCache>
                <c:formatCode>General</c:formatCode>
                <c:ptCount val="12"/>
                <c:pt idx="7" formatCode="0">
                  <c:v>156.20238095238096</c:v>
                </c:pt>
                <c:pt idx="8" formatCode="0">
                  <c:v>146.92160981712701</c:v>
                </c:pt>
                <c:pt idx="9" formatCode="0">
                  <c:v>153.11518569516994</c:v>
                </c:pt>
                <c:pt idx="10" formatCode="0">
                  <c:v>147.43013032326041</c:v>
                </c:pt>
                <c:pt idx="11" formatCode="0">
                  <c:v>153.62367994440029</c:v>
                </c:pt>
              </c:numCache>
            </c:numRef>
          </c:val>
          <c:smooth val="0"/>
          <c:extLst>
            <c:ext xmlns:c16="http://schemas.microsoft.com/office/drawing/2014/chart" uri="{C3380CC4-5D6E-409C-BE32-E72D297353CC}">
              <c16:uniqueId val="{00000004-F3D5-4885-9D41-791D85C276F6}"/>
            </c:ext>
          </c:extLst>
        </c:ser>
        <c:ser>
          <c:idx val="3"/>
          <c:order val="3"/>
          <c:tx>
            <c:strRef>
              <c:f>FORCASTSHEET!$E$1</c:f>
              <c:strCache>
                <c:ptCount val="1"/>
                <c:pt idx="0">
                  <c:v>Upper Confidence Bound</c:v>
                </c:pt>
              </c:strCache>
            </c:strRef>
          </c:tx>
          <c:spPr>
            <a:ln w="12700" cap="rnd">
              <a:solidFill>
                <a:srgbClr val="ED7D31"/>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FORCASTSHEET!$A$2:$A$13</c:f>
              <c:numCache>
                <c:formatCode>m/d/yy;@</c:formatCode>
                <c:ptCount val="12"/>
                <c:pt idx="0">
                  <c:v>45170</c:v>
                </c:pt>
                <c:pt idx="1">
                  <c:v>45171</c:v>
                </c:pt>
                <c:pt idx="2">
                  <c:v>45172</c:v>
                </c:pt>
                <c:pt idx="3">
                  <c:v>45173</c:v>
                </c:pt>
                <c:pt idx="4">
                  <c:v>45174</c:v>
                </c:pt>
                <c:pt idx="5">
                  <c:v>45175</c:v>
                </c:pt>
                <c:pt idx="6">
                  <c:v>45176</c:v>
                </c:pt>
                <c:pt idx="7">
                  <c:v>45177</c:v>
                </c:pt>
                <c:pt idx="8">
                  <c:v>45178</c:v>
                </c:pt>
                <c:pt idx="9">
                  <c:v>45179</c:v>
                </c:pt>
                <c:pt idx="10">
                  <c:v>45180</c:v>
                </c:pt>
                <c:pt idx="11">
                  <c:v>45181</c:v>
                </c:pt>
              </c:numCache>
            </c:numRef>
          </c:cat>
          <c:val>
            <c:numRef>
              <c:f>FORCASTSHEET!$E$2:$E$13</c:f>
              <c:numCache>
                <c:formatCode>General</c:formatCode>
                <c:ptCount val="12"/>
                <c:pt idx="7" formatCode="0">
                  <c:v>156.20238095238096</c:v>
                </c:pt>
                <c:pt idx="8" formatCode="0">
                  <c:v>153.57132336544819</c:v>
                </c:pt>
                <c:pt idx="9" formatCode="0">
                  <c:v>159.76492916713477</c:v>
                </c:pt>
                <c:pt idx="10" formatCode="0">
                  <c:v>154.13497420420208</c:v>
                </c:pt>
                <c:pt idx="11" formatCode="0">
                  <c:v>160.32860626279171</c:v>
                </c:pt>
              </c:numCache>
            </c:numRef>
          </c:val>
          <c:smooth val="0"/>
          <c:extLst>
            <c:ext xmlns:c16="http://schemas.microsoft.com/office/drawing/2014/chart" uri="{C3380CC4-5D6E-409C-BE32-E72D297353CC}">
              <c16:uniqueId val="{00000005-F3D5-4885-9D41-791D85C276F6}"/>
            </c:ext>
          </c:extLst>
        </c:ser>
        <c:dLbls>
          <c:dLblPos val="t"/>
          <c:showLegendKey val="0"/>
          <c:showVal val="1"/>
          <c:showCatName val="0"/>
          <c:showSerName val="0"/>
          <c:showPercent val="0"/>
          <c:showBubbleSize val="0"/>
        </c:dLbls>
        <c:smooth val="0"/>
        <c:axId val="1280771104"/>
        <c:axId val="1280770144"/>
      </c:lineChart>
      <c:catAx>
        <c:axId val="128077110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US"/>
          </a:p>
        </c:txPr>
        <c:crossAx val="1280770144"/>
        <c:crosses val="autoZero"/>
        <c:auto val="1"/>
        <c:lblAlgn val="ctr"/>
        <c:lblOffset val="100"/>
        <c:noMultiLvlLbl val="0"/>
      </c:catAx>
      <c:valAx>
        <c:axId val="1280770144"/>
        <c:scaling>
          <c:orientation val="minMax"/>
        </c:scaling>
        <c:delete val="1"/>
        <c:axPos val="l"/>
        <c:numFmt formatCode="0" sourceLinked="1"/>
        <c:majorTickMark val="none"/>
        <c:minorTickMark val="none"/>
        <c:tickLblPos val="nextTo"/>
        <c:crossAx val="1280771104"/>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chart" Target="../charts/chart2.xml"/><Relationship Id="rId12"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6.png"/><Relationship Id="rId5" Type="http://schemas.openxmlformats.org/officeDocument/2006/relationships/image" Target="../media/image4.png"/><Relationship Id="rId10" Type="http://schemas.openxmlformats.org/officeDocument/2006/relationships/chart" Target="../charts/chart5.xml"/><Relationship Id="rId4" Type="http://schemas.openxmlformats.org/officeDocument/2006/relationships/image" Target="../media/image3.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342900</xdr:colOff>
      <xdr:row>21</xdr:row>
      <xdr:rowOff>171450</xdr:rowOff>
    </xdr:from>
    <xdr:to>
      <xdr:col>7</xdr:col>
      <xdr:colOff>571500</xdr:colOff>
      <xdr:row>37</xdr:row>
      <xdr:rowOff>0</xdr:rowOff>
    </xdr:to>
    <xdr:sp macro="" textlink="">
      <xdr:nvSpPr>
        <xdr:cNvPr id="57" name="Rectangle 56">
          <a:extLst>
            <a:ext uri="{FF2B5EF4-FFF2-40B4-BE49-F238E27FC236}">
              <a16:creationId xmlns:a16="http://schemas.microsoft.com/office/drawing/2014/main" id="{EADFB41A-7AF9-509C-A9A8-53AC11130369}"/>
            </a:ext>
          </a:extLst>
        </xdr:cNvPr>
        <xdr:cNvSpPr/>
      </xdr:nvSpPr>
      <xdr:spPr>
        <a:xfrm>
          <a:off x="2171700" y="4171950"/>
          <a:ext cx="2667000" cy="287655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457200</xdr:colOff>
      <xdr:row>0</xdr:row>
      <xdr:rowOff>47626</xdr:rowOff>
    </xdr:from>
    <xdr:to>
      <xdr:col>16</xdr:col>
      <xdr:colOff>91440</xdr:colOff>
      <xdr:row>4</xdr:row>
      <xdr:rowOff>152400</xdr:rowOff>
    </xdr:to>
    <mc:AlternateContent xmlns:mc="http://schemas.openxmlformats.org/markup-compatibility/2006" xmlns:a14="http://schemas.microsoft.com/office/drawing/2010/main">
      <mc:Choice Requires="a14">
        <xdr:graphicFrame macro="">
          <xdr:nvGraphicFramePr>
            <xdr:cNvPr id="18" name="Order Status 1">
              <a:extLst>
                <a:ext uri="{FF2B5EF4-FFF2-40B4-BE49-F238E27FC236}">
                  <a16:creationId xmlns:a16="http://schemas.microsoft.com/office/drawing/2014/main" id="{7FE8AF62-AF8B-4851-94D0-5A3C7D051912}"/>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8382000" y="47626"/>
              <a:ext cx="1463040" cy="866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333374</xdr:colOff>
      <xdr:row>5</xdr:row>
      <xdr:rowOff>57149</xdr:rowOff>
    </xdr:from>
    <xdr:to>
      <xdr:col>12</xdr:col>
      <xdr:colOff>504825</xdr:colOff>
      <xdr:row>21</xdr:row>
      <xdr:rowOff>118109</xdr:rowOff>
    </xdr:to>
    <xdr:graphicFrame macro="">
      <xdr:nvGraphicFramePr>
        <xdr:cNvPr id="3" name="Chart 2">
          <a:extLst>
            <a:ext uri="{FF2B5EF4-FFF2-40B4-BE49-F238E27FC236}">
              <a16:creationId xmlns:a16="http://schemas.microsoft.com/office/drawing/2014/main" id="{734C92EC-427C-4A3F-9A2A-7BA37C9CD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333375</xdr:colOff>
      <xdr:row>0</xdr:row>
      <xdr:rowOff>66674</xdr:rowOff>
    </xdr:from>
    <xdr:to>
      <xdr:col>13</xdr:col>
      <xdr:colOff>381000</xdr:colOff>
      <xdr:row>4</xdr:row>
      <xdr:rowOff>171449</xdr:rowOff>
    </xdr:to>
    <xdr:sp macro="" textlink="">
      <xdr:nvSpPr>
        <xdr:cNvPr id="7" name="Rectangle 6">
          <a:extLst>
            <a:ext uri="{FF2B5EF4-FFF2-40B4-BE49-F238E27FC236}">
              <a16:creationId xmlns:a16="http://schemas.microsoft.com/office/drawing/2014/main" id="{16CC63FE-ABD2-47B4-99D1-07BF9852B00D}"/>
            </a:ext>
          </a:extLst>
        </xdr:cNvPr>
        <xdr:cNvSpPr/>
      </xdr:nvSpPr>
      <xdr:spPr>
        <a:xfrm>
          <a:off x="2162175" y="66674"/>
          <a:ext cx="6143625" cy="86677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C857"/>
              </a:solidFill>
            </a:rPr>
            <a:t>		</a:t>
          </a:r>
          <a:r>
            <a:rPr lang="en-US" sz="2000" b="1">
              <a:solidFill>
                <a:srgbClr val="FFC857"/>
              </a:solidFill>
            </a:rPr>
            <a:t>STREAMLINE LOGISTICS</a:t>
          </a:r>
          <a:r>
            <a:rPr lang="en-US" sz="2000" b="1" baseline="0">
              <a:solidFill>
                <a:srgbClr val="FFC857"/>
              </a:solidFill>
            </a:rPr>
            <a:t> SOLUTIONS		DELIVERY PERFORMANCE DASHBOARD</a:t>
          </a:r>
          <a:endParaRPr lang="en-US" sz="2000" b="1">
            <a:solidFill>
              <a:srgbClr val="FFC857"/>
            </a:solidFill>
          </a:endParaRPr>
        </a:p>
      </xdr:txBody>
    </xdr:sp>
    <xdr:clientData/>
  </xdr:twoCellAnchor>
  <xdr:twoCellAnchor>
    <xdr:from>
      <xdr:col>0</xdr:col>
      <xdr:colOff>19050</xdr:colOff>
      <xdr:row>0</xdr:row>
      <xdr:rowOff>38100</xdr:rowOff>
    </xdr:from>
    <xdr:to>
      <xdr:col>3</xdr:col>
      <xdr:colOff>256794</xdr:colOff>
      <xdr:row>7</xdr:row>
      <xdr:rowOff>76200</xdr:rowOff>
    </xdr:to>
    <xdr:sp macro="" textlink="'Pivot Table KPI'!I3">
      <xdr:nvSpPr>
        <xdr:cNvPr id="8" name="Rectangle 7">
          <a:extLst>
            <a:ext uri="{FF2B5EF4-FFF2-40B4-BE49-F238E27FC236}">
              <a16:creationId xmlns:a16="http://schemas.microsoft.com/office/drawing/2014/main" id="{DA827357-4708-47C0-A645-2852D279C59A}"/>
            </a:ext>
          </a:extLst>
        </xdr:cNvPr>
        <xdr:cNvSpPr/>
      </xdr:nvSpPr>
      <xdr:spPr>
        <a:xfrm>
          <a:off x="19050" y="38100"/>
          <a:ext cx="2066544" cy="1371600"/>
        </a:xfrm>
        <a:prstGeom prst="rect">
          <a:avLst/>
        </a:prstGeom>
        <a:solidFill>
          <a:schemeClr val="tx1"/>
        </a:solidFill>
        <a:ln>
          <a:solidFill>
            <a:srgbClr val="FFD700">
              <a:alpha val="88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60071153-CBF2-4EBE-B742-5DD77CF73B41}" type="TxLink">
            <a:rPr lang="en-US" sz="3000" b="0" i="0" u="none" strike="noStrike">
              <a:solidFill>
                <a:srgbClr val="FFFF00"/>
              </a:solidFill>
              <a:latin typeface="Calibri"/>
              <a:ea typeface="Calibri"/>
              <a:cs typeface="Calibri"/>
            </a:rPr>
            <a:pPr algn="r"/>
            <a:t>1500</a:t>
          </a:fld>
          <a:endParaRPr lang="en-US" sz="3000">
            <a:solidFill>
              <a:srgbClr val="FFFF00"/>
            </a:solidFill>
          </a:endParaRPr>
        </a:p>
      </xdr:txBody>
    </xdr:sp>
    <xdr:clientData/>
  </xdr:twoCellAnchor>
  <xdr:twoCellAnchor>
    <xdr:from>
      <xdr:col>0</xdr:col>
      <xdr:colOff>0</xdr:colOff>
      <xdr:row>7</xdr:row>
      <xdr:rowOff>123824</xdr:rowOff>
    </xdr:from>
    <xdr:to>
      <xdr:col>3</xdr:col>
      <xdr:colOff>237744</xdr:colOff>
      <xdr:row>14</xdr:row>
      <xdr:rowOff>161924</xdr:rowOff>
    </xdr:to>
    <xdr:sp macro="" textlink="'Pivot Table KPI'!A2">
      <xdr:nvSpPr>
        <xdr:cNvPr id="9" name="Rectangle 8">
          <a:extLst>
            <a:ext uri="{FF2B5EF4-FFF2-40B4-BE49-F238E27FC236}">
              <a16:creationId xmlns:a16="http://schemas.microsoft.com/office/drawing/2014/main" id="{04551FC4-83FF-411E-987E-DB3DC801D9C8}"/>
            </a:ext>
          </a:extLst>
        </xdr:cNvPr>
        <xdr:cNvSpPr/>
      </xdr:nvSpPr>
      <xdr:spPr>
        <a:xfrm>
          <a:off x="0" y="1457324"/>
          <a:ext cx="2066544" cy="1371600"/>
        </a:xfrm>
        <a:prstGeom prst="rect">
          <a:avLst/>
        </a:prstGeom>
        <a:solidFill>
          <a:schemeClr val="tx1"/>
        </a:solidFill>
        <a:ln>
          <a:solidFill>
            <a:srgbClr val="FFD700">
              <a:alpha val="88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7590B839-29C5-4A89-89B6-FD39A60080CF}" type="TxLink">
            <a:rPr lang="en-US" sz="3000" b="0" i="0" u="none" strike="noStrike">
              <a:solidFill>
                <a:srgbClr val="FFFF00"/>
              </a:solidFill>
              <a:latin typeface="Calibri"/>
              <a:ea typeface="Calibri"/>
              <a:cs typeface="Calibri"/>
            </a:rPr>
            <a:pPr marL="0" indent="0" algn="r"/>
            <a:t> 152 </a:t>
          </a:fld>
          <a:endParaRPr lang="en-US" sz="3000" b="0" i="0" u="none" strike="noStrike">
            <a:solidFill>
              <a:srgbClr val="FFFF00"/>
            </a:solidFill>
            <a:latin typeface="Calibri"/>
            <a:ea typeface="Calibri"/>
            <a:cs typeface="Calibri"/>
          </a:endParaRPr>
        </a:p>
      </xdr:txBody>
    </xdr:sp>
    <xdr:clientData/>
  </xdr:twoCellAnchor>
  <xdr:twoCellAnchor>
    <xdr:from>
      <xdr:col>0</xdr:col>
      <xdr:colOff>0</xdr:colOff>
      <xdr:row>15</xdr:row>
      <xdr:rowOff>19049</xdr:rowOff>
    </xdr:from>
    <xdr:to>
      <xdr:col>3</xdr:col>
      <xdr:colOff>237744</xdr:colOff>
      <xdr:row>22</xdr:row>
      <xdr:rowOff>57149</xdr:rowOff>
    </xdr:to>
    <xdr:sp macro="" textlink="'Pivot Table KPI'!D2">
      <xdr:nvSpPr>
        <xdr:cNvPr id="10" name="Rectangle 9">
          <a:extLst>
            <a:ext uri="{FF2B5EF4-FFF2-40B4-BE49-F238E27FC236}">
              <a16:creationId xmlns:a16="http://schemas.microsoft.com/office/drawing/2014/main" id="{A7692553-D3D6-42DE-BEFE-89C7DC664722}"/>
            </a:ext>
          </a:extLst>
        </xdr:cNvPr>
        <xdr:cNvSpPr/>
      </xdr:nvSpPr>
      <xdr:spPr>
        <a:xfrm>
          <a:off x="0" y="2876549"/>
          <a:ext cx="2066544" cy="1371600"/>
        </a:xfrm>
        <a:prstGeom prst="rect">
          <a:avLst/>
        </a:prstGeom>
        <a:solidFill>
          <a:schemeClr val="tx1"/>
        </a:solidFill>
        <a:ln>
          <a:solidFill>
            <a:srgbClr val="FFD700">
              <a:alpha val="88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483BFD87-766A-4994-A88E-642B58C742D2}" type="TxLink">
            <a:rPr lang="en-US" sz="3000" b="0" i="0" u="none" strike="noStrike">
              <a:solidFill>
                <a:srgbClr val="FFFF00"/>
              </a:solidFill>
              <a:latin typeface="Calibri"/>
              <a:ea typeface="Calibri"/>
              <a:cs typeface="Calibri"/>
            </a:rPr>
            <a:pPr marL="0" indent="0" algn="r"/>
            <a:t> 15 </a:t>
          </a:fld>
          <a:endParaRPr lang="en-US" sz="3000" b="0" i="0" u="none" strike="noStrike">
            <a:solidFill>
              <a:srgbClr val="FFFF00"/>
            </a:solidFill>
            <a:latin typeface="Calibri"/>
            <a:ea typeface="Calibri"/>
            <a:cs typeface="Calibri"/>
          </a:endParaRPr>
        </a:p>
      </xdr:txBody>
    </xdr:sp>
    <xdr:clientData/>
  </xdr:twoCellAnchor>
  <xdr:twoCellAnchor>
    <xdr:from>
      <xdr:col>0</xdr:col>
      <xdr:colOff>9525</xdr:colOff>
      <xdr:row>22</xdr:row>
      <xdr:rowOff>123824</xdr:rowOff>
    </xdr:from>
    <xdr:to>
      <xdr:col>3</xdr:col>
      <xdr:colOff>247269</xdr:colOff>
      <xdr:row>29</xdr:row>
      <xdr:rowOff>161924</xdr:rowOff>
    </xdr:to>
    <xdr:sp macro="" textlink="'Pivot Table KPI'!G2">
      <xdr:nvSpPr>
        <xdr:cNvPr id="11" name="Rectangle 10">
          <a:extLst>
            <a:ext uri="{FF2B5EF4-FFF2-40B4-BE49-F238E27FC236}">
              <a16:creationId xmlns:a16="http://schemas.microsoft.com/office/drawing/2014/main" id="{73355821-E739-4FDC-BCA8-E80159E6E0ED}"/>
            </a:ext>
          </a:extLst>
        </xdr:cNvPr>
        <xdr:cNvSpPr/>
      </xdr:nvSpPr>
      <xdr:spPr>
        <a:xfrm>
          <a:off x="9525" y="4314824"/>
          <a:ext cx="2066544" cy="1371600"/>
        </a:xfrm>
        <a:prstGeom prst="rect">
          <a:avLst/>
        </a:prstGeom>
        <a:solidFill>
          <a:schemeClr val="tx1"/>
        </a:solidFill>
        <a:ln>
          <a:solidFill>
            <a:srgbClr val="FFD700">
              <a:alpha val="88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E2F39CE8-1A77-4045-A3F9-A5B2A68389AD}" type="TxLink">
            <a:rPr lang="en-US" sz="3000" b="0" i="0" u="none" strike="noStrike">
              <a:solidFill>
                <a:srgbClr val="FFFF00"/>
              </a:solidFill>
              <a:latin typeface="Calibri"/>
              <a:ea typeface="Calibri"/>
              <a:cs typeface="Calibri"/>
            </a:rPr>
            <a:pPr marL="0" indent="0" algn="r"/>
            <a:t>90.5%</a:t>
          </a:fld>
          <a:endParaRPr lang="en-US" sz="3000" b="0" i="0" u="none" strike="noStrike">
            <a:solidFill>
              <a:srgbClr val="FFFF00"/>
            </a:solidFill>
            <a:latin typeface="Calibri"/>
            <a:ea typeface="Calibri"/>
            <a:cs typeface="Calibri"/>
          </a:endParaRPr>
        </a:p>
      </xdr:txBody>
    </xdr:sp>
    <xdr:clientData/>
  </xdr:twoCellAnchor>
  <xdr:twoCellAnchor>
    <xdr:from>
      <xdr:col>0</xdr:col>
      <xdr:colOff>0</xdr:colOff>
      <xdr:row>30</xdr:row>
      <xdr:rowOff>9524</xdr:rowOff>
    </xdr:from>
    <xdr:to>
      <xdr:col>3</xdr:col>
      <xdr:colOff>237744</xdr:colOff>
      <xdr:row>37</xdr:row>
      <xdr:rowOff>47624</xdr:rowOff>
    </xdr:to>
    <xdr:sp macro="" textlink="'Pivot Table KPI'!B32">
      <xdr:nvSpPr>
        <xdr:cNvPr id="12" name="Rectangle 11">
          <a:extLst>
            <a:ext uri="{FF2B5EF4-FFF2-40B4-BE49-F238E27FC236}">
              <a16:creationId xmlns:a16="http://schemas.microsoft.com/office/drawing/2014/main" id="{58FF5117-AC38-4213-A320-418935430D0E}"/>
            </a:ext>
          </a:extLst>
        </xdr:cNvPr>
        <xdr:cNvSpPr/>
      </xdr:nvSpPr>
      <xdr:spPr>
        <a:xfrm>
          <a:off x="0" y="5724524"/>
          <a:ext cx="2066544" cy="1371600"/>
        </a:xfrm>
        <a:prstGeom prst="rect">
          <a:avLst/>
        </a:prstGeom>
        <a:solidFill>
          <a:schemeClr val="tx1"/>
        </a:solidFill>
        <a:ln>
          <a:solidFill>
            <a:srgbClr val="FFD700">
              <a:alpha val="88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6E9FBD5B-6F24-43EE-B1F0-C11AE951E58B}" type="TxLink">
            <a:rPr lang="en-US" sz="3000" b="0" i="0" u="none" strike="noStrike">
              <a:solidFill>
                <a:srgbClr val="FFFF00"/>
              </a:solidFill>
              <a:latin typeface="Calibri"/>
              <a:ea typeface="Calibri"/>
              <a:cs typeface="Calibri"/>
            </a:rPr>
            <a:pPr marL="0" indent="0" algn="r"/>
            <a:t>35%</a:t>
          </a:fld>
          <a:endParaRPr lang="en-US" sz="3000" b="0" i="0" u="none" strike="noStrike">
            <a:solidFill>
              <a:srgbClr val="FFFF00"/>
            </a:solidFill>
            <a:latin typeface="Calibri"/>
            <a:ea typeface="Calibri"/>
            <a:cs typeface="Calibri"/>
          </a:endParaRPr>
        </a:p>
      </xdr:txBody>
    </xdr:sp>
    <xdr:clientData/>
  </xdr:twoCellAnchor>
  <xdr:twoCellAnchor>
    <xdr:from>
      <xdr:col>4</xdr:col>
      <xdr:colOff>76200</xdr:colOff>
      <xdr:row>22</xdr:row>
      <xdr:rowOff>95249</xdr:rowOff>
    </xdr:from>
    <xdr:to>
      <xdr:col>7</xdr:col>
      <xdr:colOff>313944</xdr:colOff>
      <xdr:row>25</xdr:row>
      <xdr:rowOff>66674</xdr:rowOff>
    </xdr:to>
    <xdr:sp macro="" textlink="">
      <xdr:nvSpPr>
        <xdr:cNvPr id="13" name="Rectangle 12">
          <a:extLst>
            <a:ext uri="{FF2B5EF4-FFF2-40B4-BE49-F238E27FC236}">
              <a16:creationId xmlns:a16="http://schemas.microsoft.com/office/drawing/2014/main" id="{2856ADDB-8177-40EC-9295-D94FB9C60F83}"/>
            </a:ext>
          </a:extLst>
        </xdr:cNvPr>
        <xdr:cNvSpPr/>
      </xdr:nvSpPr>
      <xdr:spPr>
        <a:xfrm>
          <a:off x="2514600" y="4286249"/>
          <a:ext cx="2066544" cy="5429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FFC857"/>
              </a:solidFill>
            </a:rPr>
            <a:t>On-Time</a:t>
          </a:r>
          <a:r>
            <a:rPr lang="en-US" sz="1400" b="1" baseline="0">
              <a:solidFill>
                <a:srgbClr val="FFC857"/>
              </a:solidFill>
            </a:rPr>
            <a:t> VS Delay Deliveries </a:t>
          </a:r>
          <a:endParaRPr lang="en-US" sz="1400" b="1">
            <a:solidFill>
              <a:srgbClr val="FFC857"/>
            </a:solidFill>
          </a:endParaRPr>
        </a:p>
      </xdr:txBody>
    </xdr:sp>
    <xdr:clientData/>
  </xdr:twoCellAnchor>
  <xdr:twoCellAnchor>
    <xdr:from>
      <xdr:col>0</xdr:col>
      <xdr:colOff>0</xdr:colOff>
      <xdr:row>22</xdr:row>
      <xdr:rowOff>123825</xdr:rowOff>
    </xdr:from>
    <xdr:to>
      <xdr:col>3</xdr:col>
      <xdr:colOff>237744</xdr:colOff>
      <xdr:row>24</xdr:row>
      <xdr:rowOff>85725</xdr:rowOff>
    </xdr:to>
    <xdr:sp macro="" textlink="">
      <xdr:nvSpPr>
        <xdr:cNvPr id="14" name="Rectangle 13">
          <a:extLst>
            <a:ext uri="{FF2B5EF4-FFF2-40B4-BE49-F238E27FC236}">
              <a16:creationId xmlns:a16="http://schemas.microsoft.com/office/drawing/2014/main" id="{DC857B94-FF7B-4778-B1D2-406CD0598645}"/>
            </a:ext>
          </a:extLst>
        </xdr:cNvPr>
        <xdr:cNvSpPr/>
      </xdr:nvSpPr>
      <xdr:spPr>
        <a:xfrm>
          <a:off x="0" y="4314825"/>
          <a:ext cx="2066544" cy="342900"/>
        </a:xfrm>
        <a:prstGeom prst="rect">
          <a:avLst/>
        </a:prstGeom>
        <a:solidFill>
          <a:schemeClr val="tx1"/>
        </a:solidFill>
        <a:ln>
          <a:solidFill>
            <a:srgbClr val="FFD700">
              <a:alpha val="8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rgbClr val="FFC857"/>
              </a:solidFill>
            </a:rPr>
            <a:t>Avg.</a:t>
          </a:r>
          <a:r>
            <a:rPr lang="en-US" sz="1300" b="1" baseline="0">
              <a:solidFill>
                <a:srgbClr val="FFC857"/>
              </a:solidFill>
            </a:rPr>
            <a:t> Delivery  Efficiency %</a:t>
          </a:r>
          <a:endParaRPr lang="en-US" sz="1300" b="1">
            <a:solidFill>
              <a:srgbClr val="FFC857"/>
            </a:solidFill>
          </a:endParaRPr>
        </a:p>
      </xdr:txBody>
    </xdr:sp>
    <xdr:clientData/>
  </xdr:twoCellAnchor>
  <xdr:twoCellAnchor>
    <xdr:from>
      <xdr:col>0</xdr:col>
      <xdr:colOff>0</xdr:colOff>
      <xdr:row>15</xdr:row>
      <xdr:rowOff>19050</xdr:rowOff>
    </xdr:from>
    <xdr:to>
      <xdr:col>3</xdr:col>
      <xdr:colOff>237744</xdr:colOff>
      <xdr:row>16</xdr:row>
      <xdr:rowOff>171450</xdr:rowOff>
    </xdr:to>
    <xdr:sp macro="" textlink="">
      <xdr:nvSpPr>
        <xdr:cNvPr id="15" name="Rectangle 14">
          <a:extLst>
            <a:ext uri="{FF2B5EF4-FFF2-40B4-BE49-F238E27FC236}">
              <a16:creationId xmlns:a16="http://schemas.microsoft.com/office/drawing/2014/main" id="{A222C38C-10FF-4F28-8875-B99710FDED0D}"/>
            </a:ext>
          </a:extLst>
        </xdr:cNvPr>
        <xdr:cNvSpPr/>
      </xdr:nvSpPr>
      <xdr:spPr>
        <a:xfrm>
          <a:off x="0" y="2876550"/>
          <a:ext cx="2066544" cy="342900"/>
        </a:xfrm>
        <a:prstGeom prst="rect">
          <a:avLst/>
        </a:prstGeom>
        <a:solidFill>
          <a:schemeClr val="tx1"/>
        </a:solidFill>
        <a:ln>
          <a:solidFill>
            <a:srgbClr val="FFD700">
              <a:alpha val="8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rgbClr val="FFC857"/>
              </a:solidFill>
              <a:latin typeface="+mn-lt"/>
              <a:ea typeface="+mn-ea"/>
              <a:cs typeface="+mn-cs"/>
            </a:rPr>
            <a:t>Avg. Delay Time (Min)</a:t>
          </a:r>
        </a:p>
      </xdr:txBody>
    </xdr:sp>
    <xdr:clientData/>
  </xdr:twoCellAnchor>
  <xdr:twoCellAnchor>
    <xdr:from>
      <xdr:col>0</xdr:col>
      <xdr:colOff>0</xdr:colOff>
      <xdr:row>7</xdr:row>
      <xdr:rowOff>114300</xdr:rowOff>
    </xdr:from>
    <xdr:to>
      <xdr:col>3</xdr:col>
      <xdr:colOff>237744</xdr:colOff>
      <xdr:row>9</xdr:row>
      <xdr:rowOff>76200</xdr:rowOff>
    </xdr:to>
    <xdr:sp macro="" textlink="">
      <xdr:nvSpPr>
        <xdr:cNvPr id="16" name="Rectangle 15">
          <a:extLst>
            <a:ext uri="{FF2B5EF4-FFF2-40B4-BE49-F238E27FC236}">
              <a16:creationId xmlns:a16="http://schemas.microsoft.com/office/drawing/2014/main" id="{04FFFA19-E278-4228-ADEE-C3E2C2A15022}"/>
            </a:ext>
          </a:extLst>
        </xdr:cNvPr>
        <xdr:cNvSpPr/>
      </xdr:nvSpPr>
      <xdr:spPr>
        <a:xfrm>
          <a:off x="0" y="1447800"/>
          <a:ext cx="2066544" cy="342900"/>
        </a:xfrm>
        <a:prstGeom prst="rect">
          <a:avLst/>
        </a:prstGeom>
        <a:solidFill>
          <a:schemeClr val="tx1"/>
        </a:solidFill>
        <a:ln>
          <a:solidFill>
            <a:srgbClr val="FFD700">
              <a:alpha val="8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rgbClr val="FFC857"/>
              </a:solidFill>
              <a:latin typeface="+mn-lt"/>
              <a:ea typeface="+mn-ea"/>
              <a:cs typeface="+mn-cs"/>
            </a:rPr>
            <a:t>Avg. Delivery Time (Min)</a:t>
          </a:r>
        </a:p>
      </xdr:txBody>
    </xdr:sp>
    <xdr:clientData/>
  </xdr:twoCellAnchor>
  <xdr:twoCellAnchor>
    <xdr:from>
      <xdr:col>0</xdr:col>
      <xdr:colOff>19050</xdr:colOff>
      <xdr:row>0</xdr:row>
      <xdr:rowOff>28575</xdr:rowOff>
    </xdr:from>
    <xdr:to>
      <xdr:col>3</xdr:col>
      <xdr:colOff>256794</xdr:colOff>
      <xdr:row>1</xdr:row>
      <xdr:rowOff>180975</xdr:rowOff>
    </xdr:to>
    <xdr:sp macro="" textlink="">
      <xdr:nvSpPr>
        <xdr:cNvPr id="17" name="Rectangle 16">
          <a:extLst>
            <a:ext uri="{FF2B5EF4-FFF2-40B4-BE49-F238E27FC236}">
              <a16:creationId xmlns:a16="http://schemas.microsoft.com/office/drawing/2014/main" id="{FAAF6121-8077-4CF4-80B0-94188D51F968}"/>
            </a:ext>
          </a:extLst>
        </xdr:cNvPr>
        <xdr:cNvSpPr/>
      </xdr:nvSpPr>
      <xdr:spPr>
        <a:xfrm>
          <a:off x="19050" y="28575"/>
          <a:ext cx="2066544" cy="342900"/>
        </a:xfrm>
        <a:prstGeom prst="rect">
          <a:avLst/>
        </a:prstGeom>
        <a:noFill/>
        <a:ln>
          <a:solidFill>
            <a:srgbClr val="FFD7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solidFill>
                <a:srgbClr val="FFC857"/>
              </a:solidFill>
            </a:rPr>
            <a:t> Orders Count</a:t>
          </a:r>
          <a:endParaRPr lang="en-US" sz="1400" b="1">
            <a:solidFill>
              <a:srgbClr val="FFC857"/>
            </a:solidFill>
          </a:endParaRPr>
        </a:p>
      </xdr:txBody>
    </xdr:sp>
    <xdr:clientData/>
  </xdr:twoCellAnchor>
  <xdr:twoCellAnchor editAs="oneCell">
    <xdr:from>
      <xdr:col>22</xdr:col>
      <xdr:colOff>504825</xdr:colOff>
      <xdr:row>0</xdr:row>
      <xdr:rowOff>28575</xdr:rowOff>
    </xdr:from>
    <xdr:to>
      <xdr:col>29</xdr:col>
      <xdr:colOff>120015</xdr:colOff>
      <xdr:row>4</xdr:row>
      <xdr:rowOff>180974</xdr:rowOff>
    </xdr:to>
    <mc:AlternateContent xmlns:mc="http://schemas.openxmlformats.org/markup-compatibility/2006" xmlns:a14="http://schemas.microsoft.com/office/drawing/2010/main">
      <mc:Choice Requires="a14">
        <xdr:graphicFrame macro="">
          <xdr:nvGraphicFramePr>
            <xdr:cNvPr id="22" name="Delivery date 1">
              <a:extLst>
                <a:ext uri="{FF2B5EF4-FFF2-40B4-BE49-F238E27FC236}">
                  <a16:creationId xmlns:a16="http://schemas.microsoft.com/office/drawing/2014/main" id="{8D5B4EC9-5273-41A5-9E39-B1ADA29C63B0}"/>
                </a:ext>
              </a:extLst>
            </xdr:cNvPr>
            <xdr:cNvGraphicFramePr/>
          </xdr:nvGraphicFramePr>
          <xdr:xfrm>
            <a:off x="0" y="0"/>
            <a:ext cx="0" cy="0"/>
          </xdr:xfrm>
          <a:graphic>
            <a:graphicData uri="http://schemas.microsoft.com/office/drawing/2010/slicer">
              <sle:slicer xmlns:sle="http://schemas.microsoft.com/office/drawing/2010/slicer" name="Delivery date 1"/>
            </a:graphicData>
          </a:graphic>
        </xdr:graphicFrame>
      </mc:Choice>
      <mc:Fallback xmlns="">
        <xdr:sp macro="" textlink="">
          <xdr:nvSpPr>
            <xdr:cNvPr id="0" name=""/>
            <xdr:cNvSpPr>
              <a:spLocks noTextEdit="1"/>
            </xdr:cNvSpPr>
          </xdr:nvSpPr>
          <xdr:spPr>
            <a:xfrm>
              <a:off x="13592175" y="28575"/>
              <a:ext cx="4206240"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2</xdr:row>
      <xdr:rowOff>76200</xdr:rowOff>
    </xdr:from>
    <xdr:to>
      <xdr:col>0</xdr:col>
      <xdr:colOff>571500</xdr:colOff>
      <xdr:row>5</xdr:row>
      <xdr:rowOff>28575</xdr:rowOff>
    </xdr:to>
    <xdr:pic>
      <xdr:nvPicPr>
        <xdr:cNvPr id="34" name="Picture 33">
          <a:extLst>
            <a:ext uri="{FF2B5EF4-FFF2-40B4-BE49-F238E27FC236}">
              <a16:creationId xmlns:a16="http://schemas.microsoft.com/office/drawing/2014/main" id="{CB7E32EA-19A4-2C1C-9F4F-5C54B75BF7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5" y="457200"/>
          <a:ext cx="523875" cy="523875"/>
        </a:xfrm>
        <a:prstGeom prst="rect">
          <a:avLst/>
        </a:prstGeom>
      </xdr:spPr>
    </xdr:pic>
    <xdr:clientData/>
  </xdr:twoCellAnchor>
  <xdr:twoCellAnchor editAs="oneCell">
    <xdr:from>
      <xdr:col>0</xdr:col>
      <xdr:colOff>66675</xdr:colOff>
      <xdr:row>10</xdr:row>
      <xdr:rowOff>0</xdr:rowOff>
    </xdr:from>
    <xdr:to>
      <xdr:col>0</xdr:col>
      <xdr:colOff>533400</xdr:colOff>
      <xdr:row>12</xdr:row>
      <xdr:rowOff>85725</xdr:rowOff>
    </xdr:to>
    <xdr:pic>
      <xdr:nvPicPr>
        <xdr:cNvPr id="36" name="Picture 35">
          <a:extLst>
            <a:ext uri="{FF2B5EF4-FFF2-40B4-BE49-F238E27FC236}">
              <a16:creationId xmlns:a16="http://schemas.microsoft.com/office/drawing/2014/main" id="{6ADF3883-D055-1F71-887C-7C9E0D77E6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675" y="1905000"/>
          <a:ext cx="466725" cy="466725"/>
        </a:xfrm>
        <a:prstGeom prst="rect">
          <a:avLst/>
        </a:prstGeom>
      </xdr:spPr>
    </xdr:pic>
    <xdr:clientData/>
  </xdr:twoCellAnchor>
  <xdr:twoCellAnchor editAs="oneCell">
    <xdr:from>
      <xdr:col>0</xdr:col>
      <xdr:colOff>114301</xdr:colOff>
      <xdr:row>17</xdr:row>
      <xdr:rowOff>114982</xdr:rowOff>
    </xdr:from>
    <xdr:to>
      <xdr:col>0</xdr:col>
      <xdr:colOff>600075</xdr:colOff>
      <xdr:row>20</xdr:row>
      <xdr:rowOff>29256</xdr:rowOff>
    </xdr:to>
    <xdr:pic>
      <xdr:nvPicPr>
        <xdr:cNvPr id="38" name="Picture 37">
          <a:extLst>
            <a:ext uri="{FF2B5EF4-FFF2-40B4-BE49-F238E27FC236}">
              <a16:creationId xmlns:a16="http://schemas.microsoft.com/office/drawing/2014/main" id="{E8E82237-822C-EB24-540B-700CA51403C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4301" y="3353482"/>
          <a:ext cx="485774" cy="485774"/>
        </a:xfrm>
        <a:prstGeom prst="rect">
          <a:avLst/>
        </a:prstGeom>
      </xdr:spPr>
    </xdr:pic>
    <xdr:clientData/>
  </xdr:twoCellAnchor>
  <xdr:twoCellAnchor editAs="oneCell">
    <xdr:from>
      <xdr:col>0</xdr:col>
      <xdr:colOff>47626</xdr:colOff>
      <xdr:row>24</xdr:row>
      <xdr:rowOff>133351</xdr:rowOff>
    </xdr:from>
    <xdr:to>
      <xdr:col>0</xdr:col>
      <xdr:colOff>514350</xdr:colOff>
      <xdr:row>27</xdr:row>
      <xdr:rowOff>28575</xdr:rowOff>
    </xdr:to>
    <xdr:pic>
      <xdr:nvPicPr>
        <xdr:cNvPr id="40" name="Picture 39">
          <a:extLst>
            <a:ext uri="{FF2B5EF4-FFF2-40B4-BE49-F238E27FC236}">
              <a16:creationId xmlns:a16="http://schemas.microsoft.com/office/drawing/2014/main" id="{2B2FCBEB-6205-AEEC-9487-B3AB9FB52A1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6" y="4705351"/>
          <a:ext cx="466724" cy="466724"/>
        </a:xfrm>
        <a:prstGeom prst="rect">
          <a:avLst/>
        </a:prstGeom>
      </xdr:spPr>
    </xdr:pic>
    <xdr:clientData/>
  </xdr:twoCellAnchor>
  <xdr:twoCellAnchor>
    <xdr:from>
      <xdr:col>4</xdr:col>
      <xdr:colOff>381000</xdr:colOff>
      <xdr:row>31</xdr:row>
      <xdr:rowOff>133351</xdr:rowOff>
    </xdr:from>
    <xdr:to>
      <xdr:col>5</xdr:col>
      <xdr:colOff>247649</xdr:colOff>
      <xdr:row>34</xdr:row>
      <xdr:rowOff>38100</xdr:rowOff>
    </xdr:to>
    <xdr:sp macro="" textlink="">
      <xdr:nvSpPr>
        <xdr:cNvPr id="23" name="Flowchart: Connector 22">
          <a:extLst>
            <a:ext uri="{FF2B5EF4-FFF2-40B4-BE49-F238E27FC236}">
              <a16:creationId xmlns:a16="http://schemas.microsoft.com/office/drawing/2014/main" id="{6479A7F7-6453-4869-AA8E-298C84A1A171}"/>
            </a:ext>
          </a:extLst>
        </xdr:cNvPr>
        <xdr:cNvSpPr/>
      </xdr:nvSpPr>
      <xdr:spPr>
        <a:xfrm>
          <a:off x="2819400" y="6038851"/>
          <a:ext cx="476249" cy="476249"/>
        </a:xfrm>
        <a:prstGeom prst="flowChartConnector">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219073</xdr:colOff>
      <xdr:row>28</xdr:row>
      <xdr:rowOff>85725</xdr:rowOff>
    </xdr:from>
    <xdr:to>
      <xdr:col>7</xdr:col>
      <xdr:colOff>333374</xdr:colOff>
      <xdr:row>35</xdr:row>
      <xdr:rowOff>171450</xdr:rowOff>
    </xdr:to>
    <xdr:sp macro="" textlink="">
      <xdr:nvSpPr>
        <xdr:cNvPr id="24" name="Flowchart: Connector 23">
          <a:extLst>
            <a:ext uri="{FF2B5EF4-FFF2-40B4-BE49-F238E27FC236}">
              <a16:creationId xmlns:a16="http://schemas.microsoft.com/office/drawing/2014/main" id="{4DC9C447-67DA-4165-A69C-7A9704FDA791}"/>
            </a:ext>
          </a:extLst>
        </xdr:cNvPr>
        <xdr:cNvSpPr/>
      </xdr:nvSpPr>
      <xdr:spPr>
        <a:xfrm>
          <a:off x="3267073" y="5419725"/>
          <a:ext cx="1333501" cy="1419225"/>
        </a:xfrm>
        <a:prstGeom prst="flowChartConnector">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523875</xdr:colOff>
      <xdr:row>26</xdr:row>
      <xdr:rowOff>123824</xdr:rowOff>
    </xdr:from>
    <xdr:to>
      <xdr:col>4</xdr:col>
      <xdr:colOff>66675</xdr:colOff>
      <xdr:row>27</xdr:row>
      <xdr:rowOff>114299</xdr:rowOff>
    </xdr:to>
    <xdr:sp macro="" textlink="">
      <xdr:nvSpPr>
        <xdr:cNvPr id="25" name="Rectangle: Rounded Corners 24">
          <a:extLst>
            <a:ext uri="{FF2B5EF4-FFF2-40B4-BE49-F238E27FC236}">
              <a16:creationId xmlns:a16="http://schemas.microsoft.com/office/drawing/2014/main" id="{95C49AC1-27F3-42B2-B65F-62F4FDB723C3}"/>
            </a:ext>
          </a:extLst>
        </xdr:cNvPr>
        <xdr:cNvSpPr/>
      </xdr:nvSpPr>
      <xdr:spPr>
        <a:xfrm>
          <a:off x="2352675" y="5076824"/>
          <a:ext cx="152400" cy="180975"/>
        </a:xfrm>
        <a:prstGeom prst="roundRect">
          <a:avLst/>
        </a:prstGeom>
        <a:solidFill>
          <a:srgbClr val="FFC8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380999</xdr:colOff>
      <xdr:row>26</xdr:row>
      <xdr:rowOff>114299</xdr:rowOff>
    </xdr:from>
    <xdr:to>
      <xdr:col>4</xdr:col>
      <xdr:colOff>542924</xdr:colOff>
      <xdr:row>27</xdr:row>
      <xdr:rowOff>104774</xdr:rowOff>
    </xdr:to>
    <xdr:sp macro="" textlink="">
      <xdr:nvSpPr>
        <xdr:cNvPr id="26" name="Rectangle: Rounded Corners 25">
          <a:extLst>
            <a:ext uri="{FF2B5EF4-FFF2-40B4-BE49-F238E27FC236}">
              <a16:creationId xmlns:a16="http://schemas.microsoft.com/office/drawing/2014/main" id="{8A273906-9849-4AC9-9402-C3D109627390}"/>
            </a:ext>
          </a:extLst>
        </xdr:cNvPr>
        <xdr:cNvSpPr/>
      </xdr:nvSpPr>
      <xdr:spPr>
        <a:xfrm flipH="1" flipV="1">
          <a:off x="2819399" y="5067299"/>
          <a:ext cx="161925" cy="180975"/>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285750</xdr:colOff>
      <xdr:row>28</xdr:row>
      <xdr:rowOff>47625</xdr:rowOff>
    </xdr:from>
    <xdr:to>
      <xdr:col>5</xdr:col>
      <xdr:colOff>123825</xdr:colOff>
      <xdr:row>29</xdr:row>
      <xdr:rowOff>142875</xdr:rowOff>
    </xdr:to>
    <xdr:sp macro="" textlink="">
      <xdr:nvSpPr>
        <xdr:cNvPr id="35" name="Rectangle 34">
          <a:extLst>
            <a:ext uri="{FF2B5EF4-FFF2-40B4-BE49-F238E27FC236}">
              <a16:creationId xmlns:a16="http://schemas.microsoft.com/office/drawing/2014/main" id="{272429A4-2D96-49DE-9FF3-00281F0963B2}"/>
            </a:ext>
          </a:extLst>
        </xdr:cNvPr>
        <xdr:cNvSpPr/>
      </xdr:nvSpPr>
      <xdr:spPr>
        <a:xfrm>
          <a:off x="2724150" y="5381625"/>
          <a:ext cx="44767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FFFF00"/>
              </a:solidFill>
            </a:rPr>
            <a:t>No</a:t>
          </a:r>
        </a:p>
      </xdr:txBody>
    </xdr:sp>
    <xdr:clientData/>
  </xdr:twoCellAnchor>
  <xdr:twoCellAnchor>
    <xdr:from>
      <xdr:col>3</xdr:col>
      <xdr:colOff>447676</xdr:colOff>
      <xdr:row>28</xdr:row>
      <xdr:rowOff>38100</xdr:rowOff>
    </xdr:from>
    <xdr:to>
      <xdr:col>4</xdr:col>
      <xdr:colOff>276226</xdr:colOff>
      <xdr:row>29</xdr:row>
      <xdr:rowOff>152400</xdr:rowOff>
    </xdr:to>
    <xdr:sp macro="" textlink="">
      <xdr:nvSpPr>
        <xdr:cNvPr id="33" name="Rectangle 32">
          <a:extLst>
            <a:ext uri="{FF2B5EF4-FFF2-40B4-BE49-F238E27FC236}">
              <a16:creationId xmlns:a16="http://schemas.microsoft.com/office/drawing/2014/main" id="{BB81B558-2353-4C72-AD7A-FD105CE8438A}"/>
            </a:ext>
          </a:extLst>
        </xdr:cNvPr>
        <xdr:cNvSpPr/>
      </xdr:nvSpPr>
      <xdr:spPr>
        <a:xfrm>
          <a:off x="2276476" y="5372100"/>
          <a:ext cx="43815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FFC857"/>
              </a:solidFill>
            </a:rPr>
            <a:t>Yes</a:t>
          </a:r>
        </a:p>
      </xdr:txBody>
    </xdr:sp>
    <xdr:clientData/>
  </xdr:twoCellAnchor>
  <xdr:twoCellAnchor>
    <xdr:from>
      <xdr:col>0</xdr:col>
      <xdr:colOff>0</xdr:colOff>
      <xdr:row>30</xdr:row>
      <xdr:rowOff>9525</xdr:rowOff>
    </xdr:from>
    <xdr:to>
      <xdr:col>3</xdr:col>
      <xdr:colOff>237744</xdr:colOff>
      <xdr:row>31</xdr:row>
      <xdr:rowOff>161925</xdr:rowOff>
    </xdr:to>
    <xdr:sp macro="" textlink="">
      <xdr:nvSpPr>
        <xdr:cNvPr id="37" name="Rectangle 36">
          <a:extLst>
            <a:ext uri="{FF2B5EF4-FFF2-40B4-BE49-F238E27FC236}">
              <a16:creationId xmlns:a16="http://schemas.microsoft.com/office/drawing/2014/main" id="{27C85754-4BAA-44DB-BC0C-E06342063434}"/>
            </a:ext>
          </a:extLst>
        </xdr:cNvPr>
        <xdr:cNvSpPr/>
      </xdr:nvSpPr>
      <xdr:spPr>
        <a:xfrm>
          <a:off x="0" y="5724525"/>
          <a:ext cx="2066544" cy="342900"/>
        </a:xfrm>
        <a:prstGeom prst="rect">
          <a:avLst/>
        </a:prstGeom>
        <a:solidFill>
          <a:schemeClr val="tx1"/>
        </a:solidFill>
        <a:ln>
          <a:solidFill>
            <a:srgbClr val="FFD700">
              <a:alpha val="8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FFC857"/>
              </a:solidFill>
            </a:rPr>
            <a:t>Negative</a:t>
          </a:r>
          <a:r>
            <a:rPr lang="en-US" sz="1400" b="1" baseline="0">
              <a:solidFill>
                <a:srgbClr val="FFC857"/>
              </a:solidFill>
            </a:rPr>
            <a:t> Feedback</a:t>
          </a:r>
          <a:endParaRPr lang="en-US" sz="1400" b="1">
            <a:solidFill>
              <a:srgbClr val="FFC857"/>
            </a:solidFill>
          </a:endParaRPr>
        </a:p>
      </xdr:txBody>
    </xdr:sp>
    <xdr:clientData/>
  </xdr:twoCellAnchor>
  <xdr:twoCellAnchor>
    <xdr:from>
      <xdr:col>4</xdr:col>
      <xdr:colOff>342900</xdr:colOff>
      <xdr:row>31</xdr:row>
      <xdr:rowOff>161925</xdr:rowOff>
    </xdr:from>
    <xdr:to>
      <xdr:col>5</xdr:col>
      <xdr:colOff>257175</xdr:colOff>
      <xdr:row>33</xdr:row>
      <xdr:rowOff>66675</xdr:rowOff>
    </xdr:to>
    <xdr:sp macro="" textlink="">
      <xdr:nvSpPr>
        <xdr:cNvPr id="39" name="Rectangle 38">
          <a:extLst>
            <a:ext uri="{FF2B5EF4-FFF2-40B4-BE49-F238E27FC236}">
              <a16:creationId xmlns:a16="http://schemas.microsoft.com/office/drawing/2014/main" id="{7818C506-D47E-49A9-A5A0-1A8C16271135}"/>
            </a:ext>
          </a:extLst>
        </xdr:cNvPr>
        <xdr:cNvSpPr/>
      </xdr:nvSpPr>
      <xdr:spPr>
        <a:xfrm>
          <a:off x="2781300" y="6067425"/>
          <a:ext cx="52387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3%</a:t>
          </a:r>
        </a:p>
      </xdr:txBody>
    </xdr:sp>
    <xdr:clientData/>
  </xdr:twoCellAnchor>
  <xdr:twoCellAnchor>
    <xdr:from>
      <xdr:col>6</xdr:col>
      <xdr:colOff>0</xdr:colOff>
      <xdr:row>31</xdr:row>
      <xdr:rowOff>114299</xdr:rowOff>
    </xdr:from>
    <xdr:to>
      <xdr:col>7</xdr:col>
      <xdr:colOff>57150</xdr:colOff>
      <xdr:row>33</xdr:row>
      <xdr:rowOff>104774</xdr:rowOff>
    </xdr:to>
    <xdr:sp macro="" textlink="">
      <xdr:nvSpPr>
        <xdr:cNvPr id="41" name="Rectangle 40">
          <a:extLst>
            <a:ext uri="{FF2B5EF4-FFF2-40B4-BE49-F238E27FC236}">
              <a16:creationId xmlns:a16="http://schemas.microsoft.com/office/drawing/2014/main" id="{98E71681-B94D-48F6-811F-749942FCD8D0}"/>
            </a:ext>
          </a:extLst>
        </xdr:cNvPr>
        <xdr:cNvSpPr/>
      </xdr:nvSpPr>
      <xdr:spPr>
        <a:xfrm>
          <a:off x="3657600" y="6019799"/>
          <a:ext cx="666750" cy="3714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97%</a:t>
          </a:r>
        </a:p>
      </xdr:txBody>
    </xdr:sp>
    <xdr:clientData/>
  </xdr:twoCellAnchor>
  <xdr:twoCellAnchor editAs="oneCell">
    <xdr:from>
      <xdr:col>3</xdr:col>
      <xdr:colOff>304800</xdr:colOff>
      <xdr:row>0</xdr:row>
      <xdr:rowOff>161925</xdr:rowOff>
    </xdr:from>
    <xdr:to>
      <xdr:col>6</xdr:col>
      <xdr:colOff>447675</xdr:colOff>
      <xdr:row>4</xdr:row>
      <xdr:rowOff>47639</xdr:rowOff>
    </xdr:to>
    <xdr:pic>
      <xdr:nvPicPr>
        <xdr:cNvPr id="46" name="Picture 45">
          <a:extLst>
            <a:ext uri="{FF2B5EF4-FFF2-40B4-BE49-F238E27FC236}">
              <a16:creationId xmlns:a16="http://schemas.microsoft.com/office/drawing/2014/main" id="{8823EDD9-762B-DCE9-96AE-51DEFEDABCF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33600" y="161925"/>
          <a:ext cx="1971675" cy="647714"/>
        </a:xfrm>
        <a:prstGeom prst="rect">
          <a:avLst/>
        </a:prstGeom>
      </xdr:spPr>
    </xdr:pic>
    <xdr:clientData/>
  </xdr:twoCellAnchor>
  <xdr:twoCellAnchor>
    <xdr:from>
      <xdr:col>23</xdr:col>
      <xdr:colOff>28575</xdr:colOff>
      <xdr:row>21</xdr:row>
      <xdr:rowOff>161924</xdr:rowOff>
    </xdr:from>
    <xdr:to>
      <xdr:col>29</xdr:col>
      <xdr:colOff>161925</xdr:colOff>
      <xdr:row>36</xdr:row>
      <xdr:rowOff>102488</xdr:rowOff>
    </xdr:to>
    <xdr:graphicFrame macro="">
      <xdr:nvGraphicFramePr>
        <xdr:cNvPr id="58" name="Chart 57">
          <a:extLst>
            <a:ext uri="{FF2B5EF4-FFF2-40B4-BE49-F238E27FC236}">
              <a16:creationId xmlns:a16="http://schemas.microsoft.com/office/drawing/2014/main" id="{690402FC-2FE0-448E-A3FB-C92932401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561976</xdr:colOff>
      <xdr:row>21</xdr:row>
      <xdr:rowOff>171450</xdr:rowOff>
    </xdr:from>
    <xdr:to>
      <xdr:col>22</xdr:col>
      <xdr:colOff>590550</xdr:colOff>
      <xdr:row>36</xdr:row>
      <xdr:rowOff>112014</xdr:rowOff>
    </xdr:to>
    <xdr:graphicFrame macro="">
      <xdr:nvGraphicFramePr>
        <xdr:cNvPr id="59" name="Chart 58">
          <a:extLst>
            <a:ext uri="{FF2B5EF4-FFF2-40B4-BE49-F238E27FC236}">
              <a16:creationId xmlns:a16="http://schemas.microsoft.com/office/drawing/2014/main" id="{8CF94DDA-5A08-4DB6-909D-E7F62E67E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552450</xdr:colOff>
      <xdr:row>5</xdr:row>
      <xdr:rowOff>28573</xdr:rowOff>
    </xdr:from>
    <xdr:to>
      <xdr:col>19</xdr:col>
      <xdr:colOff>581025</xdr:colOff>
      <xdr:row>21</xdr:row>
      <xdr:rowOff>89533</xdr:rowOff>
    </xdr:to>
    <xdr:graphicFrame macro="">
      <xdr:nvGraphicFramePr>
        <xdr:cNvPr id="2" name="Chart 1">
          <a:extLst>
            <a:ext uri="{FF2B5EF4-FFF2-40B4-BE49-F238E27FC236}">
              <a16:creationId xmlns:a16="http://schemas.microsoft.com/office/drawing/2014/main" id="{7F63253A-7254-4F47-9DBF-013F5959F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9525</xdr:colOff>
      <xdr:row>21</xdr:row>
      <xdr:rowOff>161925</xdr:rowOff>
    </xdr:from>
    <xdr:to>
      <xdr:col>16</xdr:col>
      <xdr:colOff>495300</xdr:colOff>
      <xdr:row>38</xdr:row>
      <xdr:rowOff>171451</xdr:rowOff>
    </xdr:to>
    <xdr:graphicFrame macro="">
      <xdr:nvGraphicFramePr>
        <xdr:cNvPr id="6" name="Chart 5">
          <a:extLst>
            <a:ext uri="{FF2B5EF4-FFF2-40B4-BE49-F238E27FC236}">
              <a16:creationId xmlns:a16="http://schemas.microsoft.com/office/drawing/2014/main" id="{9649350E-8DFF-4220-9A39-3519E84BA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38101</xdr:colOff>
      <xdr:row>32</xdr:row>
      <xdr:rowOff>95251</xdr:rowOff>
    </xdr:from>
    <xdr:to>
      <xdr:col>0</xdr:col>
      <xdr:colOff>571501</xdr:colOff>
      <xdr:row>35</xdr:row>
      <xdr:rowOff>57151</xdr:rowOff>
    </xdr:to>
    <xdr:pic>
      <xdr:nvPicPr>
        <xdr:cNvPr id="27" name="Picture 26">
          <a:extLst>
            <a:ext uri="{FF2B5EF4-FFF2-40B4-BE49-F238E27FC236}">
              <a16:creationId xmlns:a16="http://schemas.microsoft.com/office/drawing/2014/main" id="{F84E1447-7934-DCF7-323F-A7C585ABA8F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8101" y="6191251"/>
          <a:ext cx="533400" cy="533400"/>
        </a:xfrm>
        <a:prstGeom prst="rect">
          <a:avLst/>
        </a:prstGeom>
      </xdr:spPr>
    </xdr:pic>
    <xdr:clientData/>
  </xdr:twoCellAnchor>
  <xdr:twoCellAnchor editAs="oneCell">
    <xdr:from>
      <xdr:col>16</xdr:col>
      <xdr:colOff>171450</xdr:colOff>
      <xdr:row>0</xdr:row>
      <xdr:rowOff>47625</xdr:rowOff>
    </xdr:from>
    <xdr:to>
      <xdr:col>19</xdr:col>
      <xdr:colOff>200026</xdr:colOff>
      <xdr:row>4</xdr:row>
      <xdr:rowOff>161925</xdr:rowOff>
    </xdr:to>
    <mc:AlternateContent xmlns:mc="http://schemas.openxmlformats.org/markup-compatibility/2006" xmlns:a14="http://schemas.microsoft.com/office/drawing/2010/main">
      <mc:Choice Requires="a14">
        <xdr:graphicFrame macro="">
          <xdr:nvGraphicFramePr>
            <xdr:cNvPr id="28" name="Vehicle Info">
              <a:extLst>
                <a:ext uri="{FF2B5EF4-FFF2-40B4-BE49-F238E27FC236}">
                  <a16:creationId xmlns:a16="http://schemas.microsoft.com/office/drawing/2014/main" id="{43273049-F7A6-428A-95ED-1066954BDBF0}"/>
                </a:ext>
              </a:extLst>
            </xdr:cNvPr>
            <xdr:cNvGraphicFramePr/>
          </xdr:nvGraphicFramePr>
          <xdr:xfrm>
            <a:off x="0" y="0"/>
            <a:ext cx="0" cy="0"/>
          </xdr:xfrm>
          <a:graphic>
            <a:graphicData uri="http://schemas.microsoft.com/office/drawing/2010/slicer">
              <sle:slicer xmlns:sle="http://schemas.microsoft.com/office/drawing/2010/slicer" name="Vehicle Info"/>
            </a:graphicData>
          </a:graphic>
        </xdr:graphicFrame>
      </mc:Choice>
      <mc:Fallback xmlns="">
        <xdr:sp macro="" textlink="">
          <xdr:nvSpPr>
            <xdr:cNvPr id="0" name=""/>
            <xdr:cNvSpPr>
              <a:spLocks noTextEdit="1"/>
            </xdr:cNvSpPr>
          </xdr:nvSpPr>
          <xdr:spPr>
            <a:xfrm>
              <a:off x="9925050" y="47625"/>
              <a:ext cx="1857376"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276225</xdr:colOff>
      <xdr:row>0</xdr:row>
      <xdr:rowOff>76200</xdr:rowOff>
    </xdr:from>
    <xdr:to>
      <xdr:col>22</xdr:col>
      <xdr:colOff>476250</xdr:colOff>
      <xdr:row>4</xdr:row>
      <xdr:rowOff>180975</xdr:rowOff>
    </xdr:to>
    <mc:AlternateContent xmlns:mc="http://schemas.openxmlformats.org/markup-compatibility/2006" xmlns:a14="http://schemas.microsoft.com/office/drawing/2010/main">
      <mc:Choice Requires="a14">
        <xdr:graphicFrame macro="">
          <xdr:nvGraphicFramePr>
            <xdr:cNvPr id="29" name="Customer Feedback">
              <a:extLst>
                <a:ext uri="{FF2B5EF4-FFF2-40B4-BE49-F238E27FC236}">
                  <a16:creationId xmlns:a16="http://schemas.microsoft.com/office/drawing/2014/main" id="{90EE68C0-F7FF-4027-9F6F-76A1FCE173C3}"/>
                </a:ext>
              </a:extLst>
            </xdr:cNvPr>
            <xdr:cNvGraphicFramePr/>
          </xdr:nvGraphicFramePr>
          <xdr:xfrm>
            <a:off x="0" y="0"/>
            <a:ext cx="0" cy="0"/>
          </xdr:xfrm>
          <a:graphic>
            <a:graphicData uri="http://schemas.microsoft.com/office/drawing/2010/slicer">
              <sle:slicer xmlns:sle="http://schemas.microsoft.com/office/drawing/2010/slicer" name="Customer Feedback"/>
            </a:graphicData>
          </a:graphic>
        </xdr:graphicFrame>
      </mc:Choice>
      <mc:Fallback xmlns="">
        <xdr:sp macro="" textlink="">
          <xdr:nvSpPr>
            <xdr:cNvPr id="0" name=""/>
            <xdr:cNvSpPr>
              <a:spLocks noTextEdit="1"/>
            </xdr:cNvSpPr>
          </xdr:nvSpPr>
          <xdr:spPr>
            <a:xfrm>
              <a:off x="11858625" y="76200"/>
              <a:ext cx="2028825"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28575</xdr:colOff>
      <xdr:row>5</xdr:row>
      <xdr:rowOff>19051</xdr:rowOff>
    </xdr:from>
    <xdr:to>
      <xdr:col>29</xdr:col>
      <xdr:colOff>114300</xdr:colOff>
      <xdr:row>21</xdr:row>
      <xdr:rowOff>80011</xdr:rowOff>
    </xdr:to>
    <xdr:graphicFrame macro="">
      <xdr:nvGraphicFramePr>
        <xdr:cNvPr id="5" name="Chart 4">
          <a:extLst>
            <a:ext uri="{FF2B5EF4-FFF2-40B4-BE49-F238E27FC236}">
              <a16:creationId xmlns:a16="http://schemas.microsoft.com/office/drawing/2014/main" id="{CFD3CE0B-FC25-463E-B81C-131715943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lanwa Ogunlolu" refreshedDate="45988.494185995369" createdVersion="8" refreshedVersion="8" minRefreshableVersion="3" recordCount="1500" xr:uid="{C77EABE4-2D40-481C-AFB1-36786F426B36}">
  <cacheSource type="worksheet">
    <worksheetSource name="Delivery_Data"/>
  </cacheSource>
  <cacheFields count="24">
    <cacheField name="Order ID" numFmtId="0">
      <sharedItems containsSemiMixedTypes="0" containsString="0" containsNumber="1" containsInteger="1" minValue="1001" maxValue="2500"/>
    </cacheField>
    <cacheField name="Delivery Address" numFmtId="0">
      <sharedItems/>
    </cacheField>
    <cacheField name="Order Timestamp" numFmtId="22">
      <sharedItems containsSemiMixedTypes="0" containsNonDate="0" containsDate="1" containsString="0" minDate="2023-09-01T08:00:00" maxDate="2023-09-08T16:58:00" count="1277">
        <d v="2023-09-04T13:33:00"/>
        <d v="2023-09-01T15:47:00"/>
        <d v="2023-09-01T16:20:00"/>
        <d v="2023-09-03T14:41:00"/>
        <d v="2023-09-01T11:23:00"/>
        <d v="2023-09-01T12:56:00"/>
        <d v="2023-09-07T13:48:00"/>
        <d v="2023-09-06T14:46:00"/>
        <d v="2023-09-01T15:36:00"/>
        <d v="2023-09-02T08:43:00"/>
        <d v="2023-09-03T10:17:00"/>
        <d v="2023-09-06T13:54:00"/>
        <d v="2023-09-03T12:16:00"/>
        <d v="2023-09-08T16:25:00"/>
        <d v="2023-09-03T14:12:00"/>
        <d v="2023-09-05T13:52:00"/>
        <d v="2023-09-04T10:40:00"/>
        <d v="2023-09-05T10:43:00"/>
        <d v="2023-09-04T14:53:00"/>
        <d v="2023-09-02T11:34:00"/>
        <d v="2023-09-03T13:25:00"/>
        <d v="2023-09-06T12:05:00"/>
        <d v="2023-09-06T10:34:00"/>
        <d v="2023-09-06T15:11:00"/>
        <d v="2023-09-03T14:10:00"/>
        <d v="2023-09-04T14:37:00"/>
        <d v="2023-09-06T11:21:00"/>
        <d v="2023-09-02T09:14:00"/>
        <d v="2023-09-07T16:45:00"/>
        <d v="2023-09-01T13:23:00"/>
        <d v="2023-09-05T15:33:00"/>
        <d v="2023-09-06T14:54:00"/>
        <d v="2023-09-06T08:39:00"/>
        <d v="2023-09-05T15:49:00"/>
        <d v="2023-09-01T12:14:00"/>
        <d v="2023-09-02T11:19:00"/>
        <d v="2023-09-02T16:52:00"/>
        <d v="2023-09-08T09:58:00"/>
        <d v="2023-09-01T15:10:00"/>
        <d v="2023-09-06T11:33:00"/>
        <d v="2023-09-01T11:17:00"/>
        <d v="2023-09-06T09:53:00"/>
        <d v="2023-09-05T11:25:00"/>
        <d v="2023-09-05T09:20:00"/>
        <d v="2023-09-06T15:06:00"/>
        <d v="2023-09-02T13:12:00"/>
        <d v="2023-09-03T11:46:00"/>
        <d v="2023-09-04T13:39:00"/>
        <d v="2023-09-02T14:30:00"/>
        <d v="2023-09-07T11:51:00"/>
        <d v="2023-09-06T15:54:00"/>
        <d v="2023-09-05T08:01:00"/>
        <d v="2023-09-02T10:44:00"/>
        <d v="2023-09-02T12:49:00"/>
        <d v="2023-09-06T08:49:00"/>
        <d v="2023-09-07T10:29:00"/>
        <d v="2023-09-08T16:07:00"/>
        <d v="2023-09-03T16:03:00"/>
        <d v="2023-09-05T15:00:00"/>
        <d v="2023-09-04T13:08:00"/>
        <d v="2023-09-06T16:33:00"/>
        <d v="2023-09-07T13:35:00"/>
        <d v="2023-09-06T14:03:00"/>
        <d v="2023-09-08T16:26:00"/>
        <d v="2023-09-05T16:28:00"/>
        <d v="2023-09-03T12:55:00"/>
        <d v="2023-09-06T10:31:00"/>
        <d v="2023-09-05T16:21:00"/>
        <d v="2023-09-06T16:40:00"/>
        <d v="2023-09-06T14:23:00"/>
        <d v="2023-09-03T12:11:00"/>
        <d v="2023-09-02T12:39:00"/>
        <d v="2023-09-07T09:51:00"/>
        <d v="2023-09-03T13:01:00"/>
        <d v="2023-09-01T08:56:00"/>
        <d v="2023-09-05T08:09:00"/>
        <d v="2023-09-04T13:40:00"/>
        <d v="2023-09-04T11:04:00"/>
        <d v="2023-09-02T10:41:00"/>
        <d v="2023-09-06T13:55:00"/>
        <d v="2023-09-01T09:13:00"/>
        <d v="2023-09-08T13:21:00"/>
        <d v="2023-09-04T08:33:00"/>
        <d v="2023-09-03T14:35:00"/>
        <d v="2023-09-05T09:18:00"/>
        <d v="2023-09-07T12:54:00"/>
        <d v="2023-09-08T14:37:00"/>
        <d v="2023-09-04T10:31:00"/>
        <d v="2023-09-08T14:28:00"/>
        <d v="2023-09-07T12:41:00"/>
        <d v="2023-09-01T10:47:00"/>
        <d v="2023-09-03T10:23:00"/>
        <d v="2023-09-04T13:18:00"/>
        <d v="2023-09-04T09:33:00"/>
        <d v="2023-09-02T10:45:00"/>
        <d v="2023-09-02T10:12:00"/>
        <d v="2023-09-03T10:12:00"/>
        <d v="2023-09-05T08:40:00"/>
        <d v="2023-09-07T09:03:00"/>
        <d v="2023-09-02T08:56:00"/>
        <d v="2023-09-07T16:15:00"/>
        <d v="2023-09-03T12:31:00"/>
        <d v="2023-09-08T11:45:00"/>
        <d v="2023-09-02T15:25:00"/>
        <d v="2023-09-03T15:11:00"/>
        <d v="2023-09-08T13:30:00"/>
        <d v="2023-09-06T13:16:00"/>
        <d v="2023-09-05T16:40:00"/>
        <d v="2023-09-07T15:08:00"/>
        <d v="2023-09-01T10:55:00"/>
        <d v="2023-09-02T13:09:00"/>
        <d v="2023-09-08T16:52:00"/>
        <d v="2023-09-04T14:57:00"/>
        <d v="2023-09-01T09:25:00"/>
        <d v="2023-09-03T16:55:00"/>
        <d v="2023-09-08T15:07:00"/>
        <d v="2023-09-08T10:04:00"/>
        <d v="2023-09-08T11:12:00"/>
        <d v="2023-09-03T11:59:00"/>
        <d v="2023-09-03T08:20:00"/>
        <d v="2023-09-04T10:09:00"/>
        <d v="2023-09-03T14:56:00"/>
        <d v="2023-09-07T09:46:00"/>
        <d v="2023-09-02T13:42:00"/>
        <d v="2023-09-03T12:15:00"/>
        <d v="2023-09-03T11:57:00"/>
        <d v="2023-09-06T13:41:00"/>
        <d v="2023-09-04T11:50:00"/>
        <d v="2023-09-05T13:35:00"/>
        <d v="2023-09-02T12:26:00"/>
        <d v="2023-09-08T15:46:00"/>
        <d v="2023-09-03T15:14:00"/>
        <d v="2023-09-04T14:18:00"/>
        <d v="2023-09-06T08:36:00"/>
        <d v="2023-09-05T12:55:00"/>
        <d v="2023-09-02T15:39:00"/>
        <d v="2023-09-08T10:57:00"/>
        <d v="2023-09-03T15:00:00"/>
        <d v="2023-09-02T10:28:00"/>
        <d v="2023-09-06T10:03:00"/>
        <d v="2023-09-08T11:42:00"/>
        <d v="2023-09-08T16:58:00"/>
        <d v="2023-09-08T09:13:00"/>
        <d v="2023-09-01T10:09:00"/>
        <d v="2023-09-06T09:08:00"/>
        <d v="2023-09-01T14:46:00"/>
        <d v="2023-09-03T16:12:00"/>
        <d v="2023-09-08T12:48:00"/>
        <d v="2023-09-08T15:33:00"/>
        <d v="2023-09-04T13:43:00"/>
        <d v="2023-09-06T13:42:00"/>
        <d v="2023-09-07T10:15:00"/>
        <d v="2023-09-01T08:51:00"/>
        <d v="2023-09-05T11:01:00"/>
        <d v="2023-09-07T12:15:00"/>
        <d v="2023-09-06T09:52:00"/>
        <d v="2023-09-02T09:29:00"/>
        <d v="2023-09-03T13:53:00"/>
        <d v="2023-09-02T11:55:00"/>
        <d v="2023-09-03T08:49:00"/>
        <d v="2023-09-06T10:49:00"/>
        <d v="2023-09-05T08:05:00"/>
        <d v="2023-09-05T11:30:00"/>
        <d v="2023-09-01T16:12:00"/>
        <d v="2023-09-01T11:58:00"/>
        <d v="2023-09-08T11:43:00"/>
        <d v="2023-09-02T09:38:00"/>
        <d v="2023-09-01T10:25:00"/>
        <d v="2023-09-03T10:46:00"/>
        <d v="2023-09-03T09:13:00"/>
        <d v="2023-09-08T09:55:00"/>
        <d v="2023-09-03T14:29:00"/>
        <d v="2023-09-02T08:07:00"/>
        <d v="2023-09-07T09:07:00"/>
        <d v="2023-09-03T14:06:00"/>
        <d v="2023-09-02T10:02:00"/>
        <d v="2023-09-03T08:28:00"/>
        <d v="2023-09-08T13:42:00"/>
        <d v="2023-09-04T11:12:00"/>
        <d v="2023-09-04T08:18:00"/>
        <d v="2023-09-06T14:24:00"/>
        <d v="2023-09-01T11:34:00"/>
        <d v="2023-09-05T10:29:00"/>
        <d v="2023-09-03T16:06:00"/>
        <d v="2023-09-02T12:11:00"/>
        <d v="2023-09-01T09:18:00"/>
        <d v="2023-09-07T16:43:00"/>
        <d v="2023-09-06T16:08:00"/>
        <d v="2023-09-05T10:09:00"/>
        <d v="2023-09-01T14:08:00"/>
        <d v="2023-09-06T11:44:00"/>
        <d v="2023-09-07T13:46:00"/>
        <d v="2023-09-01T09:51:00"/>
        <d v="2023-09-06T11:45:00"/>
        <d v="2023-09-08T10:49:00"/>
        <d v="2023-09-02T08:49:00"/>
        <d v="2023-09-02T11:29:00"/>
        <d v="2023-09-04T10:17:00"/>
        <d v="2023-09-06T14:59:00"/>
        <d v="2023-09-06T16:20:00"/>
        <d v="2023-09-03T14:19:00"/>
        <d v="2023-09-01T11:54:00"/>
        <d v="2023-09-03T12:04:00"/>
        <d v="2023-09-08T08:09:00"/>
        <d v="2023-09-02T08:27:00"/>
        <d v="2023-09-03T13:39:00"/>
        <d v="2023-09-08T15:14:00"/>
        <d v="2023-09-03T12:03:00"/>
        <d v="2023-09-02T08:28:00"/>
        <d v="2023-09-01T14:27:00"/>
        <d v="2023-09-03T14:14:00"/>
        <d v="2023-09-05T10:55:00"/>
        <d v="2023-09-02T16:41:00"/>
        <d v="2023-09-05T13:20:00"/>
        <d v="2023-09-01T10:52:00"/>
        <d v="2023-09-05T11:44:00"/>
        <d v="2023-09-01T08:15:00"/>
        <d v="2023-09-06T09:01:00"/>
        <d v="2023-09-08T14:31:00"/>
        <d v="2023-09-05T13:27:00"/>
        <d v="2023-09-08T09:23:00"/>
        <d v="2023-09-05T13:23:00"/>
        <d v="2023-09-03T14:53:00"/>
        <d v="2023-09-08T11:16:00"/>
        <d v="2023-09-05T09:08:00"/>
        <d v="2023-09-01T15:27:00"/>
        <d v="2023-09-01T09:02:00"/>
        <d v="2023-09-02T09:51:00"/>
        <d v="2023-09-01T08:13:00"/>
        <d v="2023-09-04T14:35:00"/>
        <d v="2023-09-07T09:28:00"/>
        <d v="2023-09-02T12:48:00"/>
        <d v="2023-09-07T15:10:00"/>
        <d v="2023-09-01T16:02:00"/>
        <d v="2023-09-06T16:06:00"/>
        <d v="2023-09-03T15:06:00"/>
        <d v="2023-09-02T08:55:00"/>
        <d v="2023-09-01T13:45:00"/>
        <d v="2023-09-04T15:05:00"/>
        <d v="2023-09-07T16:02:00"/>
        <d v="2023-09-04T15:06:00"/>
        <d v="2023-09-04T08:29:00"/>
        <d v="2023-09-01T13:05:00"/>
        <d v="2023-09-05T12:23:00"/>
        <d v="2023-09-04T15:19:00"/>
        <d v="2023-09-02T14:11:00"/>
        <d v="2023-09-01T11:01:00"/>
        <d v="2023-09-06T14:11:00"/>
        <d v="2023-09-06T16:55:00"/>
        <d v="2023-09-07T15:27:00"/>
        <d v="2023-09-01T12:31:00"/>
        <d v="2023-09-01T11:07:00"/>
        <d v="2023-09-04T13:12:00"/>
        <d v="2023-09-08T14:10:00"/>
        <d v="2023-09-07T12:53:00"/>
        <d v="2023-09-03T14:27:00"/>
        <d v="2023-09-02T09:22:00"/>
        <d v="2023-09-03T16:15:00"/>
        <d v="2023-09-01T15:01:00"/>
        <d v="2023-09-07T08:17:00"/>
        <d v="2023-09-02T14:27:00"/>
        <d v="2023-09-01T12:21:00"/>
        <d v="2023-09-02T09:50:00"/>
        <d v="2023-09-08T08:28:00"/>
        <d v="2023-09-05T15:07:00"/>
        <d v="2023-09-01T12:36:00"/>
        <d v="2023-09-02T13:15:00"/>
        <d v="2023-09-03T13:50:00"/>
        <d v="2023-09-01T08:16:00"/>
        <d v="2023-09-08T12:41:00"/>
        <d v="2023-09-08T14:50:00"/>
        <d v="2023-09-02T11:41:00"/>
        <d v="2023-09-08T11:29:00"/>
        <d v="2023-09-07T09:52:00"/>
        <d v="2023-09-05T14:38:00"/>
        <d v="2023-09-07T09:26:00"/>
        <d v="2023-09-04T09:09:00"/>
        <d v="2023-09-01T15:18:00"/>
        <d v="2023-09-05T15:30:00"/>
        <d v="2023-09-03T11:14:00"/>
        <d v="2023-09-03T13:27:00"/>
        <d v="2023-09-05T11:47:00"/>
        <d v="2023-09-08T09:39:00"/>
        <d v="2023-09-05T08:04:00"/>
        <d v="2023-09-07T10:56:00"/>
        <d v="2023-09-04T10:01:00"/>
        <d v="2023-09-08T15:03:00"/>
        <d v="2023-09-03T16:54:00"/>
        <d v="2023-09-07T09:05:00"/>
        <d v="2023-09-03T08:53:00"/>
        <d v="2023-09-02T09:54:00"/>
        <d v="2023-09-08T11:23:00"/>
        <d v="2023-09-02T10:57:00"/>
        <d v="2023-09-01T09:28:00"/>
        <d v="2023-09-05T16:32:00"/>
        <d v="2023-09-02T16:01:00"/>
        <d v="2023-09-07T16:59:00"/>
        <d v="2023-09-03T12:19:00"/>
        <d v="2023-09-02T10:48:00"/>
        <d v="2023-09-06T15:56:00"/>
        <d v="2023-09-04T16:32:00"/>
        <d v="2023-09-06T15:32:00"/>
        <d v="2023-09-01T15:59:00"/>
        <d v="2023-09-01T16:11:00"/>
        <d v="2023-09-06T14:30:00"/>
        <d v="2023-09-02T15:42:00"/>
        <d v="2023-09-04T10:53:00"/>
        <d v="2023-09-02T14:36:00"/>
        <d v="2023-09-07T12:38:00"/>
        <d v="2023-09-02T09:48:00"/>
        <d v="2023-09-08T10:32:00"/>
        <d v="2023-09-03T12:50:00"/>
        <d v="2023-09-07T15:46:00"/>
        <d v="2023-09-01T15:42:00"/>
        <d v="2023-09-06T12:02:00"/>
        <d v="2023-09-02T11:45:00"/>
        <d v="2023-09-02T12:57:00"/>
        <d v="2023-09-06T14:07:00"/>
        <d v="2023-09-08T14:02:00"/>
        <d v="2023-09-04T16:41:00"/>
        <d v="2023-09-05T10:31:00"/>
        <d v="2023-09-04T16:35:00"/>
        <d v="2023-09-08T13:06:00"/>
        <d v="2023-09-05T14:11:00"/>
        <d v="2023-09-07T08:56:00"/>
        <d v="2023-09-04T14:34:00"/>
        <d v="2023-09-07T12:59:00"/>
        <d v="2023-09-08T08:17:00"/>
        <d v="2023-09-03T16:19:00"/>
        <d v="2023-09-06T10:35:00"/>
        <d v="2023-09-03T09:24:00"/>
        <d v="2023-09-06T10:59:00"/>
        <d v="2023-09-07T11:52:00"/>
        <d v="2023-09-03T12:34:00"/>
        <d v="2023-09-04T08:32:00"/>
        <d v="2023-09-07T12:34:00"/>
        <d v="2023-09-04T16:44:00"/>
        <d v="2023-09-07T10:16:00"/>
        <d v="2023-09-08T15:09:00"/>
        <d v="2023-09-01T09:27:00"/>
        <d v="2023-09-05T09:05:00"/>
        <d v="2023-09-02T09:13:00"/>
        <d v="2023-09-03T11:22:00"/>
        <d v="2023-09-07T11:45:00"/>
        <d v="2023-09-04T09:14:00"/>
        <d v="2023-09-03T08:21:00"/>
        <d v="2023-09-05T11:02:00"/>
        <d v="2023-09-02T13:35:00"/>
        <d v="2023-09-01T14:21:00"/>
        <d v="2023-09-05T10:23:00"/>
        <d v="2023-09-02T12:07:00"/>
        <d v="2023-09-01T14:20:00"/>
        <d v="2023-09-07T12:01:00"/>
        <d v="2023-09-02T14:54:00"/>
        <d v="2023-09-08T15:48:00"/>
        <d v="2023-09-03T09:49:00"/>
        <d v="2023-09-01T12:38:00"/>
        <d v="2023-09-01T16:34:00"/>
        <d v="2023-09-02T09:17:00"/>
        <d v="2023-09-07T15:17:00"/>
        <d v="2023-09-02T16:54:00"/>
        <d v="2023-09-06T11:53:00"/>
        <d v="2023-09-07T10:58:00"/>
        <d v="2023-09-07T14:16:00"/>
        <d v="2023-09-04T16:39:00"/>
        <d v="2023-09-08T14:44:00"/>
        <d v="2023-09-02T12:44:00"/>
        <d v="2023-09-05T13:21:00"/>
        <d v="2023-09-01T13:51:00"/>
        <d v="2023-09-03T09:07:00"/>
        <d v="2023-09-08T10:03:00"/>
        <d v="2023-09-07T13:15:00"/>
        <d v="2023-09-02T08:22:00"/>
        <d v="2023-09-02T09:30:00"/>
        <d v="2023-09-01T14:43:00"/>
        <d v="2023-09-07T11:53:00"/>
        <d v="2023-09-06T11:26:00"/>
        <d v="2023-09-03T11:26:00"/>
        <d v="2023-09-05T09:32:00"/>
        <d v="2023-09-01T14:31:00"/>
        <d v="2023-09-05T10:19:00"/>
        <d v="2023-09-05T10:03:00"/>
        <d v="2023-09-05T14:24:00"/>
        <d v="2023-09-07T16:39:00"/>
        <d v="2023-09-07T14:31:00"/>
        <d v="2023-09-07T08:20:00"/>
        <d v="2023-09-01T12:10:00"/>
        <d v="2023-09-07T12:20:00"/>
        <d v="2023-09-08T13:31:00"/>
        <d v="2023-09-01T13:34:00"/>
        <d v="2023-09-05T15:50:00"/>
        <d v="2023-09-04T13:14:00"/>
        <d v="2023-09-01T16:51:00"/>
        <d v="2023-09-04T14:08:00"/>
        <d v="2023-09-07T13:16:00"/>
        <d v="2023-09-03T14:50:00"/>
        <d v="2023-09-07T10:49:00"/>
        <d v="2023-09-05T13:44:00"/>
        <d v="2023-09-07T08:06:00"/>
        <d v="2023-09-06T13:38:00"/>
        <d v="2023-09-01T11:59:00"/>
        <d v="2023-09-07T08:44:00"/>
        <d v="2023-09-03T10:54:00"/>
        <d v="2023-09-03T09:11:00"/>
        <d v="2023-09-08T12:11:00"/>
        <d v="2023-09-08T14:56:00"/>
        <d v="2023-09-07T15:19:00"/>
        <d v="2023-09-06T10:48:00"/>
        <d v="2023-09-01T09:24:00"/>
        <d v="2023-09-03T09:05:00"/>
        <d v="2023-09-02T12:45:00"/>
        <d v="2023-09-05T09:23:00"/>
        <d v="2023-09-07T16:51:00"/>
        <d v="2023-09-01T08:00:00"/>
        <d v="2023-09-07T09:30:00"/>
        <d v="2023-09-08T15:45:00"/>
        <d v="2023-09-04T16:08:00"/>
        <d v="2023-09-06T09:11:00"/>
        <d v="2023-09-03T12:28:00"/>
        <d v="2023-09-05T14:50:00"/>
        <d v="2023-09-07T10:40:00"/>
        <d v="2023-09-02T09:09:00"/>
        <d v="2023-09-04T10:03:00"/>
        <d v="2023-09-04T16:16:00"/>
        <d v="2023-09-04T15:21:00"/>
        <d v="2023-09-07T14:22:00"/>
        <d v="2023-09-08T16:03:00"/>
        <d v="2023-09-03T16:22:00"/>
        <d v="2023-09-03T13:16:00"/>
        <d v="2023-09-02T12:08:00"/>
        <d v="2023-09-05T16:20:00"/>
        <d v="2023-09-05T13:51:00"/>
        <d v="2023-09-07T08:02:00"/>
        <d v="2023-09-06T12:19:00"/>
        <d v="2023-09-03T13:47:00"/>
        <d v="2023-09-02T11:54:00"/>
        <d v="2023-09-04T09:08:00"/>
        <d v="2023-09-08T10:59:00"/>
        <d v="2023-09-08T12:49:00"/>
        <d v="2023-09-08T09:28:00"/>
        <d v="2023-09-04T14:48:00"/>
        <d v="2023-09-05T11:42:00"/>
        <d v="2023-09-03T10:31:00"/>
        <d v="2023-09-07T08:12:00"/>
        <d v="2023-09-02T10:52:00"/>
        <d v="2023-09-01T15:22:00"/>
        <d v="2023-09-02T16:03:00"/>
        <d v="2023-09-01T14:15:00"/>
        <d v="2023-09-04T12:21:00"/>
        <d v="2023-09-04T08:24:00"/>
        <d v="2023-09-03T13:46:00"/>
        <d v="2023-09-04T12:39:00"/>
        <d v="2023-09-04T13:54:00"/>
        <d v="2023-09-01T12:00:00"/>
        <d v="2023-09-02T09:32:00"/>
        <d v="2023-09-02T16:18:00"/>
        <d v="2023-09-03T14:22:00"/>
        <d v="2023-09-05T12:16:00"/>
        <d v="2023-09-05T13:16:00"/>
        <d v="2023-09-04T14:03:00"/>
        <d v="2023-09-06T16:56:00"/>
        <d v="2023-09-04T09:30:00"/>
        <d v="2023-09-02T15:45:00"/>
        <d v="2023-09-06T08:41:00"/>
        <d v="2023-09-08T10:34:00"/>
        <d v="2023-09-07T16:47:00"/>
        <d v="2023-09-03T14:37:00"/>
        <d v="2023-09-06T08:19:00"/>
        <d v="2023-09-03T15:37:00"/>
        <d v="2023-09-05T15:06:00"/>
        <d v="2023-09-03T15:43:00"/>
        <d v="2023-09-04T12:24:00"/>
        <d v="2023-09-02T08:51:00"/>
        <d v="2023-09-05T12:11:00"/>
        <d v="2023-09-04T10:57:00"/>
        <d v="2023-09-04T15:10:00"/>
        <d v="2023-09-02T11:36:00"/>
        <d v="2023-09-08T10:07:00"/>
        <d v="2023-09-03T08:25:00"/>
        <d v="2023-09-01T11:11:00"/>
        <d v="2023-09-04T16:59:00"/>
        <d v="2023-09-02T10:09:00"/>
        <d v="2023-09-02T08:52:00"/>
        <d v="2023-09-04T08:11:00"/>
        <d v="2023-09-01T10:56:00"/>
        <d v="2023-09-07T08:04:00"/>
        <d v="2023-09-08T16:53:00"/>
        <d v="2023-09-01T14:07:00"/>
        <d v="2023-09-05T16:05:00"/>
        <d v="2023-09-07T11:23:00"/>
        <d v="2023-09-05T11:57:00"/>
        <d v="2023-09-04T13:41:00"/>
        <d v="2023-09-01T09:37:00"/>
        <d v="2023-09-03T16:41:00"/>
        <d v="2023-09-05T11:20:00"/>
        <d v="2023-09-06T14:55:00"/>
        <d v="2023-09-01T11:46:00"/>
        <d v="2023-09-07T15:53:00"/>
        <d v="2023-09-06T10:00:00"/>
        <d v="2023-09-07T12:21:00"/>
        <d v="2023-09-02T15:53:00"/>
        <d v="2023-09-01T13:01:00"/>
        <d v="2023-09-07T14:27:00"/>
        <d v="2023-09-02T14:17:00"/>
        <d v="2023-09-07T09:00:00"/>
        <d v="2023-09-02T13:19:00"/>
        <d v="2023-09-04T09:45:00"/>
        <d v="2023-09-08T12:00:00"/>
        <d v="2023-09-02T16:20:00"/>
        <d v="2023-09-05T14:39:00"/>
        <d v="2023-09-01T15:02:00"/>
        <d v="2023-09-04T13:49:00"/>
        <d v="2023-09-04T14:26:00"/>
        <d v="2023-09-03T12:35:00"/>
        <d v="2023-09-07T14:34:00"/>
        <d v="2023-09-08T10:24:00"/>
        <d v="2023-09-02T16:27:00"/>
        <d v="2023-09-01T09:23:00"/>
        <d v="2023-09-07T13:51:00"/>
        <d v="2023-09-08T10:23:00"/>
        <d v="2023-09-08T09:36:00"/>
        <d v="2023-09-04T14:01:00"/>
        <d v="2023-09-02T10:01:00"/>
        <d v="2023-09-06T10:27:00"/>
        <d v="2023-09-03T15:54:00"/>
        <d v="2023-09-05T14:00:00"/>
        <d v="2023-09-01T09:35:00"/>
        <d v="2023-09-03T13:59:00"/>
        <d v="2023-09-08T09:50:00"/>
        <d v="2023-09-06T13:21:00"/>
        <d v="2023-09-08T09:29:00"/>
        <d v="2023-09-02T15:18:00"/>
        <d v="2023-09-03T14:38:00"/>
        <d v="2023-09-03T09:06:00"/>
        <d v="2023-09-07T12:05:00"/>
        <d v="2023-09-05T10:27:00"/>
        <d v="2023-09-03T10:10:00"/>
        <d v="2023-09-02T15:21:00"/>
        <d v="2023-09-05T15:03:00"/>
        <d v="2023-09-03T13:17:00"/>
        <d v="2023-09-08T12:23:00"/>
        <d v="2023-09-01T16:08:00"/>
        <d v="2023-09-06T10:08:00"/>
        <d v="2023-09-01T15:53:00"/>
        <d v="2023-09-01T08:46:00"/>
        <d v="2023-09-07T09:40:00"/>
        <d v="2023-09-06T11:59:00"/>
        <d v="2023-09-01T14:17:00"/>
        <d v="2023-09-08T10:17:00"/>
        <d v="2023-09-03T10:32:00"/>
        <d v="2023-09-06T16:39:00"/>
        <d v="2023-09-03T09:31:00"/>
        <d v="2023-09-05T10:44:00"/>
        <d v="2023-09-02T15:15:00"/>
        <d v="2023-09-02T10:26:00"/>
        <d v="2023-09-02T08:30:00"/>
        <d v="2023-09-06T08:50:00"/>
        <d v="2023-09-01T16:41:00"/>
        <d v="2023-09-06T09:07:00"/>
        <d v="2023-09-03T08:39:00"/>
        <d v="2023-09-02T15:56:00"/>
        <d v="2023-09-03T09:20:00"/>
        <d v="2023-09-01T14:05:00"/>
        <d v="2023-09-08T13:14:00"/>
        <d v="2023-09-03T08:52:00"/>
        <d v="2023-09-01T11:02:00"/>
        <d v="2023-09-07T15:04:00"/>
        <d v="2023-09-01T13:43:00"/>
        <d v="2023-09-05T08:30:00"/>
        <d v="2023-09-05T09:56:00"/>
        <d v="2023-09-06T16:45:00"/>
        <d v="2023-09-03T12:14:00"/>
        <d v="2023-09-07T16:29:00"/>
        <d v="2023-09-04T16:36:00"/>
        <d v="2023-09-08T12:17:00"/>
        <d v="2023-09-02T09:26:00"/>
        <d v="2023-09-03T16:59:00"/>
        <d v="2023-09-05T15:12:00"/>
        <d v="2023-09-04T16:05:00"/>
        <d v="2023-09-05T09:02:00"/>
        <d v="2023-09-03T13:02:00"/>
        <d v="2023-09-07T13:49:00"/>
        <d v="2023-09-03T11:43:00"/>
        <d v="2023-09-05T09:29:00"/>
        <d v="2023-09-06T11:56:00"/>
        <d v="2023-09-04T15:16:00"/>
        <d v="2023-09-03T13:55:00"/>
        <d v="2023-09-01T14:33:00"/>
        <d v="2023-09-05T14:55:00"/>
        <d v="2023-09-01T16:27:00"/>
        <d v="2023-09-04T14:28:00"/>
        <d v="2023-09-05T16:14:00"/>
        <d v="2023-09-04T12:59:00"/>
        <d v="2023-09-04T13:51:00"/>
        <d v="2023-09-05T14:58:00"/>
        <d v="2023-09-03T14:58:00"/>
        <d v="2023-09-06T16:03:00"/>
        <d v="2023-09-08T13:03:00"/>
        <d v="2023-09-05T15:59:00"/>
        <d v="2023-09-06T08:25:00"/>
        <d v="2023-09-06T15:39:00"/>
        <d v="2023-09-06T13:05:00"/>
        <d v="2023-09-04T14:10:00"/>
        <d v="2023-09-01T10:46:00"/>
        <d v="2023-09-06T08:34:00"/>
        <d v="2023-09-01T13:06:00"/>
        <d v="2023-09-05T15:40:00"/>
        <d v="2023-09-02T08:42:00"/>
        <d v="2023-09-02T11:06:00"/>
        <d v="2023-09-07T09:29:00"/>
        <d v="2023-09-01T09:38:00"/>
        <d v="2023-09-05T10:21:00"/>
        <d v="2023-09-07T15:43:00"/>
        <d v="2023-09-03T08:43:00"/>
        <d v="2023-09-01T10:40:00"/>
        <d v="2023-09-06T14:45:00"/>
        <d v="2023-09-03T09:43:00"/>
        <d v="2023-09-02T08:57:00"/>
        <d v="2023-09-08T10:11:00"/>
        <d v="2023-09-06T13:50:00"/>
        <d v="2023-09-03T08:00:00"/>
        <d v="2023-09-01T14:48:00"/>
        <d v="2023-09-02T09:20:00"/>
        <d v="2023-09-03T13:13:00"/>
        <d v="2023-09-06T15:40:00"/>
        <d v="2023-09-05T08:28:00"/>
        <d v="2023-09-08T08:53:00"/>
        <d v="2023-09-08T09:48:00"/>
        <d v="2023-09-03T11:54:00"/>
        <d v="2023-09-01T15:38:00"/>
        <d v="2023-09-06T13:45:00"/>
        <d v="2023-09-04T08:58:00"/>
        <d v="2023-09-01T09:03:00"/>
        <d v="2023-09-01T12:49:00"/>
        <d v="2023-09-02T11:44:00"/>
        <d v="2023-09-06T08:17:00"/>
        <d v="2023-09-04T10:02:00"/>
        <d v="2023-09-05T14:02:00"/>
        <d v="2023-09-05T09:04:00"/>
        <d v="2023-09-06T09:14:00"/>
        <d v="2023-09-04T13:48:00"/>
        <d v="2023-09-06T13:43:00"/>
        <d v="2023-09-06T10:02:00"/>
        <d v="2023-09-01T14:04:00"/>
        <d v="2023-09-08T08:26:00"/>
        <d v="2023-09-01T08:41:00"/>
        <d v="2023-09-07T14:36:00"/>
        <d v="2023-09-08T16:24:00"/>
        <d v="2023-09-01T15:16:00"/>
        <d v="2023-09-04T10:45:00"/>
        <d v="2023-09-05T11:36:00"/>
        <d v="2023-09-06T12:37:00"/>
        <d v="2023-09-03T14:48:00"/>
        <d v="2023-09-01T13:20:00"/>
        <d v="2023-09-06T11:10:00"/>
        <d v="2023-09-08T08:04:00"/>
        <d v="2023-09-06T11:24:00"/>
        <d v="2023-09-07T12:08:00"/>
        <d v="2023-09-02T10:18:00"/>
        <d v="2023-09-05T15:34:00"/>
        <d v="2023-09-01T10:37:00"/>
        <d v="2023-09-03T10:42:00"/>
        <d v="2023-09-02T12:21:00"/>
        <d v="2023-09-01T09:00:00"/>
        <d v="2023-09-07T08:41:00"/>
        <d v="2023-09-04T08:22:00"/>
        <d v="2023-09-07T08:40:00"/>
        <d v="2023-09-02T08:09:00"/>
        <d v="2023-09-07T09:24:00"/>
        <d v="2023-09-06T08:18:00"/>
        <d v="2023-09-08T15:21:00"/>
        <d v="2023-09-03T13:54:00"/>
        <d v="2023-09-07T09:10:00"/>
        <d v="2023-09-07T12:10:00"/>
        <d v="2023-09-04T08:14:00"/>
        <d v="2023-09-03T14:42:00"/>
        <d v="2023-09-03T08:56:00"/>
        <d v="2023-09-06T15:23:00"/>
        <d v="2023-09-02T16:11:00"/>
        <d v="2023-09-08T12:29:00"/>
        <d v="2023-09-03T08:44:00"/>
        <d v="2023-09-08T08:58:00"/>
        <d v="2023-09-06T09:05:00"/>
        <d v="2023-09-01T10:14:00"/>
        <d v="2023-09-07T10:12:00"/>
        <d v="2023-09-03T10:06:00"/>
        <d v="2023-09-08T16:36:00"/>
        <d v="2023-09-06T08:43:00"/>
        <d v="2023-09-02T09:27:00"/>
        <d v="2023-09-07T09:32:00"/>
        <d v="2023-09-06T11:34:00"/>
        <d v="2023-09-08T13:36:00"/>
        <d v="2023-09-02T15:10:00"/>
        <d v="2023-09-01T14:35:00"/>
        <d v="2023-09-06T08:48:00"/>
        <d v="2023-09-04T11:30:00"/>
        <d v="2023-09-07T09:35:00"/>
        <d v="2023-09-05T10:51:00"/>
        <d v="2023-09-05T13:56:00"/>
        <d v="2023-09-03T16:08:00"/>
        <d v="2023-09-03T11:08:00"/>
        <d v="2023-09-02T08:16:00"/>
        <d v="2023-09-04T12:41:00"/>
        <d v="2023-09-02T10:59:00"/>
        <d v="2023-09-06T09:26:00"/>
        <d v="2023-09-01T11:44:00"/>
        <d v="2023-09-03T08:17:00"/>
        <d v="2023-09-08T10:45:00"/>
        <d v="2023-09-03T15:22:00"/>
        <d v="2023-09-06T09:15:00"/>
        <d v="2023-09-03T11:02:00"/>
        <d v="2023-09-07T16:05:00"/>
        <d v="2023-09-01T13:56:00"/>
        <d v="2023-09-01T11:00:00"/>
        <d v="2023-09-04T13:45:00"/>
        <d v="2023-09-08T15:29:00"/>
        <d v="2023-09-02T13:25:00"/>
        <d v="2023-09-03T16:14:00"/>
        <d v="2023-09-01T09:43:00"/>
        <d v="2023-09-02T10:38:00"/>
        <d v="2023-09-02T14:43:00"/>
        <d v="2023-09-03T08:55:00"/>
        <d v="2023-09-02T16:13:00"/>
        <d v="2023-09-04T08:16:00"/>
        <d v="2023-09-05T16:52:00"/>
        <d v="2023-09-07T09:39:00"/>
        <d v="2023-09-04T09:51:00"/>
        <d v="2023-09-08T09:26:00"/>
        <d v="2023-09-01T08:32:00"/>
        <d v="2023-09-06T13:25:00"/>
        <d v="2023-09-07T14:53:00"/>
        <d v="2023-09-01T15:48:00"/>
        <d v="2023-09-07T14:14:00"/>
        <d v="2023-09-07T10:05:00"/>
        <d v="2023-09-05T12:37:00"/>
        <d v="2023-09-01T12:19:00"/>
        <d v="2023-09-05T11:43:00"/>
        <d v="2023-09-04T11:45:00"/>
        <d v="2023-09-01T14:22:00"/>
        <d v="2023-09-04T10:29:00"/>
        <d v="2023-09-07T14:08:00"/>
        <d v="2023-09-04T10:16:00"/>
        <d v="2023-09-03T12:43:00"/>
        <d v="2023-09-08T16:47:00"/>
        <d v="2023-09-07T09:47:00"/>
        <d v="2023-09-02T12:58:00"/>
        <d v="2023-09-04T14:16:00"/>
        <d v="2023-09-06T11:35:00"/>
        <d v="2023-09-03T11:56:00"/>
        <d v="2023-09-03T12:29:00"/>
        <d v="2023-09-01T13:42:00"/>
        <d v="2023-09-04T13:34:00"/>
        <d v="2023-09-05T11:15:00"/>
        <d v="2023-09-01T11:52:00"/>
        <d v="2023-09-02T11:04:00"/>
        <d v="2023-09-08T13:54:00"/>
        <d v="2023-09-06T14:01:00"/>
        <d v="2023-09-05T14:37:00"/>
        <d v="2023-09-06T13:12:00"/>
        <d v="2023-09-06T11:27:00"/>
        <d v="2023-09-05T15:54:00"/>
        <d v="2023-09-07T14:24:00"/>
        <d v="2023-09-04T09:27:00"/>
        <d v="2023-09-05T13:59:00"/>
        <d v="2023-09-06T16:05:00"/>
        <d v="2023-09-07T10:48:00"/>
        <d v="2023-09-06T10:20:00"/>
        <d v="2023-09-05T14:25:00"/>
        <d v="2023-09-02T15:11:00"/>
        <d v="2023-09-08T11:00:00"/>
        <d v="2023-09-04T12:08:00"/>
        <d v="2023-09-02T13:49:00"/>
        <d v="2023-09-07T12:11:00"/>
        <d v="2023-09-05T09:59:00"/>
        <d v="2023-09-05T08:42:00"/>
        <d v="2023-09-04T16:37:00"/>
        <d v="2023-09-03T11:50:00"/>
        <d v="2023-09-02T14:52:00"/>
        <d v="2023-09-06T12:49:00"/>
        <d v="2023-09-01T12:13:00"/>
        <d v="2023-09-07T15:36:00"/>
        <d v="2023-09-01T11:06:00"/>
        <d v="2023-09-02T08:34:00"/>
        <d v="2023-09-06T15:33:00"/>
        <d v="2023-09-05T09:58:00"/>
        <d v="2023-09-04T13:10:00"/>
        <d v="2023-09-08T10:27:00"/>
        <d v="2023-09-08T08:07:00"/>
        <d v="2023-09-03T11:41:00"/>
        <d v="2023-09-03T13:56:00"/>
        <d v="2023-09-08T11:57:00"/>
        <d v="2023-09-03T15:28:00"/>
        <d v="2023-09-06T14:25:00"/>
        <d v="2023-09-04T14:12:00"/>
        <d v="2023-09-02T15:00:00"/>
        <d v="2023-09-01T12:58:00"/>
        <d v="2023-09-06T08:59:00"/>
        <d v="2023-09-08T10:52:00"/>
        <d v="2023-09-01T16:04:00"/>
        <d v="2023-09-03T08:01:00"/>
        <d v="2023-09-05T10:04:00"/>
        <d v="2023-09-08T10:20:00"/>
        <d v="2023-09-07T11:07:00"/>
        <d v="2023-09-05T08:38:00"/>
        <d v="2023-09-07T11:48:00"/>
        <d v="2023-09-02T16:51:00"/>
        <d v="2023-09-04T11:07:00"/>
        <d v="2023-09-06T14:39:00"/>
        <d v="2023-09-03T13:45:00"/>
        <d v="2023-09-07T16:49:00"/>
        <d v="2023-09-01T10:58:00"/>
        <d v="2023-09-08T10:36:00"/>
        <d v="2023-09-06T13:39:00"/>
        <d v="2023-09-04T11:58:00"/>
        <d v="2023-09-04T15:14:00"/>
        <d v="2023-09-03T16:38:00"/>
        <d v="2023-09-04T15:44:00"/>
        <d v="2023-09-03T13:14:00"/>
        <d v="2023-09-07T11:27:00"/>
        <d v="2023-09-06T09:32:00"/>
        <d v="2023-09-07T08:30:00"/>
        <d v="2023-09-01T09:58:00"/>
        <d v="2023-09-01T16:29:00"/>
        <d v="2023-09-07T16:11:00"/>
        <d v="2023-09-02T15:50:00"/>
        <d v="2023-09-03T16:51:00"/>
        <d v="2023-09-01T11:24:00"/>
        <d v="2023-09-08T09:00:00"/>
        <d v="2023-09-07T09:09:00"/>
        <d v="2023-09-04T09:22:00"/>
        <d v="2023-09-03T16:43:00"/>
        <d v="2023-09-08T09:54:00"/>
        <d v="2023-09-05T14:59:00"/>
        <d v="2023-09-05T16:55:00"/>
        <d v="2023-09-04T14:30:00"/>
        <d v="2023-09-05T13:28:00"/>
        <d v="2023-09-03T11:44:00"/>
        <d v="2023-09-01T10:10:00"/>
        <d v="2023-09-05T09:48:00"/>
        <d v="2023-09-06T12:09:00"/>
        <d v="2023-09-03T16:42:00"/>
        <d v="2023-09-06T10:11:00"/>
        <d v="2023-09-07T14:03:00"/>
        <d v="2023-09-06T10:52:00"/>
        <d v="2023-09-08T14:15:00"/>
        <d v="2023-09-05T16:03:00"/>
        <d v="2023-09-08T14:43:00"/>
        <d v="2023-09-04T12:06:00"/>
        <d v="2023-09-06T08:31:00"/>
        <d v="2023-09-05T11:54:00"/>
        <d v="2023-09-06T09:41:00"/>
        <d v="2023-09-02T10:00:00"/>
        <d v="2023-09-07T11:49:00"/>
        <d v="2023-09-05T16:50:00"/>
        <d v="2023-09-08T14:14:00"/>
        <d v="2023-09-02T13:24:00"/>
        <d v="2023-09-05T13:46:00"/>
        <d v="2023-09-06T15:02:00"/>
        <d v="2023-09-02T13:16:00"/>
        <d v="2023-09-07T13:05:00"/>
        <d v="2023-09-02T12:04:00"/>
        <d v="2023-09-07T13:21:00"/>
        <d v="2023-09-02T12:01:00"/>
        <d v="2023-09-08T13:28:00"/>
        <d v="2023-09-03T13:51:00"/>
        <d v="2023-09-01T08:30:00"/>
        <d v="2023-09-05T10:01:00"/>
        <d v="2023-09-03T10:27:00"/>
        <d v="2023-09-02T09:08:00"/>
        <d v="2023-09-02T10:19:00"/>
        <d v="2023-09-04T11:36:00"/>
        <d v="2023-09-07T14:57:00"/>
        <d v="2023-09-08T15:34:00"/>
        <d v="2023-09-03T11:04:00"/>
        <d v="2023-09-03T11:05:00"/>
        <d v="2023-09-07T10:28:00"/>
        <d v="2023-09-06T08:29:00"/>
        <d v="2023-09-08T16:34:00"/>
        <d v="2023-09-06T16:26:00"/>
        <d v="2023-09-04T11:53:00"/>
        <d v="2023-09-02T12:12:00"/>
        <d v="2023-09-04T13:19:00"/>
        <d v="2023-09-06T08:32:00"/>
        <d v="2023-09-02T10:14:00"/>
        <d v="2023-09-03T10:02:00"/>
        <d v="2023-09-02T09:37:00"/>
        <d v="2023-09-01T13:53:00"/>
        <d v="2023-09-07T13:31:00"/>
        <d v="2023-09-08T12:18:00"/>
        <d v="2023-09-01T12:30:00"/>
        <d v="2023-09-08T14:35:00"/>
        <d v="2023-09-05T14:19:00"/>
        <d v="2023-09-07T16:42:00"/>
        <d v="2023-09-05T15:25:00"/>
        <d v="2023-09-08T15:37:00"/>
        <d v="2023-09-02T12:56:00"/>
        <d v="2023-09-04T14:52:00"/>
        <d v="2023-09-06T14:56:00"/>
        <d v="2023-09-01T14:44:00"/>
        <d v="2023-09-06T12:54:00"/>
        <d v="2023-09-07T08:01:00"/>
        <d v="2023-09-06T11:22:00"/>
        <d v="2023-09-07T08:37:00"/>
        <d v="2023-09-07T12:36:00"/>
        <d v="2023-09-08T10:29:00"/>
        <d v="2023-09-07T10:36:00"/>
        <d v="2023-09-04T11:20:00"/>
        <d v="2023-09-06T08:44:00"/>
        <d v="2023-09-01T15:46:00"/>
        <d v="2023-09-06T10:23:00"/>
        <d v="2023-09-03T09:10:00"/>
        <d v="2023-09-04T15:26:00"/>
        <d v="2023-09-04T14:19:00"/>
        <d v="2023-09-06T09:54:00"/>
        <d v="2023-09-06T12:58:00"/>
        <d v="2023-09-05T14:22:00"/>
        <d v="2023-09-07T14:42:00"/>
        <d v="2023-09-06T11:19:00"/>
        <d v="2023-09-05T11:19:00"/>
        <d v="2023-09-05T09:50:00"/>
        <d v="2023-09-04T09:25:00"/>
        <d v="2023-09-05T11:53:00"/>
        <d v="2023-09-08T12:37:00"/>
        <d v="2023-09-05T12:14:00"/>
        <d v="2023-09-01T14:16:00"/>
        <d v="2023-09-03T16:48:00"/>
        <d v="2023-09-07T13:32:00"/>
        <d v="2023-09-08T10:38:00"/>
        <d v="2023-09-03T09:15:00"/>
        <d v="2023-09-03T10:03:00"/>
        <d v="2023-09-06T08:30:00"/>
        <d v="2023-09-06T12:57:00"/>
        <d v="2023-09-07T11:18:00"/>
        <d v="2023-09-05T08:19:00"/>
        <d v="2023-09-05T14:54:00"/>
        <d v="2023-09-02T14:59:00"/>
        <d v="2023-09-04T10:46:00"/>
        <d v="2023-09-01T08:52:00"/>
        <d v="2023-09-06T10:57:00"/>
        <d v="2023-09-08T11:46:00"/>
        <d v="2023-09-07T13:54:00"/>
        <d v="2023-09-07T13:33:00"/>
        <d v="2023-09-07T15:00:00"/>
        <d v="2023-09-04T09:59:00"/>
        <d v="2023-09-06T09:16:00"/>
        <d v="2023-09-04T16:19:00"/>
        <d v="2023-09-06T12:44:00"/>
        <d v="2023-09-04T14:24:00"/>
        <d v="2023-09-04T09:04:00"/>
        <d v="2023-09-06T16:35:00"/>
        <d v="2023-09-04T08:56:00"/>
        <d v="2023-09-03T12:56:00"/>
        <d v="2023-09-03T10:59:00"/>
        <d v="2023-09-04T08:54:00"/>
        <d v="2023-09-08T11:19:00"/>
        <d v="2023-09-02T14:13:00"/>
        <d v="2023-09-04T08:19:00"/>
        <d v="2023-09-07T15:45:00"/>
        <d v="2023-09-01T16:53:00"/>
        <d v="2023-09-06T08:35:00"/>
        <d v="2023-09-05T10:36:00"/>
        <d v="2023-09-02T10:56:00"/>
        <d v="2023-09-05T15:28:00"/>
        <d v="2023-09-04T08:09:00"/>
        <d v="2023-09-06T16:50:00"/>
        <d v="2023-09-03T08:10:00"/>
        <d v="2023-09-05T16:39:00"/>
        <d v="2023-09-06T10:28:00"/>
        <d v="2023-09-04T10:12:00"/>
        <d v="2023-09-03T10:33:00"/>
        <d v="2023-09-03T11:00:00"/>
        <d v="2023-09-06T08:08:00"/>
        <d v="2023-09-01T11:13:00"/>
        <d v="2023-09-04T11:01:00"/>
        <d v="2023-09-07T11:16:00"/>
        <d v="2023-09-02T15:28:00"/>
        <d v="2023-09-07T09:42:00"/>
        <d v="2023-09-01T15:23:00"/>
        <d v="2023-09-07T15:54:00"/>
        <d v="2023-09-06T13:48:00"/>
        <d v="2023-09-01T11:57:00"/>
        <d v="2023-09-06T10:17:00"/>
        <d v="2023-09-02T11:03:00"/>
        <d v="2023-09-04T10:58:00"/>
        <d v="2023-09-05T16:49:00"/>
        <d v="2023-09-05T08:13:00"/>
        <d v="2023-09-08T16:18:00"/>
        <d v="2023-09-03T09:29:00"/>
        <d v="2023-09-06T12:03:00"/>
        <d v="2023-09-07T08:28:00"/>
        <d v="2023-09-08T12:42:00"/>
        <d v="2023-09-08T09:53:00"/>
        <d v="2023-09-05T15:20:00"/>
        <d v="2023-09-07T12:03:00"/>
        <d v="2023-09-08T16:55:00"/>
        <d v="2023-09-08T10:50:00"/>
        <d v="2023-09-02T10:21:00"/>
        <d v="2023-09-06T10:09:00"/>
        <d v="2023-09-06T08:51:00"/>
        <d v="2023-09-03T12:58:00"/>
        <d v="2023-09-04T11:31:00"/>
        <d v="2023-09-02T11:28:00"/>
        <d v="2023-09-01T09:05:00"/>
        <d v="2023-09-08T09:33:00"/>
        <d v="2023-09-04T16:02:00"/>
        <d v="2023-09-07T13:44:00"/>
        <d v="2023-09-01T15:54:00"/>
        <d v="2023-09-03T11:38:00"/>
        <d v="2023-09-05T13:06:00"/>
        <d v="2023-09-06T13:11:00"/>
        <d v="2023-09-02T09:31:00"/>
        <d v="2023-09-03T10:11:00"/>
        <d v="2023-09-05T15:24:00"/>
        <d v="2023-09-08T11:14:00"/>
        <d v="2023-09-05T13:54:00"/>
        <d v="2023-09-07T14:11:00"/>
        <d v="2023-09-05T13:43:00"/>
        <d v="2023-09-04T14:54:00"/>
        <d v="2023-09-01T11:47:00"/>
        <d v="2023-09-04T16:52:00"/>
        <d v="2023-09-05T11:18:00"/>
        <d v="2023-09-01T12:28:00"/>
        <d v="2023-09-08T12:32:00"/>
        <d v="2023-09-06T16:38:00"/>
        <d v="2023-09-03T08:51:00"/>
        <d v="2023-09-06T08:55:00"/>
        <d v="2023-09-06T14:49:00"/>
        <d v="2023-09-06T09:39:00"/>
        <d v="2023-09-08T11:50:00"/>
        <d v="2023-09-03T15:16:00"/>
        <d v="2023-09-04T14:27:00"/>
        <d v="2023-09-06T10:56:00"/>
        <d v="2023-09-05T14:14:00"/>
        <d v="2023-09-08T10:28:00"/>
        <d v="2023-09-03T15:20:00"/>
        <d v="2023-09-06T10:58:00"/>
        <d v="2023-09-07T10:01:00"/>
        <d v="2023-09-07T09:56:00"/>
        <d v="2023-09-02T13:34:00"/>
        <d v="2023-09-03T10:51:00"/>
        <d v="2023-09-06T09:04:00"/>
        <d v="2023-09-01T14:13:00"/>
        <d v="2023-09-06T10:37:00"/>
        <d v="2023-09-04T11:27:00"/>
        <d v="2023-09-03T15:42:00"/>
        <d v="2023-09-07T10:02:00"/>
        <d v="2023-09-06T14:04:00"/>
        <d v="2023-09-01T12:39:00"/>
        <d v="2023-09-02T16:21:00"/>
        <d v="2023-09-02T11:13:00"/>
        <d v="2023-09-01T11:41:00"/>
        <d v="2023-09-04T08:17:00"/>
        <d v="2023-09-02T10:04:00"/>
        <d v="2023-09-03T09:53:00"/>
        <d v="2023-09-02T16:42:00"/>
        <d v="2023-09-03T13:34:00"/>
        <d v="2023-09-07T16:31:00"/>
        <d v="2023-09-01T12:57:00"/>
        <d v="2023-09-01T10:53:00"/>
        <d v="2023-09-07T08:50:00"/>
        <d v="2023-09-08T15:40:00"/>
        <d v="2023-09-07T16:20:00"/>
        <d v="2023-09-07T14:18:00"/>
        <d v="2023-09-03T14:46:00"/>
        <d v="2023-09-03T11:18:00"/>
        <d v="2023-09-03T09:39:00"/>
        <d v="2023-09-03T14:51:00"/>
        <d v="2023-09-04T10:04:00"/>
        <d v="2023-09-05T10:39:00"/>
        <d v="2023-09-08T12:46:00"/>
        <d v="2023-09-02T16:58:00"/>
        <d v="2023-09-08T09:30:00"/>
        <d v="2023-09-07T10:52:00"/>
        <d v="2023-09-02T12:36:00"/>
        <d v="2023-09-04T10:32:00"/>
        <d v="2023-09-01T09:47:00"/>
        <d v="2023-09-07T08:14:00"/>
        <d v="2023-09-01T14:26:00"/>
        <d v="2023-09-01T10:45:00"/>
        <d v="2023-09-06T08:00:00"/>
        <d v="2023-09-03T11:47:00"/>
        <d v="2023-09-04T16:21:00"/>
        <d v="2023-09-04T16:25:00"/>
        <d v="2023-09-06T09:00:00"/>
        <d v="2023-09-04T12:15:00"/>
        <d v="2023-09-01T16:45:00"/>
        <d v="2023-09-03T13:35:00"/>
        <d v="2023-09-08T08:03:00"/>
        <d v="2023-09-04T14:59:00"/>
        <d v="2023-09-04T11:11:00"/>
        <d v="2023-09-08T11:13:00"/>
        <d v="2023-09-02T14:57:00"/>
        <d v="2023-09-07T16:58:00"/>
        <d v="2023-09-08T10:25:00"/>
        <d v="2023-09-07T09:15:00"/>
        <d v="2023-09-02T16:19:00"/>
        <d v="2023-09-04T08:04:00"/>
        <d v="2023-09-04T11:57:00"/>
        <d v="2023-09-04T10:06:00"/>
        <d v="2023-09-03T13:57:00"/>
        <d v="2023-09-02T15:47:00"/>
        <d v="2023-09-06T16:30:00"/>
        <d v="2023-09-08T08:25:00"/>
        <d v="2023-09-02T15:24:00"/>
        <d v="2023-09-06T08:27:00"/>
        <d v="2023-09-02T12:15:00"/>
        <d v="2023-09-08T14:07:00"/>
        <d v="2023-09-02T16:44:00"/>
        <d v="2023-09-07T13:37:00"/>
        <d v="2023-09-05T16:44:00"/>
        <d v="2023-09-07T10:44:00"/>
        <d v="2023-09-07T14:23:00"/>
        <d v="2023-09-03T16:24:00"/>
        <d v="2023-09-02T13:36:00"/>
        <d v="2023-09-03T11:19:00"/>
        <d v="2023-09-04T13:20:00"/>
        <d v="2023-09-07T12:42:00"/>
        <d v="2023-09-08T08:48:00"/>
        <d v="2023-09-07T15:09:00"/>
        <d v="2023-09-08T16:00:00"/>
        <d v="2023-09-08T12:43:00"/>
        <d v="2023-09-06T12:35:00"/>
        <d v="2023-09-05T12:25:00"/>
        <d v="2023-09-04T09:32:00"/>
        <d v="2023-09-05T16:54:00"/>
        <d v="2023-09-08T11:18:00"/>
        <d v="2023-09-02T11:25:00"/>
        <d v="2023-09-01T14:18:00"/>
        <d v="2023-09-06T12:18:00"/>
        <d v="2023-09-03T08:50:00"/>
        <d v="2023-09-01T09:53:00"/>
        <d v="2023-09-03T10:25:00"/>
        <d v="2023-09-07T15:02:00"/>
        <d v="2023-09-05T12:34:00"/>
        <d v="2023-09-02T13:33:00"/>
        <d v="2023-09-04T11:00:00"/>
        <d v="2023-09-08T08:21:00"/>
        <d v="2023-09-04T12:42:00"/>
        <d v="2023-09-02T15:16:00"/>
        <d v="2023-09-07T16:22:00"/>
        <d v="2023-09-06T15:50:00"/>
        <d v="2023-09-01T08:03:00"/>
        <d v="2023-09-06T11:02:00"/>
        <d v="2023-09-07T14:48:00"/>
        <d v="2023-09-06T09:37:00"/>
        <d v="2023-09-06T11:01:00"/>
        <d v="2023-09-02T14:18:00"/>
        <d v="2023-09-01T14:28:00"/>
        <d v="2023-09-08T16:48:00"/>
        <d v="2023-09-02T08:41:00"/>
        <d v="2023-09-03T16:30:00"/>
        <d v="2023-09-01T14:56:00"/>
        <d v="2023-09-04T08:07:00"/>
        <d v="2023-09-02T14:23:00"/>
        <d v="2023-09-05T08:14:00"/>
        <d v="2023-09-05T12:19:00"/>
        <d v="2023-09-01T10:38:00"/>
        <d v="2023-09-05T14:30:00"/>
        <d v="2023-09-07T13:27:00"/>
        <d v="2023-09-05T13:10:00"/>
        <d v="2023-09-03T08:24:00"/>
        <d v="2023-09-06T10:07:00"/>
        <d v="2023-09-07T13:39:00"/>
        <d v="2023-09-06T15:08:00"/>
        <d v="2023-09-03T14:49:00"/>
        <d v="2023-09-04T13:15:00"/>
        <d v="2023-09-05T12:31:00"/>
        <d v="2023-09-07T15:57:00"/>
        <d v="2023-09-04T13:23:00"/>
        <d v="2023-09-03T14:20:00"/>
        <d v="2023-09-04T09:54:00"/>
        <d v="2023-09-06T16:14:00"/>
        <d v="2023-09-02T08:31:00"/>
        <d v="2023-09-06T10:18:00"/>
        <d v="2023-09-02T13:13:00"/>
        <d v="2023-09-01T10:44:00"/>
        <d v="2023-09-04T08:47:00"/>
        <d v="2023-09-03T14:08:00"/>
        <d v="2023-09-02T09:59:00"/>
        <d v="2023-09-03T15:15:00"/>
        <d v="2023-09-03T15:31:00"/>
        <d v="2023-09-05T14:49:00"/>
        <d v="2023-09-06T13:35:00"/>
        <d v="2023-09-05T10:11:00"/>
        <d v="2023-09-06T10:43:00"/>
        <d v="2023-09-06T10:45:00"/>
        <d v="2023-09-02T09:25:00"/>
        <d v="2023-09-08T16:20:00"/>
        <d v="2023-09-02T13:39:00"/>
        <d v="2023-09-01T15:04:00"/>
        <d v="2023-09-01T13:58:00"/>
        <d v="2023-09-01T16:54:00"/>
        <d v="2023-09-08T12:28:00"/>
        <d v="2023-09-06T11:48:00"/>
        <d v="2023-09-05T12:28:00"/>
        <d v="2023-09-05T09:22:00"/>
        <d v="2023-09-04T12:54:00"/>
        <d v="2023-09-04T08:21:00"/>
        <d v="2023-09-01T15:32:00"/>
        <d v="2023-09-02T11:12:00"/>
        <d v="2023-09-07T16:13:00"/>
        <d v="2023-09-02T09:55:00"/>
        <d v="2023-09-03T11:15:00"/>
        <d v="2023-09-01T14:59:00"/>
        <d v="2023-09-06T16:04:00"/>
        <d v="2023-09-08T10:30:00"/>
        <d v="2023-09-05T11:00:00"/>
        <d v="2023-09-03T16:27:00"/>
        <d v="2023-09-02T13:43:00"/>
        <d v="2023-09-02T13:11:00"/>
        <d v="2023-09-05T15:44:00"/>
        <d v="2023-09-04T14:20:00"/>
        <d v="2023-09-04T13:46:00"/>
        <d v="2023-09-01T15:51:00"/>
        <d v="2023-09-08T13:27:00"/>
        <d v="2023-09-02T14:31:00"/>
        <d v="2023-09-07T15:28:00"/>
        <d v="2023-09-07T10:37:00"/>
        <d v="2023-09-04T09:19:00"/>
        <d v="2023-09-05T10:37:00"/>
        <d v="2023-09-07T14:40:00"/>
        <d v="2023-09-01T08:39:00"/>
        <d v="2023-09-01T08:07:00"/>
        <d v="2023-09-01T15:14:00"/>
        <d v="2023-09-04T16:57:00"/>
        <d v="2023-09-02T13:10:00"/>
        <d v="2023-09-07T09:34:00"/>
        <d v="2023-09-05T16:18:00"/>
        <d v="2023-09-05T10:41:00"/>
        <d v="2023-09-05T14:17:00"/>
        <d v="2023-09-06T15:37:00"/>
        <d v="2023-09-06T15:10:00"/>
        <d v="2023-09-06T15:21:00"/>
        <d v="2023-09-02T16:08:00"/>
        <d v="2023-09-03T08:11:00"/>
        <d v="2023-09-02T16:38:00"/>
        <d v="2023-09-04T10:19:00"/>
        <d v="2023-09-02T15:57:00"/>
        <d v="2023-09-06T15:00:00"/>
        <d v="2023-09-05T16:19:00"/>
        <d v="2023-09-02T13:51:00"/>
        <d v="2023-09-04T12:50:00"/>
        <d v="2023-09-03T14:31:00"/>
        <d v="2023-09-02T16:25:00"/>
        <d v="2023-09-04T09:11:00"/>
        <d v="2023-09-06T08:13:00"/>
        <d v="2023-09-04T09:36:00"/>
        <d v="2023-09-02T10:53:00"/>
        <d v="2023-09-01T15:29:00"/>
        <d v="2023-09-03T13:20:00"/>
        <d v="2023-09-07T16:55:00"/>
        <d v="2023-09-06T11:52:00"/>
        <d v="2023-09-06T09:40:00"/>
        <d v="2023-09-03T13:12:00"/>
        <d v="2023-09-02T14:01:00"/>
        <d v="2023-09-04T09:00:00"/>
        <d v="2023-09-08T16:08:00"/>
        <d v="2023-09-06T12:08:00"/>
        <d v="2023-09-04T13:07:00"/>
        <d v="2023-09-01T14:02:00"/>
        <d v="2023-09-02T16:45:00"/>
        <d v="2023-09-08T12:13:00"/>
        <d v="2023-09-08T13:59:00"/>
        <d v="2023-09-07T11:24:00"/>
        <d v="2023-09-08T10:58:00"/>
        <d v="2023-09-06T09:13:00"/>
        <d v="2023-09-07T16:46:00"/>
        <d v="2023-09-06T11:13:00"/>
        <d v="2023-09-01T11:51:00"/>
        <d v="2023-09-06T08:40:00"/>
        <d v="2023-09-04T15:42:00"/>
        <d v="2023-09-07T14:52:00"/>
        <d v="2023-09-08T11:37:00"/>
        <d v="2023-09-06T10:22:00"/>
        <d v="2023-09-07T09:06:00"/>
        <d v="2023-09-03T08:42:00"/>
        <d v="2023-09-04T16:58:00"/>
      </sharedItems>
      <fieldGroup par="22"/>
    </cacheField>
    <cacheField name="Order Status" numFmtId="0">
      <sharedItems count="2">
        <s v="Completed"/>
        <s v="In Progress"/>
      </sharedItems>
    </cacheField>
    <cacheField name="Driver ID" numFmtId="0">
      <sharedItems count="100">
        <s v="D59"/>
        <s v="D4"/>
        <s v="D21"/>
        <s v="D70"/>
        <s v="D77"/>
        <s v="D54"/>
        <s v="D99"/>
        <s v="D84"/>
        <s v="D49"/>
        <s v="D53"/>
        <s v="D1"/>
        <s v="D44"/>
        <s v="D32"/>
        <s v="D38"/>
        <s v="D23"/>
        <s v="D67"/>
        <s v="D11"/>
        <s v="D33"/>
        <s v="D9"/>
        <s v="D91"/>
        <s v="D88"/>
        <s v="D10"/>
        <s v="D5"/>
        <s v="D14"/>
        <s v="D80"/>
        <s v="D90"/>
        <s v="D60"/>
        <s v="D42"/>
        <s v="D82"/>
        <s v="D27"/>
        <s v="D43"/>
        <s v="D69"/>
        <s v="D39"/>
        <s v="D34"/>
        <s v="D6"/>
        <s v="D48"/>
        <s v="D16"/>
        <s v="D25"/>
        <s v="D86"/>
        <s v="D72"/>
        <s v="D18"/>
        <s v="D63"/>
        <s v="D28"/>
        <s v="D2"/>
        <s v="D19"/>
        <s v="D55"/>
        <s v="D66"/>
        <s v="D87"/>
        <s v="D35"/>
        <s v="D15"/>
        <s v="D68"/>
        <s v="D97"/>
        <s v="D75"/>
        <s v="D30"/>
        <s v="D76"/>
        <s v="D41"/>
        <s v="D3"/>
        <s v="D74"/>
        <s v="D64"/>
        <s v="D52"/>
        <s v="D89"/>
        <s v="D85"/>
        <s v="D78"/>
        <s v="D81"/>
        <s v="D73"/>
        <s v="D65"/>
        <s v="D98"/>
        <s v="D36"/>
        <s v="D79"/>
        <s v="D45"/>
        <s v="D31"/>
        <s v="D96"/>
        <s v="D26"/>
        <s v="D83"/>
        <s v="D71"/>
        <s v="D50"/>
        <s v="D100"/>
        <s v="D93"/>
        <s v="D40"/>
        <s v="D61"/>
        <s v="D57"/>
        <s v="D46"/>
        <s v="D29"/>
        <s v="D94"/>
        <s v="D37"/>
        <s v="D58"/>
        <s v="D13"/>
        <s v="D92"/>
        <s v="D24"/>
        <s v="D17"/>
        <s v="D51"/>
        <s v="D22"/>
        <s v="D8"/>
        <s v="D62"/>
        <s v="D95"/>
        <s v="D20"/>
        <s v="D7"/>
        <s v="D56"/>
        <s v="D47"/>
        <s v="D12"/>
      </sharedItems>
    </cacheField>
    <cacheField name="Vehicle Info" numFmtId="0">
      <sharedItems count="3">
        <s v="Van A"/>
        <s v="Truck B"/>
        <s v="Bike C"/>
      </sharedItems>
    </cacheField>
    <cacheField name="Current Location" numFmtId="0">
      <sharedItems count="5">
        <s v="CityE"/>
        <s v="CityA"/>
        <s v="CityD"/>
        <s v="CityC"/>
        <s v="CityB"/>
      </sharedItems>
    </cacheField>
    <cacheField name="Delivery Time (min)" numFmtId="0">
      <sharedItems containsSemiMixedTypes="0" containsString="0" containsNumber="1" containsInteger="1" minValue="60" maxValue="239"/>
    </cacheField>
    <cacheField name="Delays (min)" numFmtId="0">
      <sharedItems containsSemiMixedTypes="0" containsString="0" containsNumber="1" containsInteger="1" minValue="0" maxValue="29"/>
    </cacheField>
    <cacheField name="Customer Feedback" numFmtId="0">
      <sharedItems count="3">
        <s v="Neutral"/>
        <s v="Positive"/>
        <s v="Negative"/>
      </sharedItems>
    </cacheField>
    <cacheField name="Route" numFmtId="0">
      <sharedItems count="5">
        <s v="Route2"/>
        <s v="Route1"/>
        <s v="Route3"/>
        <s v="Route5"/>
        <s v="Route4"/>
      </sharedItems>
    </cacheField>
    <cacheField name="Delivery Zone" numFmtId="0">
      <sharedItems count="3">
        <s v="Zone2"/>
        <s v="Zone3"/>
        <s v="Zone1"/>
      </sharedItems>
    </cacheField>
    <cacheField name="Allocation Rules" numFmtId="0">
      <sharedItems count="3">
        <s v="Custom Rules"/>
        <s v="Expedited Rules"/>
        <s v="Standard Rules"/>
      </sharedItems>
    </cacheField>
    <cacheField name="Sentiment Scores" numFmtId="3">
      <sharedItems containsSemiMixedTypes="0" containsString="0" containsNumber="1" containsInteger="1" minValue="-1" maxValue="1" count="3">
        <n v="0"/>
        <n v="1"/>
        <n v="-1"/>
      </sharedItems>
    </cacheField>
    <cacheField name="Delivery date" numFmtId="165">
      <sharedItems containsSemiMixedTypes="0" containsNonDate="0" containsDate="1" containsString="0" minDate="2023-09-01T00:00:00" maxDate="2023-09-09T00:00:00" count="8">
        <d v="2023-09-04T00:00:00"/>
        <d v="2023-09-01T00:00:00"/>
        <d v="2023-09-03T00:00:00"/>
        <d v="2023-09-07T00:00:00"/>
        <d v="2023-09-06T00:00:00"/>
        <d v="2023-09-02T00:00:00"/>
        <d v="2023-09-08T00:00:00"/>
        <d v="2023-09-05T00:00:00"/>
      </sharedItems>
      <fieldGroup par="23"/>
    </cacheField>
    <cacheField name="Day of Week" numFmtId="0">
      <sharedItems/>
    </cacheField>
    <cacheField name="Hour od Day" numFmtId="0">
      <sharedItems containsSemiMixedTypes="0" containsString="0" containsNumber="1" containsInteger="1" minValue="8" maxValue="16"/>
    </cacheField>
    <cacheField name="Delivery Efficiency (%)" numFmtId="2">
      <sharedItems containsSemiMixedTypes="0" containsString="0" containsNumber="1" minValue="0.6741573033707865" maxValue="1"/>
    </cacheField>
    <cacheField name="Driver Performance Score " numFmtId="43">
      <sharedItems containsSemiMixedTypes="0" containsString="0" containsNumber="1" minValue="67.415730337078656" maxValue="100"/>
    </cacheField>
    <cacheField name="On Time %" numFmtId="0">
      <sharedItems count="2">
        <s v="No"/>
        <s v="Yes"/>
      </sharedItems>
    </cacheField>
    <cacheField name="Minutes (Order Timestamp)" numFmtId="0" databaseField="0">
      <fieldGroup base="2">
        <rangePr groupBy="minutes" startDate="2023-09-01T08:00:00" endDate="2023-09-08T16:58:00"/>
        <groupItems count="62">
          <s v="&lt;9/1/2023"/>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9/8/2023"/>
        </groupItems>
      </fieldGroup>
    </cacheField>
    <cacheField name="Hours (Order Timestamp)" numFmtId="0" databaseField="0">
      <fieldGroup base="2">
        <rangePr groupBy="hours" startDate="2023-09-01T08:00:00" endDate="2023-09-08T16:58:00"/>
        <groupItems count="26">
          <s v="&lt;9/1/2023"/>
          <s v="12 AM"/>
          <s v="1 AM"/>
          <s v="2 AM"/>
          <s v="3 AM"/>
          <s v="4 AM"/>
          <s v="5 AM"/>
          <s v="6 AM"/>
          <s v="7 AM"/>
          <s v="8 AM"/>
          <s v="9 AM"/>
          <s v="10 AM"/>
          <s v="11 AM"/>
          <s v="12 PM"/>
          <s v="1 PM"/>
          <s v="2 PM"/>
          <s v="3 PM"/>
          <s v="4 PM"/>
          <s v="5 PM"/>
          <s v="6 PM"/>
          <s v="7 PM"/>
          <s v="8 PM"/>
          <s v="9 PM"/>
          <s v="10 PM"/>
          <s v="11 PM"/>
          <s v="&gt;9/8/2023"/>
        </groupItems>
      </fieldGroup>
    </cacheField>
    <cacheField name="Days (Order Timestamp)" numFmtId="0" databaseField="0">
      <fieldGroup base="2">
        <rangePr groupBy="days" startDate="2023-09-01T08:00:00" endDate="2023-09-08T16:58:00"/>
        <groupItems count="368">
          <s v="&lt;9/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8/2023"/>
        </groupItems>
      </fieldGroup>
    </cacheField>
    <cacheField name="Days (Delivery date)" numFmtId="0" databaseField="0">
      <fieldGroup base="14">
        <rangePr groupBy="days" startDate="2023-09-01T00:00:00" endDate="2023-09-09T00:00:00"/>
        <groupItems count="368">
          <s v="&lt;9/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9/2023"/>
        </groupItems>
      </fieldGroup>
    </cacheField>
  </cacheFields>
  <extLst>
    <ext xmlns:x14="http://schemas.microsoft.com/office/spreadsheetml/2009/9/main" uri="{725AE2AE-9491-48be-B2B4-4EB974FC3084}">
      <x14:pivotCacheDefinition pivotCacheId="33574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1"/>
    <s v="884 Main St, CityE"/>
    <x v="0"/>
    <x v="0"/>
    <x v="0"/>
    <x v="0"/>
    <x v="0"/>
    <n v="92"/>
    <n v="13"/>
    <x v="0"/>
    <x v="0"/>
    <x v="0"/>
    <x v="0"/>
    <x v="0"/>
    <x v="0"/>
    <s v="Monday"/>
    <n v="13"/>
    <n v="0.87619047619047619"/>
    <n v="87.61904761904762"/>
    <x v="0"/>
  </r>
  <r>
    <n v="1002"/>
    <s v="55 Oak St, CityE"/>
    <x v="1"/>
    <x v="0"/>
    <x v="1"/>
    <x v="1"/>
    <x v="1"/>
    <n v="163"/>
    <n v="19"/>
    <x v="1"/>
    <x v="1"/>
    <x v="1"/>
    <x v="0"/>
    <x v="1"/>
    <x v="1"/>
    <s v="Friday"/>
    <n v="15"/>
    <n v="0.89560439560439564"/>
    <n v="89.560439560439562"/>
    <x v="0"/>
  </r>
  <r>
    <n v="1003"/>
    <s v="123 Main St, CityE"/>
    <x v="2"/>
    <x v="0"/>
    <x v="2"/>
    <x v="1"/>
    <x v="2"/>
    <n v="192"/>
    <n v="0"/>
    <x v="2"/>
    <x v="1"/>
    <x v="0"/>
    <x v="0"/>
    <x v="2"/>
    <x v="1"/>
    <s v="Friday"/>
    <n v="16"/>
    <n v="1"/>
    <n v="100"/>
    <x v="1"/>
  </r>
  <r>
    <n v="1004"/>
    <s v="66 Cedar St, CityD"/>
    <x v="3"/>
    <x v="0"/>
    <x v="3"/>
    <x v="1"/>
    <x v="1"/>
    <n v="143"/>
    <n v="17"/>
    <x v="0"/>
    <x v="2"/>
    <x v="1"/>
    <x v="0"/>
    <x v="0"/>
    <x v="2"/>
    <s v="Sunday"/>
    <n v="14"/>
    <n v="0.89375000000000004"/>
    <n v="89.375"/>
    <x v="0"/>
  </r>
  <r>
    <n v="1005"/>
    <s v="748 Elm St, CityB"/>
    <x v="4"/>
    <x v="0"/>
    <x v="4"/>
    <x v="2"/>
    <x v="3"/>
    <n v="103"/>
    <n v="17"/>
    <x v="2"/>
    <x v="0"/>
    <x v="2"/>
    <x v="1"/>
    <x v="2"/>
    <x v="1"/>
    <s v="Friday"/>
    <n v="11"/>
    <n v="0.85833333333333328"/>
    <n v="85.833333333333329"/>
    <x v="0"/>
  </r>
  <r>
    <n v="1006"/>
    <s v="255 Cedar St, CityB"/>
    <x v="5"/>
    <x v="1"/>
    <x v="5"/>
    <x v="0"/>
    <x v="0"/>
    <n v="153"/>
    <n v="22"/>
    <x v="0"/>
    <x v="3"/>
    <x v="2"/>
    <x v="2"/>
    <x v="0"/>
    <x v="1"/>
    <s v="Friday"/>
    <n v="12"/>
    <n v="0.87428571428571433"/>
    <n v="87.428571428571431"/>
    <x v="0"/>
  </r>
  <r>
    <n v="1007"/>
    <s v="856 Elm St, CityA"/>
    <x v="6"/>
    <x v="1"/>
    <x v="6"/>
    <x v="1"/>
    <x v="0"/>
    <n v="161"/>
    <n v="8"/>
    <x v="1"/>
    <x v="4"/>
    <x v="2"/>
    <x v="1"/>
    <x v="1"/>
    <x v="3"/>
    <s v="Thursday"/>
    <n v="13"/>
    <n v="0.9526627218934911"/>
    <n v="95.26627218934911"/>
    <x v="0"/>
  </r>
  <r>
    <n v="1008"/>
    <s v="665 Pine St, CityA"/>
    <x v="7"/>
    <x v="1"/>
    <x v="7"/>
    <x v="1"/>
    <x v="2"/>
    <n v="96"/>
    <n v="17"/>
    <x v="1"/>
    <x v="0"/>
    <x v="0"/>
    <x v="1"/>
    <x v="1"/>
    <x v="4"/>
    <s v="Wednesday"/>
    <n v="14"/>
    <n v="0.84955752212389379"/>
    <n v="84.955752212389385"/>
    <x v="0"/>
  </r>
  <r>
    <n v="1009"/>
    <s v="340 Main St, CityA"/>
    <x v="8"/>
    <x v="1"/>
    <x v="8"/>
    <x v="2"/>
    <x v="0"/>
    <n v="135"/>
    <n v="5"/>
    <x v="1"/>
    <x v="1"/>
    <x v="2"/>
    <x v="2"/>
    <x v="1"/>
    <x v="1"/>
    <s v="Friday"/>
    <n v="15"/>
    <n v="0.9642857142857143"/>
    <n v="96.428571428571431"/>
    <x v="0"/>
  </r>
  <r>
    <n v="1010"/>
    <s v="969 Pine St, CityE"/>
    <x v="9"/>
    <x v="0"/>
    <x v="9"/>
    <x v="2"/>
    <x v="4"/>
    <n v="233"/>
    <n v="19"/>
    <x v="0"/>
    <x v="1"/>
    <x v="2"/>
    <x v="2"/>
    <x v="0"/>
    <x v="5"/>
    <s v="Saturday"/>
    <n v="8"/>
    <n v="0.92460317460317465"/>
    <n v="92.460317460317469"/>
    <x v="0"/>
  </r>
  <r>
    <n v="1011"/>
    <s v="718 Pine St, CityD"/>
    <x v="10"/>
    <x v="1"/>
    <x v="10"/>
    <x v="0"/>
    <x v="4"/>
    <n v="203"/>
    <n v="24"/>
    <x v="0"/>
    <x v="3"/>
    <x v="1"/>
    <x v="0"/>
    <x v="0"/>
    <x v="2"/>
    <s v="Sunday"/>
    <n v="10"/>
    <n v="0.89427312775330392"/>
    <n v="89.427312775330392"/>
    <x v="0"/>
  </r>
  <r>
    <n v="1012"/>
    <s v="391 Pine St, CityB"/>
    <x v="11"/>
    <x v="1"/>
    <x v="11"/>
    <x v="1"/>
    <x v="1"/>
    <n v="150"/>
    <n v="18"/>
    <x v="2"/>
    <x v="1"/>
    <x v="2"/>
    <x v="2"/>
    <x v="2"/>
    <x v="4"/>
    <s v="Wednesday"/>
    <n v="13"/>
    <n v="0.8928571428571429"/>
    <n v="89.285714285714292"/>
    <x v="0"/>
  </r>
  <r>
    <n v="1013"/>
    <s v="868 Oak St, CityB"/>
    <x v="12"/>
    <x v="0"/>
    <x v="12"/>
    <x v="0"/>
    <x v="3"/>
    <n v="127"/>
    <n v="17"/>
    <x v="2"/>
    <x v="4"/>
    <x v="2"/>
    <x v="1"/>
    <x v="2"/>
    <x v="2"/>
    <s v="Sunday"/>
    <n v="12"/>
    <n v="0.88194444444444442"/>
    <n v="88.194444444444443"/>
    <x v="0"/>
  </r>
  <r>
    <n v="1014"/>
    <s v="99 Oak St, CityC"/>
    <x v="13"/>
    <x v="0"/>
    <x v="13"/>
    <x v="1"/>
    <x v="3"/>
    <n v="66"/>
    <n v="11"/>
    <x v="0"/>
    <x v="3"/>
    <x v="2"/>
    <x v="1"/>
    <x v="0"/>
    <x v="6"/>
    <s v="Friday"/>
    <n v="16"/>
    <n v="0.8571428571428571"/>
    <n v="85.714285714285708"/>
    <x v="0"/>
  </r>
  <r>
    <n v="1015"/>
    <s v="182 Pine St, CityC"/>
    <x v="14"/>
    <x v="1"/>
    <x v="14"/>
    <x v="2"/>
    <x v="4"/>
    <n v="75"/>
    <n v="26"/>
    <x v="1"/>
    <x v="4"/>
    <x v="2"/>
    <x v="2"/>
    <x v="1"/>
    <x v="2"/>
    <s v="Sunday"/>
    <n v="14"/>
    <n v="0.74257425742574257"/>
    <n v="74.257425742574256"/>
    <x v="0"/>
  </r>
  <r>
    <n v="1016"/>
    <s v="512 Main St, CityB"/>
    <x v="15"/>
    <x v="1"/>
    <x v="15"/>
    <x v="0"/>
    <x v="3"/>
    <n v="163"/>
    <n v="6"/>
    <x v="0"/>
    <x v="3"/>
    <x v="2"/>
    <x v="2"/>
    <x v="0"/>
    <x v="7"/>
    <s v="Tuesday"/>
    <n v="13"/>
    <n v="0.96449704142011838"/>
    <n v="96.449704142011839"/>
    <x v="0"/>
  </r>
  <r>
    <n v="1017"/>
    <s v="267 Pine St, CityB"/>
    <x v="16"/>
    <x v="1"/>
    <x v="16"/>
    <x v="0"/>
    <x v="1"/>
    <n v="174"/>
    <n v="16"/>
    <x v="1"/>
    <x v="4"/>
    <x v="1"/>
    <x v="1"/>
    <x v="1"/>
    <x v="0"/>
    <s v="Monday"/>
    <n v="10"/>
    <n v="0.91578947368421049"/>
    <n v="91.578947368421055"/>
    <x v="0"/>
  </r>
  <r>
    <n v="1018"/>
    <s v="233 Oak St, CityA"/>
    <x v="17"/>
    <x v="0"/>
    <x v="8"/>
    <x v="1"/>
    <x v="3"/>
    <n v="167"/>
    <n v="1"/>
    <x v="2"/>
    <x v="0"/>
    <x v="2"/>
    <x v="0"/>
    <x v="2"/>
    <x v="7"/>
    <s v="Tuesday"/>
    <n v="10"/>
    <n v="0.99404761904761907"/>
    <n v="99.404761904761912"/>
    <x v="0"/>
  </r>
  <r>
    <n v="1019"/>
    <s v="348 Pine St, CityA"/>
    <x v="18"/>
    <x v="1"/>
    <x v="17"/>
    <x v="0"/>
    <x v="1"/>
    <n v="219"/>
    <n v="13"/>
    <x v="1"/>
    <x v="1"/>
    <x v="1"/>
    <x v="1"/>
    <x v="1"/>
    <x v="0"/>
    <s v="Monday"/>
    <n v="14"/>
    <n v="0.94396551724137934"/>
    <n v="94.396551724137936"/>
    <x v="0"/>
  </r>
  <r>
    <n v="1020"/>
    <s v="537 Oak St, CityA"/>
    <x v="19"/>
    <x v="1"/>
    <x v="17"/>
    <x v="0"/>
    <x v="0"/>
    <n v="213"/>
    <n v="24"/>
    <x v="0"/>
    <x v="3"/>
    <x v="1"/>
    <x v="0"/>
    <x v="0"/>
    <x v="5"/>
    <s v="Saturday"/>
    <n v="11"/>
    <n v="0.89873417721518989"/>
    <n v="89.87341772151899"/>
    <x v="0"/>
  </r>
  <r>
    <n v="1021"/>
    <s v="901 Cedar St, CityA"/>
    <x v="20"/>
    <x v="1"/>
    <x v="18"/>
    <x v="0"/>
    <x v="0"/>
    <n v="94"/>
    <n v="24"/>
    <x v="2"/>
    <x v="2"/>
    <x v="2"/>
    <x v="0"/>
    <x v="2"/>
    <x v="2"/>
    <s v="Sunday"/>
    <n v="13"/>
    <n v="0.79661016949152541"/>
    <n v="79.66101694915254"/>
    <x v="0"/>
  </r>
  <r>
    <n v="1022"/>
    <s v="571 Main St, CityC"/>
    <x v="21"/>
    <x v="0"/>
    <x v="19"/>
    <x v="0"/>
    <x v="4"/>
    <n v="232"/>
    <n v="21"/>
    <x v="2"/>
    <x v="4"/>
    <x v="0"/>
    <x v="1"/>
    <x v="2"/>
    <x v="4"/>
    <s v="Wednesday"/>
    <n v="12"/>
    <n v="0.91699604743083007"/>
    <n v="91.699604743083"/>
    <x v="0"/>
  </r>
  <r>
    <n v="1023"/>
    <s v="98 Elm St, CityA"/>
    <x v="22"/>
    <x v="0"/>
    <x v="20"/>
    <x v="1"/>
    <x v="2"/>
    <n v="151"/>
    <n v="6"/>
    <x v="0"/>
    <x v="3"/>
    <x v="1"/>
    <x v="2"/>
    <x v="0"/>
    <x v="4"/>
    <s v="Wednesday"/>
    <n v="10"/>
    <n v="0.96178343949044587"/>
    <n v="96.178343949044589"/>
    <x v="0"/>
  </r>
  <r>
    <n v="1024"/>
    <s v="987 Cedar St, CityA"/>
    <x v="23"/>
    <x v="0"/>
    <x v="9"/>
    <x v="0"/>
    <x v="4"/>
    <n v="78"/>
    <n v="29"/>
    <x v="0"/>
    <x v="1"/>
    <x v="0"/>
    <x v="0"/>
    <x v="0"/>
    <x v="4"/>
    <s v="Wednesday"/>
    <n v="15"/>
    <n v="0.7289719626168224"/>
    <n v="72.89719626168224"/>
    <x v="0"/>
  </r>
  <r>
    <n v="1025"/>
    <s v="5 Oak St, CityD"/>
    <x v="24"/>
    <x v="1"/>
    <x v="21"/>
    <x v="2"/>
    <x v="0"/>
    <n v="150"/>
    <n v="0"/>
    <x v="2"/>
    <x v="0"/>
    <x v="1"/>
    <x v="0"/>
    <x v="2"/>
    <x v="2"/>
    <s v="Sunday"/>
    <n v="14"/>
    <n v="1"/>
    <n v="100"/>
    <x v="1"/>
  </r>
  <r>
    <n v="1026"/>
    <s v="314 Main St, CityE"/>
    <x v="25"/>
    <x v="1"/>
    <x v="22"/>
    <x v="0"/>
    <x v="2"/>
    <n v="154"/>
    <n v="7"/>
    <x v="2"/>
    <x v="1"/>
    <x v="0"/>
    <x v="2"/>
    <x v="2"/>
    <x v="0"/>
    <s v="Monday"/>
    <n v="14"/>
    <n v="0.95652173913043481"/>
    <n v="95.652173913043484"/>
    <x v="0"/>
  </r>
  <r>
    <n v="1027"/>
    <s v="577 Oak St, CityA"/>
    <x v="26"/>
    <x v="0"/>
    <x v="23"/>
    <x v="0"/>
    <x v="1"/>
    <n v="153"/>
    <n v="22"/>
    <x v="0"/>
    <x v="0"/>
    <x v="1"/>
    <x v="0"/>
    <x v="0"/>
    <x v="4"/>
    <s v="Wednesday"/>
    <n v="11"/>
    <n v="0.87428571428571433"/>
    <n v="87.428571428571431"/>
    <x v="0"/>
  </r>
  <r>
    <n v="1028"/>
    <s v="979 Elm St, CityB"/>
    <x v="27"/>
    <x v="0"/>
    <x v="24"/>
    <x v="1"/>
    <x v="3"/>
    <n v="165"/>
    <n v="17"/>
    <x v="0"/>
    <x v="2"/>
    <x v="2"/>
    <x v="1"/>
    <x v="0"/>
    <x v="5"/>
    <s v="Saturday"/>
    <n v="9"/>
    <n v="0.90659340659340659"/>
    <n v="90.659340659340657"/>
    <x v="0"/>
  </r>
  <r>
    <n v="1029"/>
    <s v="652 Cedar St, CityD"/>
    <x v="28"/>
    <x v="1"/>
    <x v="25"/>
    <x v="2"/>
    <x v="0"/>
    <n v="196"/>
    <n v="13"/>
    <x v="2"/>
    <x v="0"/>
    <x v="1"/>
    <x v="1"/>
    <x v="2"/>
    <x v="3"/>
    <s v="Thursday"/>
    <n v="16"/>
    <n v="0.93779904306220097"/>
    <n v="93.779904306220089"/>
    <x v="0"/>
  </r>
  <r>
    <n v="1030"/>
    <s v="187 Cedar St, CityB"/>
    <x v="29"/>
    <x v="1"/>
    <x v="26"/>
    <x v="0"/>
    <x v="2"/>
    <n v="80"/>
    <n v="28"/>
    <x v="2"/>
    <x v="3"/>
    <x v="0"/>
    <x v="1"/>
    <x v="2"/>
    <x v="1"/>
    <s v="Friday"/>
    <n v="13"/>
    <n v="0.7407407407407407"/>
    <n v="74.074074074074076"/>
    <x v="0"/>
  </r>
  <r>
    <n v="1031"/>
    <s v="1000 Oak St, CityA"/>
    <x v="30"/>
    <x v="1"/>
    <x v="27"/>
    <x v="2"/>
    <x v="2"/>
    <n v="126"/>
    <n v="2"/>
    <x v="1"/>
    <x v="3"/>
    <x v="2"/>
    <x v="1"/>
    <x v="1"/>
    <x v="7"/>
    <s v="Tuesday"/>
    <n v="15"/>
    <n v="0.984375"/>
    <n v="98.4375"/>
    <x v="0"/>
  </r>
  <r>
    <n v="1032"/>
    <s v="894 Elm St, CityE"/>
    <x v="31"/>
    <x v="0"/>
    <x v="28"/>
    <x v="2"/>
    <x v="3"/>
    <n v="162"/>
    <n v="28"/>
    <x v="1"/>
    <x v="4"/>
    <x v="0"/>
    <x v="0"/>
    <x v="1"/>
    <x v="4"/>
    <s v="Wednesday"/>
    <n v="14"/>
    <n v="0.85263157894736841"/>
    <n v="85.263157894736835"/>
    <x v="0"/>
  </r>
  <r>
    <n v="1033"/>
    <s v="384 Cedar St, CityB"/>
    <x v="32"/>
    <x v="1"/>
    <x v="29"/>
    <x v="0"/>
    <x v="1"/>
    <n v="172"/>
    <n v="20"/>
    <x v="0"/>
    <x v="2"/>
    <x v="0"/>
    <x v="2"/>
    <x v="0"/>
    <x v="4"/>
    <s v="Wednesday"/>
    <n v="8"/>
    <n v="0.89583333333333337"/>
    <n v="89.583333333333343"/>
    <x v="0"/>
  </r>
  <r>
    <n v="1034"/>
    <s v="913 Pine St, CityB"/>
    <x v="33"/>
    <x v="1"/>
    <x v="30"/>
    <x v="2"/>
    <x v="3"/>
    <n v="215"/>
    <n v="26"/>
    <x v="1"/>
    <x v="2"/>
    <x v="1"/>
    <x v="1"/>
    <x v="1"/>
    <x v="7"/>
    <s v="Tuesday"/>
    <n v="15"/>
    <n v="0.89211618257261416"/>
    <n v="89.211618257261421"/>
    <x v="0"/>
  </r>
  <r>
    <n v="1035"/>
    <s v="520 Elm St, CityD"/>
    <x v="34"/>
    <x v="0"/>
    <x v="31"/>
    <x v="2"/>
    <x v="4"/>
    <n v="64"/>
    <n v="6"/>
    <x v="0"/>
    <x v="4"/>
    <x v="0"/>
    <x v="2"/>
    <x v="0"/>
    <x v="1"/>
    <s v="Friday"/>
    <n v="12"/>
    <n v="0.91428571428571426"/>
    <n v="91.428571428571431"/>
    <x v="0"/>
  </r>
  <r>
    <n v="1036"/>
    <s v="32 Cedar St, CityA"/>
    <x v="35"/>
    <x v="0"/>
    <x v="28"/>
    <x v="2"/>
    <x v="3"/>
    <n v="182"/>
    <n v="15"/>
    <x v="0"/>
    <x v="3"/>
    <x v="0"/>
    <x v="0"/>
    <x v="0"/>
    <x v="5"/>
    <s v="Saturday"/>
    <n v="11"/>
    <n v="0.92385786802030456"/>
    <n v="92.385786802030452"/>
    <x v="0"/>
  </r>
  <r>
    <n v="1037"/>
    <s v="958 Cedar St, CityA"/>
    <x v="36"/>
    <x v="1"/>
    <x v="32"/>
    <x v="1"/>
    <x v="2"/>
    <n v="134"/>
    <n v="18"/>
    <x v="2"/>
    <x v="3"/>
    <x v="2"/>
    <x v="0"/>
    <x v="2"/>
    <x v="5"/>
    <s v="Saturday"/>
    <n v="16"/>
    <n v="0.88157894736842102"/>
    <n v="88.157894736842096"/>
    <x v="0"/>
  </r>
  <r>
    <n v="1038"/>
    <s v="827 Oak St, CityC"/>
    <x v="37"/>
    <x v="1"/>
    <x v="9"/>
    <x v="0"/>
    <x v="2"/>
    <n v="95"/>
    <n v="22"/>
    <x v="2"/>
    <x v="2"/>
    <x v="1"/>
    <x v="0"/>
    <x v="2"/>
    <x v="6"/>
    <s v="Friday"/>
    <n v="9"/>
    <n v="0.81196581196581197"/>
    <n v="81.196581196581192"/>
    <x v="0"/>
  </r>
  <r>
    <n v="1039"/>
    <s v="111 Oak St, CityB"/>
    <x v="38"/>
    <x v="0"/>
    <x v="33"/>
    <x v="0"/>
    <x v="1"/>
    <n v="110"/>
    <n v="7"/>
    <x v="0"/>
    <x v="3"/>
    <x v="2"/>
    <x v="2"/>
    <x v="0"/>
    <x v="1"/>
    <s v="Friday"/>
    <n v="15"/>
    <n v="0.94017094017094016"/>
    <n v="94.01709401709401"/>
    <x v="0"/>
  </r>
  <r>
    <n v="1040"/>
    <s v="605 Cedar St, CityB"/>
    <x v="39"/>
    <x v="0"/>
    <x v="34"/>
    <x v="1"/>
    <x v="2"/>
    <n v="103"/>
    <n v="9"/>
    <x v="0"/>
    <x v="3"/>
    <x v="2"/>
    <x v="1"/>
    <x v="0"/>
    <x v="4"/>
    <s v="Wednesday"/>
    <n v="11"/>
    <n v="0.9196428571428571"/>
    <n v="91.964285714285708"/>
    <x v="0"/>
  </r>
  <r>
    <n v="1041"/>
    <s v="922 Main St, CityD"/>
    <x v="40"/>
    <x v="0"/>
    <x v="35"/>
    <x v="2"/>
    <x v="0"/>
    <n v="166"/>
    <n v="5"/>
    <x v="0"/>
    <x v="4"/>
    <x v="2"/>
    <x v="0"/>
    <x v="0"/>
    <x v="1"/>
    <s v="Friday"/>
    <n v="11"/>
    <n v="0.9707602339181286"/>
    <n v="97.076023391812853"/>
    <x v="0"/>
  </r>
  <r>
    <n v="1042"/>
    <s v="198 Cedar St, CityB"/>
    <x v="41"/>
    <x v="0"/>
    <x v="36"/>
    <x v="0"/>
    <x v="0"/>
    <n v="168"/>
    <n v="20"/>
    <x v="0"/>
    <x v="2"/>
    <x v="0"/>
    <x v="0"/>
    <x v="0"/>
    <x v="4"/>
    <s v="Wednesday"/>
    <n v="9"/>
    <n v="0.8936170212765957"/>
    <n v="89.361702127659569"/>
    <x v="0"/>
  </r>
  <r>
    <n v="1043"/>
    <s v="628 Oak St, CityD"/>
    <x v="42"/>
    <x v="0"/>
    <x v="22"/>
    <x v="2"/>
    <x v="2"/>
    <n v="235"/>
    <n v="0"/>
    <x v="0"/>
    <x v="3"/>
    <x v="2"/>
    <x v="0"/>
    <x v="0"/>
    <x v="7"/>
    <s v="Tuesday"/>
    <n v="11"/>
    <n v="1"/>
    <n v="100"/>
    <x v="1"/>
  </r>
  <r>
    <n v="1044"/>
    <s v="951 Cedar St, CityD"/>
    <x v="43"/>
    <x v="0"/>
    <x v="37"/>
    <x v="2"/>
    <x v="2"/>
    <n v="114"/>
    <n v="1"/>
    <x v="2"/>
    <x v="0"/>
    <x v="2"/>
    <x v="0"/>
    <x v="2"/>
    <x v="7"/>
    <s v="Tuesday"/>
    <n v="9"/>
    <n v="0.99130434782608701"/>
    <n v="99.130434782608702"/>
    <x v="0"/>
  </r>
  <r>
    <n v="1045"/>
    <s v="803 Pine St, CityA"/>
    <x v="44"/>
    <x v="1"/>
    <x v="38"/>
    <x v="2"/>
    <x v="3"/>
    <n v="162"/>
    <n v="22"/>
    <x v="0"/>
    <x v="3"/>
    <x v="0"/>
    <x v="0"/>
    <x v="0"/>
    <x v="4"/>
    <s v="Wednesday"/>
    <n v="15"/>
    <n v="0.88043478260869568"/>
    <n v="88.043478260869563"/>
    <x v="0"/>
  </r>
  <r>
    <n v="1046"/>
    <s v="685 Cedar St, CityA"/>
    <x v="45"/>
    <x v="0"/>
    <x v="39"/>
    <x v="0"/>
    <x v="3"/>
    <n v="94"/>
    <n v="4"/>
    <x v="2"/>
    <x v="0"/>
    <x v="0"/>
    <x v="1"/>
    <x v="2"/>
    <x v="5"/>
    <s v="Saturday"/>
    <n v="13"/>
    <n v="0.95918367346938771"/>
    <n v="95.918367346938766"/>
    <x v="0"/>
  </r>
  <r>
    <n v="1047"/>
    <s v="347 Elm St, CityC"/>
    <x v="46"/>
    <x v="0"/>
    <x v="3"/>
    <x v="0"/>
    <x v="3"/>
    <n v="123"/>
    <n v="14"/>
    <x v="0"/>
    <x v="0"/>
    <x v="2"/>
    <x v="0"/>
    <x v="0"/>
    <x v="2"/>
    <s v="Sunday"/>
    <n v="11"/>
    <n v="0.8978102189781022"/>
    <n v="89.78102189781022"/>
    <x v="0"/>
  </r>
  <r>
    <n v="1048"/>
    <s v="145 Elm St, CityD"/>
    <x v="47"/>
    <x v="1"/>
    <x v="10"/>
    <x v="0"/>
    <x v="4"/>
    <n v="173"/>
    <n v="8"/>
    <x v="1"/>
    <x v="4"/>
    <x v="1"/>
    <x v="0"/>
    <x v="1"/>
    <x v="0"/>
    <s v="Monday"/>
    <n v="13"/>
    <n v="0.95580110497237569"/>
    <n v="95.58011049723757"/>
    <x v="0"/>
  </r>
  <r>
    <n v="1049"/>
    <s v="193 Pine St, CityA"/>
    <x v="48"/>
    <x v="1"/>
    <x v="40"/>
    <x v="2"/>
    <x v="2"/>
    <n v="67"/>
    <n v="14"/>
    <x v="2"/>
    <x v="1"/>
    <x v="1"/>
    <x v="2"/>
    <x v="2"/>
    <x v="5"/>
    <s v="Saturday"/>
    <n v="14"/>
    <n v="0.8271604938271605"/>
    <n v="82.716049382716051"/>
    <x v="0"/>
  </r>
  <r>
    <n v="1050"/>
    <s v="367 Main St, CityD"/>
    <x v="49"/>
    <x v="1"/>
    <x v="41"/>
    <x v="0"/>
    <x v="1"/>
    <n v="94"/>
    <n v="15"/>
    <x v="2"/>
    <x v="0"/>
    <x v="0"/>
    <x v="0"/>
    <x v="2"/>
    <x v="3"/>
    <s v="Thursday"/>
    <n v="11"/>
    <n v="0.86238532110091748"/>
    <n v="86.238532110091754"/>
    <x v="0"/>
  </r>
  <r>
    <n v="1051"/>
    <s v="831 Cedar St, CityA"/>
    <x v="50"/>
    <x v="0"/>
    <x v="42"/>
    <x v="1"/>
    <x v="0"/>
    <n v="104"/>
    <n v="19"/>
    <x v="2"/>
    <x v="3"/>
    <x v="1"/>
    <x v="0"/>
    <x v="2"/>
    <x v="4"/>
    <s v="Wednesday"/>
    <n v="15"/>
    <n v="0.84552845528455289"/>
    <n v="84.552845528455293"/>
    <x v="0"/>
  </r>
  <r>
    <n v="1052"/>
    <s v="869 Cedar St, CityA"/>
    <x v="51"/>
    <x v="1"/>
    <x v="43"/>
    <x v="2"/>
    <x v="1"/>
    <n v="204"/>
    <n v="14"/>
    <x v="1"/>
    <x v="3"/>
    <x v="1"/>
    <x v="2"/>
    <x v="1"/>
    <x v="7"/>
    <s v="Tuesday"/>
    <n v="8"/>
    <n v="0.93577981651376152"/>
    <n v="93.577981651376149"/>
    <x v="0"/>
  </r>
  <r>
    <n v="1053"/>
    <s v="680 Oak St, CityE"/>
    <x v="52"/>
    <x v="1"/>
    <x v="33"/>
    <x v="1"/>
    <x v="4"/>
    <n v="66"/>
    <n v="13"/>
    <x v="0"/>
    <x v="3"/>
    <x v="0"/>
    <x v="1"/>
    <x v="0"/>
    <x v="5"/>
    <s v="Saturday"/>
    <n v="10"/>
    <n v="0.83544303797468356"/>
    <n v="83.544303797468359"/>
    <x v="0"/>
  </r>
  <r>
    <n v="1054"/>
    <s v="577 Cedar St, CityE"/>
    <x v="53"/>
    <x v="1"/>
    <x v="44"/>
    <x v="0"/>
    <x v="0"/>
    <n v="162"/>
    <n v="12"/>
    <x v="1"/>
    <x v="3"/>
    <x v="0"/>
    <x v="1"/>
    <x v="1"/>
    <x v="5"/>
    <s v="Saturday"/>
    <n v="12"/>
    <n v="0.93103448275862066"/>
    <n v="93.103448275862064"/>
    <x v="0"/>
  </r>
  <r>
    <n v="1055"/>
    <s v="535 Pine St, CityE"/>
    <x v="54"/>
    <x v="1"/>
    <x v="41"/>
    <x v="1"/>
    <x v="3"/>
    <n v="239"/>
    <n v="24"/>
    <x v="1"/>
    <x v="1"/>
    <x v="2"/>
    <x v="0"/>
    <x v="1"/>
    <x v="4"/>
    <s v="Wednesday"/>
    <n v="8"/>
    <n v="0.90874524714828897"/>
    <n v="90.874524714828894"/>
    <x v="0"/>
  </r>
  <r>
    <n v="1056"/>
    <s v="659 Elm St, CityC"/>
    <x v="55"/>
    <x v="1"/>
    <x v="5"/>
    <x v="0"/>
    <x v="4"/>
    <n v="235"/>
    <n v="23"/>
    <x v="2"/>
    <x v="0"/>
    <x v="1"/>
    <x v="2"/>
    <x v="2"/>
    <x v="3"/>
    <s v="Thursday"/>
    <n v="10"/>
    <n v="0.91085271317829453"/>
    <n v="91.085271317829452"/>
    <x v="0"/>
  </r>
  <r>
    <n v="1057"/>
    <s v="329 Elm St, CityD"/>
    <x v="56"/>
    <x v="0"/>
    <x v="29"/>
    <x v="1"/>
    <x v="4"/>
    <n v="87"/>
    <n v="5"/>
    <x v="2"/>
    <x v="0"/>
    <x v="2"/>
    <x v="2"/>
    <x v="2"/>
    <x v="6"/>
    <s v="Friday"/>
    <n v="16"/>
    <n v="0.94565217391304346"/>
    <n v="94.565217391304344"/>
    <x v="0"/>
  </r>
  <r>
    <n v="1058"/>
    <s v="782 Elm St, CityC"/>
    <x v="57"/>
    <x v="1"/>
    <x v="45"/>
    <x v="1"/>
    <x v="2"/>
    <n v="214"/>
    <n v="0"/>
    <x v="1"/>
    <x v="3"/>
    <x v="0"/>
    <x v="2"/>
    <x v="1"/>
    <x v="2"/>
    <s v="Sunday"/>
    <n v="16"/>
    <n v="1"/>
    <n v="100"/>
    <x v="1"/>
  </r>
  <r>
    <n v="1059"/>
    <s v="967 Pine St, CityD"/>
    <x v="58"/>
    <x v="0"/>
    <x v="40"/>
    <x v="2"/>
    <x v="4"/>
    <n v="151"/>
    <n v="23"/>
    <x v="1"/>
    <x v="0"/>
    <x v="0"/>
    <x v="2"/>
    <x v="1"/>
    <x v="7"/>
    <s v="Tuesday"/>
    <n v="15"/>
    <n v="0.86781609195402298"/>
    <n v="86.781609195402297"/>
    <x v="0"/>
  </r>
  <r>
    <n v="1060"/>
    <s v="446 Pine St, CityA"/>
    <x v="59"/>
    <x v="1"/>
    <x v="46"/>
    <x v="0"/>
    <x v="2"/>
    <n v="132"/>
    <n v="11"/>
    <x v="2"/>
    <x v="3"/>
    <x v="0"/>
    <x v="0"/>
    <x v="2"/>
    <x v="0"/>
    <s v="Monday"/>
    <n v="13"/>
    <n v="0.92307692307692313"/>
    <n v="92.307692307692307"/>
    <x v="0"/>
  </r>
  <r>
    <n v="1061"/>
    <s v="503 Main St, CityD"/>
    <x v="60"/>
    <x v="0"/>
    <x v="23"/>
    <x v="0"/>
    <x v="4"/>
    <n v="163"/>
    <n v="25"/>
    <x v="0"/>
    <x v="1"/>
    <x v="2"/>
    <x v="0"/>
    <x v="0"/>
    <x v="4"/>
    <s v="Wednesday"/>
    <n v="16"/>
    <n v="0.86702127659574468"/>
    <n v="86.702127659574472"/>
    <x v="0"/>
  </r>
  <r>
    <n v="1062"/>
    <s v="107 Oak St, CityE"/>
    <x v="24"/>
    <x v="1"/>
    <x v="33"/>
    <x v="2"/>
    <x v="2"/>
    <n v="76"/>
    <n v="4"/>
    <x v="0"/>
    <x v="4"/>
    <x v="1"/>
    <x v="2"/>
    <x v="0"/>
    <x v="2"/>
    <s v="Sunday"/>
    <n v="14"/>
    <n v="0.95"/>
    <n v="95"/>
    <x v="0"/>
  </r>
  <r>
    <n v="1063"/>
    <s v="496 Cedar St, CityD"/>
    <x v="61"/>
    <x v="1"/>
    <x v="28"/>
    <x v="2"/>
    <x v="4"/>
    <n v="64"/>
    <n v="20"/>
    <x v="0"/>
    <x v="4"/>
    <x v="2"/>
    <x v="2"/>
    <x v="0"/>
    <x v="3"/>
    <s v="Thursday"/>
    <n v="13"/>
    <n v="0.76190476190476186"/>
    <n v="76.19047619047619"/>
    <x v="0"/>
  </r>
  <r>
    <n v="1064"/>
    <s v="314 Pine St, CityC"/>
    <x v="62"/>
    <x v="0"/>
    <x v="33"/>
    <x v="2"/>
    <x v="4"/>
    <n v="129"/>
    <n v="2"/>
    <x v="0"/>
    <x v="0"/>
    <x v="0"/>
    <x v="0"/>
    <x v="0"/>
    <x v="4"/>
    <s v="Wednesday"/>
    <n v="14"/>
    <n v="0.98473282442748089"/>
    <n v="98.473282442748086"/>
    <x v="0"/>
  </r>
  <r>
    <n v="1065"/>
    <s v="790 Main St, CityE"/>
    <x v="63"/>
    <x v="1"/>
    <x v="47"/>
    <x v="1"/>
    <x v="1"/>
    <n v="238"/>
    <n v="7"/>
    <x v="0"/>
    <x v="2"/>
    <x v="0"/>
    <x v="2"/>
    <x v="0"/>
    <x v="6"/>
    <s v="Friday"/>
    <n v="16"/>
    <n v="0.97142857142857142"/>
    <n v="97.142857142857139"/>
    <x v="0"/>
  </r>
  <r>
    <n v="1066"/>
    <s v="852 Main St, CityB"/>
    <x v="64"/>
    <x v="1"/>
    <x v="48"/>
    <x v="2"/>
    <x v="4"/>
    <n v="203"/>
    <n v="20"/>
    <x v="1"/>
    <x v="3"/>
    <x v="0"/>
    <x v="0"/>
    <x v="1"/>
    <x v="7"/>
    <s v="Tuesday"/>
    <n v="16"/>
    <n v="0.91031390134529144"/>
    <n v="91.031390134529147"/>
    <x v="0"/>
  </r>
  <r>
    <n v="1067"/>
    <s v="970 Main St, CityC"/>
    <x v="65"/>
    <x v="0"/>
    <x v="0"/>
    <x v="0"/>
    <x v="4"/>
    <n v="230"/>
    <n v="8"/>
    <x v="2"/>
    <x v="0"/>
    <x v="2"/>
    <x v="0"/>
    <x v="2"/>
    <x v="2"/>
    <s v="Sunday"/>
    <n v="12"/>
    <n v="0.96638655462184875"/>
    <n v="96.638655462184872"/>
    <x v="0"/>
  </r>
  <r>
    <n v="1068"/>
    <s v="914 Cedar St, CityE"/>
    <x v="66"/>
    <x v="0"/>
    <x v="49"/>
    <x v="0"/>
    <x v="4"/>
    <n v="231"/>
    <n v="12"/>
    <x v="2"/>
    <x v="1"/>
    <x v="0"/>
    <x v="2"/>
    <x v="2"/>
    <x v="4"/>
    <s v="Wednesday"/>
    <n v="10"/>
    <n v="0.95061728395061729"/>
    <n v="95.061728395061735"/>
    <x v="0"/>
  </r>
  <r>
    <n v="1069"/>
    <s v="556 Elm St, CityC"/>
    <x v="67"/>
    <x v="1"/>
    <x v="50"/>
    <x v="2"/>
    <x v="2"/>
    <n v="72"/>
    <n v="0"/>
    <x v="0"/>
    <x v="4"/>
    <x v="0"/>
    <x v="2"/>
    <x v="0"/>
    <x v="7"/>
    <s v="Tuesday"/>
    <n v="16"/>
    <n v="1"/>
    <n v="100"/>
    <x v="1"/>
  </r>
  <r>
    <n v="1070"/>
    <s v="757 Main St, CityE"/>
    <x v="68"/>
    <x v="0"/>
    <x v="51"/>
    <x v="0"/>
    <x v="1"/>
    <n v="172"/>
    <n v="6"/>
    <x v="2"/>
    <x v="1"/>
    <x v="1"/>
    <x v="1"/>
    <x v="2"/>
    <x v="4"/>
    <s v="Wednesday"/>
    <n v="16"/>
    <n v="0.9662921348314607"/>
    <n v="96.629213483146074"/>
    <x v="0"/>
  </r>
  <r>
    <n v="1071"/>
    <s v="29 Main St, CityC"/>
    <x v="69"/>
    <x v="1"/>
    <x v="52"/>
    <x v="2"/>
    <x v="1"/>
    <n v="188"/>
    <n v="21"/>
    <x v="2"/>
    <x v="3"/>
    <x v="0"/>
    <x v="0"/>
    <x v="2"/>
    <x v="4"/>
    <s v="Wednesday"/>
    <n v="14"/>
    <n v="0.8995215311004785"/>
    <n v="89.952153110047846"/>
    <x v="0"/>
  </r>
  <r>
    <n v="1072"/>
    <s v="395 Elm St, CityC"/>
    <x v="70"/>
    <x v="0"/>
    <x v="53"/>
    <x v="1"/>
    <x v="1"/>
    <n v="67"/>
    <n v="23"/>
    <x v="1"/>
    <x v="0"/>
    <x v="0"/>
    <x v="1"/>
    <x v="1"/>
    <x v="2"/>
    <s v="Sunday"/>
    <n v="12"/>
    <n v="0.74444444444444446"/>
    <n v="74.444444444444443"/>
    <x v="0"/>
  </r>
  <r>
    <n v="1073"/>
    <s v="988 Cedar St, CityA"/>
    <x v="71"/>
    <x v="1"/>
    <x v="54"/>
    <x v="0"/>
    <x v="2"/>
    <n v="220"/>
    <n v="17"/>
    <x v="2"/>
    <x v="4"/>
    <x v="1"/>
    <x v="1"/>
    <x v="2"/>
    <x v="5"/>
    <s v="Saturday"/>
    <n v="12"/>
    <n v="0.92827004219409281"/>
    <n v="92.827004219409275"/>
    <x v="0"/>
  </r>
  <r>
    <n v="1074"/>
    <s v="844 Pine St, CityE"/>
    <x v="72"/>
    <x v="1"/>
    <x v="55"/>
    <x v="1"/>
    <x v="3"/>
    <n v="144"/>
    <n v="8"/>
    <x v="0"/>
    <x v="0"/>
    <x v="0"/>
    <x v="1"/>
    <x v="0"/>
    <x v="3"/>
    <s v="Thursday"/>
    <n v="9"/>
    <n v="0.94736842105263153"/>
    <n v="94.73684210526315"/>
    <x v="0"/>
  </r>
  <r>
    <n v="1075"/>
    <s v="537 Elm St, CityE"/>
    <x v="73"/>
    <x v="1"/>
    <x v="42"/>
    <x v="1"/>
    <x v="2"/>
    <n v="200"/>
    <n v="26"/>
    <x v="1"/>
    <x v="1"/>
    <x v="0"/>
    <x v="0"/>
    <x v="1"/>
    <x v="2"/>
    <s v="Sunday"/>
    <n v="13"/>
    <n v="0.88495575221238942"/>
    <n v="88.495575221238937"/>
    <x v="0"/>
  </r>
  <r>
    <n v="1076"/>
    <s v="380 Main St, CityB"/>
    <x v="74"/>
    <x v="0"/>
    <x v="56"/>
    <x v="2"/>
    <x v="2"/>
    <n v="126"/>
    <n v="7"/>
    <x v="0"/>
    <x v="2"/>
    <x v="1"/>
    <x v="1"/>
    <x v="0"/>
    <x v="1"/>
    <s v="Friday"/>
    <n v="8"/>
    <n v="0.94736842105263153"/>
    <n v="94.73684210526315"/>
    <x v="0"/>
  </r>
  <r>
    <n v="1077"/>
    <s v="102 Pine St, CityB"/>
    <x v="75"/>
    <x v="1"/>
    <x v="57"/>
    <x v="1"/>
    <x v="0"/>
    <n v="187"/>
    <n v="21"/>
    <x v="2"/>
    <x v="0"/>
    <x v="1"/>
    <x v="1"/>
    <x v="2"/>
    <x v="7"/>
    <s v="Tuesday"/>
    <n v="8"/>
    <n v="0.89903846153846156"/>
    <n v="89.90384615384616"/>
    <x v="0"/>
  </r>
  <r>
    <n v="1078"/>
    <s v="914 Elm St, CityC"/>
    <x v="76"/>
    <x v="1"/>
    <x v="9"/>
    <x v="0"/>
    <x v="1"/>
    <n v="232"/>
    <n v="21"/>
    <x v="1"/>
    <x v="0"/>
    <x v="1"/>
    <x v="2"/>
    <x v="1"/>
    <x v="0"/>
    <s v="Monday"/>
    <n v="13"/>
    <n v="0.91699604743083007"/>
    <n v="91.699604743083"/>
    <x v="0"/>
  </r>
  <r>
    <n v="1079"/>
    <s v="75 Elm St, CityD"/>
    <x v="77"/>
    <x v="0"/>
    <x v="57"/>
    <x v="0"/>
    <x v="2"/>
    <n v="141"/>
    <n v="22"/>
    <x v="2"/>
    <x v="0"/>
    <x v="1"/>
    <x v="2"/>
    <x v="2"/>
    <x v="0"/>
    <s v="Monday"/>
    <n v="11"/>
    <n v="0.86503067484662577"/>
    <n v="86.50306748466258"/>
    <x v="0"/>
  </r>
  <r>
    <n v="1080"/>
    <s v="212 Cedar St, CityE"/>
    <x v="78"/>
    <x v="0"/>
    <x v="34"/>
    <x v="2"/>
    <x v="1"/>
    <n v="85"/>
    <n v="10"/>
    <x v="2"/>
    <x v="0"/>
    <x v="1"/>
    <x v="2"/>
    <x v="2"/>
    <x v="5"/>
    <s v="Saturday"/>
    <n v="10"/>
    <n v="0.89473684210526316"/>
    <n v="89.473684210526315"/>
    <x v="0"/>
  </r>
  <r>
    <n v="1081"/>
    <s v="16 Main St, CityD"/>
    <x v="79"/>
    <x v="1"/>
    <x v="5"/>
    <x v="0"/>
    <x v="2"/>
    <n v="157"/>
    <n v="4"/>
    <x v="2"/>
    <x v="1"/>
    <x v="2"/>
    <x v="2"/>
    <x v="2"/>
    <x v="4"/>
    <s v="Wednesday"/>
    <n v="13"/>
    <n v="0.97515527950310554"/>
    <n v="97.515527950310556"/>
    <x v="0"/>
  </r>
  <r>
    <n v="1082"/>
    <s v="211 Main St, CityC"/>
    <x v="80"/>
    <x v="1"/>
    <x v="58"/>
    <x v="1"/>
    <x v="4"/>
    <n v="180"/>
    <n v="24"/>
    <x v="2"/>
    <x v="1"/>
    <x v="0"/>
    <x v="1"/>
    <x v="2"/>
    <x v="1"/>
    <s v="Friday"/>
    <n v="9"/>
    <n v="0.88235294117647056"/>
    <n v="88.235294117647058"/>
    <x v="0"/>
  </r>
  <r>
    <n v="1083"/>
    <s v="5 Elm St, CityC"/>
    <x v="81"/>
    <x v="1"/>
    <x v="59"/>
    <x v="2"/>
    <x v="1"/>
    <n v="63"/>
    <n v="19"/>
    <x v="2"/>
    <x v="3"/>
    <x v="2"/>
    <x v="1"/>
    <x v="2"/>
    <x v="6"/>
    <s v="Friday"/>
    <n v="13"/>
    <n v="0.76829268292682928"/>
    <n v="76.829268292682926"/>
    <x v="0"/>
  </r>
  <r>
    <n v="1084"/>
    <s v="182 Pine St, CityB"/>
    <x v="82"/>
    <x v="1"/>
    <x v="33"/>
    <x v="2"/>
    <x v="3"/>
    <n v="179"/>
    <n v="23"/>
    <x v="0"/>
    <x v="3"/>
    <x v="0"/>
    <x v="1"/>
    <x v="0"/>
    <x v="0"/>
    <s v="Monday"/>
    <n v="8"/>
    <n v="0.88613861386138615"/>
    <n v="88.613861386138609"/>
    <x v="0"/>
  </r>
  <r>
    <n v="1085"/>
    <s v="381 Pine St, CityA"/>
    <x v="83"/>
    <x v="1"/>
    <x v="60"/>
    <x v="0"/>
    <x v="4"/>
    <n v="111"/>
    <n v="6"/>
    <x v="0"/>
    <x v="3"/>
    <x v="1"/>
    <x v="0"/>
    <x v="0"/>
    <x v="2"/>
    <s v="Sunday"/>
    <n v="14"/>
    <n v="0.94871794871794868"/>
    <n v="94.871794871794862"/>
    <x v="0"/>
  </r>
  <r>
    <n v="1086"/>
    <s v="160 Elm St, CityE"/>
    <x v="84"/>
    <x v="0"/>
    <x v="51"/>
    <x v="1"/>
    <x v="0"/>
    <n v="133"/>
    <n v="21"/>
    <x v="2"/>
    <x v="2"/>
    <x v="0"/>
    <x v="2"/>
    <x v="2"/>
    <x v="7"/>
    <s v="Tuesday"/>
    <n v="9"/>
    <n v="0.86363636363636365"/>
    <n v="86.36363636363636"/>
    <x v="0"/>
  </r>
  <r>
    <n v="1087"/>
    <s v="253 Cedar St, CityC"/>
    <x v="85"/>
    <x v="0"/>
    <x v="61"/>
    <x v="0"/>
    <x v="0"/>
    <n v="88"/>
    <n v="14"/>
    <x v="1"/>
    <x v="0"/>
    <x v="2"/>
    <x v="0"/>
    <x v="1"/>
    <x v="3"/>
    <s v="Thursday"/>
    <n v="12"/>
    <n v="0.86274509803921573"/>
    <n v="86.274509803921575"/>
    <x v="0"/>
  </r>
  <r>
    <n v="1088"/>
    <s v="904 Pine St, CityE"/>
    <x v="86"/>
    <x v="1"/>
    <x v="62"/>
    <x v="1"/>
    <x v="3"/>
    <n v="199"/>
    <n v="18"/>
    <x v="1"/>
    <x v="1"/>
    <x v="0"/>
    <x v="1"/>
    <x v="1"/>
    <x v="6"/>
    <s v="Friday"/>
    <n v="14"/>
    <n v="0.91705069124423966"/>
    <n v="91.705069124423972"/>
    <x v="0"/>
  </r>
  <r>
    <n v="1089"/>
    <s v="728 Oak St, CityB"/>
    <x v="87"/>
    <x v="1"/>
    <x v="63"/>
    <x v="0"/>
    <x v="1"/>
    <n v="78"/>
    <n v="6"/>
    <x v="2"/>
    <x v="3"/>
    <x v="2"/>
    <x v="1"/>
    <x v="2"/>
    <x v="0"/>
    <s v="Monday"/>
    <n v="10"/>
    <n v="0.9285714285714286"/>
    <n v="92.857142857142861"/>
    <x v="0"/>
  </r>
  <r>
    <n v="1090"/>
    <s v="963 Oak St, CityD"/>
    <x v="88"/>
    <x v="0"/>
    <x v="60"/>
    <x v="0"/>
    <x v="3"/>
    <n v="185"/>
    <n v="27"/>
    <x v="1"/>
    <x v="1"/>
    <x v="1"/>
    <x v="2"/>
    <x v="1"/>
    <x v="6"/>
    <s v="Friday"/>
    <n v="14"/>
    <n v="0.87264150943396224"/>
    <n v="87.264150943396217"/>
    <x v="0"/>
  </r>
  <r>
    <n v="1091"/>
    <s v="707 Main St, CityD"/>
    <x v="89"/>
    <x v="1"/>
    <x v="10"/>
    <x v="0"/>
    <x v="3"/>
    <n v="125"/>
    <n v="4"/>
    <x v="0"/>
    <x v="2"/>
    <x v="1"/>
    <x v="0"/>
    <x v="0"/>
    <x v="3"/>
    <s v="Thursday"/>
    <n v="12"/>
    <n v="0.96899224806201545"/>
    <n v="96.899224806201545"/>
    <x v="0"/>
  </r>
  <r>
    <n v="1092"/>
    <s v="844 Pine St, CityD"/>
    <x v="90"/>
    <x v="0"/>
    <x v="64"/>
    <x v="1"/>
    <x v="0"/>
    <n v="198"/>
    <n v="23"/>
    <x v="1"/>
    <x v="0"/>
    <x v="1"/>
    <x v="2"/>
    <x v="1"/>
    <x v="1"/>
    <s v="Friday"/>
    <n v="10"/>
    <n v="0.89592760180995479"/>
    <n v="89.592760180995484"/>
    <x v="0"/>
  </r>
  <r>
    <n v="1093"/>
    <s v="285 Elm St, CityD"/>
    <x v="91"/>
    <x v="0"/>
    <x v="14"/>
    <x v="2"/>
    <x v="2"/>
    <n v="167"/>
    <n v="24"/>
    <x v="2"/>
    <x v="3"/>
    <x v="2"/>
    <x v="2"/>
    <x v="2"/>
    <x v="2"/>
    <s v="Sunday"/>
    <n v="10"/>
    <n v="0.87434554973821987"/>
    <n v="87.434554973821989"/>
    <x v="0"/>
  </r>
  <r>
    <n v="1094"/>
    <s v="260 Cedar St, CityA"/>
    <x v="92"/>
    <x v="0"/>
    <x v="14"/>
    <x v="2"/>
    <x v="0"/>
    <n v="225"/>
    <n v="18"/>
    <x v="2"/>
    <x v="2"/>
    <x v="1"/>
    <x v="1"/>
    <x v="2"/>
    <x v="0"/>
    <s v="Monday"/>
    <n v="13"/>
    <n v="0.92592592592592593"/>
    <n v="92.592592592592595"/>
    <x v="0"/>
  </r>
  <r>
    <n v="1095"/>
    <s v="642 Pine St, CityA"/>
    <x v="93"/>
    <x v="1"/>
    <x v="65"/>
    <x v="1"/>
    <x v="0"/>
    <n v="157"/>
    <n v="1"/>
    <x v="0"/>
    <x v="1"/>
    <x v="2"/>
    <x v="1"/>
    <x v="0"/>
    <x v="0"/>
    <s v="Monday"/>
    <n v="9"/>
    <n v="0.99367088607594933"/>
    <n v="99.367088607594937"/>
    <x v="0"/>
  </r>
  <r>
    <n v="1096"/>
    <s v="713 Pine St, CityB"/>
    <x v="94"/>
    <x v="0"/>
    <x v="31"/>
    <x v="0"/>
    <x v="4"/>
    <n v="201"/>
    <n v="5"/>
    <x v="1"/>
    <x v="2"/>
    <x v="2"/>
    <x v="2"/>
    <x v="1"/>
    <x v="5"/>
    <s v="Saturday"/>
    <n v="10"/>
    <n v="0.97572815533980584"/>
    <n v="97.572815533980588"/>
    <x v="0"/>
  </r>
  <r>
    <n v="1097"/>
    <s v="679 Elm St, CityA"/>
    <x v="95"/>
    <x v="0"/>
    <x v="66"/>
    <x v="0"/>
    <x v="1"/>
    <n v="94"/>
    <n v="0"/>
    <x v="2"/>
    <x v="3"/>
    <x v="0"/>
    <x v="2"/>
    <x v="2"/>
    <x v="5"/>
    <s v="Saturday"/>
    <n v="10"/>
    <n v="1"/>
    <n v="100"/>
    <x v="1"/>
  </r>
  <r>
    <n v="1098"/>
    <s v="653 Main St, CityA"/>
    <x v="96"/>
    <x v="1"/>
    <x v="67"/>
    <x v="2"/>
    <x v="3"/>
    <n v="194"/>
    <n v="22"/>
    <x v="1"/>
    <x v="1"/>
    <x v="0"/>
    <x v="0"/>
    <x v="1"/>
    <x v="2"/>
    <s v="Sunday"/>
    <n v="10"/>
    <n v="0.89814814814814814"/>
    <n v="89.81481481481481"/>
    <x v="0"/>
  </r>
  <r>
    <n v="1099"/>
    <s v="163 Pine St, CityA"/>
    <x v="97"/>
    <x v="0"/>
    <x v="68"/>
    <x v="1"/>
    <x v="4"/>
    <n v="173"/>
    <n v="3"/>
    <x v="2"/>
    <x v="2"/>
    <x v="2"/>
    <x v="0"/>
    <x v="2"/>
    <x v="7"/>
    <s v="Tuesday"/>
    <n v="8"/>
    <n v="0.98295454545454541"/>
    <n v="98.295454545454547"/>
    <x v="0"/>
  </r>
  <r>
    <n v="1100"/>
    <s v="188 Cedar St, CityC"/>
    <x v="98"/>
    <x v="0"/>
    <x v="46"/>
    <x v="1"/>
    <x v="1"/>
    <n v="202"/>
    <n v="20"/>
    <x v="0"/>
    <x v="1"/>
    <x v="1"/>
    <x v="0"/>
    <x v="0"/>
    <x v="3"/>
    <s v="Thursday"/>
    <n v="9"/>
    <n v="0.90990990990990994"/>
    <n v="90.990990990990994"/>
    <x v="0"/>
  </r>
  <r>
    <n v="1101"/>
    <s v="172 Oak St, CityD"/>
    <x v="99"/>
    <x v="1"/>
    <x v="0"/>
    <x v="0"/>
    <x v="2"/>
    <n v="172"/>
    <n v="12"/>
    <x v="1"/>
    <x v="3"/>
    <x v="0"/>
    <x v="2"/>
    <x v="1"/>
    <x v="5"/>
    <s v="Saturday"/>
    <n v="8"/>
    <n v="0.93478260869565222"/>
    <n v="93.478260869565219"/>
    <x v="0"/>
  </r>
  <r>
    <n v="1102"/>
    <s v="292 Cedar St, CityC"/>
    <x v="100"/>
    <x v="1"/>
    <x v="66"/>
    <x v="0"/>
    <x v="0"/>
    <n v="110"/>
    <n v="29"/>
    <x v="2"/>
    <x v="0"/>
    <x v="0"/>
    <x v="2"/>
    <x v="2"/>
    <x v="3"/>
    <s v="Thursday"/>
    <n v="16"/>
    <n v="0.79136690647482011"/>
    <n v="79.136690647482013"/>
    <x v="0"/>
  </r>
  <r>
    <n v="1103"/>
    <s v="292 Cedar St, CityC"/>
    <x v="101"/>
    <x v="0"/>
    <x v="48"/>
    <x v="2"/>
    <x v="1"/>
    <n v="173"/>
    <n v="4"/>
    <x v="2"/>
    <x v="0"/>
    <x v="2"/>
    <x v="0"/>
    <x v="2"/>
    <x v="2"/>
    <s v="Sunday"/>
    <n v="12"/>
    <n v="0.97740112994350281"/>
    <n v="97.740112994350284"/>
    <x v="0"/>
  </r>
  <r>
    <n v="1104"/>
    <s v="112 Main St, CityD"/>
    <x v="102"/>
    <x v="1"/>
    <x v="55"/>
    <x v="0"/>
    <x v="4"/>
    <n v="162"/>
    <n v="24"/>
    <x v="0"/>
    <x v="1"/>
    <x v="0"/>
    <x v="0"/>
    <x v="0"/>
    <x v="6"/>
    <s v="Friday"/>
    <n v="11"/>
    <n v="0.87096774193548387"/>
    <n v="87.096774193548384"/>
    <x v="0"/>
  </r>
  <r>
    <n v="1105"/>
    <s v="843 Elm St, CityA"/>
    <x v="73"/>
    <x v="1"/>
    <x v="51"/>
    <x v="1"/>
    <x v="0"/>
    <n v="239"/>
    <n v="22"/>
    <x v="1"/>
    <x v="0"/>
    <x v="1"/>
    <x v="2"/>
    <x v="1"/>
    <x v="2"/>
    <s v="Sunday"/>
    <n v="13"/>
    <n v="0.91570881226053635"/>
    <n v="91.570881226053629"/>
    <x v="0"/>
  </r>
  <r>
    <n v="1106"/>
    <s v="569 Pine St, CityB"/>
    <x v="103"/>
    <x v="1"/>
    <x v="69"/>
    <x v="2"/>
    <x v="4"/>
    <n v="195"/>
    <n v="5"/>
    <x v="0"/>
    <x v="2"/>
    <x v="1"/>
    <x v="1"/>
    <x v="0"/>
    <x v="5"/>
    <s v="Saturday"/>
    <n v="15"/>
    <n v="0.97499999999999998"/>
    <n v="97.5"/>
    <x v="0"/>
  </r>
  <r>
    <n v="1107"/>
    <s v="131 Cedar St, CityA"/>
    <x v="104"/>
    <x v="0"/>
    <x v="49"/>
    <x v="0"/>
    <x v="4"/>
    <n v="60"/>
    <n v="29"/>
    <x v="2"/>
    <x v="0"/>
    <x v="1"/>
    <x v="0"/>
    <x v="2"/>
    <x v="2"/>
    <s v="Sunday"/>
    <n v="15"/>
    <n v="0.6741573033707865"/>
    <n v="67.415730337078656"/>
    <x v="0"/>
  </r>
  <r>
    <n v="1108"/>
    <s v="481 Pine St, CityA"/>
    <x v="105"/>
    <x v="1"/>
    <x v="19"/>
    <x v="2"/>
    <x v="1"/>
    <n v="203"/>
    <n v="24"/>
    <x v="0"/>
    <x v="0"/>
    <x v="1"/>
    <x v="2"/>
    <x v="0"/>
    <x v="6"/>
    <s v="Friday"/>
    <n v="13"/>
    <n v="0.89427312775330392"/>
    <n v="89.427312775330392"/>
    <x v="0"/>
  </r>
  <r>
    <n v="1109"/>
    <s v="115 Elm St, CityA"/>
    <x v="106"/>
    <x v="0"/>
    <x v="70"/>
    <x v="2"/>
    <x v="4"/>
    <n v="219"/>
    <n v="19"/>
    <x v="0"/>
    <x v="1"/>
    <x v="1"/>
    <x v="1"/>
    <x v="0"/>
    <x v="4"/>
    <s v="Wednesday"/>
    <n v="13"/>
    <n v="0.92016806722689071"/>
    <n v="92.016806722689068"/>
    <x v="0"/>
  </r>
  <r>
    <n v="1110"/>
    <s v="854 Pine St, CityB"/>
    <x v="107"/>
    <x v="1"/>
    <x v="6"/>
    <x v="1"/>
    <x v="2"/>
    <n v="156"/>
    <n v="23"/>
    <x v="1"/>
    <x v="3"/>
    <x v="0"/>
    <x v="2"/>
    <x v="1"/>
    <x v="7"/>
    <s v="Tuesday"/>
    <n v="16"/>
    <n v="0.87150837988826813"/>
    <n v="87.150837988826808"/>
    <x v="0"/>
  </r>
  <r>
    <n v="1111"/>
    <s v="86 Main St, CityB"/>
    <x v="108"/>
    <x v="1"/>
    <x v="30"/>
    <x v="2"/>
    <x v="0"/>
    <n v="130"/>
    <n v="2"/>
    <x v="2"/>
    <x v="0"/>
    <x v="0"/>
    <x v="2"/>
    <x v="2"/>
    <x v="3"/>
    <s v="Thursday"/>
    <n v="15"/>
    <n v="0.98484848484848486"/>
    <n v="98.484848484848484"/>
    <x v="0"/>
  </r>
  <r>
    <n v="1112"/>
    <s v="447 Cedar St, CityC"/>
    <x v="109"/>
    <x v="0"/>
    <x v="31"/>
    <x v="1"/>
    <x v="0"/>
    <n v="212"/>
    <n v="14"/>
    <x v="1"/>
    <x v="2"/>
    <x v="2"/>
    <x v="2"/>
    <x v="1"/>
    <x v="1"/>
    <s v="Friday"/>
    <n v="10"/>
    <n v="0.93805309734513276"/>
    <n v="93.805309734513273"/>
    <x v="0"/>
  </r>
  <r>
    <n v="1113"/>
    <s v="449 Elm St, CityD"/>
    <x v="110"/>
    <x v="0"/>
    <x v="71"/>
    <x v="1"/>
    <x v="1"/>
    <n v="234"/>
    <n v="15"/>
    <x v="2"/>
    <x v="0"/>
    <x v="0"/>
    <x v="1"/>
    <x v="2"/>
    <x v="5"/>
    <s v="Saturday"/>
    <n v="13"/>
    <n v="0.93975903614457834"/>
    <n v="93.975903614457835"/>
    <x v="0"/>
  </r>
  <r>
    <n v="1114"/>
    <s v="612 Main St, CityE"/>
    <x v="111"/>
    <x v="0"/>
    <x v="0"/>
    <x v="2"/>
    <x v="1"/>
    <n v="233"/>
    <n v="1"/>
    <x v="2"/>
    <x v="2"/>
    <x v="1"/>
    <x v="0"/>
    <x v="2"/>
    <x v="6"/>
    <s v="Friday"/>
    <n v="16"/>
    <n v="0.99572649572649574"/>
    <n v="99.572649572649567"/>
    <x v="0"/>
  </r>
  <r>
    <n v="1115"/>
    <s v="786 Elm St, CityB"/>
    <x v="112"/>
    <x v="1"/>
    <x v="40"/>
    <x v="2"/>
    <x v="3"/>
    <n v="155"/>
    <n v="8"/>
    <x v="2"/>
    <x v="3"/>
    <x v="0"/>
    <x v="2"/>
    <x v="2"/>
    <x v="0"/>
    <s v="Monday"/>
    <n v="14"/>
    <n v="0.95092024539877296"/>
    <n v="95.092024539877301"/>
    <x v="0"/>
  </r>
  <r>
    <n v="1116"/>
    <s v="743 Oak St, CityA"/>
    <x v="113"/>
    <x v="1"/>
    <x v="41"/>
    <x v="2"/>
    <x v="4"/>
    <n v="117"/>
    <n v="15"/>
    <x v="0"/>
    <x v="0"/>
    <x v="2"/>
    <x v="1"/>
    <x v="0"/>
    <x v="1"/>
    <s v="Friday"/>
    <n v="9"/>
    <n v="0.88636363636363635"/>
    <n v="88.63636363636364"/>
    <x v="0"/>
  </r>
  <r>
    <n v="1117"/>
    <s v="583 Main St, CityB"/>
    <x v="114"/>
    <x v="1"/>
    <x v="36"/>
    <x v="0"/>
    <x v="2"/>
    <n v="191"/>
    <n v="16"/>
    <x v="0"/>
    <x v="4"/>
    <x v="0"/>
    <x v="2"/>
    <x v="0"/>
    <x v="2"/>
    <s v="Sunday"/>
    <n v="16"/>
    <n v="0.92270531400966183"/>
    <n v="92.270531400966178"/>
    <x v="0"/>
  </r>
  <r>
    <n v="1118"/>
    <s v="350 Oak St, CityB"/>
    <x v="115"/>
    <x v="1"/>
    <x v="0"/>
    <x v="1"/>
    <x v="3"/>
    <n v="193"/>
    <n v="23"/>
    <x v="0"/>
    <x v="2"/>
    <x v="0"/>
    <x v="1"/>
    <x v="0"/>
    <x v="6"/>
    <s v="Friday"/>
    <n v="15"/>
    <n v="0.89351851851851849"/>
    <n v="89.351851851851848"/>
    <x v="0"/>
  </r>
  <r>
    <n v="1119"/>
    <s v="359 Pine St, CityB"/>
    <x v="116"/>
    <x v="0"/>
    <x v="48"/>
    <x v="1"/>
    <x v="2"/>
    <n v="149"/>
    <n v="17"/>
    <x v="2"/>
    <x v="2"/>
    <x v="1"/>
    <x v="1"/>
    <x v="2"/>
    <x v="6"/>
    <s v="Friday"/>
    <n v="10"/>
    <n v="0.89759036144578308"/>
    <n v="89.759036144578303"/>
    <x v="0"/>
  </r>
  <r>
    <n v="1120"/>
    <s v="924 Main St, CityD"/>
    <x v="117"/>
    <x v="0"/>
    <x v="72"/>
    <x v="0"/>
    <x v="1"/>
    <n v="152"/>
    <n v="26"/>
    <x v="0"/>
    <x v="4"/>
    <x v="2"/>
    <x v="2"/>
    <x v="0"/>
    <x v="6"/>
    <s v="Friday"/>
    <n v="11"/>
    <n v="0.8539325842696629"/>
    <n v="85.393258426966284"/>
    <x v="0"/>
  </r>
  <r>
    <n v="1121"/>
    <s v="390 Elm St, CityC"/>
    <x v="118"/>
    <x v="1"/>
    <x v="56"/>
    <x v="1"/>
    <x v="1"/>
    <n v="123"/>
    <n v="22"/>
    <x v="2"/>
    <x v="1"/>
    <x v="2"/>
    <x v="0"/>
    <x v="2"/>
    <x v="2"/>
    <s v="Sunday"/>
    <n v="11"/>
    <n v="0.84827586206896555"/>
    <n v="84.827586206896555"/>
    <x v="0"/>
  </r>
  <r>
    <n v="1122"/>
    <s v="518 Main St, CityB"/>
    <x v="119"/>
    <x v="0"/>
    <x v="73"/>
    <x v="1"/>
    <x v="2"/>
    <n v="81"/>
    <n v="15"/>
    <x v="2"/>
    <x v="1"/>
    <x v="1"/>
    <x v="1"/>
    <x v="2"/>
    <x v="2"/>
    <s v="Sunday"/>
    <n v="8"/>
    <n v="0.84375"/>
    <n v="84.375"/>
    <x v="0"/>
  </r>
  <r>
    <n v="1123"/>
    <s v="189 Elm St, CityC"/>
    <x v="120"/>
    <x v="0"/>
    <x v="45"/>
    <x v="0"/>
    <x v="0"/>
    <n v="186"/>
    <n v="26"/>
    <x v="0"/>
    <x v="2"/>
    <x v="0"/>
    <x v="0"/>
    <x v="0"/>
    <x v="0"/>
    <s v="Monday"/>
    <n v="10"/>
    <n v="0.87735849056603776"/>
    <n v="87.735849056603783"/>
    <x v="0"/>
  </r>
  <r>
    <n v="1124"/>
    <s v="674 Pine St, CityA"/>
    <x v="121"/>
    <x v="0"/>
    <x v="74"/>
    <x v="0"/>
    <x v="1"/>
    <n v="83"/>
    <n v="2"/>
    <x v="1"/>
    <x v="2"/>
    <x v="0"/>
    <x v="2"/>
    <x v="1"/>
    <x v="2"/>
    <s v="Sunday"/>
    <n v="14"/>
    <n v="0.97647058823529409"/>
    <n v="97.647058823529406"/>
    <x v="0"/>
  </r>
  <r>
    <n v="1125"/>
    <s v="893 Pine St, CityA"/>
    <x v="122"/>
    <x v="1"/>
    <x v="39"/>
    <x v="0"/>
    <x v="1"/>
    <n v="178"/>
    <n v="28"/>
    <x v="1"/>
    <x v="1"/>
    <x v="0"/>
    <x v="0"/>
    <x v="1"/>
    <x v="3"/>
    <s v="Thursday"/>
    <n v="9"/>
    <n v="0.86407766990291257"/>
    <n v="86.40776699029125"/>
    <x v="0"/>
  </r>
  <r>
    <n v="1126"/>
    <s v="864 Elm St, CityE"/>
    <x v="123"/>
    <x v="1"/>
    <x v="36"/>
    <x v="2"/>
    <x v="2"/>
    <n v="111"/>
    <n v="27"/>
    <x v="2"/>
    <x v="1"/>
    <x v="0"/>
    <x v="1"/>
    <x v="2"/>
    <x v="5"/>
    <s v="Saturday"/>
    <n v="13"/>
    <n v="0.80434782608695654"/>
    <n v="80.434782608695656"/>
    <x v="0"/>
  </r>
  <r>
    <n v="1127"/>
    <s v="542 Oak St, CityE"/>
    <x v="124"/>
    <x v="0"/>
    <x v="23"/>
    <x v="0"/>
    <x v="2"/>
    <n v="175"/>
    <n v="9"/>
    <x v="1"/>
    <x v="2"/>
    <x v="1"/>
    <x v="2"/>
    <x v="1"/>
    <x v="2"/>
    <s v="Sunday"/>
    <n v="12"/>
    <n v="0.95108695652173914"/>
    <n v="95.108695652173907"/>
    <x v="0"/>
  </r>
  <r>
    <n v="1128"/>
    <s v="165 Elm St, CityE"/>
    <x v="125"/>
    <x v="0"/>
    <x v="51"/>
    <x v="0"/>
    <x v="1"/>
    <n v="117"/>
    <n v="10"/>
    <x v="2"/>
    <x v="2"/>
    <x v="0"/>
    <x v="0"/>
    <x v="2"/>
    <x v="2"/>
    <s v="Sunday"/>
    <n v="11"/>
    <n v="0.92125984251968507"/>
    <n v="92.125984251968504"/>
    <x v="0"/>
  </r>
  <r>
    <n v="1129"/>
    <s v="988 Oak St, CityA"/>
    <x v="126"/>
    <x v="0"/>
    <x v="75"/>
    <x v="1"/>
    <x v="4"/>
    <n v="195"/>
    <n v="22"/>
    <x v="2"/>
    <x v="4"/>
    <x v="0"/>
    <x v="0"/>
    <x v="2"/>
    <x v="4"/>
    <s v="Wednesday"/>
    <n v="13"/>
    <n v="0.89861751152073732"/>
    <n v="89.861751152073737"/>
    <x v="0"/>
  </r>
  <r>
    <n v="1130"/>
    <s v="115 Main St, CityD"/>
    <x v="127"/>
    <x v="0"/>
    <x v="48"/>
    <x v="2"/>
    <x v="1"/>
    <n v="93"/>
    <n v="20"/>
    <x v="2"/>
    <x v="4"/>
    <x v="0"/>
    <x v="1"/>
    <x v="2"/>
    <x v="0"/>
    <s v="Monday"/>
    <n v="11"/>
    <n v="0.82300884955752207"/>
    <n v="82.30088495575221"/>
    <x v="0"/>
  </r>
  <r>
    <n v="1131"/>
    <s v="531 Cedar St, CityA"/>
    <x v="128"/>
    <x v="0"/>
    <x v="76"/>
    <x v="1"/>
    <x v="2"/>
    <n v="73"/>
    <n v="25"/>
    <x v="1"/>
    <x v="4"/>
    <x v="1"/>
    <x v="0"/>
    <x v="1"/>
    <x v="7"/>
    <s v="Tuesday"/>
    <n v="13"/>
    <n v="0.74489795918367352"/>
    <n v="74.489795918367349"/>
    <x v="0"/>
  </r>
  <r>
    <n v="1132"/>
    <s v="634 Elm St, CityC"/>
    <x v="129"/>
    <x v="0"/>
    <x v="77"/>
    <x v="2"/>
    <x v="4"/>
    <n v="69"/>
    <n v="23"/>
    <x v="0"/>
    <x v="0"/>
    <x v="0"/>
    <x v="1"/>
    <x v="0"/>
    <x v="5"/>
    <s v="Saturday"/>
    <n v="12"/>
    <n v="0.75"/>
    <n v="75"/>
    <x v="0"/>
  </r>
  <r>
    <n v="1133"/>
    <s v="380 Main St, CityB"/>
    <x v="130"/>
    <x v="1"/>
    <x v="6"/>
    <x v="0"/>
    <x v="2"/>
    <n v="239"/>
    <n v="18"/>
    <x v="1"/>
    <x v="2"/>
    <x v="1"/>
    <x v="1"/>
    <x v="1"/>
    <x v="6"/>
    <s v="Friday"/>
    <n v="15"/>
    <n v="0.92996108949416345"/>
    <n v="92.996108949416339"/>
    <x v="0"/>
  </r>
  <r>
    <n v="1134"/>
    <s v="924 Main St, CityB"/>
    <x v="131"/>
    <x v="1"/>
    <x v="22"/>
    <x v="1"/>
    <x v="1"/>
    <n v="140"/>
    <n v="0"/>
    <x v="0"/>
    <x v="2"/>
    <x v="0"/>
    <x v="0"/>
    <x v="0"/>
    <x v="2"/>
    <s v="Sunday"/>
    <n v="15"/>
    <n v="1"/>
    <n v="100"/>
    <x v="1"/>
  </r>
  <r>
    <n v="1135"/>
    <s v="7 Pine St, CityA"/>
    <x v="132"/>
    <x v="1"/>
    <x v="72"/>
    <x v="0"/>
    <x v="3"/>
    <n v="185"/>
    <n v="5"/>
    <x v="0"/>
    <x v="1"/>
    <x v="1"/>
    <x v="0"/>
    <x v="0"/>
    <x v="0"/>
    <s v="Monday"/>
    <n v="14"/>
    <n v="0.97368421052631582"/>
    <n v="97.368421052631575"/>
    <x v="0"/>
  </r>
  <r>
    <n v="1136"/>
    <s v="577 Main St, CityD"/>
    <x v="133"/>
    <x v="1"/>
    <x v="78"/>
    <x v="0"/>
    <x v="1"/>
    <n v="217"/>
    <n v="27"/>
    <x v="2"/>
    <x v="3"/>
    <x v="0"/>
    <x v="1"/>
    <x v="2"/>
    <x v="4"/>
    <s v="Wednesday"/>
    <n v="8"/>
    <n v="0.88934426229508201"/>
    <n v="88.934426229508205"/>
    <x v="0"/>
  </r>
  <r>
    <n v="1137"/>
    <s v="788 Cedar St, CityA"/>
    <x v="134"/>
    <x v="1"/>
    <x v="29"/>
    <x v="1"/>
    <x v="1"/>
    <n v="132"/>
    <n v="21"/>
    <x v="1"/>
    <x v="0"/>
    <x v="0"/>
    <x v="1"/>
    <x v="1"/>
    <x v="7"/>
    <s v="Tuesday"/>
    <n v="12"/>
    <n v="0.86274509803921573"/>
    <n v="86.274509803921575"/>
    <x v="0"/>
  </r>
  <r>
    <n v="1138"/>
    <s v="878 Elm St, CityA"/>
    <x v="135"/>
    <x v="0"/>
    <x v="54"/>
    <x v="2"/>
    <x v="3"/>
    <n v="72"/>
    <n v="11"/>
    <x v="0"/>
    <x v="0"/>
    <x v="1"/>
    <x v="2"/>
    <x v="0"/>
    <x v="5"/>
    <s v="Saturday"/>
    <n v="15"/>
    <n v="0.86746987951807231"/>
    <n v="86.746987951807228"/>
    <x v="0"/>
  </r>
  <r>
    <n v="1139"/>
    <s v="578 Cedar St, CityA"/>
    <x v="136"/>
    <x v="0"/>
    <x v="65"/>
    <x v="1"/>
    <x v="0"/>
    <n v="97"/>
    <n v="13"/>
    <x v="0"/>
    <x v="2"/>
    <x v="2"/>
    <x v="1"/>
    <x v="0"/>
    <x v="6"/>
    <s v="Friday"/>
    <n v="10"/>
    <n v="0.88181818181818183"/>
    <n v="88.181818181818187"/>
    <x v="0"/>
  </r>
  <r>
    <n v="1140"/>
    <s v="21 Pine St, CityE"/>
    <x v="137"/>
    <x v="1"/>
    <x v="66"/>
    <x v="2"/>
    <x v="4"/>
    <n v="117"/>
    <n v="8"/>
    <x v="0"/>
    <x v="4"/>
    <x v="2"/>
    <x v="0"/>
    <x v="0"/>
    <x v="2"/>
    <s v="Sunday"/>
    <n v="15"/>
    <n v="0.93600000000000005"/>
    <n v="93.600000000000009"/>
    <x v="0"/>
  </r>
  <r>
    <n v="1141"/>
    <s v="661 Pine St, CityC"/>
    <x v="138"/>
    <x v="0"/>
    <x v="15"/>
    <x v="2"/>
    <x v="4"/>
    <n v="126"/>
    <n v="19"/>
    <x v="0"/>
    <x v="0"/>
    <x v="0"/>
    <x v="1"/>
    <x v="0"/>
    <x v="5"/>
    <s v="Saturday"/>
    <n v="10"/>
    <n v="0.86896551724137927"/>
    <n v="86.896551724137922"/>
    <x v="0"/>
  </r>
  <r>
    <n v="1142"/>
    <s v="703 Cedar St, CityD"/>
    <x v="139"/>
    <x v="1"/>
    <x v="18"/>
    <x v="2"/>
    <x v="4"/>
    <n v="138"/>
    <n v="21"/>
    <x v="2"/>
    <x v="1"/>
    <x v="1"/>
    <x v="1"/>
    <x v="2"/>
    <x v="4"/>
    <s v="Wednesday"/>
    <n v="10"/>
    <n v="0.86792452830188682"/>
    <n v="86.79245283018868"/>
    <x v="0"/>
  </r>
  <r>
    <n v="1143"/>
    <s v="461 Elm St, CityD"/>
    <x v="140"/>
    <x v="0"/>
    <x v="65"/>
    <x v="1"/>
    <x v="2"/>
    <n v="223"/>
    <n v="12"/>
    <x v="2"/>
    <x v="3"/>
    <x v="2"/>
    <x v="2"/>
    <x v="2"/>
    <x v="6"/>
    <s v="Friday"/>
    <n v="11"/>
    <n v="0.94893617021276599"/>
    <n v="94.893617021276597"/>
    <x v="0"/>
  </r>
  <r>
    <n v="1144"/>
    <s v="628 Oak St, CityC"/>
    <x v="141"/>
    <x v="0"/>
    <x v="58"/>
    <x v="2"/>
    <x v="2"/>
    <n v="215"/>
    <n v="24"/>
    <x v="2"/>
    <x v="4"/>
    <x v="0"/>
    <x v="1"/>
    <x v="2"/>
    <x v="6"/>
    <s v="Friday"/>
    <n v="16"/>
    <n v="0.89958158995815896"/>
    <n v="89.958158995815893"/>
    <x v="0"/>
  </r>
  <r>
    <n v="1145"/>
    <s v="652 Pine St, CityD"/>
    <x v="142"/>
    <x v="0"/>
    <x v="29"/>
    <x v="1"/>
    <x v="4"/>
    <n v="221"/>
    <n v="16"/>
    <x v="2"/>
    <x v="4"/>
    <x v="0"/>
    <x v="0"/>
    <x v="2"/>
    <x v="6"/>
    <s v="Friday"/>
    <n v="9"/>
    <n v="0.9324894514767933"/>
    <n v="93.248945147679336"/>
    <x v="0"/>
  </r>
  <r>
    <n v="1146"/>
    <s v="942 Elm St, CityD"/>
    <x v="59"/>
    <x v="1"/>
    <x v="74"/>
    <x v="2"/>
    <x v="3"/>
    <n v="172"/>
    <n v="15"/>
    <x v="2"/>
    <x v="0"/>
    <x v="1"/>
    <x v="0"/>
    <x v="2"/>
    <x v="0"/>
    <s v="Monday"/>
    <n v="13"/>
    <n v="0.9197860962566845"/>
    <n v="91.978609625668454"/>
    <x v="0"/>
  </r>
  <r>
    <n v="1147"/>
    <s v="550 Oak St, CityB"/>
    <x v="143"/>
    <x v="0"/>
    <x v="79"/>
    <x v="1"/>
    <x v="3"/>
    <n v="71"/>
    <n v="3"/>
    <x v="2"/>
    <x v="4"/>
    <x v="2"/>
    <x v="0"/>
    <x v="2"/>
    <x v="1"/>
    <s v="Friday"/>
    <n v="10"/>
    <n v="0.95945945945945943"/>
    <n v="95.945945945945937"/>
    <x v="0"/>
  </r>
  <r>
    <n v="1148"/>
    <s v="148 Oak St, CityB"/>
    <x v="144"/>
    <x v="1"/>
    <x v="80"/>
    <x v="0"/>
    <x v="2"/>
    <n v="183"/>
    <n v="14"/>
    <x v="0"/>
    <x v="1"/>
    <x v="1"/>
    <x v="1"/>
    <x v="0"/>
    <x v="4"/>
    <s v="Wednesday"/>
    <n v="9"/>
    <n v="0.92893401015228427"/>
    <n v="92.89340101522842"/>
    <x v="0"/>
  </r>
  <r>
    <n v="1149"/>
    <s v="987 Pine St, CityC"/>
    <x v="145"/>
    <x v="1"/>
    <x v="7"/>
    <x v="2"/>
    <x v="0"/>
    <n v="64"/>
    <n v="25"/>
    <x v="1"/>
    <x v="3"/>
    <x v="0"/>
    <x v="0"/>
    <x v="1"/>
    <x v="1"/>
    <s v="Friday"/>
    <n v="14"/>
    <n v="0.7191011235955056"/>
    <n v="71.910112359550567"/>
    <x v="0"/>
  </r>
  <r>
    <n v="1150"/>
    <s v="904 Elm St, CityC"/>
    <x v="146"/>
    <x v="0"/>
    <x v="71"/>
    <x v="1"/>
    <x v="4"/>
    <n v="106"/>
    <n v="10"/>
    <x v="0"/>
    <x v="3"/>
    <x v="2"/>
    <x v="1"/>
    <x v="0"/>
    <x v="2"/>
    <s v="Sunday"/>
    <n v="16"/>
    <n v="0.91379310344827591"/>
    <n v="91.379310344827587"/>
    <x v="0"/>
  </r>
  <r>
    <n v="1151"/>
    <s v="758 Main St, CityD"/>
    <x v="74"/>
    <x v="0"/>
    <x v="81"/>
    <x v="1"/>
    <x v="1"/>
    <n v="213"/>
    <n v="15"/>
    <x v="2"/>
    <x v="1"/>
    <x v="2"/>
    <x v="0"/>
    <x v="2"/>
    <x v="1"/>
    <s v="Friday"/>
    <n v="8"/>
    <n v="0.93421052631578949"/>
    <n v="93.421052631578945"/>
    <x v="0"/>
  </r>
  <r>
    <n v="1152"/>
    <s v="825 Oak St, CityB"/>
    <x v="147"/>
    <x v="0"/>
    <x v="46"/>
    <x v="0"/>
    <x v="2"/>
    <n v="179"/>
    <n v="19"/>
    <x v="1"/>
    <x v="3"/>
    <x v="2"/>
    <x v="0"/>
    <x v="1"/>
    <x v="6"/>
    <s v="Friday"/>
    <n v="12"/>
    <n v="0.90404040404040409"/>
    <n v="90.404040404040416"/>
    <x v="0"/>
  </r>
  <r>
    <n v="1153"/>
    <s v="44 Pine St, CityD"/>
    <x v="148"/>
    <x v="0"/>
    <x v="82"/>
    <x v="0"/>
    <x v="4"/>
    <n v="162"/>
    <n v="13"/>
    <x v="1"/>
    <x v="1"/>
    <x v="1"/>
    <x v="2"/>
    <x v="1"/>
    <x v="6"/>
    <s v="Friday"/>
    <n v="15"/>
    <n v="0.92571428571428571"/>
    <n v="92.571428571428569"/>
    <x v="0"/>
  </r>
  <r>
    <n v="1154"/>
    <s v="728 Cedar St, CityB"/>
    <x v="149"/>
    <x v="1"/>
    <x v="83"/>
    <x v="2"/>
    <x v="0"/>
    <n v="215"/>
    <n v="12"/>
    <x v="2"/>
    <x v="4"/>
    <x v="0"/>
    <x v="1"/>
    <x v="2"/>
    <x v="0"/>
    <s v="Monday"/>
    <n v="13"/>
    <n v="0.94713656387665202"/>
    <n v="94.713656387665196"/>
    <x v="0"/>
  </r>
  <r>
    <n v="1155"/>
    <s v="412 Elm St, CityC"/>
    <x v="150"/>
    <x v="1"/>
    <x v="53"/>
    <x v="2"/>
    <x v="3"/>
    <n v="165"/>
    <n v="15"/>
    <x v="2"/>
    <x v="2"/>
    <x v="0"/>
    <x v="2"/>
    <x v="2"/>
    <x v="4"/>
    <s v="Wednesday"/>
    <n v="13"/>
    <n v="0.91666666666666663"/>
    <n v="91.666666666666657"/>
    <x v="0"/>
  </r>
  <r>
    <n v="1156"/>
    <s v="214 Pine St, CityD"/>
    <x v="151"/>
    <x v="0"/>
    <x v="42"/>
    <x v="2"/>
    <x v="2"/>
    <n v="108"/>
    <n v="14"/>
    <x v="2"/>
    <x v="0"/>
    <x v="2"/>
    <x v="2"/>
    <x v="2"/>
    <x v="3"/>
    <s v="Thursday"/>
    <n v="10"/>
    <n v="0.88524590163934425"/>
    <n v="88.52459016393442"/>
    <x v="0"/>
  </r>
  <r>
    <n v="1157"/>
    <s v="905 Pine St, CityD"/>
    <x v="152"/>
    <x v="1"/>
    <x v="59"/>
    <x v="2"/>
    <x v="2"/>
    <n v="147"/>
    <n v="10"/>
    <x v="0"/>
    <x v="2"/>
    <x v="2"/>
    <x v="2"/>
    <x v="0"/>
    <x v="1"/>
    <s v="Friday"/>
    <n v="8"/>
    <n v="0.93630573248407645"/>
    <n v="93.630573248407643"/>
    <x v="0"/>
  </r>
  <r>
    <n v="1158"/>
    <s v="752 Pine St, CityD"/>
    <x v="153"/>
    <x v="1"/>
    <x v="84"/>
    <x v="1"/>
    <x v="4"/>
    <n v="83"/>
    <n v="8"/>
    <x v="1"/>
    <x v="4"/>
    <x v="2"/>
    <x v="1"/>
    <x v="1"/>
    <x v="7"/>
    <s v="Tuesday"/>
    <n v="11"/>
    <n v="0.91208791208791207"/>
    <n v="91.208791208791212"/>
    <x v="0"/>
  </r>
  <r>
    <n v="1159"/>
    <s v="976 Pine St, CityD"/>
    <x v="154"/>
    <x v="0"/>
    <x v="66"/>
    <x v="2"/>
    <x v="0"/>
    <n v="197"/>
    <n v="22"/>
    <x v="0"/>
    <x v="2"/>
    <x v="0"/>
    <x v="1"/>
    <x v="0"/>
    <x v="3"/>
    <s v="Thursday"/>
    <n v="12"/>
    <n v="0.8995433789954338"/>
    <n v="89.954337899543376"/>
    <x v="0"/>
  </r>
  <r>
    <n v="1160"/>
    <s v="373 Oak St, CityC"/>
    <x v="155"/>
    <x v="1"/>
    <x v="79"/>
    <x v="0"/>
    <x v="1"/>
    <n v="214"/>
    <n v="14"/>
    <x v="1"/>
    <x v="2"/>
    <x v="2"/>
    <x v="1"/>
    <x v="1"/>
    <x v="4"/>
    <s v="Wednesday"/>
    <n v="9"/>
    <n v="0.93859649122807021"/>
    <n v="93.859649122807014"/>
    <x v="0"/>
  </r>
  <r>
    <n v="1161"/>
    <s v="682 Pine St, CityB"/>
    <x v="156"/>
    <x v="0"/>
    <x v="85"/>
    <x v="0"/>
    <x v="0"/>
    <n v="188"/>
    <n v="2"/>
    <x v="2"/>
    <x v="3"/>
    <x v="1"/>
    <x v="1"/>
    <x v="2"/>
    <x v="5"/>
    <s v="Saturday"/>
    <n v="9"/>
    <n v="0.98947368421052628"/>
    <n v="98.94736842105263"/>
    <x v="0"/>
  </r>
  <r>
    <n v="1162"/>
    <s v="741 Cedar St, CityB"/>
    <x v="157"/>
    <x v="0"/>
    <x v="43"/>
    <x v="1"/>
    <x v="4"/>
    <n v="118"/>
    <n v="19"/>
    <x v="1"/>
    <x v="0"/>
    <x v="1"/>
    <x v="0"/>
    <x v="1"/>
    <x v="2"/>
    <s v="Sunday"/>
    <n v="13"/>
    <n v="0.86131386861313863"/>
    <n v="86.131386861313857"/>
    <x v="0"/>
  </r>
  <r>
    <n v="1163"/>
    <s v="252 Elm St, CityB"/>
    <x v="158"/>
    <x v="1"/>
    <x v="17"/>
    <x v="0"/>
    <x v="0"/>
    <n v="78"/>
    <n v="0"/>
    <x v="1"/>
    <x v="0"/>
    <x v="1"/>
    <x v="1"/>
    <x v="1"/>
    <x v="5"/>
    <s v="Saturday"/>
    <n v="11"/>
    <n v="1"/>
    <n v="100"/>
    <x v="1"/>
  </r>
  <r>
    <n v="1164"/>
    <s v="583 Elm St, CityE"/>
    <x v="159"/>
    <x v="0"/>
    <x v="86"/>
    <x v="1"/>
    <x v="1"/>
    <n v="236"/>
    <n v="20"/>
    <x v="2"/>
    <x v="3"/>
    <x v="1"/>
    <x v="1"/>
    <x v="2"/>
    <x v="2"/>
    <s v="Sunday"/>
    <n v="8"/>
    <n v="0.921875"/>
    <n v="92.1875"/>
    <x v="0"/>
  </r>
  <r>
    <n v="1165"/>
    <s v="373 Pine St, CityE"/>
    <x v="160"/>
    <x v="1"/>
    <x v="53"/>
    <x v="0"/>
    <x v="2"/>
    <n v="79"/>
    <n v="15"/>
    <x v="0"/>
    <x v="2"/>
    <x v="1"/>
    <x v="2"/>
    <x v="0"/>
    <x v="4"/>
    <s v="Wednesday"/>
    <n v="10"/>
    <n v="0.84042553191489366"/>
    <n v="84.042553191489361"/>
    <x v="0"/>
  </r>
  <r>
    <n v="1166"/>
    <s v="884 Pine St, CityC"/>
    <x v="161"/>
    <x v="0"/>
    <x v="87"/>
    <x v="1"/>
    <x v="3"/>
    <n v="155"/>
    <n v="13"/>
    <x v="2"/>
    <x v="2"/>
    <x v="1"/>
    <x v="0"/>
    <x v="2"/>
    <x v="7"/>
    <s v="Tuesday"/>
    <n v="8"/>
    <n v="0.92261904761904767"/>
    <n v="92.261904761904773"/>
    <x v="0"/>
  </r>
  <r>
    <n v="1167"/>
    <s v="660 Oak St, CityB"/>
    <x v="162"/>
    <x v="0"/>
    <x v="43"/>
    <x v="2"/>
    <x v="3"/>
    <n v="69"/>
    <n v="8"/>
    <x v="1"/>
    <x v="0"/>
    <x v="1"/>
    <x v="2"/>
    <x v="1"/>
    <x v="7"/>
    <s v="Tuesday"/>
    <n v="11"/>
    <n v="0.89610389610389607"/>
    <n v="89.610389610389603"/>
    <x v="0"/>
  </r>
  <r>
    <n v="1168"/>
    <s v="403 Elm St, CityD"/>
    <x v="163"/>
    <x v="0"/>
    <x v="62"/>
    <x v="2"/>
    <x v="1"/>
    <n v="81"/>
    <n v="15"/>
    <x v="1"/>
    <x v="3"/>
    <x v="0"/>
    <x v="2"/>
    <x v="1"/>
    <x v="1"/>
    <s v="Friday"/>
    <n v="16"/>
    <n v="0.84375"/>
    <n v="84.375"/>
    <x v="0"/>
  </r>
  <r>
    <n v="1169"/>
    <s v="112 Cedar St, CityD"/>
    <x v="164"/>
    <x v="1"/>
    <x v="43"/>
    <x v="0"/>
    <x v="4"/>
    <n v="223"/>
    <n v="0"/>
    <x v="0"/>
    <x v="2"/>
    <x v="2"/>
    <x v="1"/>
    <x v="0"/>
    <x v="1"/>
    <s v="Friday"/>
    <n v="11"/>
    <n v="1"/>
    <n v="100"/>
    <x v="1"/>
  </r>
  <r>
    <n v="1170"/>
    <s v="308 Cedar St, CityD"/>
    <x v="48"/>
    <x v="1"/>
    <x v="24"/>
    <x v="2"/>
    <x v="3"/>
    <n v="64"/>
    <n v="25"/>
    <x v="0"/>
    <x v="2"/>
    <x v="1"/>
    <x v="1"/>
    <x v="0"/>
    <x v="5"/>
    <s v="Saturday"/>
    <n v="14"/>
    <n v="0.7191011235955056"/>
    <n v="71.910112359550567"/>
    <x v="0"/>
  </r>
  <r>
    <n v="1171"/>
    <s v="53 Elm St, CityB"/>
    <x v="165"/>
    <x v="1"/>
    <x v="49"/>
    <x v="1"/>
    <x v="0"/>
    <n v="137"/>
    <n v="23"/>
    <x v="1"/>
    <x v="2"/>
    <x v="0"/>
    <x v="2"/>
    <x v="1"/>
    <x v="6"/>
    <s v="Friday"/>
    <n v="11"/>
    <n v="0.85624999999999996"/>
    <n v="85.625"/>
    <x v="0"/>
  </r>
  <r>
    <n v="1172"/>
    <s v="346 Cedar St, CityB"/>
    <x v="166"/>
    <x v="1"/>
    <x v="69"/>
    <x v="1"/>
    <x v="0"/>
    <n v="175"/>
    <n v="1"/>
    <x v="0"/>
    <x v="3"/>
    <x v="2"/>
    <x v="2"/>
    <x v="0"/>
    <x v="5"/>
    <s v="Saturday"/>
    <n v="9"/>
    <n v="0.99431818181818177"/>
    <n v="99.431818181818173"/>
    <x v="0"/>
  </r>
  <r>
    <n v="1173"/>
    <s v="676 Pine St, CityE"/>
    <x v="167"/>
    <x v="1"/>
    <x v="37"/>
    <x v="1"/>
    <x v="0"/>
    <n v="121"/>
    <n v="29"/>
    <x v="0"/>
    <x v="3"/>
    <x v="0"/>
    <x v="0"/>
    <x v="0"/>
    <x v="1"/>
    <s v="Friday"/>
    <n v="10"/>
    <n v="0.80666666666666664"/>
    <n v="80.666666666666657"/>
    <x v="0"/>
  </r>
  <r>
    <n v="1174"/>
    <s v="443 Elm St, CityD"/>
    <x v="168"/>
    <x v="0"/>
    <x v="46"/>
    <x v="2"/>
    <x v="3"/>
    <n v="178"/>
    <n v="10"/>
    <x v="0"/>
    <x v="1"/>
    <x v="1"/>
    <x v="1"/>
    <x v="0"/>
    <x v="2"/>
    <s v="Sunday"/>
    <n v="10"/>
    <n v="0.94680851063829785"/>
    <n v="94.680851063829792"/>
    <x v="0"/>
  </r>
  <r>
    <n v="1175"/>
    <s v="25 Elm St, CityD"/>
    <x v="169"/>
    <x v="1"/>
    <x v="28"/>
    <x v="2"/>
    <x v="1"/>
    <n v="135"/>
    <n v="16"/>
    <x v="2"/>
    <x v="3"/>
    <x v="0"/>
    <x v="2"/>
    <x v="2"/>
    <x v="2"/>
    <s v="Sunday"/>
    <n v="9"/>
    <n v="0.89403973509933776"/>
    <n v="89.403973509933778"/>
    <x v="0"/>
  </r>
  <r>
    <n v="1176"/>
    <s v="582 Elm St, CityC"/>
    <x v="170"/>
    <x v="0"/>
    <x v="5"/>
    <x v="1"/>
    <x v="0"/>
    <n v="172"/>
    <n v="12"/>
    <x v="2"/>
    <x v="3"/>
    <x v="1"/>
    <x v="1"/>
    <x v="2"/>
    <x v="6"/>
    <s v="Friday"/>
    <n v="9"/>
    <n v="0.93478260869565222"/>
    <n v="93.478260869565219"/>
    <x v="0"/>
  </r>
  <r>
    <n v="1177"/>
    <s v="764 Cedar St, CityB"/>
    <x v="171"/>
    <x v="0"/>
    <x v="56"/>
    <x v="2"/>
    <x v="4"/>
    <n v="213"/>
    <n v="10"/>
    <x v="0"/>
    <x v="1"/>
    <x v="2"/>
    <x v="1"/>
    <x v="0"/>
    <x v="2"/>
    <s v="Sunday"/>
    <n v="14"/>
    <n v="0.95515695067264572"/>
    <n v="95.515695067264573"/>
    <x v="0"/>
  </r>
  <r>
    <n v="1178"/>
    <s v="657 Pine St, CityE"/>
    <x v="172"/>
    <x v="1"/>
    <x v="88"/>
    <x v="2"/>
    <x v="0"/>
    <n v="204"/>
    <n v="20"/>
    <x v="0"/>
    <x v="1"/>
    <x v="0"/>
    <x v="0"/>
    <x v="0"/>
    <x v="5"/>
    <s v="Saturday"/>
    <n v="8"/>
    <n v="0.9107142857142857"/>
    <n v="91.071428571428569"/>
    <x v="0"/>
  </r>
  <r>
    <n v="1179"/>
    <s v="801 Elm St, CityB"/>
    <x v="173"/>
    <x v="0"/>
    <x v="3"/>
    <x v="0"/>
    <x v="4"/>
    <n v="109"/>
    <n v="22"/>
    <x v="1"/>
    <x v="3"/>
    <x v="2"/>
    <x v="0"/>
    <x v="1"/>
    <x v="3"/>
    <s v="Thursday"/>
    <n v="9"/>
    <n v="0.83206106870229013"/>
    <n v="83.206106870229007"/>
    <x v="0"/>
  </r>
  <r>
    <n v="1180"/>
    <s v="422 Oak St, CityD"/>
    <x v="174"/>
    <x v="1"/>
    <x v="89"/>
    <x v="0"/>
    <x v="4"/>
    <n v="82"/>
    <n v="3"/>
    <x v="2"/>
    <x v="4"/>
    <x v="1"/>
    <x v="2"/>
    <x v="2"/>
    <x v="2"/>
    <s v="Sunday"/>
    <n v="14"/>
    <n v="0.96470588235294119"/>
    <n v="96.470588235294116"/>
    <x v="0"/>
  </r>
  <r>
    <n v="1181"/>
    <s v="252 Elm St, CityD"/>
    <x v="175"/>
    <x v="0"/>
    <x v="90"/>
    <x v="0"/>
    <x v="2"/>
    <n v="87"/>
    <n v="23"/>
    <x v="2"/>
    <x v="1"/>
    <x v="0"/>
    <x v="0"/>
    <x v="2"/>
    <x v="5"/>
    <s v="Saturday"/>
    <n v="10"/>
    <n v="0.79090909090909089"/>
    <n v="79.090909090909093"/>
    <x v="0"/>
  </r>
  <r>
    <n v="1182"/>
    <s v="324 Cedar St, CityE"/>
    <x v="176"/>
    <x v="1"/>
    <x v="40"/>
    <x v="0"/>
    <x v="4"/>
    <n v="186"/>
    <n v="28"/>
    <x v="2"/>
    <x v="2"/>
    <x v="2"/>
    <x v="0"/>
    <x v="2"/>
    <x v="2"/>
    <s v="Sunday"/>
    <n v="8"/>
    <n v="0.86915887850467288"/>
    <n v="86.915887850467286"/>
    <x v="0"/>
  </r>
  <r>
    <n v="1183"/>
    <s v="544 Main St, CityA"/>
    <x v="177"/>
    <x v="0"/>
    <x v="69"/>
    <x v="2"/>
    <x v="2"/>
    <n v="203"/>
    <n v="3"/>
    <x v="2"/>
    <x v="2"/>
    <x v="0"/>
    <x v="1"/>
    <x v="2"/>
    <x v="6"/>
    <s v="Friday"/>
    <n v="13"/>
    <n v="0.9854368932038835"/>
    <n v="98.543689320388353"/>
    <x v="0"/>
  </r>
  <r>
    <n v="1184"/>
    <s v="806 Main St, CityA"/>
    <x v="178"/>
    <x v="0"/>
    <x v="33"/>
    <x v="0"/>
    <x v="4"/>
    <n v="171"/>
    <n v="4"/>
    <x v="1"/>
    <x v="3"/>
    <x v="1"/>
    <x v="1"/>
    <x v="1"/>
    <x v="0"/>
    <s v="Monday"/>
    <n v="11"/>
    <n v="0.97714285714285709"/>
    <n v="97.714285714285708"/>
    <x v="0"/>
  </r>
  <r>
    <n v="1185"/>
    <s v="22 Main St, CityA"/>
    <x v="179"/>
    <x v="1"/>
    <x v="91"/>
    <x v="1"/>
    <x v="0"/>
    <n v="110"/>
    <n v="19"/>
    <x v="0"/>
    <x v="3"/>
    <x v="2"/>
    <x v="0"/>
    <x v="0"/>
    <x v="0"/>
    <s v="Monday"/>
    <n v="8"/>
    <n v="0.8527131782945736"/>
    <n v="85.271317829457359"/>
    <x v="0"/>
  </r>
  <r>
    <n v="1186"/>
    <s v="340 Main St, CityC"/>
    <x v="180"/>
    <x v="0"/>
    <x v="34"/>
    <x v="2"/>
    <x v="1"/>
    <n v="196"/>
    <n v="15"/>
    <x v="0"/>
    <x v="1"/>
    <x v="1"/>
    <x v="1"/>
    <x v="0"/>
    <x v="4"/>
    <s v="Wednesday"/>
    <n v="14"/>
    <n v="0.92890995260663511"/>
    <n v="92.890995260663516"/>
    <x v="0"/>
  </r>
  <r>
    <n v="1187"/>
    <s v="954 Oak St, CityB"/>
    <x v="181"/>
    <x v="1"/>
    <x v="33"/>
    <x v="2"/>
    <x v="4"/>
    <n v="219"/>
    <n v="25"/>
    <x v="1"/>
    <x v="1"/>
    <x v="0"/>
    <x v="2"/>
    <x v="1"/>
    <x v="1"/>
    <s v="Friday"/>
    <n v="11"/>
    <n v="0.89754098360655743"/>
    <n v="89.754098360655746"/>
    <x v="0"/>
  </r>
  <r>
    <n v="1188"/>
    <s v="762 Elm St, CityB"/>
    <x v="182"/>
    <x v="1"/>
    <x v="18"/>
    <x v="1"/>
    <x v="0"/>
    <n v="70"/>
    <n v="12"/>
    <x v="0"/>
    <x v="1"/>
    <x v="0"/>
    <x v="1"/>
    <x v="0"/>
    <x v="7"/>
    <s v="Tuesday"/>
    <n v="10"/>
    <n v="0.85365853658536583"/>
    <n v="85.365853658536579"/>
    <x v="0"/>
  </r>
  <r>
    <n v="1189"/>
    <s v="315 Main St, CityC"/>
    <x v="183"/>
    <x v="0"/>
    <x v="7"/>
    <x v="2"/>
    <x v="1"/>
    <n v="224"/>
    <n v="23"/>
    <x v="2"/>
    <x v="3"/>
    <x v="1"/>
    <x v="2"/>
    <x v="2"/>
    <x v="2"/>
    <s v="Sunday"/>
    <n v="16"/>
    <n v="0.90688259109311742"/>
    <n v="90.688259109311744"/>
    <x v="0"/>
  </r>
  <r>
    <n v="1190"/>
    <s v="639 Oak St, CityE"/>
    <x v="184"/>
    <x v="1"/>
    <x v="91"/>
    <x v="1"/>
    <x v="2"/>
    <n v="95"/>
    <n v="0"/>
    <x v="2"/>
    <x v="0"/>
    <x v="2"/>
    <x v="0"/>
    <x v="2"/>
    <x v="5"/>
    <s v="Saturday"/>
    <n v="12"/>
    <n v="1"/>
    <n v="100"/>
    <x v="1"/>
  </r>
  <r>
    <n v="1191"/>
    <s v="927 Pine St, CityD"/>
    <x v="185"/>
    <x v="0"/>
    <x v="53"/>
    <x v="1"/>
    <x v="4"/>
    <n v="147"/>
    <n v="6"/>
    <x v="0"/>
    <x v="3"/>
    <x v="0"/>
    <x v="1"/>
    <x v="0"/>
    <x v="1"/>
    <s v="Friday"/>
    <n v="9"/>
    <n v="0.96078431372549022"/>
    <n v="96.078431372549019"/>
    <x v="0"/>
  </r>
  <r>
    <n v="1192"/>
    <s v="347 Elm St, CityC"/>
    <x v="186"/>
    <x v="1"/>
    <x v="16"/>
    <x v="1"/>
    <x v="3"/>
    <n v="149"/>
    <n v="22"/>
    <x v="1"/>
    <x v="4"/>
    <x v="2"/>
    <x v="0"/>
    <x v="1"/>
    <x v="3"/>
    <s v="Thursday"/>
    <n v="16"/>
    <n v="0.87134502923976609"/>
    <n v="87.134502923976612"/>
    <x v="0"/>
  </r>
  <r>
    <n v="1193"/>
    <s v="311 Main St, CityE"/>
    <x v="187"/>
    <x v="0"/>
    <x v="68"/>
    <x v="2"/>
    <x v="1"/>
    <n v="233"/>
    <n v="5"/>
    <x v="0"/>
    <x v="1"/>
    <x v="0"/>
    <x v="1"/>
    <x v="0"/>
    <x v="4"/>
    <s v="Wednesday"/>
    <n v="16"/>
    <n v="0.97899159663865543"/>
    <n v="97.899159663865547"/>
    <x v="0"/>
  </r>
  <r>
    <n v="1194"/>
    <s v="164 Elm St, CityB"/>
    <x v="133"/>
    <x v="0"/>
    <x v="22"/>
    <x v="2"/>
    <x v="3"/>
    <n v="234"/>
    <n v="8"/>
    <x v="1"/>
    <x v="4"/>
    <x v="1"/>
    <x v="2"/>
    <x v="1"/>
    <x v="4"/>
    <s v="Wednesday"/>
    <n v="8"/>
    <n v="0.96694214876033058"/>
    <n v="96.694214876033058"/>
    <x v="0"/>
  </r>
  <r>
    <n v="1195"/>
    <s v="426 Main St, CityE"/>
    <x v="188"/>
    <x v="0"/>
    <x v="77"/>
    <x v="0"/>
    <x v="0"/>
    <n v="146"/>
    <n v="12"/>
    <x v="0"/>
    <x v="1"/>
    <x v="0"/>
    <x v="2"/>
    <x v="0"/>
    <x v="7"/>
    <s v="Tuesday"/>
    <n v="10"/>
    <n v="0.92405063291139244"/>
    <n v="92.405063291139243"/>
    <x v="0"/>
  </r>
  <r>
    <n v="1196"/>
    <s v="933 Cedar St, CityD"/>
    <x v="189"/>
    <x v="1"/>
    <x v="7"/>
    <x v="0"/>
    <x v="2"/>
    <n v="76"/>
    <n v="0"/>
    <x v="2"/>
    <x v="0"/>
    <x v="1"/>
    <x v="2"/>
    <x v="2"/>
    <x v="1"/>
    <s v="Friday"/>
    <n v="14"/>
    <n v="1"/>
    <n v="100"/>
    <x v="1"/>
  </r>
  <r>
    <n v="1197"/>
    <s v="163 Cedar St, CityE"/>
    <x v="190"/>
    <x v="1"/>
    <x v="81"/>
    <x v="0"/>
    <x v="1"/>
    <n v="124"/>
    <n v="13"/>
    <x v="0"/>
    <x v="1"/>
    <x v="0"/>
    <x v="0"/>
    <x v="0"/>
    <x v="4"/>
    <s v="Wednesday"/>
    <n v="11"/>
    <n v="0.9051094890510949"/>
    <n v="90.510948905109487"/>
    <x v="0"/>
  </r>
  <r>
    <n v="1198"/>
    <s v="644 Pine St, CityC"/>
    <x v="191"/>
    <x v="1"/>
    <x v="85"/>
    <x v="0"/>
    <x v="4"/>
    <n v="72"/>
    <n v="25"/>
    <x v="2"/>
    <x v="2"/>
    <x v="1"/>
    <x v="1"/>
    <x v="2"/>
    <x v="3"/>
    <s v="Thursday"/>
    <n v="13"/>
    <n v="0.74226804123711343"/>
    <n v="74.226804123711347"/>
    <x v="0"/>
  </r>
  <r>
    <n v="1199"/>
    <s v="707 Elm St, CityA"/>
    <x v="192"/>
    <x v="1"/>
    <x v="26"/>
    <x v="0"/>
    <x v="2"/>
    <n v="215"/>
    <n v="4"/>
    <x v="1"/>
    <x v="3"/>
    <x v="2"/>
    <x v="2"/>
    <x v="1"/>
    <x v="1"/>
    <s v="Friday"/>
    <n v="9"/>
    <n v="0.9817351598173516"/>
    <n v="98.173515981735164"/>
    <x v="0"/>
  </r>
  <r>
    <n v="1200"/>
    <s v="680 Elm St, CityD"/>
    <x v="193"/>
    <x v="0"/>
    <x v="40"/>
    <x v="0"/>
    <x v="2"/>
    <n v="85"/>
    <n v="14"/>
    <x v="1"/>
    <x v="2"/>
    <x v="0"/>
    <x v="0"/>
    <x v="1"/>
    <x v="4"/>
    <s v="Wednesday"/>
    <n v="11"/>
    <n v="0.85858585858585856"/>
    <n v="85.858585858585855"/>
    <x v="0"/>
  </r>
  <r>
    <n v="1201"/>
    <s v="100 Main St, CityB"/>
    <x v="194"/>
    <x v="1"/>
    <x v="10"/>
    <x v="0"/>
    <x v="2"/>
    <n v="67"/>
    <n v="16"/>
    <x v="2"/>
    <x v="2"/>
    <x v="2"/>
    <x v="2"/>
    <x v="2"/>
    <x v="6"/>
    <s v="Friday"/>
    <n v="10"/>
    <n v="0.80722891566265065"/>
    <n v="80.722891566265062"/>
    <x v="0"/>
  </r>
  <r>
    <n v="1202"/>
    <s v="902 Pine St, CityD"/>
    <x v="195"/>
    <x v="1"/>
    <x v="48"/>
    <x v="0"/>
    <x v="2"/>
    <n v="63"/>
    <n v="0"/>
    <x v="1"/>
    <x v="3"/>
    <x v="0"/>
    <x v="2"/>
    <x v="1"/>
    <x v="5"/>
    <s v="Saturday"/>
    <n v="8"/>
    <n v="1"/>
    <n v="100"/>
    <x v="1"/>
  </r>
  <r>
    <n v="1203"/>
    <s v="389 Pine St, CityB"/>
    <x v="196"/>
    <x v="0"/>
    <x v="66"/>
    <x v="0"/>
    <x v="3"/>
    <n v="77"/>
    <n v="1"/>
    <x v="0"/>
    <x v="3"/>
    <x v="1"/>
    <x v="2"/>
    <x v="0"/>
    <x v="5"/>
    <s v="Saturday"/>
    <n v="11"/>
    <n v="0.98717948717948723"/>
    <n v="98.71794871794873"/>
    <x v="0"/>
  </r>
  <r>
    <n v="1204"/>
    <s v="786 Main St, CityE"/>
    <x v="197"/>
    <x v="0"/>
    <x v="67"/>
    <x v="1"/>
    <x v="4"/>
    <n v="101"/>
    <n v="24"/>
    <x v="1"/>
    <x v="4"/>
    <x v="0"/>
    <x v="1"/>
    <x v="1"/>
    <x v="0"/>
    <s v="Monday"/>
    <n v="10"/>
    <n v="0.80800000000000005"/>
    <n v="80.800000000000011"/>
    <x v="0"/>
  </r>
  <r>
    <n v="1205"/>
    <s v="705 Oak St, CityD"/>
    <x v="198"/>
    <x v="0"/>
    <x v="18"/>
    <x v="1"/>
    <x v="2"/>
    <n v="171"/>
    <n v="12"/>
    <x v="2"/>
    <x v="1"/>
    <x v="2"/>
    <x v="1"/>
    <x v="2"/>
    <x v="4"/>
    <s v="Wednesday"/>
    <n v="14"/>
    <n v="0.93442622950819676"/>
    <n v="93.442622950819683"/>
    <x v="0"/>
  </r>
  <r>
    <n v="1206"/>
    <s v="599 Cedar St, CityB"/>
    <x v="199"/>
    <x v="1"/>
    <x v="56"/>
    <x v="2"/>
    <x v="4"/>
    <n v="161"/>
    <n v="14"/>
    <x v="2"/>
    <x v="0"/>
    <x v="2"/>
    <x v="1"/>
    <x v="2"/>
    <x v="4"/>
    <s v="Wednesday"/>
    <n v="16"/>
    <n v="0.92"/>
    <n v="92"/>
    <x v="0"/>
  </r>
  <r>
    <n v="1207"/>
    <s v="459 Main St, CityD"/>
    <x v="200"/>
    <x v="0"/>
    <x v="92"/>
    <x v="2"/>
    <x v="0"/>
    <n v="107"/>
    <n v="11"/>
    <x v="2"/>
    <x v="3"/>
    <x v="1"/>
    <x v="1"/>
    <x v="2"/>
    <x v="2"/>
    <s v="Sunday"/>
    <n v="14"/>
    <n v="0.90677966101694918"/>
    <n v="90.677966101694921"/>
    <x v="0"/>
  </r>
  <r>
    <n v="1208"/>
    <s v="970 Cedar St, CityC"/>
    <x v="201"/>
    <x v="0"/>
    <x v="19"/>
    <x v="0"/>
    <x v="3"/>
    <n v="135"/>
    <n v="21"/>
    <x v="0"/>
    <x v="0"/>
    <x v="1"/>
    <x v="2"/>
    <x v="0"/>
    <x v="1"/>
    <s v="Friday"/>
    <n v="11"/>
    <n v="0.86538461538461542"/>
    <n v="86.538461538461547"/>
    <x v="0"/>
  </r>
  <r>
    <n v="1209"/>
    <s v="907 Oak St, CityA"/>
    <x v="202"/>
    <x v="1"/>
    <x v="60"/>
    <x v="0"/>
    <x v="3"/>
    <n v="224"/>
    <n v="9"/>
    <x v="0"/>
    <x v="0"/>
    <x v="0"/>
    <x v="0"/>
    <x v="0"/>
    <x v="2"/>
    <s v="Sunday"/>
    <n v="12"/>
    <n v="0.96137339055793991"/>
    <n v="96.137339055793987"/>
    <x v="0"/>
  </r>
  <r>
    <n v="1210"/>
    <s v="908 Oak St, CityA"/>
    <x v="203"/>
    <x v="1"/>
    <x v="58"/>
    <x v="1"/>
    <x v="4"/>
    <n v="212"/>
    <n v="23"/>
    <x v="1"/>
    <x v="2"/>
    <x v="1"/>
    <x v="0"/>
    <x v="1"/>
    <x v="6"/>
    <s v="Friday"/>
    <n v="8"/>
    <n v="0.90212765957446805"/>
    <n v="90.212765957446805"/>
    <x v="0"/>
  </r>
  <r>
    <n v="1211"/>
    <s v="182 Elm St, CityE"/>
    <x v="204"/>
    <x v="1"/>
    <x v="60"/>
    <x v="0"/>
    <x v="0"/>
    <n v="212"/>
    <n v="17"/>
    <x v="2"/>
    <x v="1"/>
    <x v="2"/>
    <x v="1"/>
    <x v="2"/>
    <x v="5"/>
    <s v="Saturday"/>
    <n v="8"/>
    <n v="0.92576419213973804"/>
    <n v="92.576419213973807"/>
    <x v="0"/>
  </r>
  <r>
    <n v="1212"/>
    <s v="308 Pine St, CityB"/>
    <x v="205"/>
    <x v="0"/>
    <x v="54"/>
    <x v="2"/>
    <x v="2"/>
    <n v="105"/>
    <n v="6"/>
    <x v="2"/>
    <x v="1"/>
    <x v="2"/>
    <x v="2"/>
    <x v="2"/>
    <x v="2"/>
    <s v="Sunday"/>
    <n v="13"/>
    <n v="0.94594594594594594"/>
    <n v="94.594594594594597"/>
    <x v="0"/>
  </r>
  <r>
    <n v="1213"/>
    <s v="114 Elm St, CityC"/>
    <x v="206"/>
    <x v="1"/>
    <x v="19"/>
    <x v="2"/>
    <x v="3"/>
    <n v="129"/>
    <n v="5"/>
    <x v="1"/>
    <x v="4"/>
    <x v="0"/>
    <x v="0"/>
    <x v="1"/>
    <x v="6"/>
    <s v="Friday"/>
    <n v="15"/>
    <n v="0.96268656716417911"/>
    <n v="96.268656716417908"/>
    <x v="0"/>
  </r>
  <r>
    <n v="1214"/>
    <s v="300 Main St, CityC"/>
    <x v="207"/>
    <x v="0"/>
    <x v="48"/>
    <x v="2"/>
    <x v="0"/>
    <n v="168"/>
    <n v="12"/>
    <x v="2"/>
    <x v="0"/>
    <x v="2"/>
    <x v="1"/>
    <x v="2"/>
    <x v="2"/>
    <s v="Sunday"/>
    <n v="12"/>
    <n v="0.93333333333333335"/>
    <n v="93.333333333333329"/>
    <x v="0"/>
  </r>
  <r>
    <n v="1215"/>
    <s v="618 Pine St, CityA"/>
    <x v="208"/>
    <x v="0"/>
    <x v="86"/>
    <x v="2"/>
    <x v="0"/>
    <n v="162"/>
    <n v="25"/>
    <x v="1"/>
    <x v="2"/>
    <x v="0"/>
    <x v="0"/>
    <x v="1"/>
    <x v="5"/>
    <s v="Saturday"/>
    <n v="8"/>
    <n v="0.86631016042780751"/>
    <n v="86.631016042780757"/>
    <x v="0"/>
  </r>
  <r>
    <n v="1216"/>
    <s v="637 Cedar St, CityD"/>
    <x v="209"/>
    <x v="1"/>
    <x v="64"/>
    <x v="0"/>
    <x v="3"/>
    <n v="136"/>
    <n v="2"/>
    <x v="0"/>
    <x v="4"/>
    <x v="2"/>
    <x v="0"/>
    <x v="0"/>
    <x v="1"/>
    <s v="Friday"/>
    <n v="14"/>
    <n v="0.98550724637681164"/>
    <n v="98.550724637681171"/>
    <x v="0"/>
  </r>
  <r>
    <n v="1217"/>
    <s v="174 Oak St, CityC"/>
    <x v="210"/>
    <x v="1"/>
    <x v="42"/>
    <x v="1"/>
    <x v="1"/>
    <n v="221"/>
    <n v="7"/>
    <x v="0"/>
    <x v="1"/>
    <x v="1"/>
    <x v="1"/>
    <x v="0"/>
    <x v="2"/>
    <s v="Sunday"/>
    <n v="14"/>
    <n v="0.9692982456140351"/>
    <n v="96.929824561403507"/>
    <x v="0"/>
  </r>
  <r>
    <n v="1218"/>
    <s v="197 Cedar St, CityC"/>
    <x v="211"/>
    <x v="0"/>
    <x v="2"/>
    <x v="2"/>
    <x v="2"/>
    <n v="164"/>
    <n v="6"/>
    <x v="2"/>
    <x v="3"/>
    <x v="1"/>
    <x v="2"/>
    <x v="2"/>
    <x v="7"/>
    <s v="Tuesday"/>
    <n v="10"/>
    <n v="0.96470588235294119"/>
    <n v="96.470588235294116"/>
    <x v="0"/>
  </r>
  <r>
    <n v="1219"/>
    <s v="533 Main St, CityD"/>
    <x v="212"/>
    <x v="0"/>
    <x v="48"/>
    <x v="0"/>
    <x v="1"/>
    <n v="223"/>
    <n v="13"/>
    <x v="1"/>
    <x v="4"/>
    <x v="0"/>
    <x v="1"/>
    <x v="1"/>
    <x v="5"/>
    <s v="Saturday"/>
    <n v="16"/>
    <n v="0.94491525423728817"/>
    <n v="94.491525423728817"/>
    <x v="0"/>
  </r>
  <r>
    <n v="1220"/>
    <s v="327 Elm St, CityA"/>
    <x v="213"/>
    <x v="1"/>
    <x v="35"/>
    <x v="1"/>
    <x v="0"/>
    <n v="86"/>
    <n v="0"/>
    <x v="1"/>
    <x v="4"/>
    <x v="0"/>
    <x v="0"/>
    <x v="1"/>
    <x v="7"/>
    <s v="Tuesday"/>
    <n v="13"/>
    <n v="1"/>
    <n v="100"/>
    <x v="1"/>
  </r>
  <r>
    <n v="1221"/>
    <s v="665 Elm St, CityC"/>
    <x v="214"/>
    <x v="0"/>
    <x v="76"/>
    <x v="0"/>
    <x v="0"/>
    <n v="177"/>
    <n v="19"/>
    <x v="0"/>
    <x v="2"/>
    <x v="1"/>
    <x v="2"/>
    <x v="0"/>
    <x v="1"/>
    <s v="Friday"/>
    <n v="10"/>
    <n v="0.90306122448979587"/>
    <n v="90.306122448979593"/>
    <x v="0"/>
  </r>
  <r>
    <n v="1222"/>
    <s v="270 Pine St, CityD"/>
    <x v="215"/>
    <x v="0"/>
    <x v="70"/>
    <x v="2"/>
    <x v="2"/>
    <n v="194"/>
    <n v="24"/>
    <x v="1"/>
    <x v="2"/>
    <x v="2"/>
    <x v="2"/>
    <x v="1"/>
    <x v="7"/>
    <s v="Tuesday"/>
    <n v="11"/>
    <n v="0.88990825688073394"/>
    <n v="88.9908256880734"/>
    <x v="0"/>
  </r>
  <r>
    <n v="1223"/>
    <s v="346 Main St, CityC"/>
    <x v="216"/>
    <x v="0"/>
    <x v="74"/>
    <x v="0"/>
    <x v="3"/>
    <n v="103"/>
    <n v="15"/>
    <x v="1"/>
    <x v="0"/>
    <x v="1"/>
    <x v="2"/>
    <x v="1"/>
    <x v="1"/>
    <s v="Friday"/>
    <n v="8"/>
    <n v="0.8728813559322034"/>
    <n v="87.288135593220346"/>
    <x v="0"/>
  </r>
  <r>
    <n v="1224"/>
    <s v="768 Pine St, CityA"/>
    <x v="217"/>
    <x v="0"/>
    <x v="73"/>
    <x v="1"/>
    <x v="1"/>
    <n v="61"/>
    <n v="29"/>
    <x v="0"/>
    <x v="1"/>
    <x v="2"/>
    <x v="1"/>
    <x v="0"/>
    <x v="4"/>
    <s v="Wednesday"/>
    <n v="9"/>
    <n v="0.67777777777777781"/>
    <n v="67.777777777777786"/>
    <x v="0"/>
  </r>
  <r>
    <n v="1225"/>
    <s v="341 Cedar St, CityA"/>
    <x v="218"/>
    <x v="0"/>
    <x v="21"/>
    <x v="2"/>
    <x v="2"/>
    <n v="102"/>
    <n v="29"/>
    <x v="1"/>
    <x v="4"/>
    <x v="2"/>
    <x v="2"/>
    <x v="1"/>
    <x v="6"/>
    <s v="Friday"/>
    <n v="14"/>
    <n v="0.77862595419847325"/>
    <n v="77.862595419847324"/>
    <x v="0"/>
  </r>
  <r>
    <n v="1226"/>
    <s v="134 Cedar St, CityA"/>
    <x v="219"/>
    <x v="0"/>
    <x v="92"/>
    <x v="2"/>
    <x v="2"/>
    <n v="88"/>
    <n v="27"/>
    <x v="0"/>
    <x v="2"/>
    <x v="1"/>
    <x v="0"/>
    <x v="0"/>
    <x v="7"/>
    <s v="Tuesday"/>
    <n v="13"/>
    <n v="0.76521739130434785"/>
    <n v="76.521739130434781"/>
    <x v="0"/>
  </r>
  <r>
    <n v="1227"/>
    <s v="753 Cedar St, CityA"/>
    <x v="220"/>
    <x v="0"/>
    <x v="24"/>
    <x v="0"/>
    <x v="3"/>
    <n v="92"/>
    <n v="21"/>
    <x v="2"/>
    <x v="0"/>
    <x v="1"/>
    <x v="2"/>
    <x v="2"/>
    <x v="6"/>
    <s v="Friday"/>
    <n v="9"/>
    <n v="0.81415929203539827"/>
    <n v="81.415929203539832"/>
    <x v="0"/>
  </r>
  <r>
    <n v="1228"/>
    <s v="310 Pine St, CityB"/>
    <x v="221"/>
    <x v="0"/>
    <x v="93"/>
    <x v="0"/>
    <x v="2"/>
    <n v="148"/>
    <n v="9"/>
    <x v="1"/>
    <x v="2"/>
    <x v="2"/>
    <x v="0"/>
    <x v="1"/>
    <x v="7"/>
    <s v="Tuesday"/>
    <n v="13"/>
    <n v="0.9426751592356688"/>
    <n v="94.267515923566876"/>
    <x v="0"/>
  </r>
  <r>
    <n v="1229"/>
    <s v="927 Pine St, CityD"/>
    <x v="222"/>
    <x v="1"/>
    <x v="87"/>
    <x v="1"/>
    <x v="1"/>
    <n v="75"/>
    <n v="1"/>
    <x v="2"/>
    <x v="3"/>
    <x v="1"/>
    <x v="2"/>
    <x v="2"/>
    <x v="2"/>
    <s v="Sunday"/>
    <n v="14"/>
    <n v="0.98684210526315785"/>
    <n v="98.68421052631578"/>
    <x v="0"/>
  </r>
  <r>
    <n v="1230"/>
    <s v="398 Main St, CityC"/>
    <x v="223"/>
    <x v="0"/>
    <x v="68"/>
    <x v="0"/>
    <x v="4"/>
    <n v="205"/>
    <n v="3"/>
    <x v="2"/>
    <x v="4"/>
    <x v="0"/>
    <x v="2"/>
    <x v="2"/>
    <x v="6"/>
    <s v="Friday"/>
    <n v="11"/>
    <n v="0.98557692307692313"/>
    <n v="98.557692307692307"/>
    <x v="0"/>
  </r>
  <r>
    <n v="1231"/>
    <s v="714 Pine St, CityC"/>
    <x v="224"/>
    <x v="1"/>
    <x v="78"/>
    <x v="1"/>
    <x v="1"/>
    <n v="237"/>
    <n v="8"/>
    <x v="2"/>
    <x v="1"/>
    <x v="0"/>
    <x v="1"/>
    <x v="2"/>
    <x v="7"/>
    <s v="Tuesday"/>
    <n v="9"/>
    <n v="0.96734693877551026"/>
    <n v="96.734693877551024"/>
    <x v="0"/>
  </r>
  <r>
    <n v="1232"/>
    <s v="376 Cedar St, CityD"/>
    <x v="225"/>
    <x v="1"/>
    <x v="86"/>
    <x v="0"/>
    <x v="0"/>
    <n v="140"/>
    <n v="17"/>
    <x v="1"/>
    <x v="2"/>
    <x v="0"/>
    <x v="2"/>
    <x v="1"/>
    <x v="1"/>
    <s v="Friday"/>
    <n v="15"/>
    <n v="0.89171974522292996"/>
    <n v="89.171974522292999"/>
    <x v="0"/>
  </r>
  <r>
    <n v="1233"/>
    <s v="417 Oak St, CityB"/>
    <x v="226"/>
    <x v="1"/>
    <x v="28"/>
    <x v="1"/>
    <x v="1"/>
    <n v="63"/>
    <n v="8"/>
    <x v="1"/>
    <x v="0"/>
    <x v="1"/>
    <x v="0"/>
    <x v="1"/>
    <x v="1"/>
    <s v="Friday"/>
    <n v="9"/>
    <n v="0.88732394366197187"/>
    <n v="88.732394366197184"/>
    <x v="0"/>
  </r>
  <r>
    <n v="1234"/>
    <s v="966 Oak St, CityC"/>
    <x v="227"/>
    <x v="1"/>
    <x v="44"/>
    <x v="1"/>
    <x v="1"/>
    <n v="79"/>
    <n v="4"/>
    <x v="0"/>
    <x v="4"/>
    <x v="2"/>
    <x v="2"/>
    <x v="0"/>
    <x v="5"/>
    <s v="Saturday"/>
    <n v="9"/>
    <n v="0.95180722891566261"/>
    <n v="95.180722891566262"/>
    <x v="0"/>
  </r>
  <r>
    <n v="1235"/>
    <s v="566 Elm St, CityD"/>
    <x v="228"/>
    <x v="1"/>
    <x v="44"/>
    <x v="1"/>
    <x v="0"/>
    <n v="194"/>
    <n v="19"/>
    <x v="1"/>
    <x v="1"/>
    <x v="2"/>
    <x v="0"/>
    <x v="1"/>
    <x v="1"/>
    <s v="Friday"/>
    <n v="8"/>
    <n v="0.91079812206572774"/>
    <n v="91.079812206572768"/>
    <x v="0"/>
  </r>
  <r>
    <n v="1236"/>
    <s v="289 Oak St, CityA"/>
    <x v="229"/>
    <x v="0"/>
    <x v="51"/>
    <x v="2"/>
    <x v="4"/>
    <n v="232"/>
    <n v="4"/>
    <x v="1"/>
    <x v="2"/>
    <x v="1"/>
    <x v="2"/>
    <x v="1"/>
    <x v="0"/>
    <s v="Monday"/>
    <n v="14"/>
    <n v="0.98305084745762716"/>
    <n v="98.305084745762713"/>
    <x v="0"/>
  </r>
  <r>
    <n v="1237"/>
    <s v="936 Pine St, CityA"/>
    <x v="230"/>
    <x v="1"/>
    <x v="67"/>
    <x v="2"/>
    <x v="0"/>
    <n v="79"/>
    <n v="19"/>
    <x v="1"/>
    <x v="3"/>
    <x v="1"/>
    <x v="0"/>
    <x v="1"/>
    <x v="3"/>
    <s v="Thursday"/>
    <n v="9"/>
    <n v="0.80612244897959184"/>
    <n v="80.612244897959187"/>
    <x v="0"/>
  </r>
  <r>
    <n v="1238"/>
    <s v="825 Oak St, CityE"/>
    <x v="231"/>
    <x v="1"/>
    <x v="3"/>
    <x v="1"/>
    <x v="1"/>
    <n v="111"/>
    <n v="19"/>
    <x v="0"/>
    <x v="4"/>
    <x v="1"/>
    <x v="2"/>
    <x v="0"/>
    <x v="5"/>
    <s v="Saturday"/>
    <n v="12"/>
    <n v="0.85384615384615381"/>
    <n v="85.384615384615387"/>
    <x v="0"/>
  </r>
  <r>
    <n v="1239"/>
    <s v="918 Main St, CityA"/>
    <x v="232"/>
    <x v="0"/>
    <x v="26"/>
    <x v="2"/>
    <x v="4"/>
    <n v="89"/>
    <n v="26"/>
    <x v="1"/>
    <x v="4"/>
    <x v="1"/>
    <x v="2"/>
    <x v="1"/>
    <x v="3"/>
    <s v="Thursday"/>
    <n v="15"/>
    <n v="0.77391304347826084"/>
    <n v="77.391304347826079"/>
    <x v="0"/>
  </r>
  <r>
    <n v="1240"/>
    <s v="831 Elm St, CityA"/>
    <x v="233"/>
    <x v="1"/>
    <x v="1"/>
    <x v="0"/>
    <x v="4"/>
    <n v="201"/>
    <n v="14"/>
    <x v="0"/>
    <x v="0"/>
    <x v="2"/>
    <x v="1"/>
    <x v="0"/>
    <x v="1"/>
    <s v="Friday"/>
    <n v="16"/>
    <n v="0.93488372093023253"/>
    <n v="93.488372093023258"/>
    <x v="0"/>
  </r>
  <r>
    <n v="1241"/>
    <s v="249 Main St, CityB"/>
    <x v="234"/>
    <x v="0"/>
    <x v="54"/>
    <x v="0"/>
    <x v="1"/>
    <n v="225"/>
    <n v="5"/>
    <x v="1"/>
    <x v="1"/>
    <x v="1"/>
    <x v="0"/>
    <x v="1"/>
    <x v="4"/>
    <s v="Wednesday"/>
    <n v="16"/>
    <n v="0.97826086956521741"/>
    <n v="97.826086956521735"/>
    <x v="0"/>
  </r>
  <r>
    <n v="1242"/>
    <s v="383 Main St, CityB"/>
    <x v="235"/>
    <x v="1"/>
    <x v="83"/>
    <x v="1"/>
    <x v="3"/>
    <n v="186"/>
    <n v="24"/>
    <x v="2"/>
    <x v="0"/>
    <x v="2"/>
    <x v="1"/>
    <x v="2"/>
    <x v="2"/>
    <s v="Sunday"/>
    <n v="15"/>
    <n v="0.88571428571428568"/>
    <n v="88.571428571428569"/>
    <x v="0"/>
  </r>
  <r>
    <n v="1243"/>
    <s v="586 Elm St, CityA"/>
    <x v="236"/>
    <x v="1"/>
    <x v="94"/>
    <x v="0"/>
    <x v="3"/>
    <n v="180"/>
    <n v="2"/>
    <x v="2"/>
    <x v="1"/>
    <x v="1"/>
    <x v="0"/>
    <x v="2"/>
    <x v="5"/>
    <s v="Saturday"/>
    <n v="8"/>
    <n v="0.98901098901098905"/>
    <n v="98.901098901098905"/>
    <x v="0"/>
  </r>
  <r>
    <n v="1244"/>
    <s v="885 Main St, CityA"/>
    <x v="237"/>
    <x v="0"/>
    <x v="39"/>
    <x v="0"/>
    <x v="4"/>
    <n v="74"/>
    <n v="26"/>
    <x v="0"/>
    <x v="3"/>
    <x v="1"/>
    <x v="1"/>
    <x v="0"/>
    <x v="1"/>
    <s v="Friday"/>
    <n v="13"/>
    <n v="0.74"/>
    <n v="74"/>
    <x v="0"/>
  </r>
  <r>
    <n v="1245"/>
    <s v="741 Main St, CityC"/>
    <x v="238"/>
    <x v="0"/>
    <x v="79"/>
    <x v="1"/>
    <x v="0"/>
    <n v="64"/>
    <n v="8"/>
    <x v="2"/>
    <x v="4"/>
    <x v="0"/>
    <x v="2"/>
    <x v="2"/>
    <x v="0"/>
    <s v="Monday"/>
    <n v="15"/>
    <n v="0.88888888888888884"/>
    <n v="88.888888888888886"/>
    <x v="0"/>
  </r>
  <r>
    <n v="1246"/>
    <s v="892 Cedar St, CityA"/>
    <x v="239"/>
    <x v="0"/>
    <x v="95"/>
    <x v="1"/>
    <x v="1"/>
    <n v="66"/>
    <n v="21"/>
    <x v="2"/>
    <x v="2"/>
    <x v="2"/>
    <x v="1"/>
    <x v="2"/>
    <x v="3"/>
    <s v="Thursday"/>
    <n v="16"/>
    <n v="0.75862068965517238"/>
    <n v="75.862068965517238"/>
    <x v="0"/>
  </r>
  <r>
    <n v="1247"/>
    <s v="160 Cedar St, CityD"/>
    <x v="240"/>
    <x v="0"/>
    <x v="71"/>
    <x v="2"/>
    <x v="3"/>
    <n v="156"/>
    <n v="17"/>
    <x v="1"/>
    <x v="4"/>
    <x v="2"/>
    <x v="0"/>
    <x v="1"/>
    <x v="0"/>
    <s v="Monday"/>
    <n v="15"/>
    <n v="0.90173410404624277"/>
    <n v="90.173410404624278"/>
    <x v="0"/>
  </r>
  <r>
    <n v="1248"/>
    <s v="647 Oak St, CityA"/>
    <x v="241"/>
    <x v="1"/>
    <x v="75"/>
    <x v="2"/>
    <x v="3"/>
    <n v="175"/>
    <n v="20"/>
    <x v="0"/>
    <x v="1"/>
    <x v="0"/>
    <x v="0"/>
    <x v="0"/>
    <x v="0"/>
    <s v="Monday"/>
    <n v="8"/>
    <n v="0.89743589743589747"/>
    <n v="89.743589743589752"/>
    <x v="0"/>
  </r>
  <r>
    <n v="1249"/>
    <s v="628 Main St, CityA"/>
    <x v="242"/>
    <x v="1"/>
    <x v="17"/>
    <x v="0"/>
    <x v="0"/>
    <n v="180"/>
    <n v="25"/>
    <x v="0"/>
    <x v="2"/>
    <x v="0"/>
    <x v="2"/>
    <x v="0"/>
    <x v="1"/>
    <s v="Friday"/>
    <n v="13"/>
    <n v="0.87804878048780488"/>
    <n v="87.804878048780495"/>
    <x v="0"/>
  </r>
  <r>
    <n v="1250"/>
    <s v="722 Elm St, CityB"/>
    <x v="243"/>
    <x v="0"/>
    <x v="57"/>
    <x v="1"/>
    <x v="0"/>
    <n v="97"/>
    <n v="5"/>
    <x v="1"/>
    <x v="2"/>
    <x v="0"/>
    <x v="2"/>
    <x v="1"/>
    <x v="7"/>
    <s v="Tuesday"/>
    <n v="12"/>
    <n v="0.9509803921568627"/>
    <n v="95.098039215686271"/>
    <x v="0"/>
  </r>
  <r>
    <n v="1251"/>
    <s v="941 Main St, CityB"/>
    <x v="244"/>
    <x v="0"/>
    <x v="9"/>
    <x v="0"/>
    <x v="1"/>
    <n v="79"/>
    <n v="26"/>
    <x v="2"/>
    <x v="0"/>
    <x v="2"/>
    <x v="1"/>
    <x v="2"/>
    <x v="0"/>
    <s v="Monday"/>
    <n v="15"/>
    <n v="0.75238095238095237"/>
    <n v="75.238095238095241"/>
    <x v="0"/>
  </r>
  <r>
    <n v="1252"/>
    <s v="94 Main St, CityA"/>
    <x v="245"/>
    <x v="0"/>
    <x v="29"/>
    <x v="1"/>
    <x v="0"/>
    <n v="141"/>
    <n v="18"/>
    <x v="0"/>
    <x v="0"/>
    <x v="1"/>
    <x v="1"/>
    <x v="0"/>
    <x v="5"/>
    <s v="Saturday"/>
    <n v="14"/>
    <n v="0.8867924528301887"/>
    <n v="88.679245283018872"/>
    <x v="0"/>
  </r>
  <r>
    <n v="1253"/>
    <s v="444 Elm St, CityB"/>
    <x v="246"/>
    <x v="0"/>
    <x v="88"/>
    <x v="0"/>
    <x v="4"/>
    <n v="128"/>
    <n v="16"/>
    <x v="0"/>
    <x v="0"/>
    <x v="0"/>
    <x v="0"/>
    <x v="0"/>
    <x v="1"/>
    <s v="Friday"/>
    <n v="11"/>
    <n v="0.88888888888888884"/>
    <n v="88.888888888888886"/>
    <x v="0"/>
  </r>
  <r>
    <n v="1254"/>
    <s v="52 Main St, CityD"/>
    <x v="247"/>
    <x v="0"/>
    <x v="14"/>
    <x v="1"/>
    <x v="4"/>
    <n v="64"/>
    <n v="9"/>
    <x v="2"/>
    <x v="1"/>
    <x v="1"/>
    <x v="1"/>
    <x v="2"/>
    <x v="4"/>
    <s v="Wednesday"/>
    <n v="14"/>
    <n v="0.87671232876712324"/>
    <n v="87.671232876712324"/>
    <x v="0"/>
  </r>
  <r>
    <n v="1255"/>
    <s v="329 Cedar St, CityB"/>
    <x v="248"/>
    <x v="1"/>
    <x v="35"/>
    <x v="0"/>
    <x v="4"/>
    <n v="69"/>
    <n v="29"/>
    <x v="2"/>
    <x v="0"/>
    <x v="0"/>
    <x v="2"/>
    <x v="2"/>
    <x v="4"/>
    <s v="Wednesday"/>
    <n v="16"/>
    <n v="0.70408163265306123"/>
    <n v="70.408163265306129"/>
    <x v="0"/>
  </r>
  <r>
    <n v="1256"/>
    <s v="488 Elm St, CityD"/>
    <x v="249"/>
    <x v="1"/>
    <x v="16"/>
    <x v="1"/>
    <x v="3"/>
    <n v="67"/>
    <n v="22"/>
    <x v="1"/>
    <x v="0"/>
    <x v="1"/>
    <x v="2"/>
    <x v="1"/>
    <x v="3"/>
    <s v="Thursday"/>
    <n v="15"/>
    <n v="0.7528089887640449"/>
    <n v="75.280898876404493"/>
    <x v="0"/>
  </r>
  <r>
    <n v="1257"/>
    <s v="620 Elm St, CityD"/>
    <x v="250"/>
    <x v="1"/>
    <x v="58"/>
    <x v="1"/>
    <x v="4"/>
    <n v="218"/>
    <n v="25"/>
    <x v="1"/>
    <x v="2"/>
    <x v="2"/>
    <x v="1"/>
    <x v="1"/>
    <x v="1"/>
    <s v="Friday"/>
    <n v="12"/>
    <n v="0.89711934156378603"/>
    <n v="89.711934156378604"/>
    <x v="0"/>
  </r>
  <r>
    <n v="1258"/>
    <s v="295 Cedar St, CityA"/>
    <x v="251"/>
    <x v="1"/>
    <x v="32"/>
    <x v="0"/>
    <x v="4"/>
    <n v="75"/>
    <n v="22"/>
    <x v="1"/>
    <x v="3"/>
    <x v="2"/>
    <x v="2"/>
    <x v="1"/>
    <x v="1"/>
    <s v="Friday"/>
    <n v="11"/>
    <n v="0.77319587628865982"/>
    <n v="77.319587628865989"/>
    <x v="0"/>
  </r>
  <r>
    <n v="1259"/>
    <s v="454 Elm St, CityE"/>
    <x v="252"/>
    <x v="1"/>
    <x v="44"/>
    <x v="0"/>
    <x v="4"/>
    <n v="226"/>
    <n v="14"/>
    <x v="1"/>
    <x v="4"/>
    <x v="1"/>
    <x v="0"/>
    <x v="1"/>
    <x v="0"/>
    <s v="Monday"/>
    <n v="13"/>
    <n v="0.94166666666666665"/>
    <n v="94.166666666666671"/>
    <x v="0"/>
  </r>
  <r>
    <n v="1260"/>
    <s v="7 Main St, CityB"/>
    <x v="253"/>
    <x v="0"/>
    <x v="88"/>
    <x v="1"/>
    <x v="4"/>
    <n v="193"/>
    <n v="5"/>
    <x v="2"/>
    <x v="0"/>
    <x v="0"/>
    <x v="0"/>
    <x v="2"/>
    <x v="6"/>
    <s v="Friday"/>
    <n v="14"/>
    <n v="0.9747474747474747"/>
    <n v="97.474747474747474"/>
    <x v="0"/>
  </r>
  <r>
    <n v="1261"/>
    <s v="998 Elm St, CityC"/>
    <x v="254"/>
    <x v="0"/>
    <x v="13"/>
    <x v="1"/>
    <x v="1"/>
    <n v="91"/>
    <n v="10"/>
    <x v="2"/>
    <x v="0"/>
    <x v="2"/>
    <x v="1"/>
    <x v="2"/>
    <x v="3"/>
    <s v="Thursday"/>
    <n v="12"/>
    <n v="0.90099009900990101"/>
    <n v="90.099009900990097"/>
    <x v="0"/>
  </r>
  <r>
    <n v="1262"/>
    <s v="148 Cedar St, CityE"/>
    <x v="255"/>
    <x v="0"/>
    <x v="43"/>
    <x v="1"/>
    <x v="4"/>
    <n v="66"/>
    <n v="22"/>
    <x v="2"/>
    <x v="0"/>
    <x v="1"/>
    <x v="2"/>
    <x v="2"/>
    <x v="2"/>
    <s v="Sunday"/>
    <n v="14"/>
    <n v="0.75"/>
    <n v="75"/>
    <x v="0"/>
  </r>
  <r>
    <n v="1263"/>
    <s v="997 Elm St, CityA"/>
    <x v="256"/>
    <x v="1"/>
    <x v="33"/>
    <x v="0"/>
    <x v="4"/>
    <n v="75"/>
    <n v="15"/>
    <x v="2"/>
    <x v="0"/>
    <x v="2"/>
    <x v="2"/>
    <x v="2"/>
    <x v="5"/>
    <s v="Saturday"/>
    <n v="9"/>
    <n v="0.83333333333333337"/>
    <n v="83.333333333333343"/>
    <x v="0"/>
  </r>
  <r>
    <n v="1264"/>
    <s v="720 Main St, CityB"/>
    <x v="257"/>
    <x v="0"/>
    <x v="60"/>
    <x v="0"/>
    <x v="3"/>
    <n v="76"/>
    <n v="14"/>
    <x v="0"/>
    <x v="3"/>
    <x v="1"/>
    <x v="0"/>
    <x v="0"/>
    <x v="2"/>
    <s v="Sunday"/>
    <n v="16"/>
    <n v="0.84444444444444444"/>
    <n v="84.444444444444443"/>
    <x v="0"/>
  </r>
  <r>
    <n v="1265"/>
    <s v="192 Oak St, CityB"/>
    <x v="258"/>
    <x v="0"/>
    <x v="73"/>
    <x v="0"/>
    <x v="1"/>
    <n v="123"/>
    <n v="2"/>
    <x v="2"/>
    <x v="2"/>
    <x v="2"/>
    <x v="1"/>
    <x v="2"/>
    <x v="1"/>
    <s v="Friday"/>
    <n v="15"/>
    <n v="0.98399999999999999"/>
    <n v="98.4"/>
    <x v="0"/>
  </r>
  <r>
    <n v="1266"/>
    <s v="167 Pine St, CityE"/>
    <x v="259"/>
    <x v="1"/>
    <x v="47"/>
    <x v="2"/>
    <x v="1"/>
    <n v="225"/>
    <n v="4"/>
    <x v="0"/>
    <x v="3"/>
    <x v="0"/>
    <x v="2"/>
    <x v="0"/>
    <x v="3"/>
    <s v="Thursday"/>
    <n v="8"/>
    <n v="0.98253275109170302"/>
    <n v="98.253275109170303"/>
    <x v="0"/>
  </r>
  <r>
    <n v="1267"/>
    <s v="304 Cedar St, CityD"/>
    <x v="260"/>
    <x v="0"/>
    <x v="42"/>
    <x v="1"/>
    <x v="4"/>
    <n v="221"/>
    <n v="2"/>
    <x v="0"/>
    <x v="0"/>
    <x v="2"/>
    <x v="0"/>
    <x v="0"/>
    <x v="5"/>
    <s v="Saturday"/>
    <n v="14"/>
    <n v="0.99103139013452912"/>
    <n v="99.103139013452918"/>
    <x v="0"/>
  </r>
  <r>
    <n v="1268"/>
    <s v="519 Oak St, CityB"/>
    <x v="261"/>
    <x v="0"/>
    <x v="14"/>
    <x v="2"/>
    <x v="3"/>
    <n v="109"/>
    <n v="10"/>
    <x v="1"/>
    <x v="3"/>
    <x v="2"/>
    <x v="1"/>
    <x v="1"/>
    <x v="1"/>
    <s v="Friday"/>
    <n v="12"/>
    <n v="0.91596638655462181"/>
    <n v="91.596638655462186"/>
    <x v="0"/>
  </r>
  <r>
    <n v="1269"/>
    <s v="437 Oak St, CityC"/>
    <x v="262"/>
    <x v="1"/>
    <x v="5"/>
    <x v="2"/>
    <x v="3"/>
    <n v="237"/>
    <n v="20"/>
    <x v="0"/>
    <x v="2"/>
    <x v="2"/>
    <x v="1"/>
    <x v="0"/>
    <x v="5"/>
    <s v="Saturday"/>
    <n v="9"/>
    <n v="0.9221789883268483"/>
    <n v="92.217898832684824"/>
    <x v="0"/>
  </r>
  <r>
    <n v="1270"/>
    <s v="754 Elm St, CityE"/>
    <x v="263"/>
    <x v="1"/>
    <x v="86"/>
    <x v="1"/>
    <x v="3"/>
    <n v="132"/>
    <n v="2"/>
    <x v="0"/>
    <x v="2"/>
    <x v="2"/>
    <x v="0"/>
    <x v="0"/>
    <x v="6"/>
    <s v="Friday"/>
    <n v="8"/>
    <n v="0.9850746268656716"/>
    <n v="98.507462686567166"/>
    <x v="0"/>
  </r>
  <r>
    <n v="1271"/>
    <s v="8 Oak St, CityC"/>
    <x v="264"/>
    <x v="1"/>
    <x v="23"/>
    <x v="0"/>
    <x v="1"/>
    <n v="187"/>
    <n v="16"/>
    <x v="1"/>
    <x v="2"/>
    <x v="1"/>
    <x v="0"/>
    <x v="1"/>
    <x v="7"/>
    <s v="Tuesday"/>
    <n v="15"/>
    <n v="0.9211822660098522"/>
    <n v="92.118226600985224"/>
    <x v="0"/>
  </r>
  <r>
    <n v="1272"/>
    <s v="773 Elm St, CityA"/>
    <x v="51"/>
    <x v="1"/>
    <x v="31"/>
    <x v="1"/>
    <x v="1"/>
    <n v="235"/>
    <n v="18"/>
    <x v="2"/>
    <x v="2"/>
    <x v="1"/>
    <x v="1"/>
    <x v="2"/>
    <x v="7"/>
    <s v="Tuesday"/>
    <n v="8"/>
    <n v="0.92885375494071143"/>
    <n v="92.885375494071141"/>
    <x v="0"/>
  </r>
  <r>
    <n v="1273"/>
    <s v="64 Main St, CityD"/>
    <x v="19"/>
    <x v="1"/>
    <x v="24"/>
    <x v="1"/>
    <x v="0"/>
    <n v="221"/>
    <n v="24"/>
    <x v="0"/>
    <x v="2"/>
    <x v="1"/>
    <x v="0"/>
    <x v="0"/>
    <x v="5"/>
    <s v="Saturday"/>
    <n v="11"/>
    <n v="0.90204081632653066"/>
    <n v="90.204081632653072"/>
    <x v="0"/>
  </r>
  <r>
    <n v="1274"/>
    <s v="353 Main St, CityE"/>
    <x v="265"/>
    <x v="1"/>
    <x v="96"/>
    <x v="0"/>
    <x v="4"/>
    <n v="163"/>
    <n v="10"/>
    <x v="0"/>
    <x v="2"/>
    <x v="0"/>
    <x v="1"/>
    <x v="0"/>
    <x v="1"/>
    <s v="Friday"/>
    <n v="12"/>
    <n v="0.94219653179190754"/>
    <n v="94.219653179190757"/>
    <x v="0"/>
  </r>
  <r>
    <n v="1275"/>
    <s v="774 Pine St, CityA"/>
    <x v="266"/>
    <x v="1"/>
    <x v="22"/>
    <x v="1"/>
    <x v="3"/>
    <n v="114"/>
    <n v="9"/>
    <x v="0"/>
    <x v="0"/>
    <x v="0"/>
    <x v="2"/>
    <x v="0"/>
    <x v="5"/>
    <s v="Saturday"/>
    <n v="13"/>
    <n v="0.92682926829268297"/>
    <n v="92.682926829268297"/>
    <x v="0"/>
  </r>
  <r>
    <n v="1276"/>
    <s v="691 Pine St, CityA"/>
    <x v="267"/>
    <x v="1"/>
    <x v="37"/>
    <x v="1"/>
    <x v="3"/>
    <n v="148"/>
    <n v="29"/>
    <x v="1"/>
    <x v="1"/>
    <x v="0"/>
    <x v="2"/>
    <x v="1"/>
    <x v="2"/>
    <s v="Sunday"/>
    <n v="13"/>
    <n v="0.83615819209039544"/>
    <n v="83.615819209039543"/>
    <x v="0"/>
  </r>
  <r>
    <n v="1277"/>
    <s v="763 Main St, CityC"/>
    <x v="268"/>
    <x v="0"/>
    <x v="78"/>
    <x v="2"/>
    <x v="3"/>
    <n v="149"/>
    <n v="26"/>
    <x v="2"/>
    <x v="0"/>
    <x v="0"/>
    <x v="0"/>
    <x v="2"/>
    <x v="1"/>
    <s v="Friday"/>
    <n v="8"/>
    <n v="0.85142857142857142"/>
    <n v="85.142857142857139"/>
    <x v="0"/>
  </r>
  <r>
    <n v="1278"/>
    <s v="603 Oak St, CityE"/>
    <x v="269"/>
    <x v="0"/>
    <x v="8"/>
    <x v="2"/>
    <x v="1"/>
    <n v="106"/>
    <n v="2"/>
    <x v="2"/>
    <x v="3"/>
    <x v="2"/>
    <x v="1"/>
    <x v="2"/>
    <x v="6"/>
    <s v="Friday"/>
    <n v="12"/>
    <n v="0.98148148148148151"/>
    <n v="98.148148148148152"/>
    <x v="0"/>
  </r>
  <r>
    <n v="1279"/>
    <s v="695 Main St, CityE"/>
    <x v="270"/>
    <x v="1"/>
    <x v="50"/>
    <x v="1"/>
    <x v="4"/>
    <n v="227"/>
    <n v="1"/>
    <x v="1"/>
    <x v="4"/>
    <x v="2"/>
    <x v="1"/>
    <x v="1"/>
    <x v="6"/>
    <s v="Friday"/>
    <n v="14"/>
    <n v="0.99561403508771928"/>
    <n v="99.561403508771932"/>
    <x v="0"/>
  </r>
  <r>
    <n v="1280"/>
    <s v="269 Oak St, CityD"/>
    <x v="271"/>
    <x v="0"/>
    <x v="97"/>
    <x v="1"/>
    <x v="2"/>
    <n v="98"/>
    <n v="25"/>
    <x v="0"/>
    <x v="3"/>
    <x v="2"/>
    <x v="1"/>
    <x v="0"/>
    <x v="5"/>
    <s v="Saturday"/>
    <n v="11"/>
    <n v="0.7967479674796748"/>
    <n v="79.674796747967477"/>
    <x v="0"/>
  </r>
  <r>
    <n v="1281"/>
    <s v="367 Pine St, CityC"/>
    <x v="272"/>
    <x v="1"/>
    <x v="86"/>
    <x v="2"/>
    <x v="0"/>
    <n v="220"/>
    <n v="27"/>
    <x v="0"/>
    <x v="3"/>
    <x v="1"/>
    <x v="2"/>
    <x v="0"/>
    <x v="6"/>
    <s v="Friday"/>
    <n v="11"/>
    <n v="0.89068825910931171"/>
    <n v="89.068825910931167"/>
    <x v="0"/>
  </r>
  <r>
    <n v="1282"/>
    <s v="512 Oak St, CityD"/>
    <x v="273"/>
    <x v="1"/>
    <x v="60"/>
    <x v="2"/>
    <x v="0"/>
    <n v="102"/>
    <n v="3"/>
    <x v="0"/>
    <x v="0"/>
    <x v="0"/>
    <x v="1"/>
    <x v="0"/>
    <x v="3"/>
    <s v="Thursday"/>
    <n v="9"/>
    <n v="0.97142857142857142"/>
    <n v="97.142857142857139"/>
    <x v="0"/>
  </r>
  <r>
    <n v="1283"/>
    <s v="321 Cedar St, CityB"/>
    <x v="274"/>
    <x v="0"/>
    <x v="8"/>
    <x v="0"/>
    <x v="0"/>
    <n v="60"/>
    <n v="21"/>
    <x v="2"/>
    <x v="3"/>
    <x v="1"/>
    <x v="0"/>
    <x v="2"/>
    <x v="7"/>
    <s v="Tuesday"/>
    <n v="14"/>
    <n v="0.7407407407407407"/>
    <n v="74.074074074074076"/>
    <x v="0"/>
  </r>
  <r>
    <n v="1284"/>
    <s v="234 Cedar St, CityB"/>
    <x v="275"/>
    <x v="0"/>
    <x v="42"/>
    <x v="0"/>
    <x v="0"/>
    <n v="199"/>
    <n v="29"/>
    <x v="0"/>
    <x v="3"/>
    <x v="0"/>
    <x v="0"/>
    <x v="0"/>
    <x v="3"/>
    <s v="Thursday"/>
    <n v="9"/>
    <n v="0.8728070175438597"/>
    <n v="87.280701754385973"/>
    <x v="0"/>
  </r>
  <r>
    <n v="1285"/>
    <s v="44 Oak St, CityD"/>
    <x v="276"/>
    <x v="0"/>
    <x v="96"/>
    <x v="1"/>
    <x v="3"/>
    <n v="159"/>
    <n v="6"/>
    <x v="1"/>
    <x v="3"/>
    <x v="1"/>
    <x v="0"/>
    <x v="1"/>
    <x v="0"/>
    <s v="Monday"/>
    <n v="9"/>
    <n v="0.96363636363636362"/>
    <n v="96.36363636363636"/>
    <x v="0"/>
  </r>
  <r>
    <n v="1286"/>
    <s v="477 Pine St, CityC"/>
    <x v="277"/>
    <x v="1"/>
    <x v="79"/>
    <x v="1"/>
    <x v="4"/>
    <n v="104"/>
    <n v="22"/>
    <x v="2"/>
    <x v="0"/>
    <x v="0"/>
    <x v="0"/>
    <x v="2"/>
    <x v="1"/>
    <s v="Friday"/>
    <n v="15"/>
    <n v="0.82539682539682535"/>
    <n v="82.539682539682531"/>
    <x v="0"/>
  </r>
  <r>
    <n v="1287"/>
    <s v="946 Pine St, CityD"/>
    <x v="278"/>
    <x v="1"/>
    <x v="43"/>
    <x v="0"/>
    <x v="0"/>
    <n v="205"/>
    <n v="18"/>
    <x v="1"/>
    <x v="4"/>
    <x v="2"/>
    <x v="1"/>
    <x v="1"/>
    <x v="7"/>
    <s v="Tuesday"/>
    <n v="15"/>
    <n v="0.91928251121076232"/>
    <n v="91.928251121076229"/>
    <x v="0"/>
  </r>
  <r>
    <n v="1288"/>
    <s v="890 Pine St, CityD"/>
    <x v="279"/>
    <x v="1"/>
    <x v="95"/>
    <x v="0"/>
    <x v="4"/>
    <n v="125"/>
    <n v="24"/>
    <x v="2"/>
    <x v="0"/>
    <x v="1"/>
    <x v="0"/>
    <x v="2"/>
    <x v="2"/>
    <s v="Sunday"/>
    <n v="11"/>
    <n v="0.83892617449664431"/>
    <n v="83.892617449664428"/>
    <x v="0"/>
  </r>
  <r>
    <n v="1289"/>
    <s v="157 Elm St, CityD"/>
    <x v="280"/>
    <x v="1"/>
    <x v="3"/>
    <x v="1"/>
    <x v="4"/>
    <n v="145"/>
    <n v="13"/>
    <x v="1"/>
    <x v="4"/>
    <x v="1"/>
    <x v="2"/>
    <x v="1"/>
    <x v="2"/>
    <s v="Sunday"/>
    <n v="13"/>
    <n v="0.91772151898734178"/>
    <n v="91.77215189873418"/>
    <x v="0"/>
  </r>
  <r>
    <n v="1290"/>
    <s v="430 Main St, CityB"/>
    <x v="281"/>
    <x v="0"/>
    <x v="59"/>
    <x v="0"/>
    <x v="4"/>
    <n v="193"/>
    <n v="26"/>
    <x v="0"/>
    <x v="1"/>
    <x v="2"/>
    <x v="0"/>
    <x v="0"/>
    <x v="7"/>
    <s v="Tuesday"/>
    <n v="11"/>
    <n v="0.88127853881278539"/>
    <n v="88.12785388127854"/>
    <x v="0"/>
  </r>
  <r>
    <n v="1291"/>
    <s v="808 Oak St, CityD"/>
    <x v="282"/>
    <x v="0"/>
    <x v="85"/>
    <x v="1"/>
    <x v="4"/>
    <n v="161"/>
    <n v="11"/>
    <x v="2"/>
    <x v="4"/>
    <x v="1"/>
    <x v="1"/>
    <x v="2"/>
    <x v="6"/>
    <s v="Friday"/>
    <n v="9"/>
    <n v="0.93604651162790697"/>
    <n v="93.604651162790702"/>
    <x v="0"/>
  </r>
  <r>
    <n v="1292"/>
    <s v="892 Elm St, CityD"/>
    <x v="283"/>
    <x v="0"/>
    <x v="60"/>
    <x v="0"/>
    <x v="3"/>
    <n v="163"/>
    <n v="0"/>
    <x v="0"/>
    <x v="4"/>
    <x v="2"/>
    <x v="0"/>
    <x v="0"/>
    <x v="7"/>
    <s v="Tuesday"/>
    <n v="8"/>
    <n v="1"/>
    <n v="100"/>
    <x v="1"/>
  </r>
  <r>
    <n v="1293"/>
    <s v="375 Main St, CityD"/>
    <x v="284"/>
    <x v="0"/>
    <x v="7"/>
    <x v="1"/>
    <x v="4"/>
    <n v="236"/>
    <n v="6"/>
    <x v="2"/>
    <x v="3"/>
    <x v="1"/>
    <x v="0"/>
    <x v="2"/>
    <x v="3"/>
    <s v="Thursday"/>
    <n v="10"/>
    <n v="0.97520661157024791"/>
    <n v="97.52066115702479"/>
    <x v="0"/>
  </r>
  <r>
    <n v="1294"/>
    <s v="811 Elm St, CityB"/>
    <x v="285"/>
    <x v="1"/>
    <x v="91"/>
    <x v="0"/>
    <x v="2"/>
    <n v="77"/>
    <n v="8"/>
    <x v="0"/>
    <x v="4"/>
    <x v="0"/>
    <x v="0"/>
    <x v="0"/>
    <x v="0"/>
    <s v="Monday"/>
    <n v="10"/>
    <n v="0.90588235294117647"/>
    <n v="90.588235294117652"/>
    <x v="0"/>
  </r>
  <r>
    <n v="1295"/>
    <s v="608 Elm St, CityB"/>
    <x v="286"/>
    <x v="0"/>
    <x v="92"/>
    <x v="0"/>
    <x v="4"/>
    <n v="99"/>
    <n v="12"/>
    <x v="1"/>
    <x v="3"/>
    <x v="2"/>
    <x v="1"/>
    <x v="1"/>
    <x v="6"/>
    <s v="Friday"/>
    <n v="15"/>
    <n v="0.89189189189189189"/>
    <n v="89.189189189189193"/>
    <x v="0"/>
  </r>
  <r>
    <n v="1296"/>
    <s v="98 Main St, CityD"/>
    <x v="287"/>
    <x v="0"/>
    <x v="95"/>
    <x v="1"/>
    <x v="0"/>
    <n v="177"/>
    <n v="25"/>
    <x v="1"/>
    <x v="1"/>
    <x v="0"/>
    <x v="2"/>
    <x v="1"/>
    <x v="2"/>
    <s v="Sunday"/>
    <n v="16"/>
    <n v="0.87623762376237624"/>
    <n v="87.623762376237622"/>
    <x v="0"/>
  </r>
  <r>
    <n v="1297"/>
    <s v="484 Elm St, CityC"/>
    <x v="288"/>
    <x v="1"/>
    <x v="76"/>
    <x v="1"/>
    <x v="2"/>
    <n v="175"/>
    <n v="0"/>
    <x v="1"/>
    <x v="4"/>
    <x v="2"/>
    <x v="0"/>
    <x v="1"/>
    <x v="3"/>
    <s v="Thursday"/>
    <n v="9"/>
    <n v="1"/>
    <n v="100"/>
    <x v="1"/>
  </r>
  <r>
    <n v="1298"/>
    <s v="346 Elm St, CityA"/>
    <x v="289"/>
    <x v="1"/>
    <x v="22"/>
    <x v="0"/>
    <x v="4"/>
    <n v="155"/>
    <n v="3"/>
    <x v="1"/>
    <x v="1"/>
    <x v="1"/>
    <x v="2"/>
    <x v="1"/>
    <x v="2"/>
    <s v="Sunday"/>
    <n v="8"/>
    <n v="0.98101265822784811"/>
    <n v="98.101265822784811"/>
    <x v="0"/>
  </r>
  <r>
    <n v="1299"/>
    <s v="510 Pine St, CityB"/>
    <x v="97"/>
    <x v="0"/>
    <x v="22"/>
    <x v="2"/>
    <x v="1"/>
    <n v="153"/>
    <n v="2"/>
    <x v="1"/>
    <x v="3"/>
    <x v="1"/>
    <x v="0"/>
    <x v="1"/>
    <x v="7"/>
    <s v="Tuesday"/>
    <n v="8"/>
    <n v="0.98709677419354835"/>
    <n v="98.709677419354833"/>
    <x v="0"/>
  </r>
  <r>
    <n v="1300"/>
    <s v="311 Cedar St, CityC"/>
    <x v="290"/>
    <x v="1"/>
    <x v="4"/>
    <x v="0"/>
    <x v="0"/>
    <n v="178"/>
    <n v="29"/>
    <x v="0"/>
    <x v="4"/>
    <x v="0"/>
    <x v="2"/>
    <x v="0"/>
    <x v="5"/>
    <s v="Saturday"/>
    <n v="9"/>
    <n v="0.85990338164251212"/>
    <n v="85.990338164251213"/>
    <x v="0"/>
  </r>
  <r>
    <n v="1301"/>
    <s v="234 Elm St, CityD"/>
    <x v="291"/>
    <x v="0"/>
    <x v="30"/>
    <x v="1"/>
    <x v="1"/>
    <n v="178"/>
    <n v="11"/>
    <x v="1"/>
    <x v="1"/>
    <x v="0"/>
    <x v="0"/>
    <x v="1"/>
    <x v="6"/>
    <s v="Friday"/>
    <n v="11"/>
    <n v="0.94179894179894175"/>
    <n v="94.179894179894177"/>
    <x v="0"/>
  </r>
  <r>
    <n v="1302"/>
    <s v="622 Pine St, CityD"/>
    <x v="292"/>
    <x v="1"/>
    <x v="76"/>
    <x v="1"/>
    <x v="3"/>
    <n v="237"/>
    <n v="1"/>
    <x v="1"/>
    <x v="0"/>
    <x v="2"/>
    <x v="0"/>
    <x v="1"/>
    <x v="5"/>
    <s v="Saturday"/>
    <n v="10"/>
    <n v="0.99579831932773111"/>
    <n v="99.579831932773118"/>
    <x v="0"/>
  </r>
  <r>
    <n v="1303"/>
    <s v="446 Elm St, CityD"/>
    <x v="293"/>
    <x v="1"/>
    <x v="70"/>
    <x v="2"/>
    <x v="0"/>
    <n v="115"/>
    <n v="17"/>
    <x v="2"/>
    <x v="0"/>
    <x v="2"/>
    <x v="0"/>
    <x v="2"/>
    <x v="1"/>
    <s v="Friday"/>
    <n v="9"/>
    <n v="0.87121212121212122"/>
    <n v="87.121212121212125"/>
    <x v="0"/>
  </r>
  <r>
    <n v="1304"/>
    <s v="993 Main St, CityC"/>
    <x v="294"/>
    <x v="1"/>
    <x v="90"/>
    <x v="0"/>
    <x v="0"/>
    <n v="185"/>
    <n v="5"/>
    <x v="2"/>
    <x v="0"/>
    <x v="0"/>
    <x v="1"/>
    <x v="2"/>
    <x v="7"/>
    <s v="Tuesday"/>
    <n v="16"/>
    <n v="0.97368421052631582"/>
    <n v="97.368421052631575"/>
    <x v="0"/>
  </r>
  <r>
    <n v="1305"/>
    <s v="985 Main St, CityA"/>
    <x v="295"/>
    <x v="1"/>
    <x v="5"/>
    <x v="0"/>
    <x v="4"/>
    <n v="200"/>
    <n v="2"/>
    <x v="1"/>
    <x v="1"/>
    <x v="2"/>
    <x v="0"/>
    <x v="1"/>
    <x v="5"/>
    <s v="Saturday"/>
    <n v="16"/>
    <n v="0.99009900990099009"/>
    <n v="99.009900990099013"/>
    <x v="0"/>
  </r>
  <r>
    <n v="1306"/>
    <s v="976 Oak St, CityD"/>
    <x v="296"/>
    <x v="1"/>
    <x v="77"/>
    <x v="0"/>
    <x v="1"/>
    <n v="171"/>
    <n v="15"/>
    <x v="1"/>
    <x v="4"/>
    <x v="0"/>
    <x v="0"/>
    <x v="1"/>
    <x v="3"/>
    <s v="Thursday"/>
    <n v="16"/>
    <n v="0.91935483870967738"/>
    <n v="91.935483870967744"/>
    <x v="0"/>
  </r>
  <r>
    <n v="1307"/>
    <s v="623 Oak St, CityB"/>
    <x v="297"/>
    <x v="1"/>
    <x v="40"/>
    <x v="2"/>
    <x v="4"/>
    <n v="164"/>
    <n v="3"/>
    <x v="2"/>
    <x v="0"/>
    <x v="2"/>
    <x v="1"/>
    <x v="2"/>
    <x v="2"/>
    <s v="Sunday"/>
    <n v="12"/>
    <n v="0.98203592814371254"/>
    <n v="98.203592814371248"/>
    <x v="0"/>
  </r>
  <r>
    <n v="1308"/>
    <s v="241 Cedar St, CityD"/>
    <x v="298"/>
    <x v="0"/>
    <x v="18"/>
    <x v="2"/>
    <x v="3"/>
    <n v="62"/>
    <n v="1"/>
    <x v="2"/>
    <x v="3"/>
    <x v="2"/>
    <x v="1"/>
    <x v="2"/>
    <x v="5"/>
    <s v="Saturday"/>
    <n v="10"/>
    <n v="0.98412698412698407"/>
    <n v="98.412698412698404"/>
    <x v="0"/>
  </r>
  <r>
    <n v="1309"/>
    <s v="823 Elm St, CityD"/>
    <x v="299"/>
    <x v="0"/>
    <x v="57"/>
    <x v="0"/>
    <x v="3"/>
    <n v="201"/>
    <n v="11"/>
    <x v="1"/>
    <x v="0"/>
    <x v="0"/>
    <x v="0"/>
    <x v="1"/>
    <x v="4"/>
    <s v="Wednesday"/>
    <n v="15"/>
    <n v="0.94811320754716977"/>
    <n v="94.811320754716974"/>
    <x v="0"/>
  </r>
  <r>
    <n v="1310"/>
    <s v="503 Main St, CityC"/>
    <x v="300"/>
    <x v="1"/>
    <x v="98"/>
    <x v="0"/>
    <x v="1"/>
    <n v="227"/>
    <n v="12"/>
    <x v="1"/>
    <x v="1"/>
    <x v="0"/>
    <x v="2"/>
    <x v="1"/>
    <x v="0"/>
    <s v="Monday"/>
    <n v="16"/>
    <n v="0.94979079497907948"/>
    <n v="94.979079497907946"/>
    <x v="0"/>
  </r>
  <r>
    <n v="1311"/>
    <s v="647 Elm St, CityC"/>
    <x v="301"/>
    <x v="0"/>
    <x v="72"/>
    <x v="2"/>
    <x v="4"/>
    <n v="174"/>
    <n v="29"/>
    <x v="0"/>
    <x v="0"/>
    <x v="2"/>
    <x v="2"/>
    <x v="0"/>
    <x v="4"/>
    <s v="Wednesday"/>
    <n v="15"/>
    <n v="0.8571428571428571"/>
    <n v="85.714285714285708"/>
    <x v="0"/>
  </r>
  <r>
    <n v="1312"/>
    <s v="646 Oak St, CityE"/>
    <x v="302"/>
    <x v="1"/>
    <x v="9"/>
    <x v="2"/>
    <x v="0"/>
    <n v="69"/>
    <n v="20"/>
    <x v="2"/>
    <x v="2"/>
    <x v="0"/>
    <x v="1"/>
    <x v="2"/>
    <x v="1"/>
    <s v="Friday"/>
    <n v="15"/>
    <n v="0.7752808988764045"/>
    <n v="77.528089887640448"/>
    <x v="0"/>
  </r>
  <r>
    <n v="1313"/>
    <s v="440 Cedar St, CityA"/>
    <x v="303"/>
    <x v="0"/>
    <x v="3"/>
    <x v="1"/>
    <x v="1"/>
    <n v="182"/>
    <n v="15"/>
    <x v="1"/>
    <x v="1"/>
    <x v="0"/>
    <x v="0"/>
    <x v="1"/>
    <x v="1"/>
    <s v="Friday"/>
    <n v="16"/>
    <n v="0.92385786802030456"/>
    <n v="92.385786802030452"/>
    <x v="0"/>
  </r>
  <r>
    <n v="1314"/>
    <s v="614 Elm St, CityE"/>
    <x v="268"/>
    <x v="0"/>
    <x v="52"/>
    <x v="2"/>
    <x v="2"/>
    <n v="96"/>
    <n v="4"/>
    <x v="0"/>
    <x v="2"/>
    <x v="1"/>
    <x v="1"/>
    <x v="0"/>
    <x v="1"/>
    <s v="Friday"/>
    <n v="8"/>
    <n v="0.96"/>
    <n v="96"/>
    <x v="0"/>
  </r>
  <r>
    <n v="1315"/>
    <s v="289 Oak St, CityC"/>
    <x v="304"/>
    <x v="0"/>
    <x v="1"/>
    <x v="0"/>
    <x v="3"/>
    <n v="171"/>
    <n v="2"/>
    <x v="0"/>
    <x v="3"/>
    <x v="0"/>
    <x v="0"/>
    <x v="0"/>
    <x v="4"/>
    <s v="Wednesday"/>
    <n v="14"/>
    <n v="0.98843930635838151"/>
    <n v="98.843930635838149"/>
    <x v="0"/>
  </r>
  <r>
    <n v="1316"/>
    <s v="827 Elm St, CityC"/>
    <x v="305"/>
    <x v="0"/>
    <x v="43"/>
    <x v="2"/>
    <x v="0"/>
    <n v="193"/>
    <n v="3"/>
    <x v="0"/>
    <x v="3"/>
    <x v="0"/>
    <x v="1"/>
    <x v="0"/>
    <x v="5"/>
    <s v="Saturday"/>
    <n v="15"/>
    <n v="0.98469387755102045"/>
    <n v="98.469387755102048"/>
    <x v="0"/>
  </r>
  <r>
    <n v="1317"/>
    <s v="579 Pine St, CityA"/>
    <x v="306"/>
    <x v="1"/>
    <x v="11"/>
    <x v="2"/>
    <x v="2"/>
    <n v="176"/>
    <n v="27"/>
    <x v="2"/>
    <x v="1"/>
    <x v="0"/>
    <x v="2"/>
    <x v="2"/>
    <x v="0"/>
    <s v="Monday"/>
    <n v="10"/>
    <n v="0.86699507389162567"/>
    <n v="86.699507389162562"/>
    <x v="0"/>
  </r>
  <r>
    <n v="1318"/>
    <s v="19 Pine St, CityC"/>
    <x v="307"/>
    <x v="0"/>
    <x v="26"/>
    <x v="2"/>
    <x v="3"/>
    <n v="135"/>
    <n v="11"/>
    <x v="2"/>
    <x v="3"/>
    <x v="1"/>
    <x v="2"/>
    <x v="2"/>
    <x v="5"/>
    <s v="Saturday"/>
    <n v="14"/>
    <n v="0.92465753424657537"/>
    <n v="92.465753424657535"/>
    <x v="0"/>
  </r>
  <r>
    <n v="1319"/>
    <s v="428 Elm St, CityB"/>
    <x v="308"/>
    <x v="0"/>
    <x v="79"/>
    <x v="2"/>
    <x v="0"/>
    <n v="197"/>
    <n v="25"/>
    <x v="1"/>
    <x v="0"/>
    <x v="0"/>
    <x v="1"/>
    <x v="1"/>
    <x v="3"/>
    <s v="Thursday"/>
    <n v="12"/>
    <n v="0.88738738738738743"/>
    <n v="88.738738738738746"/>
    <x v="0"/>
  </r>
  <r>
    <n v="1320"/>
    <s v="968 Oak St, CityB"/>
    <x v="309"/>
    <x v="0"/>
    <x v="62"/>
    <x v="0"/>
    <x v="0"/>
    <n v="102"/>
    <n v="9"/>
    <x v="1"/>
    <x v="1"/>
    <x v="1"/>
    <x v="1"/>
    <x v="1"/>
    <x v="5"/>
    <s v="Saturday"/>
    <n v="9"/>
    <n v="0.91891891891891897"/>
    <n v="91.891891891891902"/>
    <x v="0"/>
  </r>
  <r>
    <n v="1321"/>
    <s v="932 Oak St, CityD"/>
    <x v="310"/>
    <x v="1"/>
    <x v="55"/>
    <x v="0"/>
    <x v="0"/>
    <n v="196"/>
    <n v="23"/>
    <x v="2"/>
    <x v="4"/>
    <x v="2"/>
    <x v="1"/>
    <x v="2"/>
    <x v="6"/>
    <s v="Friday"/>
    <n v="10"/>
    <n v="0.89497716894977164"/>
    <n v="89.49771689497716"/>
    <x v="0"/>
  </r>
  <r>
    <n v="1322"/>
    <s v="806 Oak St, CityE"/>
    <x v="311"/>
    <x v="0"/>
    <x v="1"/>
    <x v="2"/>
    <x v="4"/>
    <n v="76"/>
    <n v="26"/>
    <x v="1"/>
    <x v="1"/>
    <x v="0"/>
    <x v="2"/>
    <x v="1"/>
    <x v="2"/>
    <s v="Sunday"/>
    <n v="12"/>
    <n v="0.74509803921568629"/>
    <n v="74.509803921568633"/>
    <x v="0"/>
  </r>
  <r>
    <n v="1323"/>
    <s v="349 Cedar St, CityC"/>
    <x v="83"/>
    <x v="0"/>
    <x v="92"/>
    <x v="1"/>
    <x v="1"/>
    <n v="213"/>
    <n v="4"/>
    <x v="0"/>
    <x v="1"/>
    <x v="2"/>
    <x v="0"/>
    <x v="0"/>
    <x v="2"/>
    <s v="Sunday"/>
    <n v="14"/>
    <n v="0.98156682027649766"/>
    <n v="98.156682027649765"/>
    <x v="0"/>
  </r>
  <r>
    <n v="1324"/>
    <s v="716 Elm St, CityB"/>
    <x v="312"/>
    <x v="1"/>
    <x v="86"/>
    <x v="0"/>
    <x v="1"/>
    <n v="119"/>
    <n v="10"/>
    <x v="0"/>
    <x v="0"/>
    <x v="0"/>
    <x v="0"/>
    <x v="0"/>
    <x v="3"/>
    <s v="Thursday"/>
    <n v="15"/>
    <n v="0.92248062015503873"/>
    <n v="92.248062015503876"/>
    <x v="0"/>
  </r>
  <r>
    <n v="1325"/>
    <s v="989 Oak St, CityE"/>
    <x v="313"/>
    <x v="0"/>
    <x v="58"/>
    <x v="0"/>
    <x v="4"/>
    <n v="201"/>
    <n v="7"/>
    <x v="1"/>
    <x v="1"/>
    <x v="1"/>
    <x v="1"/>
    <x v="1"/>
    <x v="1"/>
    <s v="Friday"/>
    <n v="15"/>
    <n v="0.96634615384615385"/>
    <n v="96.634615384615387"/>
    <x v="0"/>
  </r>
  <r>
    <n v="1326"/>
    <s v="995 Elm St, CityE"/>
    <x v="314"/>
    <x v="0"/>
    <x v="12"/>
    <x v="2"/>
    <x v="4"/>
    <n v="122"/>
    <n v="8"/>
    <x v="2"/>
    <x v="0"/>
    <x v="1"/>
    <x v="2"/>
    <x v="2"/>
    <x v="4"/>
    <s v="Wednesday"/>
    <n v="12"/>
    <n v="0.93846153846153846"/>
    <n v="93.84615384615384"/>
    <x v="0"/>
  </r>
  <r>
    <n v="1327"/>
    <s v="625 Elm St, CityB"/>
    <x v="315"/>
    <x v="1"/>
    <x v="40"/>
    <x v="0"/>
    <x v="2"/>
    <n v="178"/>
    <n v="24"/>
    <x v="2"/>
    <x v="1"/>
    <x v="1"/>
    <x v="1"/>
    <x v="2"/>
    <x v="5"/>
    <s v="Saturday"/>
    <n v="11"/>
    <n v="0.88118811881188119"/>
    <n v="88.118811881188122"/>
    <x v="0"/>
  </r>
  <r>
    <n v="1328"/>
    <s v="501 Cedar St, CityD"/>
    <x v="316"/>
    <x v="1"/>
    <x v="30"/>
    <x v="1"/>
    <x v="2"/>
    <n v="143"/>
    <n v="14"/>
    <x v="0"/>
    <x v="4"/>
    <x v="0"/>
    <x v="0"/>
    <x v="0"/>
    <x v="5"/>
    <s v="Saturday"/>
    <n v="12"/>
    <n v="0.91082802547770703"/>
    <n v="91.082802547770697"/>
    <x v="0"/>
  </r>
  <r>
    <n v="1329"/>
    <s v="912 Main St, CityC"/>
    <x v="317"/>
    <x v="0"/>
    <x v="64"/>
    <x v="0"/>
    <x v="4"/>
    <n v="191"/>
    <n v="9"/>
    <x v="1"/>
    <x v="1"/>
    <x v="2"/>
    <x v="2"/>
    <x v="1"/>
    <x v="4"/>
    <s v="Wednesday"/>
    <n v="14"/>
    <n v="0.95499999999999996"/>
    <n v="95.5"/>
    <x v="0"/>
  </r>
  <r>
    <n v="1330"/>
    <s v="524 Main St, CityD"/>
    <x v="318"/>
    <x v="1"/>
    <x v="43"/>
    <x v="0"/>
    <x v="1"/>
    <n v="84"/>
    <n v="15"/>
    <x v="1"/>
    <x v="4"/>
    <x v="0"/>
    <x v="2"/>
    <x v="1"/>
    <x v="6"/>
    <s v="Friday"/>
    <n v="14"/>
    <n v="0.84848484848484851"/>
    <n v="84.848484848484844"/>
    <x v="0"/>
  </r>
  <r>
    <n v="1331"/>
    <s v="769 Elm St, CityE"/>
    <x v="319"/>
    <x v="1"/>
    <x v="1"/>
    <x v="1"/>
    <x v="2"/>
    <n v="91"/>
    <n v="17"/>
    <x v="0"/>
    <x v="2"/>
    <x v="0"/>
    <x v="2"/>
    <x v="0"/>
    <x v="0"/>
    <s v="Monday"/>
    <n v="16"/>
    <n v="0.84259259259259256"/>
    <n v="84.259259259259252"/>
    <x v="0"/>
  </r>
  <r>
    <n v="1332"/>
    <s v="330 Main St, CityE"/>
    <x v="320"/>
    <x v="1"/>
    <x v="26"/>
    <x v="2"/>
    <x v="2"/>
    <n v="90"/>
    <n v="9"/>
    <x v="1"/>
    <x v="3"/>
    <x v="0"/>
    <x v="0"/>
    <x v="1"/>
    <x v="7"/>
    <s v="Tuesday"/>
    <n v="10"/>
    <n v="0.90909090909090906"/>
    <n v="90.909090909090907"/>
    <x v="0"/>
  </r>
  <r>
    <n v="1333"/>
    <s v="503 Pine St, CityE"/>
    <x v="321"/>
    <x v="0"/>
    <x v="42"/>
    <x v="1"/>
    <x v="3"/>
    <n v="185"/>
    <n v="13"/>
    <x v="2"/>
    <x v="3"/>
    <x v="2"/>
    <x v="0"/>
    <x v="2"/>
    <x v="0"/>
    <s v="Monday"/>
    <n v="16"/>
    <n v="0.93434343434343436"/>
    <n v="93.434343434343432"/>
    <x v="0"/>
  </r>
  <r>
    <n v="1334"/>
    <s v="923 Oak St, CityA"/>
    <x v="191"/>
    <x v="0"/>
    <x v="68"/>
    <x v="0"/>
    <x v="0"/>
    <n v="190"/>
    <n v="28"/>
    <x v="2"/>
    <x v="2"/>
    <x v="1"/>
    <x v="1"/>
    <x v="2"/>
    <x v="3"/>
    <s v="Thursday"/>
    <n v="13"/>
    <n v="0.87155963302752293"/>
    <n v="87.155963302752298"/>
    <x v="0"/>
  </r>
  <r>
    <n v="1335"/>
    <s v="461 Pine St, CityB"/>
    <x v="322"/>
    <x v="1"/>
    <x v="26"/>
    <x v="0"/>
    <x v="3"/>
    <n v="118"/>
    <n v="18"/>
    <x v="2"/>
    <x v="4"/>
    <x v="1"/>
    <x v="0"/>
    <x v="2"/>
    <x v="6"/>
    <s v="Friday"/>
    <n v="13"/>
    <n v="0.86764705882352944"/>
    <n v="86.764705882352942"/>
    <x v="0"/>
  </r>
  <r>
    <n v="1336"/>
    <s v="811 Oak St, CityB"/>
    <x v="323"/>
    <x v="1"/>
    <x v="99"/>
    <x v="1"/>
    <x v="3"/>
    <n v="237"/>
    <n v="9"/>
    <x v="1"/>
    <x v="1"/>
    <x v="1"/>
    <x v="0"/>
    <x v="1"/>
    <x v="7"/>
    <s v="Tuesday"/>
    <n v="14"/>
    <n v="0.96341463414634143"/>
    <n v="96.341463414634148"/>
    <x v="0"/>
  </r>
  <r>
    <n v="1337"/>
    <s v="373 Main St, CityD"/>
    <x v="324"/>
    <x v="0"/>
    <x v="37"/>
    <x v="0"/>
    <x v="4"/>
    <n v="67"/>
    <n v="2"/>
    <x v="1"/>
    <x v="3"/>
    <x v="2"/>
    <x v="0"/>
    <x v="1"/>
    <x v="3"/>
    <s v="Thursday"/>
    <n v="8"/>
    <n v="0.97101449275362317"/>
    <n v="97.101449275362313"/>
    <x v="0"/>
  </r>
  <r>
    <n v="1338"/>
    <s v="253 Elm St, CityA"/>
    <x v="254"/>
    <x v="1"/>
    <x v="51"/>
    <x v="1"/>
    <x v="1"/>
    <n v="191"/>
    <n v="10"/>
    <x v="2"/>
    <x v="3"/>
    <x v="2"/>
    <x v="2"/>
    <x v="2"/>
    <x v="3"/>
    <s v="Thursday"/>
    <n v="12"/>
    <n v="0.95024875621890548"/>
    <n v="95.024875621890544"/>
    <x v="0"/>
  </r>
  <r>
    <n v="1339"/>
    <s v="336 Oak St, CityE"/>
    <x v="325"/>
    <x v="0"/>
    <x v="76"/>
    <x v="2"/>
    <x v="1"/>
    <n v="149"/>
    <n v="7"/>
    <x v="2"/>
    <x v="0"/>
    <x v="0"/>
    <x v="0"/>
    <x v="2"/>
    <x v="0"/>
    <s v="Monday"/>
    <n v="14"/>
    <n v="0.95512820512820518"/>
    <n v="95.512820512820511"/>
    <x v="0"/>
  </r>
  <r>
    <n v="1340"/>
    <s v="495 Cedar St, CityB"/>
    <x v="326"/>
    <x v="1"/>
    <x v="22"/>
    <x v="2"/>
    <x v="2"/>
    <n v="215"/>
    <n v="9"/>
    <x v="2"/>
    <x v="0"/>
    <x v="1"/>
    <x v="0"/>
    <x v="2"/>
    <x v="3"/>
    <s v="Thursday"/>
    <n v="12"/>
    <n v="0.9598214285714286"/>
    <n v="95.982142857142861"/>
    <x v="0"/>
  </r>
  <r>
    <n v="1341"/>
    <s v="803 Oak St, CityC"/>
    <x v="327"/>
    <x v="1"/>
    <x v="7"/>
    <x v="2"/>
    <x v="4"/>
    <n v="211"/>
    <n v="8"/>
    <x v="0"/>
    <x v="1"/>
    <x v="2"/>
    <x v="1"/>
    <x v="0"/>
    <x v="6"/>
    <s v="Friday"/>
    <n v="8"/>
    <n v="0.9634703196347032"/>
    <n v="96.347031963470315"/>
    <x v="0"/>
  </r>
  <r>
    <n v="1342"/>
    <s v="497 Oak St, CityE"/>
    <x v="328"/>
    <x v="1"/>
    <x v="85"/>
    <x v="0"/>
    <x v="0"/>
    <n v="185"/>
    <n v="26"/>
    <x v="1"/>
    <x v="1"/>
    <x v="1"/>
    <x v="2"/>
    <x v="1"/>
    <x v="2"/>
    <s v="Sunday"/>
    <n v="16"/>
    <n v="0.87677725118483407"/>
    <n v="87.677725118483409"/>
    <x v="0"/>
  </r>
  <r>
    <n v="1343"/>
    <s v="905 Cedar St, CityB"/>
    <x v="293"/>
    <x v="0"/>
    <x v="91"/>
    <x v="0"/>
    <x v="3"/>
    <n v="106"/>
    <n v="24"/>
    <x v="0"/>
    <x v="1"/>
    <x v="1"/>
    <x v="1"/>
    <x v="0"/>
    <x v="1"/>
    <s v="Friday"/>
    <n v="9"/>
    <n v="0.81538461538461537"/>
    <n v="81.538461538461533"/>
    <x v="0"/>
  </r>
  <r>
    <n v="1344"/>
    <s v="844 Elm St, CityE"/>
    <x v="329"/>
    <x v="1"/>
    <x v="2"/>
    <x v="1"/>
    <x v="1"/>
    <n v="156"/>
    <n v="15"/>
    <x v="2"/>
    <x v="3"/>
    <x v="0"/>
    <x v="2"/>
    <x v="2"/>
    <x v="4"/>
    <s v="Wednesday"/>
    <n v="10"/>
    <n v="0.91228070175438591"/>
    <n v="91.228070175438589"/>
    <x v="0"/>
  </r>
  <r>
    <n v="1345"/>
    <s v="620 Main St, CityC"/>
    <x v="330"/>
    <x v="1"/>
    <x v="99"/>
    <x v="2"/>
    <x v="0"/>
    <n v="203"/>
    <n v="1"/>
    <x v="2"/>
    <x v="1"/>
    <x v="0"/>
    <x v="0"/>
    <x v="2"/>
    <x v="2"/>
    <s v="Sunday"/>
    <n v="9"/>
    <n v="0.99509803921568629"/>
    <n v="99.509803921568633"/>
    <x v="0"/>
  </r>
  <r>
    <n v="1346"/>
    <s v="752 Main St, CityB"/>
    <x v="331"/>
    <x v="0"/>
    <x v="23"/>
    <x v="1"/>
    <x v="4"/>
    <n v="110"/>
    <n v="12"/>
    <x v="2"/>
    <x v="2"/>
    <x v="0"/>
    <x v="0"/>
    <x v="2"/>
    <x v="4"/>
    <s v="Wednesday"/>
    <n v="10"/>
    <n v="0.90163934426229508"/>
    <n v="90.163934426229503"/>
    <x v="0"/>
  </r>
  <r>
    <n v="1347"/>
    <s v="537 Cedar St, CityC"/>
    <x v="332"/>
    <x v="0"/>
    <x v="29"/>
    <x v="2"/>
    <x v="2"/>
    <n v="185"/>
    <n v="12"/>
    <x v="1"/>
    <x v="2"/>
    <x v="1"/>
    <x v="2"/>
    <x v="1"/>
    <x v="3"/>
    <s v="Thursday"/>
    <n v="11"/>
    <n v="0.93908629441624369"/>
    <n v="93.90862944162437"/>
    <x v="0"/>
  </r>
  <r>
    <n v="1348"/>
    <s v="255 Pine St, CityD"/>
    <x v="333"/>
    <x v="0"/>
    <x v="3"/>
    <x v="1"/>
    <x v="3"/>
    <n v="156"/>
    <n v="1"/>
    <x v="2"/>
    <x v="1"/>
    <x v="2"/>
    <x v="1"/>
    <x v="2"/>
    <x v="2"/>
    <s v="Sunday"/>
    <n v="12"/>
    <n v="0.99363057324840764"/>
    <n v="99.363057324840767"/>
    <x v="0"/>
  </r>
  <r>
    <n v="1349"/>
    <s v="718 Main St, CityC"/>
    <x v="334"/>
    <x v="1"/>
    <x v="8"/>
    <x v="1"/>
    <x v="0"/>
    <n v="237"/>
    <n v="6"/>
    <x v="2"/>
    <x v="0"/>
    <x v="0"/>
    <x v="0"/>
    <x v="2"/>
    <x v="0"/>
    <s v="Monday"/>
    <n v="8"/>
    <n v="0.97530864197530864"/>
    <n v="97.53086419753086"/>
    <x v="0"/>
  </r>
  <r>
    <n v="1350"/>
    <s v="268 Elm St, CityB"/>
    <x v="335"/>
    <x v="1"/>
    <x v="64"/>
    <x v="1"/>
    <x v="1"/>
    <n v="107"/>
    <n v="26"/>
    <x v="2"/>
    <x v="1"/>
    <x v="1"/>
    <x v="1"/>
    <x v="2"/>
    <x v="3"/>
    <s v="Thursday"/>
    <n v="12"/>
    <n v="0.80451127819548873"/>
    <n v="80.451127819548873"/>
    <x v="0"/>
  </r>
  <r>
    <n v="1351"/>
    <s v="304 Main St, CityA"/>
    <x v="336"/>
    <x v="0"/>
    <x v="34"/>
    <x v="2"/>
    <x v="0"/>
    <n v="176"/>
    <n v="16"/>
    <x v="1"/>
    <x v="4"/>
    <x v="1"/>
    <x v="1"/>
    <x v="1"/>
    <x v="0"/>
    <s v="Monday"/>
    <n v="16"/>
    <n v="0.91666666666666663"/>
    <n v="91.666666666666657"/>
    <x v="0"/>
  </r>
  <r>
    <n v="1352"/>
    <s v="668 Pine St, CityA"/>
    <x v="324"/>
    <x v="0"/>
    <x v="71"/>
    <x v="1"/>
    <x v="4"/>
    <n v="130"/>
    <n v="14"/>
    <x v="1"/>
    <x v="2"/>
    <x v="2"/>
    <x v="2"/>
    <x v="1"/>
    <x v="3"/>
    <s v="Thursday"/>
    <n v="8"/>
    <n v="0.90277777777777779"/>
    <n v="90.277777777777786"/>
    <x v="0"/>
  </r>
  <r>
    <n v="1353"/>
    <s v="378 Pine St, CityB"/>
    <x v="337"/>
    <x v="0"/>
    <x v="46"/>
    <x v="0"/>
    <x v="4"/>
    <n v="83"/>
    <n v="19"/>
    <x v="0"/>
    <x v="2"/>
    <x v="0"/>
    <x v="1"/>
    <x v="0"/>
    <x v="3"/>
    <s v="Thursday"/>
    <n v="10"/>
    <n v="0.81372549019607843"/>
    <n v="81.372549019607845"/>
    <x v="0"/>
  </r>
  <r>
    <n v="1354"/>
    <s v="458 Pine St, CityE"/>
    <x v="338"/>
    <x v="1"/>
    <x v="79"/>
    <x v="1"/>
    <x v="2"/>
    <n v="146"/>
    <n v="17"/>
    <x v="2"/>
    <x v="4"/>
    <x v="1"/>
    <x v="0"/>
    <x v="2"/>
    <x v="6"/>
    <s v="Friday"/>
    <n v="15"/>
    <n v="0.89570552147239269"/>
    <n v="89.570552147239269"/>
    <x v="0"/>
  </r>
  <r>
    <n v="1355"/>
    <s v="161 Cedar St, CityD"/>
    <x v="339"/>
    <x v="0"/>
    <x v="21"/>
    <x v="1"/>
    <x v="2"/>
    <n v="126"/>
    <n v="9"/>
    <x v="1"/>
    <x v="2"/>
    <x v="0"/>
    <x v="0"/>
    <x v="1"/>
    <x v="1"/>
    <s v="Friday"/>
    <n v="9"/>
    <n v="0.93333333333333335"/>
    <n v="93.333333333333329"/>
    <x v="0"/>
  </r>
  <r>
    <n v="1356"/>
    <s v="777 Oak St, CityA"/>
    <x v="340"/>
    <x v="1"/>
    <x v="7"/>
    <x v="2"/>
    <x v="1"/>
    <n v="81"/>
    <n v="3"/>
    <x v="2"/>
    <x v="4"/>
    <x v="0"/>
    <x v="1"/>
    <x v="2"/>
    <x v="7"/>
    <s v="Tuesday"/>
    <n v="9"/>
    <n v="0.9642857142857143"/>
    <n v="96.428571428571431"/>
    <x v="0"/>
  </r>
  <r>
    <n v="1357"/>
    <s v="960 Oak St, CityD"/>
    <x v="341"/>
    <x v="0"/>
    <x v="75"/>
    <x v="1"/>
    <x v="4"/>
    <n v="152"/>
    <n v="18"/>
    <x v="2"/>
    <x v="4"/>
    <x v="0"/>
    <x v="2"/>
    <x v="2"/>
    <x v="5"/>
    <s v="Saturday"/>
    <n v="9"/>
    <n v="0.89411764705882357"/>
    <n v="89.411764705882362"/>
    <x v="0"/>
  </r>
  <r>
    <n v="1358"/>
    <s v="283 Elm St, CityE"/>
    <x v="342"/>
    <x v="0"/>
    <x v="58"/>
    <x v="1"/>
    <x v="1"/>
    <n v="110"/>
    <n v="15"/>
    <x v="2"/>
    <x v="4"/>
    <x v="2"/>
    <x v="1"/>
    <x v="2"/>
    <x v="2"/>
    <s v="Sunday"/>
    <n v="11"/>
    <n v="0.88"/>
    <n v="88"/>
    <x v="0"/>
  </r>
  <r>
    <n v="1359"/>
    <s v="465 Oak St, CityB"/>
    <x v="343"/>
    <x v="0"/>
    <x v="44"/>
    <x v="2"/>
    <x v="2"/>
    <n v="164"/>
    <n v="1"/>
    <x v="1"/>
    <x v="2"/>
    <x v="0"/>
    <x v="2"/>
    <x v="1"/>
    <x v="3"/>
    <s v="Thursday"/>
    <n v="11"/>
    <n v="0.9939393939393939"/>
    <n v="99.393939393939391"/>
    <x v="0"/>
  </r>
  <r>
    <n v="1360"/>
    <s v="601 Elm St, CityC"/>
    <x v="344"/>
    <x v="0"/>
    <x v="88"/>
    <x v="0"/>
    <x v="3"/>
    <n v="171"/>
    <n v="27"/>
    <x v="2"/>
    <x v="2"/>
    <x v="1"/>
    <x v="1"/>
    <x v="2"/>
    <x v="0"/>
    <s v="Monday"/>
    <n v="9"/>
    <n v="0.86363636363636365"/>
    <n v="86.36363636363636"/>
    <x v="0"/>
  </r>
  <r>
    <n v="1361"/>
    <s v="980 Main St, CityA"/>
    <x v="312"/>
    <x v="0"/>
    <x v="36"/>
    <x v="0"/>
    <x v="4"/>
    <n v="189"/>
    <n v="3"/>
    <x v="1"/>
    <x v="0"/>
    <x v="2"/>
    <x v="0"/>
    <x v="1"/>
    <x v="3"/>
    <s v="Thursday"/>
    <n v="15"/>
    <n v="0.984375"/>
    <n v="98.4375"/>
    <x v="0"/>
  </r>
  <r>
    <n v="1362"/>
    <s v="54 Oak St, CityE"/>
    <x v="345"/>
    <x v="0"/>
    <x v="1"/>
    <x v="0"/>
    <x v="2"/>
    <n v="136"/>
    <n v="14"/>
    <x v="2"/>
    <x v="0"/>
    <x v="1"/>
    <x v="0"/>
    <x v="2"/>
    <x v="2"/>
    <s v="Sunday"/>
    <n v="8"/>
    <n v="0.90666666666666662"/>
    <n v="90.666666666666657"/>
    <x v="0"/>
  </r>
  <r>
    <n v="1363"/>
    <s v="489 Oak St, CityB"/>
    <x v="346"/>
    <x v="0"/>
    <x v="17"/>
    <x v="2"/>
    <x v="4"/>
    <n v="67"/>
    <n v="20"/>
    <x v="2"/>
    <x v="4"/>
    <x v="2"/>
    <x v="2"/>
    <x v="2"/>
    <x v="7"/>
    <s v="Tuesday"/>
    <n v="11"/>
    <n v="0.77011494252873558"/>
    <n v="77.011494252873561"/>
    <x v="0"/>
  </r>
  <r>
    <n v="1364"/>
    <s v="323 Pine St, CityE"/>
    <x v="347"/>
    <x v="0"/>
    <x v="55"/>
    <x v="0"/>
    <x v="2"/>
    <n v="171"/>
    <n v="20"/>
    <x v="2"/>
    <x v="1"/>
    <x v="1"/>
    <x v="1"/>
    <x v="2"/>
    <x v="5"/>
    <s v="Saturday"/>
    <n v="13"/>
    <n v="0.89528795811518325"/>
    <n v="89.528795811518322"/>
    <x v="0"/>
  </r>
  <r>
    <n v="1365"/>
    <s v="27 Pine St, CityC"/>
    <x v="348"/>
    <x v="1"/>
    <x v="19"/>
    <x v="1"/>
    <x v="3"/>
    <n v="85"/>
    <n v="9"/>
    <x v="0"/>
    <x v="3"/>
    <x v="0"/>
    <x v="0"/>
    <x v="0"/>
    <x v="1"/>
    <s v="Friday"/>
    <n v="14"/>
    <n v="0.9042553191489362"/>
    <n v="90.425531914893625"/>
    <x v="0"/>
  </r>
  <r>
    <n v="1366"/>
    <s v="406 Elm St, CityC"/>
    <x v="349"/>
    <x v="1"/>
    <x v="76"/>
    <x v="0"/>
    <x v="2"/>
    <n v="62"/>
    <n v="19"/>
    <x v="0"/>
    <x v="2"/>
    <x v="2"/>
    <x v="2"/>
    <x v="0"/>
    <x v="7"/>
    <s v="Tuesday"/>
    <n v="10"/>
    <n v="0.76543209876543206"/>
    <n v="76.543209876543202"/>
    <x v="0"/>
  </r>
  <r>
    <n v="1367"/>
    <s v="628 Main St, CityC"/>
    <x v="101"/>
    <x v="0"/>
    <x v="67"/>
    <x v="0"/>
    <x v="3"/>
    <n v="222"/>
    <n v="5"/>
    <x v="0"/>
    <x v="3"/>
    <x v="1"/>
    <x v="0"/>
    <x v="0"/>
    <x v="2"/>
    <s v="Sunday"/>
    <n v="12"/>
    <n v="0.97797356828193838"/>
    <n v="97.797356828193841"/>
    <x v="0"/>
  </r>
  <r>
    <n v="1368"/>
    <s v="332 Cedar St, CityE"/>
    <x v="350"/>
    <x v="0"/>
    <x v="71"/>
    <x v="2"/>
    <x v="4"/>
    <n v="101"/>
    <n v="25"/>
    <x v="2"/>
    <x v="4"/>
    <x v="0"/>
    <x v="2"/>
    <x v="2"/>
    <x v="5"/>
    <s v="Saturday"/>
    <n v="12"/>
    <n v="0.80158730158730163"/>
    <n v="80.158730158730165"/>
    <x v="0"/>
  </r>
  <r>
    <n v="1369"/>
    <s v="41 Cedar St, CityA"/>
    <x v="351"/>
    <x v="0"/>
    <x v="9"/>
    <x v="1"/>
    <x v="0"/>
    <n v="155"/>
    <n v="2"/>
    <x v="2"/>
    <x v="1"/>
    <x v="2"/>
    <x v="2"/>
    <x v="2"/>
    <x v="1"/>
    <s v="Friday"/>
    <n v="14"/>
    <n v="0.98726114649681529"/>
    <n v="98.726114649681534"/>
    <x v="0"/>
  </r>
  <r>
    <n v="1370"/>
    <s v="741 Elm St, CityD"/>
    <x v="215"/>
    <x v="0"/>
    <x v="49"/>
    <x v="2"/>
    <x v="2"/>
    <n v="69"/>
    <n v="29"/>
    <x v="2"/>
    <x v="0"/>
    <x v="1"/>
    <x v="2"/>
    <x v="2"/>
    <x v="7"/>
    <s v="Tuesday"/>
    <n v="11"/>
    <n v="0.70408163265306123"/>
    <n v="70.408163265306129"/>
    <x v="0"/>
  </r>
  <r>
    <n v="1371"/>
    <s v="66 Main St, CityB"/>
    <x v="352"/>
    <x v="0"/>
    <x v="58"/>
    <x v="2"/>
    <x v="3"/>
    <n v="172"/>
    <n v="27"/>
    <x v="2"/>
    <x v="3"/>
    <x v="2"/>
    <x v="2"/>
    <x v="2"/>
    <x v="3"/>
    <s v="Thursday"/>
    <n v="12"/>
    <n v="0.86432160804020097"/>
    <n v="86.4321608040201"/>
    <x v="0"/>
  </r>
  <r>
    <n v="1372"/>
    <s v="156 Main St, CityE"/>
    <x v="353"/>
    <x v="0"/>
    <x v="49"/>
    <x v="2"/>
    <x v="2"/>
    <n v="188"/>
    <n v="15"/>
    <x v="1"/>
    <x v="1"/>
    <x v="0"/>
    <x v="1"/>
    <x v="1"/>
    <x v="5"/>
    <s v="Saturday"/>
    <n v="14"/>
    <n v="0.92610837438423643"/>
    <n v="92.610837438423644"/>
    <x v="0"/>
  </r>
  <r>
    <n v="1373"/>
    <s v="168 Elm St, CityA"/>
    <x v="354"/>
    <x v="0"/>
    <x v="64"/>
    <x v="2"/>
    <x v="1"/>
    <n v="165"/>
    <n v="6"/>
    <x v="0"/>
    <x v="0"/>
    <x v="1"/>
    <x v="2"/>
    <x v="0"/>
    <x v="6"/>
    <s v="Friday"/>
    <n v="15"/>
    <n v="0.96491228070175439"/>
    <n v="96.491228070175438"/>
    <x v="0"/>
  </r>
  <r>
    <n v="1374"/>
    <s v="773 Oak St, CityC"/>
    <x v="355"/>
    <x v="1"/>
    <x v="91"/>
    <x v="0"/>
    <x v="4"/>
    <n v="108"/>
    <n v="20"/>
    <x v="0"/>
    <x v="0"/>
    <x v="1"/>
    <x v="0"/>
    <x v="0"/>
    <x v="2"/>
    <s v="Sunday"/>
    <n v="9"/>
    <n v="0.84375"/>
    <n v="84.375"/>
    <x v="0"/>
  </r>
  <r>
    <n v="1375"/>
    <s v="347 Main St, CityD"/>
    <x v="356"/>
    <x v="1"/>
    <x v="74"/>
    <x v="0"/>
    <x v="1"/>
    <n v="61"/>
    <n v="20"/>
    <x v="2"/>
    <x v="4"/>
    <x v="1"/>
    <x v="1"/>
    <x v="2"/>
    <x v="1"/>
    <s v="Friday"/>
    <n v="12"/>
    <n v="0.75308641975308643"/>
    <n v="75.308641975308646"/>
    <x v="0"/>
  </r>
  <r>
    <n v="1376"/>
    <s v="352 Main St, CityD"/>
    <x v="357"/>
    <x v="1"/>
    <x v="18"/>
    <x v="2"/>
    <x v="0"/>
    <n v="108"/>
    <n v="5"/>
    <x v="1"/>
    <x v="4"/>
    <x v="1"/>
    <x v="0"/>
    <x v="1"/>
    <x v="1"/>
    <s v="Friday"/>
    <n v="16"/>
    <n v="0.95575221238938057"/>
    <n v="95.575221238938056"/>
    <x v="0"/>
  </r>
  <r>
    <n v="1377"/>
    <s v="411 Cedar St, CityA"/>
    <x v="171"/>
    <x v="0"/>
    <x v="79"/>
    <x v="1"/>
    <x v="2"/>
    <n v="182"/>
    <n v="17"/>
    <x v="1"/>
    <x v="4"/>
    <x v="1"/>
    <x v="0"/>
    <x v="1"/>
    <x v="2"/>
    <s v="Sunday"/>
    <n v="14"/>
    <n v="0.914572864321608"/>
    <n v="91.457286432160799"/>
    <x v="0"/>
  </r>
  <r>
    <n v="1378"/>
    <s v="538 Pine St, CityD"/>
    <x v="358"/>
    <x v="0"/>
    <x v="10"/>
    <x v="2"/>
    <x v="1"/>
    <n v="134"/>
    <n v="16"/>
    <x v="1"/>
    <x v="4"/>
    <x v="0"/>
    <x v="1"/>
    <x v="1"/>
    <x v="5"/>
    <s v="Saturday"/>
    <n v="9"/>
    <n v="0.89333333333333331"/>
    <n v="89.333333333333329"/>
    <x v="0"/>
  </r>
  <r>
    <n v="1379"/>
    <s v="712 Elm St, CityE"/>
    <x v="359"/>
    <x v="0"/>
    <x v="0"/>
    <x v="0"/>
    <x v="2"/>
    <n v="97"/>
    <n v="28"/>
    <x v="2"/>
    <x v="1"/>
    <x v="2"/>
    <x v="0"/>
    <x v="2"/>
    <x v="3"/>
    <s v="Thursday"/>
    <n v="15"/>
    <n v="0.77600000000000002"/>
    <n v="77.600000000000009"/>
    <x v="0"/>
  </r>
  <r>
    <n v="1380"/>
    <s v="843 Main St, CityB"/>
    <x v="360"/>
    <x v="1"/>
    <x v="17"/>
    <x v="2"/>
    <x v="4"/>
    <n v="162"/>
    <n v="28"/>
    <x v="0"/>
    <x v="4"/>
    <x v="0"/>
    <x v="1"/>
    <x v="0"/>
    <x v="5"/>
    <s v="Saturday"/>
    <n v="16"/>
    <n v="0.85263157894736841"/>
    <n v="85.263157894736835"/>
    <x v="0"/>
  </r>
  <r>
    <n v="1381"/>
    <s v="460 Elm St, CityA"/>
    <x v="361"/>
    <x v="1"/>
    <x v="78"/>
    <x v="1"/>
    <x v="1"/>
    <n v="181"/>
    <n v="27"/>
    <x v="1"/>
    <x v="0"/>
    <x v="0"/>
    <x v="1"/>
    <x v="1"/>
    <x v="4"/>
    <s v="Wednesday"/>
    <n v="11"/>
    <n v="0.87019230769230771"/>
    <n v="87.019230769230774"/>
    <x v="0"/>
  </r>
  <r>
    <n v="1382"/>
    <s v="782 Oak St, CityB"/>
    <x v="362"/>
    <x v="0"/>
    <x v="12"/>
    <x v="2"/>
    <x v="1"/>
    <n v="90"/>
    <n v="3"/>
    <x v="1"/>
    <x v="1"/>
    <x v="1"/>
    <x v="2"/>
    <x v="1"/>
    <x v="3"/>
    <s v="Thursday"/>
    <n v="10"/>
    <n v="0.967741935483871"/>
    <n v="96.774193548387103"/>
    <x v="0"/>
  </r>
  <r>
    <n v="1383"/>
    <s v="246 Main St, CityE"/>
    <x v="363"/>
    <x v="1"/>
    <x v="9"/>
    <x v="0"/>
    <x v="0"/>
    <n v="152"/>
    <n v="18"/>
    <x v="0"/>
    <x v="2"/>
    <x v="1"/>
    <x v="1"/>
    <x v="0"/>
    <x v="3"/>
    <s v="Thursday"/>
    <n v="14"/>
    <n v="0.89411764705882357"/>
    <n v="89.411764705882362"/>
    <x v="0"/>
  </r>
  <r>
    <n v="1384"/>
    <s v="25 Main St, CityB"/>
    <x v="364"/>
    <x v="1"/>
    <x v="96"/>
    <x v="0"/>
    <x v="0"/>
    <n v="140"/>
    <n v="7"/>
    <x v="2"/>
    <x v="2"/>
    <x v="1"/>
    <x v="2"/>
    <x v="2"/>
    <x v="0"/>
    <s v="Monday"/>
    <n v="16"/>
    <n v="0.95238095238095233"/>
    <n v="95.238095238095227"/>
    <x v="0"/>
  </r>
  <r>
    <n v="1385"/>
    <s v="491 Main St, CityA"/>
    <x v="365"/>
    <x v="0"/>
    <x v="44"/>
    <x v="0"/>
    <x v="4"/>
    <n v="192"/>
    <n v="14"/>
    <x v="2"/>
    <x v="0"/>
    <x v="1"/>
    <x v="1"/>
    <x v="2"/>
    <x v="6"/>
    <s v="Friday"/>
    <n v="14"/>
    <n v="0.93203883495145634"/>
    <n v="93.203883495145632"/>
    <x v="0"/>
  </r>
  <r>
    <n v="1386"/>
    <s v="225 Elm St, CityB"/>
    <x v="326"/>
    <x v="1"/>
    <x v="82"/>
    <x v="2"/>
    <x v="0"/>
    <n v="78"/>
    <n v="19"/>
    <x v="1"/>
    <x v="1"/>
    <x v="2"/>
    <x v="0"/>
    <x v="1"/>
    <x v="3"/>
    <s v="Thursday"/>
    <n v="12"/>
    <n v="0.80412371134020622"/>
    <n v="80.412371134020617"/>
    <x v="0"/>
  </r>
  <r>
    <n v="1387"/>
    <s v="978 Elm St, CityE"/>
    <x v="366"/>
    <x v="1"/>
    <x v="66"/>
    <x v="1"/>
    <x v="3"/>
    <n v="93"/>
    <n v="28"/>
    <x v="2"/>
    <x v="4"/>
    <x v="2"/>
    <x v="0"/>
    <x v="2"/>
    <x v="5"/>
    <s v="Saturday"/>
    <n v="12"/>
    <n v="0.76859504132231404"/>
    <n v="76.859504132231407"/>
    <x v="0"/>
  </r>
  <r>
    <n v="1388"/>
    <s v="328 Oak St, CityD"/>
    <x v="367"/>
    <x v="1"/>
    <x v="32"/>
    <x v="0"/>
    <x v="3"/>
    <n v="143"/>
    <n v="17"/>
    <x v="2"/>
    <x v="3"/>
    <x v="0"/>
    <x v="2"/>
    <x v="2"/>
    <x v="7"/>
    <s v="Tuesday"/>
    <n v="13"/>
    <n v="0.89375000000000004"/>
    <n v="89.375"/>
    <x v="0"/>
  </r>
  <r>
    <n v="1389"/>
    <s v="775 Pine St, CityA"/>
    <x v="368"/>
    <x v="1"/>
    <x v="13"/>
    <x v="2"/>
    <x v="4"/>
    <n v="127"/>
    <n v="28"/>
    <x v="2"/>
    <x v="2"/>
    <x v="1"/>
    <x v="2"/>
    <x v="2"/>
    <x v="1"/>
    <s v="Friday"/>
    <n v="13"/>
    <n v="0.8193548387096774"/>
    <n v="81.935483870967744"/>
    <x v="0"/>
  </r>
  <r>
    <n v="1390"/>
    <s v="523 Oak St, CityD"/>
    <x v="369"/>
    <x v="1"/>
    <x v="89"/>
    <x v="1"/>
    <x v="3"/>
    <n v="112"/>
    <n v="6"/>
    <x v="0"/>
    <x v="0"/>
    <x v="2"/>
    <x v="0"/>
    <x v="0"/>
    <x v="2"/>
    <s v="Sunday"/>
    <n v="9"/>
    <n v="0.94915254237288138"/>
    <n v="94.915254237288138"/>
    <x v="0"/>
  </r>
  <r>
    <n v="1391"/>
    <s v="25 Pine St, CityE"/>
    <x v="370"/>
    <x v="1"/>
    <x v="88"/>
    <x v="1"/>
    <x v="1"/>
    <n v="176"/>
    <n v="14"/>
    <x v="0"/>
    <x v="3"/>
    <x v="2"/>
    <x v="1"/>
    <x v="0"/>
    <x v="6"/>
    <s v="Friday"/>
    <n v="10"/>
    <n v="0.9263157894736842"/>
    <n v="92.631578947368425"/>
    <x v="0"/>
  </r>
  <r>
    <n v="1392"/>
    <s v="70 Main St, CityB"/>
    <x v="371"/>
    <x v="0"/>
    <x v="98"/>
    <x v="2"/>
    <x v="4"/>
    <n v="193"/>
    <n v="16"/>
    <x v="0"/>
    <x v="1"/>
    <x v="1"/>
    <x v="0"/>
    <x v="0"/>
    <x v="3"/>
    <s v="Thursday"/>
    <n v="13"/>
    <n v="0.92344497607655507"/>
    <n v="92.344497607655512"/>
    <x v="0"/>
  </r>
  <r>
    <n v="1393"/>
    <s v="604 Main St, CityB"/>
    <x v="372"/>
    <x v="0"/>
    <x v="44"/>
    <x v="0"/>
    <x v="4"/>
    <n v="205"/>
    <n v="15"/>
    <x v="1"/>
    <x v="1"/>
    <x v="1"/>
    <x v="1"/>
    <x v="1"/>
    <x v="5"/>
    <s v="Saturday"/>
    <n v="8"/>
    <n v="0.93181818181818177"/>
    <n v="93.181818181818173"/>
    <x v="0"/>
  </r>
  <r>
    <n v="1394"/>
    <s v="236 Cedar St, CityD"/>
    <x v="373"/>
    <x v="1"/>
    <x v="99"/>
    <x v="1"/>
    <x v="1"/>
    <n v="92"/>
    <n v="5"/>
    <x v="0"/>
    <x v="0"/>
    <x v="1"/>
    <x v="0"/>
    <x v="0"/>
    <x v="5"/>
    <s v="Saturday"/>
    <n v="9"/>
    <n v="0.94845360824742264"/>
    <n v="94.845360824742258"/>
    <x v="0"/>
  </r>
  <r>
    <n v="1395"/>
    <s v="8 Oak St, CityA"/>
    <x v="374"/>
    <x v="1"/>
    <x v="73"/>
    <x v="2"/>
    <x v="1"/>
    <n v="185"/>
    <n v="12"/>
    <x v="0"/>
    <x v="1"/>
    <x v="2"/>
    <x v="1"/>
    <x v="0"/>
    <x v="1"/>
    <s v="Friday"/>
    <n v="14"/>
    <n v="0.93908629441624369"/>
    <n v="93.90862944162437"/>
    <x v="0"/>
  </r>
  <r>
    <n v="1396"/>
    <s v="596 Oak St, CityE"/>
    <x v="375"/>
    <x v="0"/>
    <x v="90"/>
    <x v="1"/>
    <x v="3"/>
    <n v="146"/>
    <n v="29"/>
    <x v="1"/>
    <x v="1"/>
    <x v="1"/>
    <x v="0"/>
    <x v="1"/>
    <x v="3"/>
    <s v="Thursday"/>
    <n v="11"/>
    <n v="0.8342857142857143"/>
    <n v="83.428571428571431"/>
    <x v="0"/>
  </r>
  <r>
    <n v="1397"/>
    <s v="921 Elm St, CityD"/>
    <x v="376"/>
    <x v="1"/>
    <x v="43"/>
    <x v="0"/>
    <x v="4"/>
    <n v="64"/>
    <n v="12"/>
    <x v="1"/>
    <x v="2"/>
    <x v="0"/>
    <x v="0"/>
    <x v="1"/>
    <x v="4"/>
    <s v="Wednesday"/>
    <n v="11"/>
    <n v="0.84210526315789469"/>
    <n v="84.210526315789465"/>
    <x v="0"/>
  </r>
  <r>
    <n v="1398"/>
    <s v="218 Elm St, CityE"/>
    <x v="377"/>
    <x v="1"/>
    <x v="44"/>
    <x v="1"/>
    <x v="3"/>
    <n v="84"/>
    <n v="24"/>
    <x v="1"/>
    <x v="3"/>
    <x v="2"/>
    <x v="2"/>
    <x v="1"/>
    <x v="2"/>
    <s v="Sunday"/>
    <n v="11"/>
    <n v="0.77777777777777779"/>
    <n v="77.777777777777786"/>
    <x v="0"/>
  </r>
  <r>
    <n v="1399"/>
    <s v="8 Cedar St, CityC"/>
    <x v="378"/>
    <x v="0"/>
    <x v="11"/>
    <x v="2"/>
    <x v="3"/>
    <n v="96"/>
    <n v="18"/>
    <x v="2"/>
    <x v="2"/>
    <x v="1"/>
    <x v="2"/>
    <x v="2"/>
    <x v="7"/>
    <s v="Tuesday"/>
    <n v="9"/>
    <n v="0.84210526315789469"/>
    <n v="84.210526315789465"/>
    <x v="0"/>
  </r>
  <r>
    <n v="1400"/>
    <s v="273 Cedar St, CityC"/>
    <x v="29"/>
    <x v="0"/>
    <x v="88"/>
    <x v="2"/>
    <x v="1"/>
    <n v="63"/>
    <n v="21"/>
    <x v="1"/>
    <x v="3"/>
    <x v="1"/>
    <x v="1"/>
    <x v="1"/>
    <x v="1"/>
    <s v="Friday"/>
    <n v="13"/>
    <n v="0.75"/>
    <n v="75"/>
    <x v="0"/>
  </r>
  <r>
    <n v="1401"/>
    <s v="524 Pine St, CityB"/>
    <x v="379"/>
    <x v="0"/>
    <x v="42"/>
    <x v="0"/>
    <x v="3"/>
    <n v="88"/>
    <n v="28"/>
    <x v="0"/>
    <x v="0"/>
    <x v="1"/>
    <x v="2"/>
    <x v="0"/>
    <x v="1"/>
    <s v="Friday"/>
    <n v="14"/>
    <n v="0.75862068965517238"/>
    <n v="75.862068965517238"/>
    <x v="0"/>
  </r>
  <r>
    <n v="1402"/>
    <s v="855 Elm St, CityE"/>
    <x v="51"/>
    <x v="1"/>
    <x v="54"/>
    <x v="0"/>
    <x v="1"/>
    <n v="216"/>
    <n v="20"/>
    <x v="1"/>
    <x v="0"/>
    <x v="0"/>
    <x v="2"/>
    <x v="1"/>
    <x v="7"/>
    <s v="Tuesday"/>
    <n v="8"/>
    <n v="0.9152542372881356"/>
    <n v="91.525423728813564"/>
    <x v="0"/>
  </r>
  <r>
    <n v="1403"/>
    <s v="263 Oak St, CityB"/>
    <x v="380"/>
    <x v="1"/>
    <x v="48"/>
    <x v="1"/>
    <x v="3"/>
    <n v="186"/>
    <n v="26"/>
    <x v="0"/>
    <x v="4"/>
    <x v="1"/>
    <x v="2"/>
    <x v="0"/>
    <x v="7"/>
    <s v="Tuesday"/>
    <n v="10"/>
    <n v="0.87735849056603776"/>
    <n v="87.735849056603783"/>
    <x v="0"/>
  </r>
  <r>
    <n v="1404"/>
    <s v="335 Oak St, CityD"/>
    <x v="381"/>
    <x v="1"/>
    <x v="51"/>
    <x v="2"/>
    <x v="4"/>
    <n v="203"/>
    <n v="7"/>
    <x v="2"/>
    <x v="3"/>
    <x v="0"/>
    <x v="2"/>
    <x v="2"/>
    <x v="7"/>
    <s v="Tuesday"/>
    <n v="10"/>
    <n v="0.96666666666666667"/>
    <n v="96.666666666666671"/>
    <x v="0"/>
  </r>
  <r>
    <n v="1405"/>
    <s v="123 Oak St, CityD"/>
    <x v="382"/>
    <x v="0"/>
    <x v="16"/>
    <x v="1"/>
    <x v="4"/>
    <n v="81"/>
    <n v="26"/>
    <x v="1"/>
    <x v="4"/>
    <x v="0"/>
    <x v="2"/>
    <x v="1"/>
    <x v="7"/>
    <s v="Tuesday"/>
    <n v="14"/>
    <n v="0.7570093457943925"/>
    <n v="75.700934579439249"/>
    <x v="0"/>
  </r>
  <r>
    <n v="1406"/>
    <s v="30 Pine St, CityE"/>
    <x v="383"/>
    <x v="1"/>
    <x v="44"/>
    <x v="1"/>
    <x v="1"/>
    <n v="220"/>
    <n v="27"/>
    <x v="0"/>
    <x v="0"/>
    <x v="0"/>
    <x v="1"/>
    <x v="0"/>
    <x v="3"/>
    <s v="Thursday"/>
    <n v="16"/>
    <n v="0.89068825910931171"/>
    <n v="89.068825910931167"/>
    <x v="0"/>
  </r>
  <r>
    <n v="1407"/>
    <s v="991 Cedar St, CityD"/>
    <x v="384"/>
    <x v="1"/>
    <x v="83"/>
    <x v="0"/>
    <x v="0"/>
    <n v="141"/>
    <n v="29"/>
    <x v="0"/>
    <x v="2"/>
    <x v="1"/>
    <x v="2"/>
    <x v="0"/>
    <x v="3"/>
    <s v="Thursday"/>
    <n v="14"/>
    <n v="0.8294117647058824"/>
    <n v="82.941176470588246"/>
    <x v="0"/>
  </r>
  <r>
    <n v="1408"/>
    <s v="210 Elm St, CityA"/>
    <x v="385"/>
    <x v="0"/>
    <x v="38"/>
    <x v="0"/>
    <x v="1"/>
    <n v="178"/>
    <n v="5"/>
    <x v="0"/>
    <x v="2"/>
    <x v="0"/>
    <x v="1"/>
    <x v="0"/>
    <x v="3"/>
    <s v="Thursday"/>
    <n v="8"/>
    <n v="0.97267759562841527"/>
    <n v="97.267759562841533"/>
    <x v="0"/>
  </r>
  <r>
    <n v="1409"/>
    <s v="43 Pine St, CityA"/>
    <x v="386"/>
    <x v="1"/>
    <x v="83"/>
    <x v="1"/>
    <x v="3"/>
    <n v="190"/>
    <n v="23"/>
    <x v="1"/>
    <x v="1"/>
    <x v="2"/>
    <x v="2"/>
    <x v="1"/>
    <x v="1"/>
    <s v="Friday"/>
    <n v="12"/>
    <n v="0.892018779342723"/>
    <n v="89.201877934272304"/>
    <x v="0"/>
  </r>
  <r>
    <n v="1410"/>
    <s v="761 Elm St, CityB"/>
    <x v="387"/>
    <x v="0"/>
    <x v="56"/>
    <x v="0"/>
    <x v="4"/>
    <n v="199"/>
    <n v="3"/>
    <x v="1"/>
    <x v="2"/>
    <x v="2"/>
    <x v="0"/>
    <x v="1"/>
    <x v="3"/>
    <s v="Thursday"/>
    <n v="12"/>
    <n v="0.98514851485148514"/>
    <n v="98.514851485148512"/>
    <x v="0"/>
  </r>
  <r>
    <n v="1411"/>
    <s v="778 Cedar St, CityC"/>
    <x v="388"/>
    <x v="0"/>
    <x v="52"/>
    <x v="2"/>
    <x v="1"/>
    <n v="203"/>
    <n v="14"/>
    <x v="1"/>
    <x v="1"/>
    <x v="1"/>
    <x v="2"/>
    <x v="1"/>
    <x v="6"/>
    <s v="Friday"/>
    <n v="13"/>
    <n v="0.93548387096774188"/>
    <n v="93.548387096774192"/>
    <x v="0"/>
  </r>
  <r>
    <n v="1412"/>
    <s v="853 Elm St, CityE"/>
    <x v="389"/>
    <x v="0"/>
    <x v="48"/>
    <x v="2"/>
    <x v="0"/>
    <n v="183"/>
    <n v="21"/>
    <x v="1"/>
    <x v="0"/>
    <x v="1"/>
    <x v="2"/>
    <x v="1"/>
    <x v="1"/>
    <s v="Friday"/>
    <n v="13"/>
    <n v="0.8970588235294118"/>
    <n v="89.705882352941174"/>
    <x v="0"/>
  </r>
  <r>
    <n v="1413"/>
    <s v="838 Oak St, CityC"/>
    <x v="390"/>
    <x v="1"/>
    <x v="78"/>
    <x v="2"/>
    <x v="2"/>
    <n v="125"/>
    <n v="21"/>
    <x v="0"/>
    <x v="1"/>
    <x v="2"/>
    <x v="0"/>
    <x v="0"/>
    <x v="7"/>
    <s v="Tuesday"/>
    <n v="15"/>
    <n v="0.85616438356164382"/>
    <n v="85.61643835616438"/>
    <x v="0"/>
  </r>
  <r>
    <n v="1414"/>
    <s v="475 Main St, CityB"/>
    <x v="391"/>
    <x v="0"/>
    <x v="94"/>
    <x v="0"/>
    <x v="2"/>
    <n v="89"/>
    <n v="1"/>
    <x v="2"/>
    <x v="3"/>
    <x v="0"/>
    <x v="0"/>
    <x v="2"/>
    <x v="0"/>
    <s v="Monday"/>
    <n v="13"/>
    <n v="0.98888888888888893"/>
    <n v="98.888888888888886"/>
    <x v="0"/>
  </r>
  <r>
    <n v="1415"/>
    <s v="581 Oak St, CityB"/>
    <x v="392"/>
    <x v="0"/>
    <x v="85"/>
    <x v="1"/>
    <x v="0"/>
    <n v="203"/>
    <n v="28"/>
    <x v="1"/>
    <x v="2"/>
    <x v="0"/>
    <x v="1"/>
    <x v="1"/>
    <x v="1"/>
    <s v="Friday"/>
    <n v="16"/>
    <n v="0.87878787878787878"/>
    <n v="87.878787878787875"/>
    <x v="0"/>
  </r>
  <r>
    <n v="1416"/>
    <s v="524 Main St, CityC"/>
    <x v="393"/>
    <x v="0"/>
    <x v="79"/>
    <x v="0"/>
    <x v="2"/>
    <n v="105"/>
    <n v="18"/>
    <x v="0"/>
    <x v="0"/>
    <x v="1"/>
    <x v="2"/>
    <x v="0"/>
    <x v="0"/>
    <s v="Monday"/>
    <n v="14"/>
    <n v="0.85365853658536583"/>
    <n v="85.365853658536579"/>
    <x v="0"/>
  </r>
  <r>
    <n v="1417"/>
    <s v="13 Elm St, CityB"/>
    <x v="394"/>
    <x v="0"/>
    <x v="88"/>
    <x v="2"/>
    <x v="4"/>
    <n v="216"/>
    <n v="9"/>
    <x v="1"/>
    <x v="3"/>
    <x v="1"/>
    <x v="0"/>
    <x v="1"/>
    <x v="3"/>
    <s v="Thursday"/>
    <n v="13"/>
    <n v="0.96"/>
    <n v="96"/>
    <x v="0"/>
  </r>
  <r>
    <n v="1418"/>
    <s v="882 Oak St, CityB"/>
    <x v="395"/>
    <x v="1"/>
    <x v="8"/>
    <x v="1"/>
    <x v="3"/>
    <n v="205"/>
    <n v="17"/>
    <x v="0"/>
    <x v="2"/>
    <x v="2"/>
    <x v="1"/>
    <x v="0"/>
    <x v="2"/>
    <s v="Sunday"/>
    <n v="14"/>
    <n v="0.92342342342342343"/>
    <n v="92.342342342342349"/>
    <x v="0"/>
  </r>
  <r>
    <n v="1419"/>
    <s v="512 Pine St, CityC"/>
    <x v="396"/>
    <x v="0"/>
    <x v="68"/>
    <x v="0"/>
    <x v="2"/>
    <n v="231"/>
    <n v="11"/>
    <x v="2"/>
    <x v="4"/>
    <x v="1"/>
    <x v="0"/>
    <x v="2"/>
    <x v="3"/>
    <s v="Thursday"/>
    <n v="10"/>
    <n v="0.95454545454545459"/>
    <n v="95.454545454545453"/>
    <x v="0"/>
  </r>
  <r>
    <n v="1420"/>
    <s v="469 Pine St, CityE"/>
    <x v="397"/>
    <x v="0"/>
    <x v="56"/>
    <x v="0"/>
    <x v="0"/>
    <n v="228"/>
    <n v="21"/>
    <x v="2"/>
    <x v="4"/>
    <x v="0"/>
    <x v="1"/>
    <x v="2"/>
    <x v="7"/>
    <s v="Tuesday"/>
    <n v="13"/>
    <n v="0.91566265060240959"/>
    <n v="91.566265060240966"/>
    <x v="0"/>
  </r>
  <r>
    <n v="1421"/>
    <s v="772 Elm St, CityD"/>
    <x v="398"/>
    <x v="0"/>
    <x v="29"/>
    <x v="1"/>
    <x v="4"/>
    <n v="101"/>
    <n v="25"/>
    <x v="1"/>
    <x v="1"/>
    <x v="0"/>
    <x v="2"/>
    <x v="1"/>
    <x v="3"/>
    <s v="Thursday"/>
    <n v="8"/>
    <n v="0.80158730158730163"/>
    <n v="80.158730158730165"/>
    <x v="0"/>
  </r>
  <r>
    <n v="1422"/>
    <s v="492 Cedar St, CityE"/>
    <x v="399"/>
    <x v="0"/>
    <x v="47"/>
    <x v="0"/>
    <x v="3"/>
    <n v="231"/>
    <n v="10"/>
    <x v="0"/>
    <x v="1"/>
    <x v="0"/>
    <x v="2"/>
    <x v="0"/>
    <x v="4"/>
    <s v="Wednesday"/>
    <n v="13"/>
    <n v="0.95850622406639008"/>
    <n v="95.850622406639005"/>
    <x v="0"/>
  </r>
  <r>
    <n v="1423"/>
    <s v="293 Elm St, CityA"/>
    <x v="400"/>
    <x v="0"/>
    <x v="88"/>
    <x v="1"/>
    <x v="3"/>
    <n v="192"/>
    <n v="16"/>
    <x v="2"/>
    <x v="0"/>
    <x v="1"/>
    <x v="1"/>
    <x v="2"/>
    <x v="1"/>
    <s v="Friday"/>
    <n v="11"/>
    <n v="0.92307692307692313"/>
    <n v="92.307692307692307"/>
    <x v="0"/>
  </r>
  <r>
    <n v="1424"/>
    <s v="632 Main St, CityA"/>
    <x v="401"/>
    <x v="0"/>
    <x v="5"/>
    <x v="0"/>
    <x v="4"/>
    <n v="69"/>
    <n v="8"/>
    <x v="2"/>
    <x v="2"/>
    <x v="2"/>
    <x v="0"/>
    <x v="2"/>
    <x v="3"/>
    <s v="Thursday"/>
    <n v="8"/>
    <n v="0.89610389610389607"/>
    <n v="89.610389610389603"/>
    <x v="0"/>
  </r>
  <r>
    <n v="1425"/>
    <s v="874 Main St, CityE"/>
    <x v="402"/>
    <x v="0"/>
    <x v="73"/>
    <x v="0"/>
    <x v="4"/>
    <n v="194"/>
    <n v="12"/>
    <x v="2"/>
    <x v="2"/>
    <x v="0"/>
    <x v="2"/>
    <x v="2"/>
    <x v="2"/>
    <s v="Sunday"/>
    <n v="10"/>
    <n v="0.94174757281553401"/>
    <n v="94.174757281553397"/>
    <x v="0"/>
  </r>
  <r>
    <n v="1426"/>
    <s v="52 Main St, CityC"/>
    <x v="403"/>
    <x v="0"/>
    <x v="63"/>
    <x v="2"/>
    <x v="1"/>
    <n v="120"/>
    <n v="0"/>
    <x v="2"/>
    <x v="3"/>
    <x v="1"/>
    <x v="1"/>
    <x v="2"/>
    <x v="2"/>
    <s v="Sunday"/>
    <n v="9"/>
    <n v="1"/>
    <n v="100"/>
    <x v="1"/>
  </r>
  <r>
    <n v="1427"/>
    <s v="953 Main St, CityC"/>
    <x v="404"/>
    <x v="0"/>
    <x v="81"/>
    <x v="1"/>
    <x v="0"/>
    <n v="116"/>
    <n v="22"/>
    <x v="1"/>
    <x v="2"/>
    <x v="1"/>
    <x v="1"/>
    <x v="1"/>
    <x v="6"/>
    <s v="Friday"/>
    <n v="12"/>
    <n v="0.84057971014492749"/>
    <n v="84.05797101449275"/>
    <x v="0"/>
  </r>
  <r>
    <n v="1428"/>
    <s v="456 Pine St, CityE"/>
    <x v="405"/>
    <x v="0"/>
    <x v="55"/>
    <x v="0"/>
    <x v="0"/>
    <n v="166"/>
    <n v="10"/>
    <x v="1"/>
    <x v="3"/>
    <x v="0"/>
    <x v="0"/>
    <x v="1"/>
    <x v="6"/>
    <s v="Friday"/>
    <n v="14"/>
    <n v="0.94318181818181823"/>
    <n v="94.318181818181827"/>
    <x v="0"/>
  </r>
  <r>
    <n v="1429"/>
    <s v="985 Elm St, CityA"/>
    <x v="406"/>
    <x v="1"/>
    <x v="86"/>
    <x v="1"/>
    <x v="4"/>
    <n v="142"/>
    <n v="11"/>
    <x v="2"/>
    <x v="0"/>
    <x v="1"/>
    <x v="0"/>
    <x v="2"/>
    <x v="3"/>
    <s v="Thursday"/>
    <n v="15"/>
    <n v="0.92810457516339873"/>
    <n v="92.810457516339866"/>
    <x v="0"/>
  </r>
  <r>
    <n v="1430"/>
    <s v="55 Oak St, CityB"/>
    <x v="407"/>
    <x v="1"/>
    <x v="82"/>
    <x v="1"/>
    <x v="3"/>
    <n v="134"/>
    <n v="21"/>
    <x v="2"/>
    <x v="1"/>
    <x v="0"/>
    <x v="2"/>
    <x v="2"/>
    <x v="4"/>
    <s v="Wednesday"/>
    <n v="10"/>
    <n v="0.86451612903225805"/>
    <n v="86.451612903225808"/>
    <x v="0"/>
  </r>
  <r>
    <n v="1431"/>
    <s v="662 Elm St, CityD"/>
    <x v="408"/>
    <x v="1"/>
    <x v="89"/>
    <x v="2"/>
    <x v="3"/>
    <n v="140"/>
    <n v="10"/>
    <x v="0"/>
    <x v="2"/>
    <x v="1"/>
    <x v="0"/>
    <x v="0"/>
    <x v="1"/>
    <s v="Friday"/>
    <n v="9"/>
    <n v="0.93333333333333335"/>
    <n v="93.333333333333329"/>
    <x v="0"/>
  </r>
  <r>
    <n v="1432"/>
    <s v="760 Oak St, CityA"/>
    <x v="409"/>
    <x v="0"/>
    <x v="79"/>
    <x v="0"/>
    <x v="0"/>
    <n v="135"/>
    <n v="7"/>
    <x v="1"/>
    <x v="3"/>
    <x v="1"/>
    <x v="2"/>
    <x v="1"/>
    <x v="2"/>
    <s v="Sunday"/>
    <n v="9"/>
    <n v="0.95070422535211263"/>
    <n v="95.070422535211264"/>
    <x v="0"/>
  </r>
  <r>
    <n v="1433"/>
    <s v="287 Pine St, CityA"/>
    <x v="410"/>
    <x v="0"/>
    <x v="9"/>
    <x v="1"/>
    <x v="1"/>
    <n v="144"/>
    <n v="2"/>
    <x v="2"/>
    <x v="3"/>
    <x v="2"/>
    <x v="0"/>
    <x v="2"/>
    <x v="5"/>
    <s v="Saturday"/>
    <n v="12"/>
    <n v="0.98630136986301364"/>
    <n v="98.630136986301366"/>
    <x v="0"/>
  </r>
  <r>
    <n v="1434"/>
    <s v="305 Main St, CityA"/>
    <x v="411"/>
    <x v="0"/>
    <x v="16"/>
    <x v="1"/>
    <x v="0"/>
    <n v="224"/>
    <n v="23"/>
    <x v="2"/>
    <x v="1"/>
    <x v="0"/>
    <x v="2"/>
    <x v="2"/>
    <x v="7"/>
    <s v="Tuesday"/>
    <n v="9"/>
    <n v="0.90688259109311742"/>
    <n v="90.688259109311744"/>
    <x v="0"/>
  </r>
  <r>
    <n v="1435"/>
    <s v="310 Elm St, CityC"/>
    <x v="412"/>
    <x v="0"/>
    <x v="7"/>
    <x v="2"/>
    <x v="4"/>
    <n v="184"/>
    <n v="11"/>
    <x v="2"/>
    <x v="4"/>
    <x v="1"/>
    <x v="1"/>
    <x v="2"/>
    <x v="3"/>
    <s v="Thursday"/>
    <n v="16"/>
    <n v="0.94358974358974357"/>
    <n v="94.358974358974351"/>
    <x v="0"/>
  </r>
  <r>
    <n v="1436"/>
    <s v="468 Elm St, CityA"/>
    <x v="413"/>
    <x v="0"/>
    <x v="26"/>
    <x v="2"/>
    <x v="1"/>
    <n v="212"/>
    <n v="20"/>
    <x v="0"/>
    <x v="4"/>
    <x v="0"/>
    <x v="2"/>
    <x v="0"/>
    <x v="1"/>
    <s v="Friday"/>
    <n v="8"/>
    <n v="0.91379310344827591"/>
    <n v="91.379310344827587"/>
    <x v="0"/>
  </r>
  <r>
    <n v="1437"/>
    <s v="942 Main St, CityD"/>
    <x v="414"/>
    <x v="0"/>
    <x v="62"/>
    <x v="1"/>
    <x v="3"/>
    <n v="221"/>
    <n v="29"/>
    <x v="0"/>
    <x v="0"/>
    <x v="2"/>
    <x v="1"/>
    <x v="0"/>
    <x v="3"/>
    <s v="Thursday"/>
    <n v="9"/>
    <n v="0.88400000000000001"/>
    <n v="88.4"/>
    <x v="0"/>
  </r>
  <r>
    <n v="1438"/>
    <s v="179 Main St, CityA"/>
    <x v="415"/>
    <x v="0"/>
    <x v="32"/>
    <x v="1"/>
    <x v="0"/>
    <n v="178"/>
    <n v="12"/>
    <x v="1"/>
    <x v="1"/>
    <x v="0"/>
    <x v="1"/>
    <x v="1"/>
    <x v="6"/>
    <s v="Friday"/>
    <n v="15"/>
    <n v="0.93684210526315792"/>
    <n v="93.684210526315795"/>
    <x v="0"/>
  </r>
  <r>
    <n v="1439"/>
    <s v="89 Elm St, CityD"/>
    <x v="416"/>
    <x v="0"/>
    <x v="77"/>
    <x v="2"/>
    <x v="2"/>
    <n v="200"/>
    <n v="20"/>
    <x v="1"/>
    <x v="1"/>
    <x v="2"/>
    <x v="1"/>
    <x v="1"/>
    <x v="0"/>
    <s v="Monday"/>
    <n v="16"/>
    <n v="0.90909090909090906"/>
    <n v="90.909090909090907"/>
    <x v="0"/>
  </r>
  <r>
    <n v="1440"/>
    <s v="891 Cedar St, CityE"/>
    <x v="417"/>
    <x v="0"/>
    <x v="39"/>
    <x v="2"/>
    <x v="2"/>
    <n v="107"/>
    <n v="9"/>
    <x v="0"/>
    <x v="1"/>
    <x v="0"/>
    <x v="1"/>
    <x v="0"/>
    <x v="4"/>
    <s v="Wednesday"/>
    <n v="9"/>
    <n v="0.92241379310344829"/>
    <n v="92.241379310344826"/>
    <x v="0"/>
  </r>
  <r>
    <n v="1441"/>
    <s v="280 Oak St, CityA"/>
    <x v="302"/>
    <x v="0"/>
    <x v="1"/>
    <x v="1"/>
    <x v="1"/>
    <n v="170"/>
    <n v="1"/>
    <x v="0"/>
    <x v="2"/>
    <x v="2"/>
    <x v="2"/>
    <x v="0"/>
    <x v="1"/>
    <s v="Friday"/>
    <n v="15"/>
    <n v="0.99415204678362568"/>
    <n v="99.415204678362571"/>
    <x v="0"/>
  </r>
  <r>
    <n v="1442"/>
    <s v="720 Cedar St, CityD"/>
    <x v="418"/>
    <x v="0"/>
    <x v="47"/>
    <x v="1"/>
    <x v="2"/>
    <n v="208"/>
    <n v="23"/>
    <x v="1"/>
    <x v="0"/>
    <x v="1"/>
    <x v="1"/>
    <x v="1"/>
    <x v="2"/>
    <s v="Sunday"/>
    <n v="12"/>
    <n v="0.90043290043290047"/>
    <n v="90.043290043290042"/>
    <x v="0"/>
  </r>
  <r>
    <n v="1443"/>
    <s v="65 Elm St, CityB"/>
    <x v="419"/>
    <x v="1"/>
    <x v="40"/>
    <x v="2"/>
    <x v="2"/>
    <n v="87"/>
    <n v="7"/>
    <x v="2"/>
    <x v="3"/>
    <x v="2"/>
    <x v="0"/>
    <x v="2"/>
    <x v="7"/>
    <s v="Tuesday"/>
    <n v="14"/>
    <n v="0.92553191489361697"/>
    <n v="92.553191489361694"/>
    <x v="0"/>
  </r>
  <r>
    <n v="1444"/>
    <s v="67 Pine St, CityD"/>
    <x v="420"/>
    <x v="0"/>
    <x v="48"/>
    <x v="1"/>
    <x v="2"/>
    <n v="167"/>
    <n v="8"/>
    <x v="0"/>
    <x v="4"/>
    <x v="2"/>
    <x v="2"/>
    <x v="0"/>
    <x v="3"/>
    <s v="Thursday"/>
    <n v="10"/>
    <n v="0.95428571428571429"/>
    <n v="95.428571428571431"/>
    <x v="0"/>
  </r>
  <r>
    <n v="1445"/>
    <s v="31 Main St, CityD"/>
    <x v="421"/>
    <x v="1"/>
    <x v="69"/>
    <x v="2"/>
    <x v="0"/>
    <n v="81"/>
    <n v="2"/>
    <x v="2"/>
    <x v="3"/>
    <x v="1"/>
    <x v="1"/>
    <x v="2"/>
    <x v="5"/>
    <s v="Saturday"/>
    <n v="9"/>
    <n v="0.97590361445783136"/>
    <n v="97.590361445783131"/>
    <x v="0"/>
  </r>
  <r>
    <n v="1446"/>
    <s v="443 Pine St, CityD"/>
    <x v="422"/>
    <x v="0"/>
    <x v="60"/>
    <x v="1"/>
    <x v="4"/>
    <n v="179"/>
    <n v="25"/>
    <x v="2"/>
    <x v="0"/>
    <x v="0"/>
    <x v="1"/>
    <x v="2"/>
    <x v="0"/>
    <s v="Monday"/>
    <n v="10"/>
    <n v="0.87745098039215685"/>
    <n v="87.745098039215691"/>
    <x v="0"/>
  </r>
  <r>
    <n v="1447"/>
    <s v="180 Main St, CityE"/>
    <x v="423"/>
    <x v="1"/>
    <x v="81"/>
    <x v="2"/>
    <x v="4"/>
    <n v="170"/>
    <n v="13"/>
    <x v="2"/>
    <x v="4"/>
    <x v="0"/>
    <x v="2"/>
    <x v="2"/>
    <x v="0"/>
    <s v="Monday"/>
    <n v="16"/>
    <n v="0.92896174863387981"/>
    <n v="92.896174863387984"/>
    <x v="0"/>
  </r>
  <r>
    <n v="1448"/>
    <s v="919 Main St, CityA"/>
    <x v="424"/>
    <x v="0"/>
    <x v="52"/>
    <x v="0"/>
    <x v="4"/>
    <n v="206"/>
    <n v="3"/>
    <x v="0"/>
    <x v="3"/>
    <x v="1"/>
    <x v="2"/>
    <x v="0"/>
    <x v="0"/>
    <s v="Monday"/>
    <n v="15"/>
    <n v="0.9856459330143541"/>
    <n v="98.564593301435409"/>
    <x v="0"/>
  </r>
  <r>
    <n v="1449"/>
    <s v="983 Oak St, CityC"/>
    <x v="425"/>
    <x v="0"/>
    <x v="3"/>
    <x v="1"/>
    <x v="4"/>
    <n v="176"/>
    <n v="16"/>
    <x v="1"/>
    <x v="1"/>
    <x v="2"/>
    <x v="0"/>
    <x v="1"/>
    <x v="3"/>
    <s v="Thursday"/>
    <n v="14"/>
    <n v="0.91666666666666663"/>
    <n v="91.666666666666657"/>
    <x v="0"/>
  </r>
  <r>
    <n v="1450"/>
    <s v="737 Pine St, CityB"/>
    <x v="426"/>
    <x v="1"/>
    <x v="69"/>
    <x v="1"/>
    <x v="0"/>
    <n v="75"/>
    <n v="7"/>
    <x v="0"/>
    <x v="3"/>
    <x v="0"/>
    <x v="2"/>
    <x v="0"/>
    <x v="6"/>
    <s v="Friday"/>
    <n v="16"/>
    <n v="0.91463414634146345"/>
    <n v="91.463414634146346"/>
    <x v="0"/>
  </r>
  <r>
    <n v="1451"/>
    <s v="822 Oak St, CityA"/>
    <x v="427"/>
    <x v="1"/>
    <x v="49"/>
    <x v="0"/>
    <x v="0"/>
    <n v="105"/>
    <n v="12"/>
    <x v="0"/>
    <x v="0"/>
    <x v="2"/>
    <x v="0"/>
    <x v="0"/>
    <x v="2"/>
    <s v="Sunday"/>
    <n v="16"/>
    <n v="0.89743589743589747"/>
    <n v="89.743589743589752"/>
    <x v="0"/>
  </r>
  <r>
    <n v="1452"/>
    <s v="688 Oak St, CityB"/>
    <x v="428"/>
    <x v="1"/>
    <x v="8"/>
    <x v="1"/>
    <x v="0"/>
    <n v="136"/>
    <n v="18"/>
    <x v="1"/>
    <x v="0"/>
    <x v="0"/>
    <x v="2"/>
    <x v="1"/>
    <x v="2"/>
    <s v="Sunday"/>
    <n v="13"/>
    <n v="0.88311688311688308"/>
    <n v="88.311688311688314"/>
    <x v="0"/>
  </r>
  <r>
    <n v="1453"/>
    <s v="241 Pine St, CityA"/>
    <x v="429"/>
    <x v="1"/>
    <x v="22"/>
    <x v="1"/>
    <x v="2"/>
    <n v="235"/>
    <n v="27"/>
    <x v="2"/>
    <x v="2"/>
    <x v="2"/>
    <x v="0"/>
    <x v="2"/>
    <x v="5"/>
    <s v="Saturday"/>
    <n v="12"/>
    <n v="0.89694656488549618"/>
    <n v="89.694656488549612"/>
    <x v="0"/>
  </r>
  <r>
    <n v="1454"/>
    <s v="666 Main St, CityE"/>
    <x v="336"/>
    <x v="1"/>
    <x v="89"/>
    <x v="1"/>
    <x v="3"/>
    <n v="79"/>
    <n v="3"/>
    <x v="0"/>
    <x v="1"/>
    <x v="2"/>
    <x v="1"/>
    <x v="0"/>
    <x v="0"/>
    <s v="Monday"/>
    <n v="16"/>
    <n v="0.96341463414634143"/>
    <n v="96.341463414634148"/>
    <x v="0"/>
  </r>
  <r>
    <n v="1455"/>
    <s v="856 Pine St, CityE"/>
    <x v="430"/>
    <x v="0"/>
    <x v="23"/>
    <x v="0"/>
    <x v="1"/>
    <n v="182"/>
    <n v="15"/>
    <x v="2"/>
    <x v="3"/>
    <x v="0"/>
    <x v="0"/>
    <x v="2"/>
    <x v="7"/>
    <s v="Tuesday"/>
    <n v="16"/>
    <n v="0.92385786802030456"/>
    <n v="92.385786802030452"/>
    <x v="0"/>
  </r>
  <r>
    <n v="1456"/>
    <s v="975 Pine St, CityB"/>
    <x v="431"/>
    <x v="1"/>
    <x v="23"/>
    <x v="1"/>
    <x v="3"/>
    <n v="212"/>
    <n v="20"/>
    <x v="0"/>
    <x v="0"/>
    <x v="2"/>
    <x v="1"/>
    <x v="0"/>
    <x v="7"/>
    <s v="Tuesday"/>
    <n v="13"/>
    <n v="0.91379310344827591"/>
    <n v="91.379310344827587"/>
    <x v="0"/>
  </r>
  <r>
    <n v="1457"/>
    <s v="733 Main St, CityC"/>
    <x v="432"/>
    <x v="1"/>
    <x v="57"/>
    <x v="1"/>
    <x v="0"/>
    <n v="198"/>
    <n v="28"/>
    <x v="1"/>
    <x v="2"/>
    <x v="0"/>
    <x v="2"/>
    <x v="1"/>
    <x v="3"/>
    <s v="Thursday"/>
    <n v="8"/>
    <n v="0.87610619469026552"/>
    <n v="87.610619469026545"/>
    <x v="0"/>
  </r>
  <r>
    <n v="1458"/>
    <s v="373 Main St, CityE"/>
    <x v="433"/>
    <x v="1"/>
    <x v="38"/>
    <x v="2"/>
    <x v="1"/>
    <n v="229"/>
    <n v="27"/>
    <x v="1"/>
    <x v="1"/>
    <x v="2"/>
    <x v="1"/>
    <x v="1"/>
    <x v="4"/>
    <s v="Wednesday"/>
    <n v="12"/>
    <n v="0.89453125"/>
    <n v="89.453125"/>
    <x v="0"/>
  </r>
  <r>
    <n v="1459"/>
    <s v="377 Pine St, CityD"/>
    <x v="269"/>
    <x v="0"/>
    <x v="49"/>
    <x v="1"/>
    <x v="4"/>
    <n v="141"/>
    <n v="9"/>
    <x v="1"/>
    <x v="1"/>
    <x v="1"/>
    <x v="0"/>
    <x v="1"/>
    <x v="6"/>
    <s v="Friday"/>
    <n v="12"/>
    <n v="0.94"/>
    <n v="94"/>
    <x v="0"/>
  </r>
  <r>
    <n v="1460"/>
    <s v="558 Elm St, CityC"/>
    <x v="434"/>
    <x v="0"/>
    <x v="55"/>
    <x v="2"/>
    <x v="3"/>
    <n v="60"/>
    <n v="21"/>
    <x v="0"/>
    <x v="3"/>
    <x v="0"/>
    <x v="0"/>
    <x v="0"/>
    <x v="2"/>
    <s v="Sunday"/>
    <n v="13"/>
    <n v="0.7407407407407407"/>
    <n v="74.074074074074076"/>
    <x v="0"/>
  </r>
  <r>
    <n v="1461"/>
    <s v="675 Oak St, CityE"/>
    <x v="435"/>
    <x v="1"/>
    <x v="31"/>
    <x v="1"/>
    <x v="2"/>
    <n v="174"/>
    <n v="19"/>
    <x v="1"/>
    <x v="1"/>
    <x v="0"/>
    <x v="2"/>
    <x v="1"/>
    <x v="5"/>
    <s v="Saturday"/>
    <n v="11"/>
    <n v="0.9015544041450777"/>
    <n v="90.155440414507765"/>
    <x v="0"/>
  </r>
  <r>
    <n v="1462"/>
    <s v="554 Elm St, CityC"/>
    <x v="436"/>
    <x v="0"/>
    <x v="52"/>
    <x v="0"/>
    <x v="0"/>
    <n v="122"/>
    <n v="0"/>
    <x v="0"/>
    <x v="3"/>
    <x v="1"/>
    <x v="2"/>
    <x v="0"/>
    <x v="0"/>
    <s v="Monday"/>
    <n v="9"/>
    <n v="1"/>
    <n v="100"/>
    <x v="1"/>
  </r>
  <r>
    <n v="1463"/>
    <s v="753 Oak St, CityD"/>
    <x v="437"/>
    <x v="1"/>
    <x v="99"/>
    <x v="2"/>
    <x v="3"/>
    <n v="176"/>
    <n v="29"/>
    <x v="2"/>
    <x v="0"/>
    <x v="1"/>
    <x v="2"/>
    <x v="2"/>
    <x v="6"/>
    <s v="Friday"/>
    <n v="10"/>
    <n v="0.85853658536585364"/>
    <n v="85.853658536585371"/>
    <x v="0"/>
  </r>
  <r>
    <n v="1464"/>
    <s v="179 Cedar St, CityD"/>
    <x v="438"/>
    <x v="0"/>
    <x v="91"/>
    <x v="0"/>
    <x v="2"/>
    <n v="95"/>
    <n v="10"/>
    <x v="0"/>
    <x v="3"/>
    <x v="1"/>
    <x v="2"/>
    <x v="0"/>
    <x v="6"/>
    <s v="Friday"/>
    <n v="12"/>
    <n v="0.90476190476190477"/>
    <n v="90.476190476190482"/>
    <x v="0"/>
  </r>
  <r>
    <n v="1465"/>
    <s v="382 Pine St, CityC"/>
    <x v="439"/>
    <x v="1"/>
    <x v="97"/>
    <x v="0"/>
    <x v="3"/>
    <n v="80"/>
    <n v="9"/>
    <x v="0"/>
    <x v="3"/>
    <x v="1"/>
    <x v="0"/>
    <x v="0"/>
    <x v="6"/>
    <s v="Friday"/>
    <n v="9"/>
    <n v="0.898876404494382"/>
    <n v="89.887640449438194"/>
    <x v="0"/>
  </r>
  <r>
    <n v="1466"/>
    <s v="786 Oak St, CityB"/>
    <x v="440"/>
    <x v="1"/>
    <x v="3"/>
    <x v="0"/>
    <x v="1"/>
    <n v="178"/>
    <n v="2"/>
    <x v="0"/>
    <x v="3"/>
    <x v="1"/>
    <x v="1"/>
    <x v="0"/>
    <x v="0"/>
    <s v="Monday"/>
    <n v="14"/>
    <n v="0.98888888888888893"/>
    <n v="98.888888888888886"/>
    <x v="0"/>
  </r>
  <r>
    <n v="1467"/>
    <s v="834 Pine St, CityE"/>
    <x v="441"/>
    <x v="1"/>
    <x v="59"/>
    <x v="2"/>
    <x v="0"/>
    <n v="207"/>
    <n v="18"/>
    <x v="1"/>
    <x v="3"/>
    <x v="2"/>
    <x v="2"/>
    <x v="1"/>
    <x v="7"/>
    <s v="Tuesday"/>
    <n v="11"/>
    <n v="0.92"/>
    <n v="92"/>
    <x v="0"/>
  </r>
  <r>
    <n v="1468"/>
    <s v="418 Oak St, CityD"/>
    <x v="442"/>
    <x v="1"/>
    <x v="51"/>
    <x v="2"/>
    <x v="3"/>
    <n v="78"/>
    <n v="15"/>
    <x v="1"/>
    <x v="0"/>
    <x v="0"/>
    <x v="2"/>
    <x v="1"/>
    <x v="2"/>
    <s v="Sunday"/>
    <n v="10"/>
    <n v="0.83870967741935487"/>
    <n v="83.870967741935488"/>
    <x v="0"/>
  </r>
  <r>
    <n v="1469"/>
    <s v="89 Cedar St, CityC"/>
    <x v="443"/>
    <x v="0"/>
    <x v="25"/>
    <x v="0"/>
    <x v="0"/>
    <n v="70"/>
    <n v="8"/>
    <x v="2"/>
    <x v="4"/>
    <x v="0"/>
    <x v="1"/>
    <x v="2"/>
    <x v="3"/>
    <s v="Thursday"/>
    <n v="8"/>
    <n v="0.89743589743589747"/>
    <n v="89.743589743589752"/>
    <x v="0"/>
  </r>
  <r>
    <n v="1470"/>
    <s v="907 Elm St, CityC"/>
    <x v="444"/>
    <x v="0"/>
    <x v="84"/>
    <x v="2"/>
    <x v="3"/>
    <n v="86"/>
    <n v="18"/>
    <x v="1"/>
    <x v="3"/>
    <x v="1"/>
    <x v="1"/>
    <x v="1"/>
    <x v="5"/>
    <s v="Saturday"/>
    <n v="10"/>
    <n v="0.82692307692307687"/>
    <n v="82.692307692307693"/>
    <x v="0"/>
  </r>
  <r>
    <n v="1471"/>
    <s v="947 Oak St, CityD"/>
    <x v="445"/>
    <x v="0"/>
    <x v="83"/>
    <x v="0"/>
    <x v="0"/>
    <n v="204"/>
    <n v="8"/>
    <x v="1"/>
    <x v="1"/>
    <x v="2"/>
    <x v="0"/>
    <x v="1"/>
    <x v="1"/>
    <s v="Friday"/>
    <n v="15"/>
    <n v="0.96226415094339623"/>
    <n v="96.226415094339629"/>
    <x v="0"/>
  </r>
  <r>
    <n v="1472"/>
    <s v="462 Cedar St, CityB"/>
    <x v="446"/>
    <x v="1"/>
    <x v="62"/>
    <x v="2"/>
    <x v="0"/>
    <n v="204"/>
    <n v="5"/>
    <x v="2"/>
    <x v="2"/>
    <x v="1"/>
    <x v="1"/>
    <x v="2"/>
    <x v="5"/>
    <s v="Saturday"/>
    <n v="16"/>
    <n v="0.97607655502392343"/>
    <n v="97.607655502392348"/>
    <x v="0"/>
  </r>
  <r>
    <n v="1473"/>
    <s v="912 Main St, CityC"/>
    <x v="447"/>
    <x v="1"/>
    <x v="31"/>
    <x v="1"/>
    <x v="4"/>
    <n v="104"/>
    <n v="19"/>
    <x v="1"/>
    <x v="1"/>
    <x v="0"/>
    <x v="1"/>
    <x v="1"/>
    <x v="1"/>
    <s v="Friday"/>
    <n v="14"/>
    <n v="0.84552845528455289"/>
    <n v="84.552845528455293"/>
    <x v="0"/>
  </r>
  <r>
    <n v="1474"/>
    <s v="519 Elm St, CityE"/>
    <x v="448"/>
    <x v="1"/>
    <x v="9"/>
    <x v="1"/>
    <x v="0"/>
    <n v="97"/>
    <n v="23"/>
    <x v="2"/>
    <x v="3"/>
    <x v="2"/>
    <x v="2"/>
    <x v="2"/>
    <x v="0"/>
    <s v="Monday"/>
    <n v="12"/>
    <n v="0.80833333333333335"/>
    <n v="80.833333333333329"/>
    <x v="0"/>
  </r>
  <r>
    <n v="1475"/>
    <s v="350 Cedar St, CityB"/>
    <x v="449"/>
    <x v="0"/>
    <x v="17"/>
    <x v="0"/>
    <x v="4"/>
    <n v="79"/>
    <n v="10"/>
    <x v="0"/>
    <x v="1"/>
    <x v="2"/>
    <x v="0"/>
    <x v="0"/>
    <x v="0"/>
    <s v="Monday"/>
    <n v="8"/>
    <n v="0.88764044943820219"/>
    <n v="88.764044943820224"/>
    <x v="0"/>
  </r>
  <r>
    <n v="1476"/>
    <s v="872 Cedar St, CityB"/>
    <x v="450"/>
    <x v="0"/>
    <x v="93"/>
    <x v="0"/>
    <x v="3"/>
    <n v="71"/>
    <n v="14"/>
    <x v="0"/>
    <x v="1"/>
    <x v="1"/>
    <x v="2"/>
    <x v="0"/>
    <x v="2"/>
    <s v="Sunday"/>
    <n v="13"/>
    <n v="0.83529411764705885"/>
    <n v="83.529411764705884"/>
    <x v="0"/>
  </r>
  <r>
    <n v="1477"/>
    <s v="836 Elm St, CityD"/>
    <x v="451"/>
    <x v="1"/>
    <x v="39"/>
    <x v="2"/>
    <x v="2"/>
    <n v="178"/>
    <n v="25"/>
    <x v="0"/>
    <x v="0"/>
    <x v="0"/>
    <x v="2"/>
    <x v="0"/>
    <x v="0"/>
    <s v="Monday"/>
    <n v="12"/>
    <n v="0.87684729064039413"/>
    <n v="87.684729064039416"/>
    <x v="0"/>
  </r>
  <r>
    <n v="1478"/>
    <s v="84 Pine St, CityA"/>
    <x v="452"/>
    <x v="0"/>
    <x v="45"/>
    <x v="1"/>
    <x v="2"/>
    <n v="121"/>
    <n v="3"/>
    <x v="1"/>
    <x v="0"/>
    <x v="1"/>
    <x v="1"/>
    <x v="1"/>
    <x v="0"/>
    <s v="Monday"/>
    <n v="13"/>
    <n v="0.97580645161290325"/>
    <n v="97.58064516129032"/>
    <x v="0"/>
  </r>
  <r>
    <n v="1479"/>
    <s v="514 Cedar St, CityA"/>
    <x v="453"/>
    <x v="1"/>
    <x v="46"/>
    <x v="0"/>
    <x v="4"/>
    <n v="184"/>
    <n v="19"/>
    <x v="0"/>
    <x v="0"/>
    <x v="1"/>
    <x v="0"/>
    <x v="0"/>
    <x v="1"/>
    <s v="Friday"/>
    <n v="12"/>
    <n v="0.90640394088669951"/>
    <n v="90.64039408866995"/>
    <x v="0"/>
  </r>
  <r>
    <n v="1480"/>
    <s v="533 Main St, CityE"/>
    <x v="454"/>
    <x v="1"/>
    <x v="47"/>
    <x v="1"/>
    <x v="2"/>
    <n v="77"/>
    <n v="28"/>
    <x v="0"/>
    <x v="0"/>
    <x v="1"/>
    <x v="1"/>
    <x v="0"/>
    <x v="5"/>
    <s v="Saturday"/>
    <n v="9"/>
    <n v="0.73333333333333328"/>
    <n v="73.333333333333329"/>
    <x v="0"/>
  </r>
  <r>
    <n v="1481"/>
    <s v="5 Oak St, CityE"/>
    <x v="88"/>
    <x v="1"/>
    <x v="5"/>
    <x v="0"/>
    <x v="4"/>
    <n v="128"/>
    <n v="13"/>
    <x v="2"/>
    <x v="3"/>
    <x v="1"/>
    <x v="1"/>
    <x v="2"/>
    <x v="6"/>
    <s v="Friday"/>
    <n v="14"/>
    <n v="0.90780141843971629"/>
    <n v="90.780141843971634"/>
    <x v="0"/>
  </r>
  <r>
    <n v="1482"/>
    <s v="681 Elm St, CityB"/>
    <x v="455"/>
    <x v="1"/>
    <x v="89"/>
    <x v="0"/>
    <x v="1"/>
    <n v="222"/>
    <n v="10"/>
    <x v="0"/>
    <x v="3"/>
    <x v="2"/>
    <x v="2"/>
    <x v="0"/>
    <x v="5"/>
    <s v="Saturday"/>
    <n v="16"/>
    <n v="0.9568965517241379"/>
    <n v="95.689655172413794"/>
    <x v="0"/>
  </r>
  <r>
    <n v="1483"/>
    <s v="701 Oak St, CityD"/>
    <x v="456"/>
    <x v="1"/>
    <x v="42"/>
    <x v="2"/>
    <x v="0"/>
    <n v="69"/>
    <n v="22"/>
    <x v="0"/>
    <x v="3"/>
    <x v="1"/>
    <x v="0"/>
    <x v="0"/>
    <x v="2"/>
    <s v="Sunday"/>
    <n v="14"/>
    <n v="0.75824175824175821"/>
    <n v="75.824175824175825"/>
    <x v="0"/>
  </r>
  <r>
    <n v="1484"/>
    <s v="120 Oak St, CityC"/>
    <x v="457"/>
    <x v="1"/>
    <x v="26"/>
    <x v="2"/>
    <x v="3"/>
    <n v="89"/>
    <n v="28"/>
    <x v="0"/>
    <x v="1"/>
    <x v="0"/>
    <x v="1"/>
    <x v="0"/>
    <x v="7"/>
    <s v="Tuesday"/>
    <n v="12"/>
    <n v="0.76068376068376065"/>
    <n v="76.068376068376068"/>
    <x v="0"/>
  </r>
  <r>
    <n v="1485"/>
    <s v="562 Pine St, CityE"/>
    <x v="458"/>
    <x v="0"/>
    <x v="8"/>
    <x v="2"/>
    <x v="2"/>
    <n v="183"/>
    <n v="15"/>
    <x v="1"/>
    <x v="3"/>
    <x v="0"/>
    <x v="2"/>
    <x v="1"/>
    <x v="7"/>
    <s v="Tuesday"/>
    <n v="13"/>
    <n v="0.9242424242424242"/>
    <n v="92.424242424242422"/>
    <x v="0"/>
  </r>
  <r>
    <n v="1486"/>
    <s v="673 Pine St, CityB"/>
    <x v="459"/>
    <x v="1"/>
    <x v="92"/>
    <x v="0"/>
    <x v="2"/>
    <n v="116"/>
    <n v="11"/>
    <x v="2"/>
    <x v="1"/>
    <x v="1"/>
    <x v="1"/>
    <x v="2"/>
    <x v="0"/>
    <s v="Monday"/>
    <n v="14"/>
    <n v="0.91338582677165359"/>
    <n v="91.338582677165363"/>
    <x v="0"/>
  </r>
  <r>
    <n v="1487"/>
    <s v="591 Oak St, CityD"/>
    <x v="460"/>
    <x v="0"/>
    <x v="43"/>
    <x v="1"/>
    <x v="4"/>
    <n v="186"/>
    <n v="4"/>
    <x v="1"/>
    <x v="2"/>
    <x v="1"/>
    <x v="0"/>
    <x v="1"/>
    <x v="4"/>
    <s v="Wednesday"/>
    <n v="16"/>
    <n v="0.97894736842105268"/>
    <n v="97.894736842105274"/>
    <x v="0"/>
  </r>
  <r>
    <n v="1488"/>
    <s v="705 Main St, CityB"/>
    <x v="461"/>
    <x v="1"/>
    <x v="65"/>
    <x v="1"/>
    <x v="0"/>
    <n v="193"/>
    <n v="28"/>
    <x v="1"/>
    <x v="4"/>
    <x v="2"/>
    <x v="0"/>
    <x v="1"/>
    <x v="0"/>
    <s v="Monday"/>
    <n v="9"/>
    <n v="0.87330316742081449"/>
    <n v="87.33031674208145"/>
    <x v="0"/>
  </r>
  <r>
    <n v="1489"/>
    <s v="656 Pine St, CityB"/>
    <x v="462"/>
    <x v="1"/>
    <x v="50"/>
    <x v="2"/>
    <x v="4"/>
    <n v="172"/>
    <n v="12"/>
    <x v="1"/>
    <x v="0"/>
    <x v="1"/>
    <x v="0"/>
    <x v="1"/>
    <x v="5"/>
    <s v="Saturday"/>
    <n v="15"/>
    <n v="0.93478260869565222"/>
    <n v="93.478260869565219"/>
    <x v="0"/>
  </r>
  <r>
    <n v="1490"/>
    <s v="855 Elm St, CityA"/>
    <x v="463"/>
    <x v="0"/>
    <x v="48"/>
    <x v="2"/>
    <x v="3"/>
    <n v="190"/>
    <n v="12"/>
    <x v="1"/>
    <x v="2"/>
    <x v="0"/>
    <x v="2"/>
    <x v="1"/>
    <x v="4"/>
    <s v="Wednesday"/>
    <n v="8"/>
    <n v="0.94059405940594054"/>
    <n v="94.059405940594047"/>
    <x v="0"/>
  </r>
  <r>
    <n v="1491"/>
    <s v="915 Cedar St, CityA"/>
    <x v="271"/>
    <x v="1"/>
    <x v="78"/>
    <x v="1"/>
    <x v="3"/>
    <n v="211"/>
    <n v="22"/>
    <x v="2"/>
    <x v="3"/>
    <x v="1"/>
    <x v="0"/>
    <x v="2"/>
    <x v="5"/>
    <s v="Saturday"/>
    <n v="11"/>
    <n v="0.90557939914163088"/>
    <n v="90.557939914163086"/>
    <x v="0"/>
  </r>
  <r>
    <n v="1492"/>
    <s v="508 Elm St, CityA"/>
    <x v="464"/>
    <x v="1"/>
    <x v="0"/>
    <x v="2"/>
    <x v="4"/>
    <n v="235"/>
    <n v="1"/>
    <x v="0"/>
    <x v="3"/>
    <x v="1"/>
    <x v="2"/>
    <x v="0"/>
    <x v="6"/>
    <s v="Friday"/>
    <n v="10"/>
    <n v="0.99576271186440679"/>
    <n v="99.576271186440678"/>
    <x v="0"/>
  </r>
  <r>
    <n v="1493"/>
    <s v="712 Oak St, CityB"/>
    <x v="294"/>
    <x v="0"/>
    <x v="33"/>
    <x v="0"/>
    <x v="3"/>
    <n v="218"/>
    <n v="4"/>
    <x v="1"/>
    <x v="2"/>
    <x v="1"/>
    <x v="1"/>
    <x v="1"/>
    <x v="7"/>
    <s v="Tuesday"/>
    <n v="16"/>
    <n v="0.98198198198198194"/>
    <n v="98.198198198198199"/>
    <x v="0"/>
  </r>
  <r>
    <n v="1494"/>
    <s v="774 Pine St, CityC"/>
    <x v="465"/>
    <x v="1"/>
    <x v="1"/>
    <x v="0"/>
    <x v="3"/>
    <n v="67"/>
    <n v="24"/>
    <x v="0"/>
    <x v="0"/>
    <x v="0"/>
    <x v="1"/>
    <x v="0"/>
    <x v="3"/>
    <s v="Thursday"/>
    <n v="16"/>
    <n v="0.73626373626373631"/>
    <n v="73.626373626373635"/>
    <x v="0"/>
  </r>
  <r>
    <n v="1495"/>
    <s v="846 Elm St, CityE"/>
    <x v="466"/>
    <x v="1"/>
    <x v="46"/>
    <x v="1"/>
    <x v="1"/>
    <n v="118"/>
    <n v="29"/>
    <x v="0"/>
    <x v="0"/>
    <x v="2"/>
    <x v="1"/>
    <x v="0"/>
    <x v="2"/>
    <s v="Sunday"/>
    <n v="14"/>
    <n v="0.80272108843537415"/>
    <n v="80.27210884353741"/>
    <x v="0"/>
  </r>
  <r>
    <n v="1496"/>
    <s v="654 Main St, CityB"/>
    <x v="467"/>
    <x v="1"/>
    <x v="71"/>
    <x v="0"/>
    <x v="0"/>
    <n v="231"/>
    <n v="10"/>
    <x v="0"/>
    <x v="3"/>
    <x v="1"/>
    <x v="2"/>
    <x v="0"/>
    <x v="4"/>
    <s v="Wednesday"/>
    <n v="8"/>
    <n v="0.95850622406639008"/>
    <n v="95.850622406639005"/>
    <x v="0"/>
  </r>
  <r>
    <n v="1497"/>
    <s v="25 Main St, CityA"/>
    <x v="468"/>
    <x v="0"/>
    <x v="53"/>
    <x v="0"/>
    <x v="2"/>
    <n v="182"/>
    <n v="14"/>
    <x v="0"/>
    <x v="2"/>
    <x v="1"/>
    <x v="2"/>
    <x v="0"/>
    <x v="2"/>
    <s v="Sunday"/>
    <n v="15"/>
    <n v="0.9285714285714286"/>
    <n v="92.857142857142861"/>
    <x v="0"/>
  </r>
  <r>
    <n v="1498"/>
    <s v="303 Main St, CityB"/>
    <x v="469"/>
    <x v="0"/>
    <x v="80"/>
    <x v="0"/>
    <x v="4"/>
    <n v="181"/>
    <n v="2"/>
    <x v="2"/>
    <x v="1"/>
    <x v="2"/>
    <x v="2"/>
    <x v="2"/>
    <x v="7"/>
    <s v="Tuesday"/>
    <n v="15"/>
    <n v="0.98907103825136611"/>
    <n v="98.907103825136616"/>
    <x v="0"/>
  </r>
  <r>
    <n v="1499"/>
    <s v="191 Main St, CityA"/>
    <x v="470"/>
    <x v="0"/>
    <x v="61"/>
    <x v="0"/>
    <x v="0"/>
    <n v="90"/>
    <n v="23"/>
    <x v="0"/>
    <x v="0"/>
    <x v="2"/>
    <x v="1"/>
    <x v="0"/>
    <x v="2"/>
    <s v="Sunday"/>
    <n v="15"/>
    <n v="0.79646017699115046"/>
    <n v="79.646017699115049"/>
    <x v="0"/>
  </r>
  <r>
    <n v="1500"/>
    <s v="260 Pine St, CityA"/>
    <x v="471"/>
    <x v="1"/>
    <x v="39"/>
    <x v="0"/>
    <x v="4"/>
    <n v="85"/>
    <n v="7"/>
    <x v="1"/>
    <x v="4"/>
    <x v="0"/>
    <x v="0"/>
    <x v="1"/>
    <x v="0"/>
    <s v="Monday"/>
    <n v="12"/>
    <n v="0.92391304347826086"/>
    <n v="92.391304347826093"/>
    <x v="0"/>
  </r>
  <r>
    <n v="1501"/>
    <s v="433 Oak St, CityD"/>
    <x v="472"/>
    <x v="1"/>
    <x v="99"/>
    <x v="2"/>
    <x v="4"/>
    <n v="197"/>
    <n v="19"/>
    <x v="2"/>
    <x v="2"/>
    <x v="1"/>
    <x v="2"/>
    <x v="2"/>
    <x v="5"/>
    <s v="Saturday"/>
    <n v="8"/>
    <n v="0.91203703703703709"/>
    <n v="91.203703703703709"/>
    <x v="0"/>
  </r>
  <r>
    <n v="1502"/>
    <s v="11 Cedar St, CityC"/>
    <x v="465"/>
    <x v="1"/>
    <x v="64"/>
    <x v="1"/>
    <x v="4"/>
    <n v="125"/>
    <n v="16"/>
    <x v="2"/>
    <x v="2"/>
    <x v="2"/>
    <x v="0"/>
    <x v="2"/>
    <x v="3"/>
    <s v="Thursday"/>
    <n v="16"/>
    <n v="0.88652482269503541"/>
    <n v="88.652482269503537"/>
    <x v="0"/>
  </r>
  <r>
    <n v="1503"/>
    <s v="352 Pine St, CityC"/>
    <x v="473"/>
    <x v="0"/>
    <x v="49"/>
    <x v="0"/>
    <x v="3"/>
    <n v="122"/>
    <n v="1"/>
    <x v="0"/>
    <x v="3"/>
    <x v="0"/>
    <x v="1"/>
    <x v="0"/>
    <x v="7"/>
    <s v="Tuesday"/>
    <n v="12"/>
    <n v="0.99186991869918695"/>
    <n v="99.1869918699187"/>
    <x v="0"/>
  </r>
  <r>
    <n v="1504"/>
    <s v="214 Oak St, CityD"/>
    <x v="474"/>
    <x v="1"/>
    <x v="57"/>
    <x v="1"/>
    <x v="1"/>
    <n v="75"/>
    <n v="28"/>
    <x v="2"/>
    <x v="3"/>
    <x v="2"/>
    <x v="1"/>
    <x v="2"/>
    <x v="0"/>
    <s v="Monday"/>
    <n v="10"/>
    <n v="0.72815533980582525"/>
    <n v="72.815533980582529"/>
    <x v="0"/>
  </r>
  <r>
    <n v="1505"/>
    <s v="635 Cedar St, CityD"/>
    <x v="319"/>
    <x v="0"/>
    <x v="22"/>
    <x v="2"/>
    <x v="1"/>
    <n v="77"/>
    <n v="5"/>
    <x v="1"/>
    <x v="2"/>
    <x v="0"/>
    <x v="1"/>
    <x v="1"/>
    <x v="0"/>
    <s v="Monday"/>
    <n v="16"/>
    <n v="0.93902439024390238"/>
    <n v="93.902439024390233"/>
    <x v="0"/>
  </r>
  <r>
    <n v="1506"/>
    <s v="651 Cedar St, CityE"/>
    <x v="475"/>
    <x v="0"/>
    <x v="41"/>
    <x v="0"/>
    <x v="0"/>
    <n v="74"/>
    <n v="28"/>
    <x v="2"/>
    <x v="0"/>
    <x v="0"/>
    <x v="1"/>
    <x v="2"/>
    <x v="0"/>
    <s v="Monday"/>
    <n v="15"/>
    <n v="0.72549019607843135"/>
    <n v="72.549019607843135"/>
    <x v="0"/>
  </r>
  <r>
    <n v="1507"/>
    <s v="43 Pine St, CityA"/>
    <x v="476"/>
    <x v="1"/>
    <x v="13"/>
    <x v="1"/>
    <x v="4"/>
    <n v="221"/>
    <n v="24"/>
    <x v="1"/>
    <x v="0"/>
    <x v="1"/>
    <x v="1"/>
    <x v="1"/>
    <x v="5"/>
    <s v="Saturday"/>
    <n v="11"/>
    <n v="0.90204081632653066"/>
    <n v="90.204081632653072"/>
    <x v="0"/>
  </r>
  <r>
    <n v="1508"/>
    <s v="512 Oak St, CityC"/>
    <x v="477"/>
    <x v="1"/>
    <x v="24"/>
    <x v="0"/>
    <x v="3"/>
    <n v="69"/>
    <n v="9"/>
    <x v="2"/>
    <x v="2"/>
    <x v="1"/>
    <x v="2"/>
    <x v="2"/>
    <x v="6"/>
    <s v="Friday"/>
    <n v="10"/>
    <n v="0.88461538461538458"/>
    <n v="88.461538461538453"/>
    <x v="0"/>
  </r>
  <r>
    <n v="1509"/>
    <s v="32 Oak St, CityD"/>
    <x v="478"/>
    <x v="1"/>
    <x v="64"/>
    <x v="2"/>
    <x v="2"/>
    <n v="62"/>
    <n v="28"/>
    <x v="0"/>
    <x v="4"/>
    <x v="2"/>
    <x v="1"/>
    <x v="0"/>
    <x v="2"/>
    <s v="Sunday"/>
    <n v="8"/>
    <n v="0.68888888888888888"/>
    <n v="68.888888888888886"/>
    <x v="0"/>
  </r>
  <r>
    <n v="1510"/>
    <s v="882 Pine St, CityE"/>
    <x v="479"/>
    <x v="1"/>
    <x v="89"/>
    <x v="0"/>
    <x v="4"/>
    <n v="209"/>
    <n v="9"/>
    <x v="2"/>
    <x v="3"/>
    <x v="2"/>
    <x v="0"/>
    <x v="2"/>
    <x v="1"/>
    <s v="Friday"/>
    <n v="11"/>
    <n v="0.95871559633027525"/>
    <n v="95.87155963302753"/>
    <x v="0"/>
  </r>
  <r>
    <n v="1511"/>
    <s v="789 Main St, CityD"/>
    <x v="480"/>
    <x v="0"/>
    <x v="16"/>
    <x v="1"/>
    <x v="3"/>
    <n v="87"/>
    <n v="9"/>
    <x v="0"/>
    <x v="2"/>
    <x v="2"/>
    <x v="2"/>
    <x v="0"/>
    <x v="0"/>
    <s v="Monday"/>
    <n v="16"/>
    <n v="0.90625"/>
    <n v="90.625"/>
    <x v="0"/>
  </r>
  <r>
    <n v="1512"/>
    <s v="706 Cedar St, CityE"/>
    <x v="481"/>
    <x v="1"/>
    <x v="97"/>
    <x v="0"/>
    <x v="2"/>
    <n v="129"/>
    <n v="8"/>
    <x v="2"/>
    <x v="4"/>
    <x v="1"/>
    <x v="1"/>
    <x v="2"/>
    <x v="5"/>
    <s v="Saturday"/>
    <n v="10"/>
    <n v="0.94160583941605835"/>
    <n v="94.160583941605836"/>
    <x v="0"/>
  </r>
  <r>
    <n v="1513"/>
    <s v="902 Oak St, CityD"/>
    <x v="482"/>
    <x v="0"/>
    <x v="32"/>
    <x v="2"/>
    <x v="4"/>
    <n v="133"/>
    <n v="22"/>
    <x v="0"/>
    <x v="3"/>
    <x v="2"/>
    <x v="0"/>
    <x v="0"/>
    <x v="5"/>
    <s v="Saturday"/>
    <n v="8"/>
    <n v="0.85806451612903223"/>
    <n v="85.806451612903217"/>
    <x v="0"/>
  </r>
  <r>
    <n v="1514"/>
    <s v="28 Pine St, CityA"/>
    <x v="483"/>
    <x v="0"/>
    <x v="34"/>
    <x v="1"/>
    <x v="0"/>
    <n v="201"/>
    <n v="25"/>
    <x v="1"/>
    <x v="1"/>
    <x v="0"/>
    <x v="1"/>
    <x v="1"/>
    <x v="0"/>
    <s v="Monday"/>
    <n v="8"/>
    <n v="0.88938053097345138"/>
    <n v="88.938053097345133"/>
    <x v="0"/>
  </r>
  <r>
    <n v="1515"/>
    <s v="986 Pine St, CityA"/>
    <x v="484"/>
    <x v="1"/>
    <x v="96"/>
    <x v="0"/>
    <x v="2"/>
    <n v="188"/>
    <n v="16"/>
    <x v="0"/>
    <x v="2"/>
    <x v="2"/>
    <x v="1"/>
    <x v="0"/>
    <x v="1"/>
    <s v="Friday"/>
    <n v="10"/>
    <n v="0.92156862745098034"/>
    <n v="92.156862745098039"/>
    <x v="0"/>
  </r>
  <r>
    <n v="1516"/>
    <s v="487 Oak St, CityE"/>
    <x v="485"/>
    <x v="0"/>
    <x v="59"/>
    <x v="0"/>
    <x v="4"/>
    <n v="172"/>
    <n v="3"/>
    <x v="2"/>
    <x v="3"/>
    <x v="0"/>
    <x v="2"/>
    <x v="2"/>
    <x v="3"/>
    <s v="Thursday"/>
    <n v="8"/>
    <n v="0.98285714285714287"/>
    <n v="98.285714285714292"/>
    <x v="0"/>
  </r>
  <r>
    <n v="1517"/>
    <s v="95 Main St, CityB"/>
    <x v="249"/>
    <x v="1"/>
    <x v="57"/>
    <x v="0"/>
    <x v="0"/>
    <n v="231"/>
    <n v="16"/>
    <x v="0"/>
    <x v="0"/>
    <x v="2"/>
    <x v="2"/>
    <x v="0"/>
    <x v="3"/>
    <s v="Thursday"/>
    <n v="15"/>
    <n v="0.93522267206477738"/>
    <n v="93.522267206477736"/>
    <x v="0"/>
  </r>
  <r>
    <n v="1518"/>
    <s v="742 Main St, CityD"/>
    <x v="226"/>
    <x v="1"/>
    <x v="94"/>
    <x v="1"/>
    <x v="3"/>
    <n v="226"/>
    <n v="14"/>
    <x v="1"/>
    <x v="3"/>
    <x v="0"/>
    <x v="1"/>
    <x v="1"/>
    <x v="1"/>
    <s v="Friday"/>
    <n v="9"/>
    <n v="0.94166666666666665"/>
    <n v="94.166666666666671"/>
    <x v="0"/>
  </r>
  <r>
    <n v="1519"/>
    <s v="389 Oak St, CityB"/>
    <x v="486"/>
    <x v="1"/>
    <x v="77"/>
    <x v="2"/>
    <x v="4"/>
    <n v="172"/>
    <n v="27"/>
    <x v="1"/>
    <x v="3"/>
    <x v="0"/>
    <x v="0"/>
    <x v="1"/>
    <x v="6"/>
    <s v="Friday"/>
    <n v="16"/>
    <n v="0.86432160804020097"/>
    <n v="86.4321608040201"/>
    <x v="0"/>
  </r>
  <r>
    <n v="1520"/>
    <s v="619 Pine St, CityA"/>
    <x v="487"/>
    <x v="0"/>
    <x v="66"/>
    <x v="2"/>
    <x v="1"/>
    <n v="206"/>
    <n v="0"/>
    <x v="1"/>
    <x v="0"/>
    <x v="0"/>
    <x v="1"/>
    <x v="1"/>
    <x v="1"/>
    <s v="Friday"/>
    <n v="14"/>
    <n v="1"/>
    <n v="100"/>
    <x v="1"/>
  </r>
  <r>
    <n v="1521"/>
    <s v="331 Oak St, CityE"/>
    <x v="488"/>
    <x v="0"/>
    <x v="50"/>
    <x v="2"/>
    <x v="1"/>
    <n v="205"/>
    <n v="15"/>
    <x v="2"/>
    <x v="0"/>
    <x v="2"/>
    <x v="1"/>
    <x v="2"/>
    <x v="7"/>
    <s v="Tuesday"/>
    <n v="16"/>
    <n v="0.93181818181818177"/>
    <n v="93.181818181818173"/>
    <x v="0"/>
  </r>
  <r>
    <n v="1522"/>
    <s v="796 Pine St, CityB"/>
    <x v="489"/>
    <x v="0"/>
    <x v="6"/>
    <x v="1"/>
    <x v="4"/>
    <n v="136"/>
    <n v="25"/>
    <x v="2"/>
    <x v="2"/>
    <x v="2"/>
    <x v="2"/>
    <x v="2"/>
    <x v="3"/>
    <s v="Thursday"/>
    <n v="11"/>
    <n v="0.84472049689440998"/>
    <n v="84.472049689440993"/>
    <x v="0"/>
  </r>
  <r>
    <n v="1523"/>
    <s v="629 Pine St, CityA"/>
    <x v="185"/>
    <x v="1"/>
    <x v="72"/>
    <x v="2"/>
    <x v="4"/>
    <n v="100"/>
    <n v="22"/>
    <x v="1"/>
    <x v="1"/>
    <x v="0"/>
    <x v="2"/>
    <x v="1"/>
    <x v="1"/>
    <s v="Friday"/>
    <n v="9"/>
    <n v="0.81967213114754101"/>
    <n v="81.967213114754102"/>
    <x v="0"/>
  </r>
  <r>
    <n v="1524"/>
    <s v="11 Elm St, CityE"/>
    <x v="490"/>
    <x v="0"/>
    <x v="90"/>
    <x v="1"/>
    <x v="4"/>
    <n v="79"/>
    <n v="29"/>
    <x v="2"/>
    <x v="4"/>
    <x v="0"/>
    <x v="2"/>
    <x v="2"/>
    <x v="7"/>
    <s v="Tuesday"/>
    <n v="11"/>
    <n v="0.73148148148148151"/>
    <n v="73.148148148148152"/>
    <x v="0"/>
  </r>
  <r>
    <n v="1525"/>
    <s v="884 Main St, CityE"/>
    <x v="491"/>
    <x v="0"/>
    <x v="62"/>
    <x v="2"/>
    <x v="3"/>
    <n v="120"/>
    <n v="18"/>
    <x v="2"/>
    <x v="2"/>
    <x v="2"/>
    <x v="0"/>
    <x v="2"/>
    <x v="0"/>
    <s v="Monday"/>
    <n v="13"/>
    <n v="0.86956521739130432"/>
    <n v="86.956521739130437"/>
    <x v="0"/>
  </r>
  <r>
    <n v="1526"/>
    <s v="456 Main St, CityE"/>
    <x v="492"/>
    <x v="1"/>
    <x v="83"/>
    <x v="2"/>
    <x v="1"/>
    <n v="230"/>
    <n v="11"/>
    <x v="2"/>
    <x v="4"/>
    <x v="0"/>
    <x v="0"/>
    <x v="2"/>
    <x v="1"/>
    <s v="Friday"/>
    <n v="9"/>
    <n v="0.9543568464730291"/>
    <n v="95.435684647302907"/>
    <x v="0"/>
  </r>
  <r>
    <n v="1527"/>
    <s v="186 Pine St, CityC"/>
    <x v="359"/>
    <x v="0"/>
    <x v="63"/>
    <x v="2"/>
    <x v="3"/>
    <n v="159"/>
    <n v="27"/>
    <x v="2"/>
    <x v="4"/>
    <x v="1"/>
    <x v="2"/>
    <x v="2"/>
    <x v="3"/>
    <s v="Thursday"/>
    <n v="15"/>
    <n v="0.85483870967741937"/>
    <n v="85.483870967741936"/>
    <x v="0"/>
  </r>
  <r>
    <n v="1528"/>
    <s v="714 Cedar St, CityD"/>
    <x v="493"/>
    <x v="1"/>
    <x v="89"/>
    <x v="0"/>
    <x v="0"/>
    <n v="124"/>
    <n v="19"/>
    <x v="2"/>
    <x v="3"/>
    <x v="1"/>
    <x v="2"/>
    <x v="2"/>
    <x v="2"/>
    <s v="Sunday"/>
    <n v="16"/>
    <n v="0.86713286713286708"/>
    <n v="86.713286713286706"/>
    <x v="0"/>
  </r>
  <r>
    <n v="1529"/>
    <s v="821 Cedar St, CityA"/>
    <x v="494"/>
    <x v="1"/>
    <x v="72"/>
    <x v="2"/>
    <x v="0"/>
    <n v="213"/>
    <n v="1"/>
    <x v="0"/>
    <x v="1"/>
    <x v="2"/>
    <x v="0"/>
    <x v="0"/>
    <x v="7"/>
    <s v="Tuesday"/>
    <n v="11"/>
    <n v="0.99532710280373837"/>
    <n v="99.532710280373834"/>
    <x v="0"/>
  </r>
  <r>
    <n v="1530"/>
    <s v="260 Cedar St, CityA"/>
    <x v="495"/>
    <x v="1"/>
    <x v="27"/>
    <x v="1"/>
    <x v="4"/>
    <n v="72"/>
    <n v="22"/>
    <x v="1"/>
    <x v="4"/>
    <x v="0"/>
    <x v="0"/>
    <x v="1"/>
    <x v="4"/>
    <s v="Wednesday"/>
    <n v="14"/>
    <n v="0.76595744680851063"/>
    <n v="76.59574468085107"/>
    <x v="0"/>
  </r>
  <r>
    <n v="1531"/>
    <s v="715 Cedar St, CityD"/>
    <x v="226"/>
    <x v="1"/>
    <x v="53"/>
    <x v="0"/>
    <x v="0"/>
    <n v="193"/>
    <n v="10"/>
    <x v="0"/>
    <x v="2"/>
    <x v="0"/>
    <x v="1"/>
    <x v="0"/>
    <x v="1"/>
    <s v="Friday"/>
    <n v="9"/>
    <n v="0.95073891625615758"/>
    <n v="95.073891625615758"/>
    <x v="0"/>
  </r>
  <r>
    <n v="1532"/>
    <s v="179 Pine St, CityC"/>
    <x v="496"/>
    <x v="1"/>
    <x v="67"/>
    <x v="2"/>
    <x v="1"/>
    <n v="78"/>
    <n v="7"/>
    <x v="1"/>
    <x v="1"/>
    <x v="0"/>
    <x v="2"/>
    <x v="1"/>
    <x v="1"/>
    <s v="Friday"/>
    <n v="11"/>
    <n v="0.91764705882352937"/>
    <n v="91.764705882352942"/>
    <x v="0"/>
  </r>
  <r>
    <n v="1533"/>
    <s v="875 Elm St, CityA"/>
    <x v="497"/>
    <x v="1"/>
    <x v="3"/>
    <x v="1"/>
    <x v="1"/>
    <n v="208"/>
    <n v="10"/>
    <x v="2"/>
    <x v="1"/>
    <x v="1"/>
    <x v="0"/>
    <x v="2"/>
    <x v="3"/>
    <s v="Thursday"/>
    <n v="15"/>
    <n v="0.95412844036697253"/>
    <n v="95.412844036697251"/>
    <x v="0"/>
  </r>
  <r>
    <n v="1534"/>
    <s v="298 Cedar St, CityC"/>
    <x v="498"/>
    <x v="0"/>
    <x v="48"/>
    <x v="0"/>
    <x v="0"/>
    <n v="205"/>
    <n v="12"/>
    <x v="0"/>
    <x v="0"/>
    <x v="2"/>
    <x v="0"/>
    <x v="0"/>
    <x v="4"/>
    <s v="Wednesday"/>
    <n v="10"/>
    <n v="0.9447004608294931"/>
    <n v="94.47004608294931"/>
    <x v="0"/>
  </r>
  <r>
    <n v="1535"/>
    <s v="437 Main St, CityB"/>
    <x v="499"/>
    <x v="0"/>
    <x v="46"/>
    <x v="1"/>
    <x v="2"/>
    <n v="228"/>
    <n v="11"/>
    <x v="0"/>
    <x v="3"/>
    <x v="1"/>
    <x v="2"/>
    <x v="0"/>
    <x v="3"/>
    <s v="Thursday"/>
    <n v="12"/>
    <n v="0.95397489539748959"/>
    <n v="95.39748953974896"/>
    <x v="0"/>
  </r>
  <r>
    <n v="1536"/>
    <s v="992 Main St, CityB"/>
    <x v="500"/>
    <x v="0"/>
    <x v="97"/>
    <x v="1"/>
    <x v="2"/>
    <n v="191"/>
    <n v="7"/>
    <x v="1"/>
    <x v="1"/>
    <x v="2"/>
    <x v="1"/>
    <x v="1"/>
    <x v="5"/>
    <s v="Saturday"/>
    <n v="15"/>
    <n v="0.96464646464646464"/>
    <n v="96.464646464646464"/>
    <x v="0"/>
  </r>
  <r>
    <n v="1537"/>
    <s v="494 Pine St, CityB"/>
    <x v="501"/>
    <x v="0"/>
    <x v="48"/>
    <x v="2"/>
    <x v="4"/>
    <n v="195"/>
    <n v="23"/>
    <x v="0"/>
    <x v="2"/>
    <x v="0"/>
    <x v="0"/>
    <x v="0"/>
    <x v="1"/>
    <s v="Friday"/>
    <n v="13"/>
    <n v="0.89449541284403666"/>
    <n v="89.449541284403665"/>
    <x v="0"/>
  </r>
  <r>
    <n v="1538"/>
    <s v="6 Pine St, CityB"/>
    <x v="502"/>
    <x v="0"/>
    <x v="85"/>
    <x v="0"/>
    <x v="2"/>
    <n v="192"/>
    <n v="14"/>
    <x v="0"/>
    <x v="3"/>
    <x v="0"/>
    <x v="0"/>
    <x v="0"/>
    <x v="3"/>
    <s v="Thursday"/>
    <n v="14"/>
    <n v="0.93203883495145634"/>
    <n v="93.203883495145632"/>
    <x v="0"/>
  </r>
  <r>
    <n v="1539"/>
    <s v="792 Pine St, CityA"/>
    <x v="503"/>
    <x v="1"/>
    <x v="34"/>
    <x v="2"/>
    <x v="1"/>
    <n v="173"/>
    <n v="17"/>
    <x v="0"/>
    <x v="4"/>
    <x v="1"/>
    <x v="0"/>
    <x v="0"/>
    <x v="5"/>
    <s v="Saturday"/>
    <n v="14"/>
    <n v="0.91052631578947374"/>
    <n v="91.05263157894737"/>
    <x v="0"/>
  </r>
  <r>
    <n v="1540"/>
    <s v="310 Elm St, CityB"/>
    <x v="504"/>
    <x v="1"/>
    <x v="65"/>
    <x v="0"/>
    <x v="4"/>
    <n v="231"/>
    <n v="16"/>
    <x v="1"/>
    <x v="0"/>
    <x v="2"/>
    <x v="1"/>
    <x v="1"/>
    <x v="3"/>
    <s v="Thursday"/>
    <n v="9"/>
    <n v="0.93522267206477738"/>
    <n v="93.522267206477736"/>
    <x v="0"/>
  </r>
  <r>
    <n v="1541"/>
    <s v="349 Cedar St, CityD"/>
    <x v="505"/>
    <x v="1"/>
    <x v="2"/>
    <x v="2"/>
    <x v="2"/>
    <n v="138"/>
    <n v="3"/>
    <x v="0"/>
    <x v="3"/>
    <x v="0"/>
    <x v="2"/>
    <x v="0"/>
    <x v="5"/>
    <s v="Saturday"/>
    <n v="13"/>
    <n v="0.97872340425531912"/>
    <n v="97.872340425531917"/>
    <x v="0"/>
  </r>
  <r>
    <n v="1542"/>
    <s v="235 Pine St, CityA"/>
    <x v="506"/>
    <x v="1"/>
    <x v="36"/>
    <x v="1"/>
    <x v="2"/>
    <n v="87"/>
    <n v="28"/>
    <x v="2"/>
    <x v="0"/>
    <x v="1"/>
    <x v="2"/>
    <x v="2"/>
    <x v="0"/>
    <s v="Monday"/>
    <n v="9"/>
    <n v="0.75652173913043474"/>
    <n v="75.65217391304347"/>
    <x v="0"/>
  </r>
  <r>
    <n v="1543"/>
    <s v="104 Elm St, CityB"/>
    <x v="507"/>
    <x v="0"/>
    <x v="82"/>
    <x v="0"/>
    <x v="1"/>
    <n v="123"/>
    <n v="10"/>
    <x v="2"/>
    <x v="1"/>
    <x v="2"/>
    <x v="2"/>
    <x v="2"/>
    <x v="6"/>
    <s v="Friday"/>
    <n v="12"/>
    <n v="0.92481203007518797"/>
    <n v="92.481203007518801"/>
    <x v="0"/>
  </r>
  <r>
    <n v="1544"/>
    <s v="136 Cedar St, CityE"/>
    <x v="508"/>
    <x v="0"/>
    <x v="57"/>
    <x v="2"/>
    <x v="3"/>
    <n v="179"/>
    <n v="9"/>
    <x v="2"/>
    <x v="4"/>
    <x v="0"/>
    <x v="2"/>
    <x v="2"/>
    <x v="5"/>
    <s v="Saturday"/>
    <n v="16"/>
    <n v="0.9521276595744681"/>
    <n v="95.212765957446805"/>
    <x v="0"/>
  </r>
  <r>
    <n v="1545"/>
    <s v="25 Pine St, CityD"/>
    <x v="509"/>
    <x v="1"/>
    <x v="50"/>
    <x v="2"/>
    <x v="3"/>
    <n v="198"/>
    <n v="0"/>
    <x v="0"/>
    <x v="4"/>
    <x v="0"/>
    <x v="0"/>
    <x v="0"/>
    <x v="7"/>
    <s v="Tuesday"/>
    <n v="14"/>
    <n v="1"/>
    <n v="100"/>
    <x v="1"/>
  </r>
  <r>
    <n v="1546"/>
    <s v="376 Pine St, CityA"/>
    <x v="510"/>
    <x v="1"/>
    <x v="9"/>
    <x v="1"/>
    <x v="1"/>
    <n v="130"/>
    <n v="3"/>
    <x v="0"/>
    <x v="0"/>
    <x v="2"/>
    <x v="1"/>
    <x v="0"/>
    <x v="1"/>
    <s v="Friday"/>
    <n v="15"/>
    <n v="0.97744360902255634"/>
    <n v="97.744360902255636"/>
    <x v="0"/>
  </r>
  <r>
    <n v="1547"/>
    <s v="726 Cedar St, CityC"/>
    <x v="511"/>
    <x v="0"/>
    <x v="55"/>
    <x v="2"/>
    <x v="0"/>
    <n v="205"/>
    <n v="29"/>
    <x v="0"/>
    <x v="3"/>
    <x v="2"/>
    <x v="0"/>
    <x v="0"/>
    <x v="0"/>
    <s v="Monday"/>
    <n v="13"/>
    <n v="0.87606837606837606"/>
    <n v="87.606837606837601"/>
    <x v="0"/>
  </r>
  <r>
    <n v="1548"/>
    <s v="651 Cedar St, CityA"/>
    <x v="512"/>
    <x v="0"/>
    <x v="67"/>
    <x v="2"/>
    <x v="3"/>
    <n v="62"/>
    <n v="25"/>
    <x v="2"/>
    <x v="4"/>
    <x v="1"/>
    <x v="2"/>
    <x v="2"/>
    <x v="0"/>
    <s v="Monday"/>
    <n v="14"/>
    <n v="0.71264367816091956"/>
    <n v="71.264367816091962"/>
    <x v="0"/>
  </r>
  <r>
    <n v="1549"/>
    <s v="429 Pine St, CityA"/>
    <x v="513"/>
    <x v="1"/>
    <x v="97"/>
    <x v="2"/>
    <x v="2"/>
    <n v="75"/>
    <n v="4"/>
    <x v="2"/>
    <x v="2"/>
    <x v="1"/>
    <x v="1"/>
    <x v="2"/>
    <x v="2"/>
    <s v="Sunday"/>
    <n v="12"/>
    <n v="0.94936708860759489"/>
    <n v="94.936708860759495"/>
    <x v="0"/>
  </r>
  <r>
    <n v="1550"/>
    <s v="286 Pine St, CityE"/>
    <x v="514"/>
    <x v="0"/>
    <x v="88"/>
    <x v="2"/>
    <x v="4"/>
    <n v="72"/>
    <n v="26"/>
    <x v="1"/>
    <x v="0"/>
    <x v="0"/>
    <x v="1"/>
    <x v="1"/>
    <x v="3"/>
    <s v="Thursday"/>
    <n v="14"/>
    <n v="0.73469387755102045"/>
    <n v="73.469387755102048"/>
    <x v="0"/>
  </r>
  <r>
    <n v="1551"/>
    <s v="719 Pine St, CityA"/>
    <x v="515"/>
    <x v="1"/>
    <x v="44"/>
    <x v="0"/>
    <x v="4"/>
    <n v="173"/>
    <n v="4"/>
    <x v="2"/>
    <x v="1"/>
    <x v="2"/>
    <x v="0"/>
    <x v="2"/>
    <x v="6"/>
    <s v="Friday"/>
    <n v="10"/>
    <n v="0.97740112994350281"/>
    <n v="97.740112994350284"/>
    <x v="0"/>
  </r>
  <r>
    <n v="1552"/>
    <s v="67 Main St, CityC"/>
    <x v="82"/>
    <x v="0"/>
    <x v="87"/>
    <x v="2"/>
    <x v="1"/>
    <n v="101"/>
    <n v="8"/>
    <x v="1"/>
    <x v="3"/>
    <x v="2"/>
    <x v="0"/>
    <x v="1"/>
    <x v="0"/>
    <s v="Monday"/>
    <n v="8"/>
    <n v="0.92660550458715596"/>
    <n v="92.660550458715591"/>
    <x v="0"/>
  </r>
  <r>
    <n v="1553"/>
    <s v="899 Oak St, CityD"/>
    <x v="516"/>
    <x v="0"/>
    <x v="43"/>
    <x v="2"/>
    <x v="2"/>
    <n v="187"/>
    <n v="2"/>
    <x v="2"/>
    <x v="3"/>
    <x v="0"/>
    <x v="0"/>
    <x v="2"/>
    <x v="5"/>
    <s v="Saturday"/>
    <n v="16"/>
    <n v="0.98941798941798942"/>
    <n v="98.941798941798936"/>
    <x v="0"/>
  </r>
  <r>
    <n v="1554"/>
    <s v="411 Cedar St, CityB"/>
    <x v="148"/>
    <x v="1"/>
    <x v="91"/>
    <x v="2"/>
    <x v="3"/>
    <n v="179"/>
    <n v="0"/>
    <x v="0"/>
    <x v="0"/>
    <x v="2"/>
    <x v="2"/>
    <x v="0"/>
    <x v="6"/>
    <s v="Friday"/>
    <n v="15"/>
    <n v="1"/>
    <n v="100"/>
    <x v="1"/>
  </r>
  <r>
    <n v="1555"/>
    <s v="929 Elm St, CityA"/>
    <x v="517"/>
    <x v="0"/>
    <x v="18"/>
    <x v="1"/>
    <x v="1"/>
    <n v="222"/>
    <n v="2"/>
    <x v="2"/>
    <x v="1"/>
    <x v="0"/>
    <x v="1"/>
    <x v="2"/>
    <x v="1"/>
    <s v="Friday"/>
    <n v="9"/>
    <n v="0.9910714285714286"/>
    <n v="99.107142857142861"/>
    <x v="0"/>
  </r>
  <r>
    <n v="1556"/>
    <s v="25 Elm St, CityA"/>
    <x v="518"/>
    <x v="0"/>
    <x v="91"/>
    <x v="2"/>
    <x v="1"/>
    <n v="106"/>
    <n v="13"/>
    <x v="2"/>
    <x v="2"/>
    <x v="2"/>
    <x v="1"/>
    <x v="2"/>
    <x v="3"/>
    <s v="Thursday"/>
    <n v="13"/>
    <n v="0.89075630252100846"/>
    <n v="89.075630252100851"/>
    <x v="0"/>
  </r>
  <r>
    <n v="1557"/>
    <s v="585 Elm St, CityB"/>
    <x v="519"/>
    <x v="1"/>
    <x v="72"/>
    <x v="0"/>
    <x v="4"/>
    <n v="75"/>
    <n v="13"/>
    <x v="0"/>
    <x v="1"/>
    <x v="0"/>
    <x v="1"/>
    <x v="0"/>
    <x v="6"/>
    <s v="Friday"/>
    <n v="10"/>
    <n v="0.85227272727272729"/>
    <n v="85.227272727272734"/>
    <x v="0"/>
  </r>
  <r>
    <n v="1558"/>
    <s v="457 Cedar St, CityC"/>
    <x v="520"/>
    <x v="0"/>
    <x v="71"/>
    <x v="2"/>
    <x v="0"/>
    <n v="170"/>
    <n v="29"/>
    <x v="2"/>
    <x v="1"/>
    <x v="1"/>
    <x v="1"/>
    <x v="2"/>
    <x v="6"/>
    <s v="Friday"/>
    <n v="9"/>
    <n v="0.85427135678391963"/>
    <n v="85.427135678391963"/>
    <x v="0"/>
  </r>
  <r>
    <n v="1559"/>
    <s v="571 Oak St, CityD"/>
    <x v="521"/>
    <x v="1"/>
    <x v="83"/>
    <x v="2"/>
    <x v="1"/>
    <n v="195"/>
    <n v="23"/>
    <x v="2"/>
    <x v="2"/>
    <x v="1"/>
    <x v="1"/>
    <x v="2"/>
    <x v="0"/>
    <s v="Monday"/>
    <n v="14"/>
    <n v="0.89449541284403666"/>
    <n v="89.449541284403665"/>
    <x v="0"/>
  </r>
  <r>
    <n v="1560"/>
    <s v="69 Elm St, CityE"/>
    <x v="522"/>
    <x v="0"/>
    <x v="41"/>
    <x v="1"/>
    <x v="1"/>
    <n v="217"/>
    <n v="19"/>
    <x v="1"/>
    <x v="4"/>
    <x v="0"/>
    <x v="1"/>
    <x v="1"/>
    <x v="5"/>
    <s v="Saturday"/>
    <n v="10"/>
    <n v="0.91949152542372881"/>
    <n v="91.949152542372886"/>
    <x v="0"/>
  </r>
  <r>
    <n v="1561"/>
    <s v="424 Main St, CityE"/>
    <x v="523"/>
    <x v="0"/>
    <x v="20"/>
    <x v="1"/>
    <x v="1"/>
    <n v="176"/>
    <n v="18"/>
    <x v="2"/>
    <x v="0"/>
    <x v="2"/>
    <x v="1"/>
    <x v="2"/>
    <x v="4"/>
    <s v="Wednesday"/>
    <n v="10"/>
    <n v="0.90721649484536082"/>
    <n v="90.721649484536087"/>
    <x v="0"/>
  </r>
  <r>
    <n v="1562"/>
    <s v="41 Elm St, CityB"/>
    <x v="524"/>
    <x v="1"/>
    <x v="71"/>
    <x v="0"/>
    <x v="0"/>
    <n v="135"/>
    <n v="3"/>
    <x v="2"/>
    <x v="4"/>
    <x v="0"/>
    <x v="2"/>
    <x v="2"/>
    <x v="2"/>
    <s v="Sunday"/>
    <n v="15"/>
    <n v="0.97826086956521741"/>
    <n v="97.826086956521735"/>
    <x v="0"/>
  </r>
  <r>
    <n v="1563"/>
    <s v="151 Oak St, CityB"/>
    <x v="525"/>
    <x v="0"/>
    <x v="44"/>
    <x v="0"/>
    <x v="4"/>
    <n v="69"/>
    <n v="14"/>
    <x v="2"/>
    <x v="0"/>
    <x v="0"/>
    <x v="1"/>
    <x v="2"/>
    <x v="7"/>
    <s v="Tuesday"/>
    <n v="14"/>
    <n v="0.83132530120481929"/>
    <n v="83.132530120481931"/>
    <x v="0"/>
  </r>
  <r>
    <n v="1564"/>
    <s v="765 Pine St, CityA"/>
    <x v="526"/>
    <x v="1"/>
    <x v="43"/>
    <x v="0"/>
    <x v="4"/>
    <n v="210"/>
    <n v="1"/>
    <x v="0"/>
    <x v="0"/>
    <x v="0"/>
    <x v="2"/>
    <x v="0"/>
    <x v="1"/>
    <s v="Friday"/>
    <n v="9"/>
    <n v="0.99526066350710896"/>
    <n v="99.526066350710892"/>
    <x v="0"/>
  </r>
  <r>
    <n v="1565"/>
    <s v="381 Main St, CityE"/>
    <x v="527"/>
    <x v="1"/>
    <x v="81"/>
    <x v="2"/>
    <x v="3"/>
    <n v="202"/>
    <n v="27"/>
    <x v="0"/>
    <x v="4"/>
    <x v="2"/>
    <x v="1"/>
    <x v="0"/>
    <x v="2"/>
    <s v="Sunday"/>
    <n v="13"/>
    <n v="0.88209606986899558"/>
    <n v="88.209606986899558"/>
    <x v="0"/>
  </r>
  <r>
    <n v="1566"/>
    <s v="808 Main St, CityA"/>
    <x v="528"/>
    <x v="1"/>
    <x v="30"/>
    <x v="2"/>
    <x v="4"/>
    <n v="75"/>
    <n v="20"/>
    <x v="0"/>
    <x v="4"/>
    <x v="0"/>
    <x v="2"/>
    <x v="0"/>
    <x v="6"/>
    <s v="Friday"/>
    <n v="9"/>
    <n v="0.78947368421052633"/>
    <n v="78.94736842105263"/>
    <x v="0"/>
  </r>
  <r>
    <n v="1567"/>
    <s v="538 Oak St, CityE"/>
    <x v="529"/>
    <x v="0"/>
    <x v="10"/>
    <x v="2"/>
    <x v="0"/>
    <n v="168"/>
    <n v="19"/>
    <x v="2"/>
    <x v="0"/>
    <x v="1"/>
    <x v="0"/>
    <x v="2"/>
    <x v="4"/>
    <s v="Wednesday"/>
    <n v="13"/>
    <n v="0.89839572192513373"/>
    <n v="89.839572192513373"/>
    <x v="0"/>
  </r>
  <r>
    <n v="1568"/>
    <s v="544 Main St, CityC"/>
    <x v="530"/>
    <x v="1"/>
    <x v="29"/>
    <x v="0"/>
    <x v="0"/>
    <n v="228"/>
    <n v="6"/>
    <x v="2"/>
    <x v="2"/>
    <x v="2"/>
    <x v="1"/>
    <x v="2"/>
    <x v="6"/>
    <s v="Friday"/>
    <n v="9"/>
    <n v="0.97435897435897434"/>
    <n v="97.435897435897431"/>
    <x v="0"/>
  </r>
  <r>
    <n v="1569"/>
    <s v="902 Elm St, CityC"/>
    <x v="531"/>
    <x v="0"/>
    <x v="66"/>
    <x v="1"/>
    <x v="4"/>
    <n v="230"/>
    <n v="14"/>
    <x v="1"/>
    <x v="0"/>
    <x v="1"/>
    <x v="2"/>
    <x v="1"/>
    <x v="5"/>
    <s v="Saturday"/>
    <n v="15"/>
    <n v="0.94262295081967218"/>
    <n v="94.262295081967224"/>
    <x v="0"/>
  </r>
  <r>
    <n v="1570"/>
    <s v="943 Elm St, CityD"/>
    <x v="320"/>
    <x v="1"/>
    <x v="42"/>
    <x v="2"/>
    <x v="4"/>
    <n v="81"/>
    <n v="4"/>
    <x v="0"/>
    <x v="2"/>
    <x v="2"/>
    <x v="1"/>
    <x v="0"/>
    <x v="7"/>
    <s v="Tuesday"/>
    <n v="10"/>
    <n v="0.95294117647058818"/>
    <n v="95.294117647058812"/>
    <x v="0"/>
  </r>
  <r>
    <n v="1571"/>
    <s v="821 Elm St, CityB"/>
    <x v="532"/>
    <x v="0"/>
    <x v="10"/>
    <x v="2"/>
    <x v="4"/>
    <n v="208"/>
    <n v="7"/>
    <x v="1"/>
    <x v="1"/>
    <x v="0"/>
    <x v="1"/>
    <x v="1"/>
    <x v="2"/>
    <s v="Sunday"/>
    <n v="14"/>
    <n v="0.96744186046511627"/>
    <n v="96.744186046511629"/>
    <x v="0"/>
  </r>
  <r>
    <n v="1572"/>
    <s v="680 Pine St, CityD"/>
    <x v="533"/>
    <x v="0"/>
    <x v="92"/>
    <x v="2"/>
    <x v="3"/>
    <n v="114"/>
    <n v="1"/>
    <x v="0"/>
    <x v="4"/>
    <x v="1"/>
    <x v="1"/>
    <x v="0"/>
    <x v="2"/>
    <s v="Sunday"/>
    <n v="9"/>
    <n v="0.99130434782608701"/>
    <n v="99.130434782608702"/>
    <x v="0"/>
  </r>
  <r>
    <n v="1573"/>
    <s v="491 Elm St, CityA"/>
    <x v="534"/>
    <x v="0"/>
    <x v="56"/>
    <x v="1"/>
    <x v="2"/>
    <n v="162"/>
    <n v="20"/>
    <x v="2"/>
    <x v="2"/>
    <x v="2"/>
    <x v="0"/>
    <x v="2"/>
    <x v="3"/>
    <s v="Thursday"/>
    <n v="12"/>
    <n v="0.89010989010989006"/>
    <n v="89.010989010989007"/>
    <x v="0"/>
  </r>
  <r>
    <n v="1574"/>
    <s v="177 Pine St, CityE"/>
    <x v="535"/>
    <x v="1"/>
    <x v="56"/>
    <x v="2"/>
    <x v="1"/>
    <n v="170"/>
    <n v="8"/>
    <x v="0"/>
    <x v="0"/>
    <x v="2"/>
    <x v="2"/>
    <x v="0"/>
    <x v="7"/>
    <s v="Tuesday"/>
    <n v="10"/>
    <n v="0.9550561797752809"/>
    <n v="95.50561797752809"/>
    <x v="0"/>
  </r>
  <r>
    <n v="1575"/>
    <s v="649 Cedar St, CityA"/>
    <x v="536"/>
    <x v="0"/>
    <x v="74"/>
    <x v="2"/>
    <x v="1"/>
    <n v="165"/>
    <n v="6"/>
    <x v="0"/>
    <x v="3"/>
    <x v="1"/>
    <x v="0"/>
    <x v="0"/>
    <x v="2"/>
    <s v="Sunday"/>
    <n v="10"/>
    <n v="0.96491228070175439"/>
    <n v="96.491228070175438"/>
    <x v="0"/>
  </r>
  <r>
    <n v="1576"/>
    <s v="150 Elm St, CityE"/>
    <x v="537"/>
    <x v="1"/>
    <x v="15"/>
    <x v="2"/>
    <x v="0"/>
    <n v="230"/>
    <n v="25"/>
    <x v="1"/>
    <x v="3"/>
    <x v="0"/>
    <x v="0"/>
    <x v="1"/>
    <x v="5"/>
    <s v="Saturday"/>
    <n v="15"/>
    <n v="0.90196078431372551"/>
    <n v="90.196078431372555"/>
    <x v="0"/>
  </r>
  <r>
    <n v="1577"/>
    <s v="149 Main St, CityD"/>
    <x v="538"/>
    <x v="0"/>
    <x v="8"/>
    <x v="2"/>
    <x v="4"/>
    <n v="146"/>
    <n v="28"/>
    <x v="0"/>
    <x v="2"/>
    <x v="2"/>
    <x v="2"/>
    <x v="0"/>
    <x v="7"/>
    <s v="Tuesday"/>
    <n v="15"/>
    <n v="0.83908045977011492"/>
    <n v="83.908045977011497"/>
    <x v="0"/>
  </r>
  <r>
    <n v="1578"/>
    <s v="526 Main St, CityE"/>
    <x v="539"/>
    <x v="0"/>
    <x v="12"/>
    <x v="1"/>
    <x v="2"/>
    <n v="77"/>
    <n v="21"/>
    <x v="1"/>
    <x v="2"/>
    <x v="2"/>
    <x v="2"/>
    <x v="1"/>
    <x v="2"/>
    <s v="Sunday"/>
    <n v="13"/>
    <n v="0.7857142857142857"/>
    <n v="78.571428571428569"/>
    <x v="0"/>
  </r>
  <r>
    <n v="1579"/>
    <s v="169 Elm St, CityD"/>
    <x v="155"/>
    <x v="0"/>
    <x v="13"/>
    <x v="1"/>
    <x v="1"/>
    <n v="138"/>
    <n v="0"/>
    <x v="2"/>
    <x v="0"/>
    <x v="2"/>
    <x v="1"/>
    <x v="2"/>
    <x v="4"/>
    <s v="Wednesday"/>
    <n v="9"/>
    <n v="1"/>
    <n v="100"/>
    <x v="1"/>
  </r>
  <r>
    <n v="1580"/>
    <s v="860 Oak St, CityB"/>
    <x v="540"/>
    <x v="1"/>
    <x v="71"/>
    <x v="1"/>
    <x v="1"/>
    <n v="61"/>
    <n v="6"/>
    <x v="1"/>
    <x v="0"/>
    <x v="0"/>
    <x v="1"/>
    <x v="1"/>
    <x v="6"/>
    <s v="Friday"/>
    <n v="12"/>
    <n v="0.91044776119402981"/>
    <n v="91.044776119402982"/>
    <x v="0"/>
  </r>
  <r>
    <n v="1581"/>
    <s v="848 Oak St, CityD"/>
    <x v="385"/>
    <x v="0"/>
    <x v="87"/>
    <x v="2"/>
    <x v="2"/>
    <n v="76"/>
    <n v="10"/>
    <x v="1"/>
    <x v="2"/>
    <x v="0"/>
    <x v="0"/>
    <x v="1"/>
    <x v="3"/>
    <s v="Thursday"/>
    <n v="8"/>
    <n v="0.88372093023255816"/>
    <n v="88.372093023255815"/>
    <x v="0"/>
  </r>
  <r>
    <n v="1582"/>
    <s v="62 Pine St, CityA"/>
    <x v="541"/>
    <x v="0"/>
    <x v="59"/>
    <x v="2"/>
    <x v="1"/>
    <n v="217"/>
    <n v="12"/>
    <x v="0"/>
    <x v="0"/>
    <x v="0"/>
    <x v="0"/>
    <x v="0"/>
    <x v="1"/>
    <s v="Friday"/>
    <n v="16"/>
    <n v="0.94759825327510916"/>
    <n v="94.75982532751091"/>
    <x v="0"/>
  </r>
  <r>
    <n v="1583"/>
    <s v="892 Oak St, CityD"/>
    <x v="542"/>
    <x v="0"/>
    <x v="0"/>
    <x v="0"/>
    <x v="0"/>
    <n v="168"/>
    <n v="23"/>
    <x v="0"/>
    <x v="2"/>
    <x v="0"/>
    <x v="2"/>
    <x v="0"/>
    <x v="4"/>
    <s v="Wednesday"/>
    <n v="10"/>
    <n v="0.87958115183246077"/>
    <n v="87.958115183246079"/>
    <x v="0"/>
  </r>
  <r>
    <n v="1584"/>
    <s v="29 Elm St, CityC"/>
    <x v="543"/>
    <x v="1"/>
    <x v="70"/>
    <x v="2"/>
    <x v="4"/>
    <n v="239"/>
    <n v="22"/>
    <x v="1"/>
    <x v="0"/>
    <x v="2"/>
    <x v="2"/>
    <x v="1"/>
    <x v="1"/>
    <s v="Friday"/>
    <n v="15"/>
    <n v="0.91570881226053635"/>
    <n v="91.570881226053629"/>
    <x v="0"/>
  </r>
  <r>
    <n v="1585"/>
    <s v="401 Pine St, CityE"/>
    <x v="544"/>
    <x v="1"/>
    <x v="54"/>
    <x v="0"/>
    <x v="2"/>
    <n v="66"/>
    <n v="21"/>
    <x v="0"/>
    <x v="0"/>
    <x v="0"/>
    <x v="0"/>
    <x v="0"/>
    <x v="1"/>
    <s v="Friday"/>
    <n v="8"/>
    <n v="0.75862068965517238"/>
    <n v="75.862068965517238"/>
    <x v="0"/>
  </r>
  <r>
    <n v="1586"/>
    <s v="857 Elm St, CityB"/>
    <x v="545"/>
    <x v="0"/>
    <x v="49"/>
    <x v="0"/>
    <x v="2"/>
    <n v="173"/>
    <n v="12"/>
    <x v="0"/>
    <x v="1"/>
    <x v="2"/>
    <x v="2"/>
    <x v="0"/>
    <x v="3"/>
    <s v="Thursday"/>
    <n v="9"/>
    <n v="0.93513513513513513"/>
    <n v="93.513513513513516"/>
    <x v="0"/>
  </r>
  <r>
    <n v="1587"/>
    <s v="491 Cedar St, CityE"/>
    <x v="546"/>
    <x v="1"/>
    <x v="68"/>
    <x v="0"/>
    <x v="1"/>
    <n v="178"/>
    <n v="5"/>
    <x v="2"/>
    <x v="3"/>
    <x v="2"/>
    <x v="1"/>
    <x v="2"/>
    <x v="4"/>
    <s v="Wednesday"/>
    <n v="11"/>
    <n v="0.97267759562841527"/>
    <n v="97.267759562841533"/>
    <x v="0"/>
  </r>
  <r>
    <n v="1588"/>
    <s v="911 Pine St, CityB"/>
    <x v="547"/>
    <x v="0"/>
    <x v="10"/>
    <x v="1"/>
    <x v="3"/>
    <n v="236"/>
    <n v="9"/>
    <x v="2"/>
    <x v="0"/>
    <x v="0"/>
    <x v="2"/>
    <x v="2"/>
    <x v="1"/>
    <s v="Friday"/>
    <n v="14"/>
    <n v="0.96326530612244898"/>
    <n v="96.326530612244895"/>
    <x v="0"/>
  </r>
  <r>
    <n v="1589"/>
    <s v="248 Cedar St, CityE"/>
    <x v="475"/>
    <x v="0"/>
    <x v="10"/>
    <x v="1"/>
    <x v="2"/>
    <n v="149"/>
    <n v="5"/>
    <x v="1"/>
    <x v="0"/>
    <x v="0"/>
    <x v="2"/>
    <x v="1"/>
    <x v="0"/>
    <s v="Monday"/>
    <n v="15"/>
    <n v="0.96753246753246758"/>
    <n v="96.753246753246756"/>
    <x v="0"/>
  </r>
  <r>
    <n v="1590"/>
    <s v="295 Pine St, CityA"/>
    <x v="548"/>
    <x v="1"/>
    <x v="15"/>
    <x v="0"/>
    <x v="3"/>
    <n v="187"/>
    <n v="14"/>
    <x v="2"/>
    <x v="3"/>
    <x v="1"/>
    <x v="1"/>
    <x v="2"/>
    <x v="6"/>
    <s v="Friday"/>
    <n v="10"/>
    <n v="0.93034825870646765"/>
    <n v="93.03482587064677"/>
    <x v="0"/>
  </r>
  <r>
    <n v="1591"/>
    <s v="444 Cedar St, CityA"/>
    <x v="549"/>
    <x v="1"/>
    <x v="15"/>
    <x v="2"/>
    <x v="2"/>
    <n v="237"/>
    <n v="8"/>
    <x v="0"/>
    <x v="4"/>
    <x v="0"/>
    <x v="0"/>
    <x v="0"/>
    <x v="2"/>
    <s v="Sunday"/>
    <n v="10"/>
    <n v="0.96734693877551026"/>
    <n v="96.734693877551024"/>
    <x v="0"/>
  </r>
  <r>
    <n v="1592"/>
    <s v="428 Main St, CityE"/>
    <x v="550"/>
    <x v="1"/>
    <x v="57"/>
    <x v="2"/>
    <x v="1"/>
    <n v="159"/>
    <n v="14"/>
    <x v="0"/>
    <x v="1"/>
    <x v="1"/>
    <x v="1"/>
    <x v="0"/>
    <x v="4"/>
    <s v="Wednesday"/>
    <n v="16"/>
    <n v="0.91907514450867056"/>
    <n v="91.907514450867055"/>
    <x v="0"/>
  </r>
  <r>
    <n v="1593"/>
    <s v="87 Elm St, CityA"/>
    <x v="453"/>
    <x v="1"/>
    <x v="6"/>
    <x v="0"/>
    <x v="2"/>
    <n v="187"/>
    <n v="9"/>
    <x v="1"/>
    <x v="2"/>
    <x v="2"/>
    <x v="1"/>
    <x v="1"/>
    <x v="1"/>
    <s v="Friday"/>
    <n v="12"/>
    <n v="0.95408163265306123"/>
    <n v="95.408163265306129"/>
    <x v="0"/>
  </r>
  <r>
    <n v="1594"/>
    <s v="379 Oak St, CityD"/>
    <x v="551"/>
    <x v="0"/>
    <x v="76"/>
    <x v="0"/>
    <x v="1"/>
    <n v="169"/>
    <n v="20"/>
    <x v="0"/>
    <x v="2"/>
    <x v="1"/>
    <x v="1"/>
    <x v="0"/>
    <x v="2"/>
    <s v="Sunday"/>
    <n v="9"/>
    <n v="0.89417989417989419"/>
    <n v="89.417989417989418"/>
    <x v="0"/>
  </r>
  <r>
    <n v="1595"/>
    <s v="288 Pine St, CityC"/>
    <x v="552"/>
    <x v="0"/>
    <x v="64"/>
    <x v="2"/>
    <x v="2"/>
    <n v="135"/>
    <n v="27"/>
    <x v="0"/>
    <x v="3"/>
    <x v="0"/>
    <x v="0"/>
    <x v="0"/>
    <x v="7"/>
    <s v="Tuesday"/>
    <n v="10"/>
    <n v="0.83333333333333337"/>
    <n v="83.333333333333343"/>
    <x v="0"/>
  </r>
  <r>
    <n v="1596"/>
    <s v="311 Cedar St, CityE"/>
    <x v="553"/>
    <x v="1"/>
    <x v="99"/>
    <x v="2"/>
    <x v="2"/>
    <n v="198"/>
    <n v="19"/>
    <x v="1"/>
    <x v="4"/>
    <x v="0"/>
    <x v="2"/>
    <x v="1"/>
    <x v="5"/>
    <s v="Saturday"/>
    <n v="15"/>
    <n v="0.9124423963133641"/>
    <n v="91.244239631336413"/>
    <x v="0"/>
  </r>
  <r>
    <n v="1597"/>
    <s v="335 Oak St, CityD"/>
    <x v="554"/>
    <x v="1"/>
    <x v="36"/>
    <x v="1"/>
    <x v="4"/>
    <n v="186"/>
    <n v="13"/>
    <x v="1"/>
    <x v="4"/>
    <x v="1"/>
    <x v="0"/>
    <x v="1"/>
    <x v="5"/>
    <s v="Saturday"/>
    <n v="10"/>
    <n v="0.9346733668341709"/>
    <n v="93.467336683417088"/>
    <x v="0"/>
  </r>
  <r>
    <n v="1598"/>
    <s v="524 Pine St, CityD"/>
    <x v="198"/>
    <x v="1"/>
    <x v="17"/>
    <x v="1"/>
    <x v="2"/>
    <n v="173"/>
    <n v="16"/>
    <x v="0"/>
    <x v="1"/>
    <x v="1"/>
    <x v="0"/>
    <x v="0"/>
    <x v="4"/>
    <s v="Wednesday"/>
    <n v="14"/>
    <n v="0.91534391534391535"/>
    <n v="91.534391534391531"/>
    <x v="0"/>
  </r>
  <r>
    <n v="1599"/>
    <s v="776 Cedar St, CityE"/>
    <x v="555"/>
    <x v="1"/>
    <x v="36"/>
    <x v="0"/>
    <x v="3"/>
    <n v="134"/>
    <n v="11"/>
    <x v="1"/>
    <x v="4"/>
    <x v="1"/>
    <x v="0"/>
    <x v="1"/>
    <x v="5"/>
    <s v="Saturday"/>
    <n v="8"/>
    <n v="0.92413793103448272"/>
    <n v="92.41379310344827"/>
    <x v="0"/>
  </r>
  <r>
    <n v="1600"/>
    <s v="946 Cedar St, CityE"/>
    <x v="556"/>
    <x v="0"/>
    <x v="59"/>
    <x v="0"/>
    <x v="4"/>
    <n v="110"/>
    <n v="20"/>
    <x v="2"/>
    <x v="2"/>
    <x v="1"/>
    <x v="0"/>
    <x v="2"/>
    <x v="4"/>
    <s v="Wednesday"/>
    <n v="8"/>
    <n v="0.84615384615384615"/>
    <n v="84.615384615384613"/>
    <x v="0"/>
  </r>
  <r>
    <n v="1601"/>
    <s v="677 Cedar St, CityB"/>
    <x v="557"/>
    <x v="1"/>
    <x v="10"/>
    <x v="0"/>
    <x v="0"/>
    <n v="72"/>
    <n v="16"/>
    <x v="0"/>
    <x v="1"/>
    <x v="0"/>
    <x v="0"/>
    <x v="0"/>
    <x v="1"/>
    <s v="Friday"/>
    <n v="16"/>
    <n v="0.81818181818181823"/>
    <n v="81.818181818181827"/>
    <x v="0"/>
  </r>
  <r>
    <n v="1602"/>
    <s v="481 Oak St, CityA"/>
    <x v="558"/>
    <x v="1"/>
    <x v="56"/>
    <x v="0"/>
    <x v="3"/>
    <n v="60"/>
    <n v="18"/>
    <x v="2"/>
    <x v="3"/>
    <x v="2"/>
    <x v="2"/>
    <x v="2"/>
    <x v="4"/>
    <s v="Wednesday"/>
    <n v="9"/>
    <n v="0.76923076923076927"/>
    <n v="76.923076923076934"/>
    <x v="0"/>
  </r>
  <r>
    <n v="1603"/>
    <s v="709 Pine St, CityC"/>
    <x v="559"/>
    <x v="0"/>
    <x v="52"/>
    <x v="2"/>
    <x v="1"/>
    <n v="226"/>
    <n v="0"/>
    <x v="0"/>
    <x v="3"/>
    <x v="0"/>
    <x v="2"/>
    <x v="0"/>
    <x v="2"/>
    <s v="Sunday"/>
    <n v="8"/>
    <n v="1"/>
    <n v="100"/>
    <x v="1"/>
  </r>
  <r>
    <n v="1604"/>
    <s v="546 Cedar St, CityE"/>
    <x v="560"/>
    <x v="0"/>
    <x v="99"/>
    <x v="1"/>
    <x v="1"/>
    <n v="210"/>
    <n v="11"/>
    <x v="0"/>
    <x v="0"/>
    <x v="1"/>
    <x v="0"/>
    <x v="0"/>
    <x v="5"/>
    <s v="Saturday"/>
    <n v="15"/>
    <n v="0.95022624434389136"/>
    <n v="95.02262443438913"/>
    <x v="0"/>
  </r>
  <r>
    <n v="1605"/>
    <s v="647 Main St, CityC"/>
    <x v="561"/>
    <x v="0"/>
    <x v="75"/>
    <x v="2"/>
    <x v="0"/>
    <n v="119"/>
    <n v="14"/>
    <x v="1"/>
    <x v="4"/>
    <x v="2"/>
    <x v="0"/>
    <x v="1"/>
    <x v="2"/>
    <s v="Sunday"/>
    <n v="9"/>
    <n v="0.89473684210526316"/>
    <n v="89.473684210526315"/>
    <x v="0"/>
  </r>
  <r>
    <n v="1606"/>
    <s v="645 Oak St, CityC"/>
    <x v="562"/>
    <x v="1"/>
    <x v="64"/>
    <x v="1"/>
    <x v="3"/>
    <n v="234"/>
    <n v="28"/>
    <x v="2"/>
    <x v="1"/>
    <x v="2"/>
    <x v="2"/>
    <x v="2"/>
    <x v="1"/>
    <s v="Friday"/>
    <n v="14"/>
    <n v="0.89312977099236646"/>
    <n v="89.312977099236647"/>
    <x v="0"/>
  </r>
  <r>
    <n v="1607"/>
    <s v="896 Oak St, CityE"/>
    <x v="563"/>
    <x v="0"/>
    <x v="51"/>
    <x v="0"/>
    <x v="4"/>
    <n v="61"/>
    <n v="27"/>
    <x v="0"/>
    <x v="3"/>
    <x v="0"/>
    <x v="2"/>
    <x v="0"/>
    <x v="6"/>
    <s v="Friday"/>
    <n v="13"/>
    <n v="0.69318181818181823"/>
    <n v="69.318181818181827"/>
    <x v="0"/>
  </r>
  <r>
    <n v="1608"/>
    <s v="526 Elm St, CityC"/>
    <x v="564"/>
    <x v="1"/>
    <x v="94"/>
    <x v="2"/>
    <x v="2"/>
    <n v="119"/>
    <n v="2"/>
    <x v="0"/>
    <x v="0"/>
    <x v="1"/>
    <x v="0"/>
    <x v="0"/>
    <x v="2"/>
    <s v="Sunday"/>
    <n v="8"/>
    <n v="0.98347107438016534"/>
    <n v="98.347107438016536"/>
    <x v="0"/>
  </r>
  <r>
    <n v="1609"/>
    <s v="950 Oak St, CityB"/>
    <x v="565"/>
    <x v="1"/>
    <x v="63"/>
    <x v="0"/>
    <x v="4"/>
    <n v="114"/>
    <n v="15"/>
    <x v="2"/>
    <x v="1"/>
    <x v="1"/>
    <x v="1"/>
    <x v="2"/>
    <x v="1"/>
    <s v="Friday"/>
    <n v="11"/>
    <n v="0.88372093023255816"/>
    <n v="88.372093023255815"/>
    <x v="0"/>
  </r>
  <r>
    <n v="1610"/>
    <s v="580 Elm St, CityC"/>
    <x v="566"/>
    <x v="1"/>
    <x v="95"/>
    <x v="1"/>
    <x v="4"/>
    <n v="163"/>
    <n v="19"/>
    <x v="2"/>
    <x v="0"/>
    <x v="0"/>
    <x v="2"/>
    <x v="2"/>
    <x v="3"/>
    <s v="Thursday"/>
    <n v="15"/>
    <n v="0.89560439560439564"/>
    <n v="89.560439560439562"/>
    <x v="0"/>
  </r>
  <r>
    <n v="1611"/>
    <s v="996 Oak St, CityB"/>
    <x v="567"/>
    <x v="0"/>
    <x v="70"/>
    <x v="1"/>
    <x v="3"/>
    <n v="180"/>
    <n v="5"/>
    <x v="1"/>
    <x v="0"/>
    <x v="2"/>
    <x v="2"/>
    <x v="1"/>
    <x v="1"/>
    <s v="Friday"/>
    <n v="13"/>
    <n v="0.97297297297297303"/>
    <n v="97.297297297297305"/>
    <x v="0"/>
  </r>
  <r>
    <n v="1612"/>
    <s v="846 Oak St, CityE"/>
    <x v="568"/>
    <x v="1"/>
    <x v="40"/>
    <x v="1"/>
    <x v="2"/>
    <n v="126"/>
    <n v="3"/>
    <x v="1"/>
    <x v="3"/>
    <x v="1"/>
    <x v="2"/>
    <x v="1"/>
    <x v="7"/>
    <s v="Tuesday"/>
    <n v="8"/>
    <n v="0.97674418604651159"/>
    <n v="97.674418604651152"/>
    <x v="0"/>
  </r>
  <r>
    <n v="1613"/>
    <s v="693 Pine St, CityC"/>
    <x v="569"/>
    <x v="0"/>
    <x v="20"/>
    <x v="1"/>
    <x v="1"/>
    <n v="135"/>
    <n v="26"/>
    <x v="0"/>
    <x v="0"/>
    <x v="2"/>
    <x v="0"/>
    <x v="0"/>
    <x v="7"/>
    <s v="Tuesday"/>
    <n v="9"/>
    <n v="0.83850931677018636"/>
    <n v="83.850931677018636"/>
    <x v="0"/>
  </r>
  <r>
    <n v="1614"/>
    <s v="271 Cedar St, CityD"/>
    <x v="570"/>
    <x v="0"/>
    <x v="58"/>
    <x v="1"/>
    <x v="2"/>
    <n v="106"/>
    <n v="28"/>
    <x v="2"/>
    <x v="3"/>
    <x v="2"/>
    <x v="2"/>
    <x v="2"/>
    <x v="4"/>
    <s v="Wednesday"/>
    <n v="16"/>
    <n v="0.79104477611940294"/>
    <n v="79.104477611940297"/>
    <x v="0"/>
  </r>
  <r>
    <n v="1615"/>
    <s v="686 Elm St, CityE"/>
    <x v="571"/>
    <x v="0"/>
    <x v="72"/>
    <x v="1"/>
    <x v="2"/>
    <n v="121"/>
    <n v="5"/>
    <x v="1"/>
    <x v="3"/>
    <x v="1"/>
    <x v="0"/>
    <x v="1"/>
    <x v="2"/>
    <s v="Sunday"/>
    <n v="12"/>
    <n v="0.96031746031746035"/>
    <n v="96.031746031746039"/>
    <x v="0"/>
  </r>
  <r>
    <n v="1616"/>
    <s v="912 Elm St, CityC"/>
    <x v="572"/>
    <x v="1"/>
    <x v="0"/>
    <x v="0"/>
    <x v="4"/>
    <n v="129"/>
    <n v="16"/>
    <x v="2"/>
    <x v="0"/>
    <x v="1"/>
    <x v="0"/>
    <x v="2"/>
    <x v="3"/>
    <s v="Thursday"/>
    <n v="16"/>
    <n v="0.8896551724137931"/>
    <n v="88.965517241379317"/>
    <x v="0"/>
  </r>
  <r>
    <n v="1617"/>
    <s v="195 Oak St, CityE"/>
    <x v="573"/>
    <x v="1"/>
    <x v="94"/>
    <x v="2"/>
    <x v="4"/>
    <n v="174"/>
    <n v="27"/>
    <x v="2"/>
    <x v="3"/>
    <x v="1"/>
    <x v="1"/>
    <x v="2"/>
    <x v="0"/>
    <s v="Monday"/>
    <n v="16"/>
    <n v="0.86567164179104472"/>
    <n v="86.567164179104466"/>
    <x v="0"/>
  </r>
  <r>
    <n v="1618"/>
    <s v="567 Oak St, CityB"/>
    <x v="456"/>
    <x v="0"/>
    <x v="52"/>
    <x v="2"/>
    <x v="1"/>
    <n v="215"/>
    <n v="6"/>
    <x v="0"/>
    <x v="1"/>
    <x v="0"/>
    <x v="2"/>
    <x v="0"/>
    <x v="2"/>
    <s v="Sunday"/>
    <n v="14"/>
    <n v="0.97285067873303166"/>
    <n v="97.285067873303163"/>
    <x v="0"/>
  </r>
  <r>
    <n v="1619"/>
    <s v="818 Pine St, CityE"/>
    <x v="574"/>
    <x v="1"/>
    <x v="47"/>
    <x v="0"/>
    <x v="4"/>
    <n v="193"/>
    <n v="2"/>
    <x v="2"/>
    <x v="3"/>
    <x v="0"/>
    <x v="1"/>
    <x v="2"/>
    <x v="6"/>
    <s v="Friday"/>
    <n v="12"/>
    <n v="0.98974358974358978"/>
    <n v="98.974358974358978"/>
    <x v="0"/>
  </r>
  <r>
    <n v="1620"/>
    <s v="533 Elm St, CityA"/>
    <x v="575"/>
    <x v="0"/>
    <x v="31"/>
    <x v="2"/>
    <x v="4"/>
    <n v="133"/>
    <n v="11"/>
    <x v="0"/>
    <x v="0"/>
    <x v="2"/>
    <x v="2"/>
    <x v="0"/>
    <x v="5"/>
    <s v="Saturday"/>
    <n v="9"/>
    <n v="0.92361111111111116"/>
    <n v="92.361111111111114"/>
    <x v="0"/>
  </r>
  <r>
    <n v="1621"/>
    <s v="742 Oak St, CityB"/>
    <x v="576"/>
    <x v="1"/>
    <x v="6"/>
    <x v="0"/>
    <x v="2"/>
    <n v="168"/>
    <n v="6"/>
    <x v="2"/>
    <x v="3"/>
    <x v="0"/>
    <x v="0"/>
    <x v="2"/>
    <x v="2"/>
    <s v="Sunday"/>
    <n v="16"/>
    <n v="0.96551724137931039"/>
    <n v="96.551724137931032"/>
    <x v="0"/>
  </r>
  <r>
    <n v="1622"/>
    <s v="211 Cedar St, CityC"/>
    <x v="577"/>
    <x v="1"/>
    <x v="57"/>
    <x v="1"/>
    <x v="1"/>
    <n v="196"/>
    <n v="17"/>
    <x v="2"/>
    <x v="3"/>
    <x v="2"/>
    <x v="1"/>
    <x v="2"/>
    <x v="7"/>
    <s v="Tuesday"/>
    <n v="15"/>
    <n v="0.92018779342723001"/>
    <n v="92.018779342723008"/>
    <x v="0"/>
  </r>
  <r>
    <n v="1623"/>
    <s v="188 Pine St, CityC"/>
    <x v="578"/>
    <x v="1"/>
    <x v="83"/>
    <x v="2"/>
    <x v="1"/>
    <n v="117"/>
    <n v="20"/>
    <x v="2"/>
    <x v="4"/>
    <x v="2"/>
    <x v="1"/>
    <x v="2"/>
    <x v="0"/>
    <s v="Monday"/>
    <n v="16"/>
    <n v="0.85401459854014594"/>
    <n v="85.40145985401459"/>
    <x v="0"/>
  </r>
  <r>
    <n v="1624"/>
    <s v="252 Pine St, CityD"/>
    <x v="579"/>
    <x v="1"/>
    <x v="0"/>
    <x v="0"/>
    <x v="0"/>
    <n v="226"/>
    <n v="5"/>
    <x v="1"/>
    <x v="1"/>
    <x v="2"/>
    <x v="1"/>
    <x v="1"/>
    <x v="7"/>
    <s v="Tuesday"/>
    <n v="9"/>
    <n v="0.97835497835497831"/>
    <n v="97.835497835497833"/>
    <x v="0"/>
  </r>
  <r>
    <n v="1625"/>
    <s v="735 Oak St, CityE"/>
    <x v="580"/>
    <x v="1"/>
    <x v="94"/>
    <x v="2"/>
    <x v="3"/>
    <n v="192"/>
    <n v="3"/>
    <x v="0"/>
    <x v="2"/>
    <x v="2"/>
    <x v="0"/>
    <x v="0"/>
    <x v="2"/>
    <s v="Sunday"/>
    <n v="13"/>
    <n v="0.98461538461538467"/>
    <n v="98.461538461538467"/>
    <x v="0"/>
  </r>
  <r>
    <n v="1626"/>
    <s v="471 Cedar St, CityC"/>
    <x v="581"/>
    <x v="1"/>
    <x v="87"/>
    <x v="0"/>
    <x v="3"/>
    <n v="189"/>
    <n v="26"/>
    <x v="2"/>
    <x v="3"/>
    <x v="0"/>
    <x v="2"/>
    <x v="2"/>
    <x v="3"/>
    <s v="Thursday"/>
    <n v="13"/>
    <n v="0.87906976744186049"/>
    <n v="87.906976744186053"/>
    <x v="0"/>
  </r>
  <r>
    <n v="1627"/>
    <s v="150 Oak St, CityE"/>
    <x v="582"/>
    <x v="1"/>
    <x v="24"/>
    <x v="2"/>
    <x v="1"/>
    <n v="223"/>
    <n v="19"/>
    <x v="1"/>
    <x v="0"/>
    <x v="0"/>
    <x v="0"/>
    <x v="1"/>
    <x v="2"/>
    <s v="Sunday"/>
    <n v="11"/>
    <n v="0.92148760330578516"/>
    <n v="92.148760330578511"/>
    <x v="0"/>
  </r>
  <r>
    <n v="1628"/>
    <s v="74 Oak St, CityA"/>
    <x v="583"/>
    <x v="1"/>
    <x v="34"/>
    <x v="0"/>
    <x v="2"/>
    <n v="141"/>
    <n v="13"/>
    <x v="0"/>
    <x v="2"/>
    <x v="2"/>
    <x v="1"/>
    <x v="0"/>
    <x v="7"/>
    <s v="Tuesday"/>
    <n v="9"/>
    <n v="0.91558441558441561"/>
    <n v="91.558441558441558"/>
    <x v="0"/>
  </r>
  <r>
    <n v="1629"/>
    <s v="990 Pine St, CityE"/>
    <x v="584"/>
    <x v="1"/>
    <x v="75"/>
    <x v="2"/>
    <x v="3"/>
    <n v="203"/>
    <n v="27"/>
    <x v="2"/>
    <x v="3"/>
    <x v="0"/>
    <x v="1"/>
    <x v="2"/>
    <x v="4"/>
    <s v="Wednesday"/>
    <n v="11"/>
    <n v="0.88260869565217392"/>
    <n v="88.260869565217391"/>
    <x v="0"/>
  </r>
  <r>
    <n v="1630"/>
    <s v="403 Main St, CityA"/>
    <x v="585"/>
    <x v="1"/>
    <x v="43"/>
    <x v="0"/>
    <x v="4"/>
    <n v="133"/>
    <n v="16"/>
    <x v="0"/>
    <x v="2"/>
    <x v="2"/>
    <x v="0"/>
    <x v="0"/>
    <x v="0"/>
    <s v="Monday"/>
    <n v="15"/>
    <n v="0.89261744966442957"/>
    <n v="89.261744966442961"/>
    <x v="0"/>
  </r>
  <r>
    <n v="1631"/>
    <s v="194 Oak St, CityD"/>
    <x v="586"/>
    <x v="0"/>
    <x v="3"/>
    <x v="1"/>
    <x v="4"/>
    <n v="116"/>
    <n v="1"/>
    <x v="0"/>
    <x v="4"/>
    <x v="0"/>
    <x v="0"/>
    <x v="0"/>
    <x v="2"/>
    <s v="Sunday"/>
    <n v="13"/>
    <n v="0.99145299145299148"/>
    <n v="99.145299145299148"/>
    <x v="0"/>
  </r>
  <r>
    <n v="1632"/>
    <s v="466 Cedar St, CityE"/>
    <x v="587"/>
    <x v="0"/>
    <x v="83"/>
    <x v="1"/>
    <x v="1"/>
    <n v="77"/>
    <n v="5"/>
    <x v="2"/>
    <x v="3"/>
    <x v="1"/>
    <x v="1"/>
    <x v="2"/>
    <x v="1"/>
    <s v="Friday"/>
    <n v="14"/>
    <n v="0.93902439024390238"/>
    <n v="93.902439024390233"/>
    <x v="0"/>
  </r>
  <r>
    <n v="1633"/>
    <s v="841 Oak St, CityE"/>
    <x v="588"/>
    <x v="0"/>
    <x v="11"/>
    <x v="2"/>
    <x v="2"/>
    <n v="71"/>
    <n v="13"/>
    <x v="0"/>
    <x v="0"/>
    <x v="2"/>
    <x v="2"/>
    <x v="0"/>
    <x v="7"/>
    <s v="Tuesday"/>
    <n v="14"/>
    <n v="0.84523809523809523"/>
    <n v="84.523809523809518"/>
    <x v="0"/>
  </r>
  <r>
    <n v="1634"/>
    <s v="582 Pine St, CityB"/>
    <x v="589"/>
    <x v="1"/>
    <x v="32"/>
    <x v="2"/>
    <x v="3"/>
    <n v="88"/>
    <n v="14"/>
    <x v="2"/>
    <x v="2"/>
    <x v="2"/>
    <x v="0"/>
    <x v="2"/>
    <x v="1"/>
    <s v="Friday"/>
    <n v="16"/>
    <n v="0.86274509803921573"/>
    <n v="86.274509803921575"/>
    <x v="0"/>
  </r>
  <r>
    <n v="1635"/>
    <s v="273 Main St, CityD"/>
    <x v="590"/>
    <x v="1"/>
    <x v="3"/>
    <x v="0"/>
    <x v="3"/>
    <n v="129"/>
    <n v="24"/>
    <x v="1"/>
    <x v="4"/>
    <x v="0"/>
    <x v="2"/>
    <x v="1"/>
    <x v="0"/>
    <s v="Monday"/>
    <n v="14"/>
    <n v="0.84313725490196079"/>
    <n v="84.313725490196077"/>
    <x v="0"/>
  </r>
  <r>
    <n v="1636"/>
    <s v="644 Pine St, CityE"/>
    <x v="591"/>
    <x v="0"/>
    <x v="16"/>
    <x v="2"/>
    <x v="3"/>
    <n v="128"/>
    <n v="3"/>
    <x v="1"/>
    <x v="2"/>
    <x v="1"/>
    <x v="2"/>
    <x v="1"/>
    <x v="7"/>
    <s v="Tuesday"/>
    <n v="16"/>
    <n v="0.97709923664122134"/>
    <n v="97.70992366412213"/>
    <x v="0"/>
  </r>
  <r>
    <n v="1637"/>
    <s v="111 Pine St, CityD"/>
    <x v="592"/>
    <x v="0"/>
    <x v="74"/>
    <x v="1"/>
    <x v="1"/>
    <n v="204"/>
    <n v="24"/>
    <x v="0"/>
    <x v="0"/>
    <x v="2"/>
    <x v="1"/>
    <x v="0"/>
    <x v="0"/>
    <s v="Monday"/>
    <n v="12"/>
    <n v="0.89473684210526316"/>
    <n v="89.473684210526315"/>
    <x v="0"/>
  </r>
  <r>
    <n v="1638"/>
    <s v="397 Oak St, CityA"/>
    <x v="328"/>
    <x v="1"/>
    <x v="45"/>
    <x v="2"/>
    <x v="4"/>
    <n v="92"/>
    <n v="25"/>
    <x v="1"/>
    <x v="4"/>
    <x v="2"/>
    <x v="1"/>
    <x v="1"/>
    <x v="2"/>
    <s v="Sunday"/>
    <n v="16"/>
    <n v="0.78632478632478631"/>
    <n v="78.632478632478637"/>
    <x v="0"/>
  </r>
  <r>
    <n v="1639"/>
    <s v="144 Elm St, CityA"/>
    <x v="593"/>
    <x v="0"/>
    <x v="93"/>
    <x v="1"/>
    <x v="2"/>
    <n v="173"/>
    <n v="16"/>
    <x v="0"/>
    <x v="4"/>
    <x v="1"/>
    <x v="2"/>
    <x v="0"/>
    <x v="0"/>
    <s v="Monday"/>
    <n v="13"/>
    <n v="0.91534391534391535"/>
    <n v="91.534391534391531"/>
    <x v="0"/>
  </r>
  <r>
    <n v="1640"/>
    <s v="371 Main St, CityA"/>
    <x v="594"/>
    <x v="1"/>
    <x v="33"/>
    <x v="1"/>
    <x v="4"/>
    <n v="213"/>
    <n v="21"/>
    <x v="1"/>
    <x v="1"/>
    <x v="2"/>
    <x v="1"/>
    <x v="1"/>
    <x v="7"/>
    <s v="Tuesday"/>
    <n v="14"/>
    <n v="0.91025641025641024"/>
    <n v="91.025641025641022"/>
    <x v="0"/>
  </r>
  <r>
    <n v="1641"/>
    <s v="868 Main St, CityC"/>
    <x v="595"/>
    <x v="1"/>
    <x v="75"/>
    <x v="1"/>
    <x v="2"/>
    <n v="132"/>
    <n v="9"/>
    <x v="0"/>
    <x v="3"/>
    <x v="1"/>
    <x v="2"/>
    <x v="0"/>
    <x v="2"/>
    <s v="Sunday"/>
    <n v="14"/>
    <n v="0.93617021276595747"/>
    <n v="93.61702127659575"/>
    <x v="0"/>
  </r>
  <r>
    <n v="1642"/>
    <s v="111 Cedar St, CityE"/>
    <x v="596"/>
    <x v="1"/>
    <x v="12"/>
    <x v="0"/>
    <x v="2"/>
    <n v="73"/>
    <n v="8"/>
    <x v="0"/>
    <x v="0"/>
    <x v="1"/>
    <x v="2"/>
    <x v="0"/>
    <x v="4"/>
    <s v="Wednesday"/>
    <n v="16"/>
    <n v="0.90123456790123457"/>
    <n v="90.123456790123456"/>
    <x v="0"/>
  </r>
  <r>
    <n v="1643"/>
    <s v="275 Elm St, CityA"/>
    <x v="597"/>
    <x v="0"/>
    <x v="34"/>
    <x v="0"/>
    <x v="2"/>
    <n v="155"/>
    <n v="22"/>
    <x v="2"/>
    <x v="1"/>
    <x v="2"/>
    <x v="2"/>
    <x v="2"/>
    <x v="6"/>
    <s v="Friday"/>
    <n v="13"/>
    <n v="0.87570621468926557"/>
    <n v="87.570621468926561"/>
    <x v="0"/>
  </r>
  <r>
    <n v="1644"/>
    <s v="948 Pine St, CityB"/>
    <x v="598"/>
    <x v="0"/>
    <x v="96"/>
    <x v="1"/>
    <x v="0"/>
    <n v="226"/>
    <n v="15"/>
    <x v="0"/>
    <x v="4"/>
    <x v="2"/>
    <x v="2"/>
    <x v="0"/>
    <x v="7"/>
    <s v="Tuesday"/>
    <n v="15"/>
    <n v="0.93775933609958506"/>
    <n v="93.7759336099585"/>
    <x v="0"/>
  </r>
  <r>
    <n v="1645"/>
    <s v="41 Cedar St, CityA"/>
    <x v="599"/>
    <x v="1"/>
    <x v="56"/>
    <x v="1"/>
    <x v="3"/>
    <n v="185"/>
    <n v="27"/>
    <x v="1"/>
    <x v="4"/>
    <x v="2"/>
    <x v="1"/>
    <x v="1"/>
    <x v="4"/>
    <s v="Wednesday"/>
    <n v="8"/>
    <n v="0.87264150943396224"/>
    <n v="87.264150943396217"/>
    <x v="0"/>
  </r>
  <r>
    <n v="1646"/>
    <s v="11 Main St, CityC"/>
    <x v="600"/>
    <x v="0"/>
    <x v="4"/>
    <x v="1"/>
    <x v="2"/>
    <n v="97"/>
    <n v="5"/>
    <x v="1"/>
    <x v="0"/>
    <x v="1"/>
    <x v="1"/>
    <x v="1"/>
    <x v="4"/>
    <s v="Wednesday"/>
    <n v="15"/>
    <n v="0.9509803921568627"/>
    <n v="95.098039215686271"/>
    <x v="0"/>
  </r>
  <r>
    <n v="1647"/>
    <s v="640 Oak St, CityC"/>
    <x v="601"/>
    <x v="1"/>
    <x v="54"/>
    <x v="2"/>
    <x v="2"/>
    <n v="221"/>
    <n v="24"/>
    <x v="2"/>
    <x v="2"/>
    <x v="0"/>
    <x v="1"/>
    <x v="2"/>
    <x v="4"/>
    <s v="Wednesday"/>
    <n v="13"/>
    <n v="0.90204081632653066"/>
    <n v="90.204081632653072"/>
    <x v="0"/>
  </r>
  <r>
    <n v="1648"/>
    <s v="441 Elm St, CityB"/>
    <x v="602"/>
    <x v="0"/>
    <x v="46"/>
    <x v="2"/>
    <x v="1"/>
    <n v="203"/>
    <n v="4"/>
    <x v="0"/>
    <x v="1"/>
    <x v="2"/>
    <x v="0"/>
    <x v="0"/>
    <x v="0"/>
    <s v="Monday"/>
    <n v="14"/>
    <n v="0.98067632850241548"/>
    <n v="98.067632850241552"/>
    <x v="0"/>
  </r>
  <r>
    <n v="1649"/>
    <s v="226 Cedar St, CityE"/>
    <x v="603"/>
    <x v="1"/>
    <x v="67"/>
    <x v="2"/>
    <x v="2"/>
    <n v="156"/>
    <n v="22"/>
    <x v="0"/>
    <x v="3"/>
    <x v="0"/>
    <x v="2"/>
    <x v="0"/>
    <x v="1"/>
    <s v="Friday"/>
    <n v="10"/>
    <n v="0.8764044943820225"/>
    <n v="87.640449438202253"/>
    <x v="0"/>
  </r>
  <r>
    <n v="1650"/>
    <s v="585 Oak St, CityE"/>
    <x v="604"/>
    <x v="1"/>
    <x v="20"/>
    <x v="2"/>
    <x v="4"/>
    <n v="94"/>
    <n v="6"/>
    <x v="1"/>
    <x v="4"/>
    <x v="0"/>
    <x v="0"/>
    <x v="1"/>
    <x v="4"/>
    <s v="Wednesday"/>
    <n v="8"/>
    <n v="0.94"/>
    <n v="94"/>
    <x v="0"/>
  </r>
  <r>
    <n v="1651"/>
    <s v="363 Elm St, CityB"/>
    <x v="605"/>
    <x v="1"/>
    <x v="82"/>
    <x v="1"/>
    <x v="3"/>
    <n v="188"/>
    <n v="26"/>
    <x v="2"/>
    <x v="1"/>
    <x v="0"/>
    <x v="2"/>
    <x v="2"/>
    <x v="1"/>
    <s v="Friday"/>
    <n v="13"/>
    <n v="0.87850467289719625"/>
    <n v="87.850467289719631"/>
    <x v="0"/>
  </r>
  <r>
    <n v="1652"/>
    <s v="24 Cedar St, CityE"/>
    <x v="606"/>
    <x v="0"/>
    <x v="12"/>
    <x v="0"/>
    <x v="0"/>
    <n v="110"/>
    <n v="10"/>
    <x v="1"/>
    <x v="2"/>
    <x v="0"/>
    <x v="0"/>
    <x v="1"/>
    <x v="7"/>
    <s v="Tuesday"/>
    <n v="15"/>
    <n v="0.91666666666666663"/>
    <n v="91.666666666666657"/>
    <x v="0"/>
  </r>
  <r>
    <n v="1653"/>
    <s v="325 Elm St, CityB"/>
    <x v="607"/>
    <x v="1"/>
    <x v="97"/>
    <x v="1"/>
    <x v="3"/>
    <n v="227"/>
    <n v="6"/>
    <x v="2"/>
    <x v="0"/>
    <x v="2"/>
    <x v="0"/>
    <x v="2"/>
    <x v="5"/>
    <s v="Saturday"/>
    <n v="8"/>
    <n v="0.97424892703862664"/>
    <n v="97.424892703862668"/>
    <x v="0"/>
  </r>
  <r>
    <n v="1654"/>
    <s v="826 Pine St, CityB"/>
    <x v="608"/>
    <x v="0"/>
    <x v="36"/>
    <x v="0"/>
    <x v="4"/>
    <n v="146"/>
    <n v="27"/>
    <x v="0"/>
    <x v="0"/>
    <x v="2"/>
    <x v="0"/>
    <x v="0"/>
    <x v="5"/>
    <s v="Saturday"/>
    <n v="11"/>
    <n v="0.84393063583815031"/>
    <n v="84.393063583815035"/>
    <x v="0"/>
  </r>
  <r>
    <n v="1655"/>
    <s v="555 Cedar St, CityA"/>
    <x v="609"/>
    <x v="1"/>
    <x v="86"/>
    <x v="2"/>
    <x v="0"/>
    <n v="196"/>
    <n v="28"/>
    <x v="2"/>
    <x v="4"/>
    <x v="1"/>
    <x v="1"/>
    <x v="2"/>
    <x v="3"/>
    <s v="Thursday"/>
    <n v="9"/>
    <n v="0.875"/>
    <n v="87.5"/>
    <x v="0"/>
  </r>
  <r>
    <n v="1656"/>
    <s v="978 Elm St, CityA"/>
    <x v="610"/>
    <x v="1"/>
    <x v="77"/>
    <x v="1"/>
    <x v="1"/>
    <n v="152"/>
    <n v="20"/>
    <x v="1"/>
    <x v="0"/>
    <x v="1"/>
    <x v="0"/>
    <x v="1"/>
    <x v="1"/>
    <s v="Friday"/>
    <n v="9"/>
    <n v="0.88372093023255816"/>
    <n v="88.372093023255815"/>
    <x v="0"/>
  </r>
  <r>
    <n v="1657"/>
    <s v="585 Cedar St, CityC"/>
    <x v="611"/>
    <x v="1"/>
    <x v="12"/>
    <x v="0"/>
    <x v="3"/>
    <n v="110"/>
    <n v="4"/>
    <x v="1"/>
    <x v="0"/>
    <x v="1"/>
    <x v="2"/>
    <x v="1"/>
    <x v="7"/>
    <s v="Tuesday"/>
    <n v="10"/>
    <n v="0.96491228070175439"/>
    <n v="96.491228070175438"/>
    <x v="0"/>
  </r>
  <r>
    <n v="1658"/>
    <s v="829 Pine St, CityA"/>
    <x v="612"/>
    <x v="1"/>
    <x v="85"/>
    <x v="2"/>
    <x v="2"/>
    <n v="219"/>
    <n v="28"/>
    <x v="1"/>
    <x v="2"/>
    <x v="1"/>
    <x v="0"/>
    <x v="1"/>
    <x v="3"/>
    <s v="Thursday"/>
    <n v="15"/>
    <n v="0.88663967611336036"/>
    <n v="88.663967611336034"/>
    <x v="0"/>
  </r>
  <r>
    <n v="1659"/>
    <s v="98 Elm St, CityD"/>
    <x v="613"/>
    <x v="1"/>
    <x v="16"/>
    <x v="2"/>
    <x v="1"/>
    <n v="208"/>
    <n v="13"/>
    <x v="0"/>
    <x v="2"/>
    <x v="0"/>
    <x v="2"/>
    <x v="0"/>
    <x v="2"/>
    <s v="Sunday"/>
    <n v="8"/>
    <n v="0.94117647058823528"/>
    <n v="94.117647058823522"/>
    <x v="0"/>
  </r>
  <r>
    <n v="1660"/>
    <s v="227 Elm St, CityD"/>
    <x v="614"/>
    <x v="0"/>
    <x v="86"/>
    <x v="0"/>
    <x v="2"/>
    <n v="138"/>
    <n v="6"/>
    <x v="1"/>
    <x v="4"/>
    <x v="1"/>
    <x v="2"/>
    <x v="1"/>
    <x v="1"/>
    <s v="Friday"/>
    <n v="10"/>
    <n v="0.95833333333333337"/>
    <n v="95.833333333333343"/>
    <x v="0"/>
  </r>
  <r>
    <n v="1661"/>
    <s v="625 Elm St, CityB"/>
    <x v="615"/>
    <x v="0"/>
    <x v="15"/>
    <x v="1"/>
    <x v="3"/>
    <n v="135"/>
    <n v="18"/>
    <x v="1"/>
    <x v="4"/>
    <x v="0"/>
    <x v="1"/>
    <x v="1"/>
    <x v="4"/>
    <s v="Wednesday"/>
    <n v="14"/>
    <n v="0.88235294117647056"/>
    <n v="88.235294117647058"/>
    <x v="0"/>
  </r>
  <r>
    <n v="1662"/>
    <s v="940 Elm St, CityC"/>
    <x v="494"/>
    <x v="0"/>
    <x v="16"/>
    <x v="2"/>
    <x v="3"/>
    <n v="137"/>
    <n v="11"/>
    <x v="1"/>
    <x v="4"/>
    <x v="2"/>
    <x v="2"/>
    <x v="1"/>
    <x v="7"/>
    <s v="Tuesday"/>
    <n v="11"/>
    <n v="0.92567567567567566"/>
    <n v="92.567567567567565"/>
    <x v="0"/>
  </r>
  <r>
    <n v="1663"/>
    <s v="110 Main St, CityB"/>
    <x v="616"/>
    <x v="1"/>
    <x v="55"/>
    <x v="2"/>
    <x v="1"/>
    <n v="101"/>
    <n v="11"/>
    <x v="0"/>
    <x v="1"/>
    <x v="2"/>
    <x v="1"/>
    <x v="0"/>
    <x v="2"/>
    <s v="Sunday"/>
    <n v="9"/>
    <n v="0.9017857142857143"/>
    <n v="90.178571428571431"/>
    <x v="0"/>
  </r>
  <r>
    <n v="1664"/>
    <s v="688 Oak St, CityD"/>
    <x v="617"/>
    <x v="0"/>
    <x v="99"/>
    <x v="2"/>
    <x v="0"/>
    <n v="97"/>
    <n v="17"/>
    <x v="0"/>
    <x v="1"/>
    <x v="2"/>
    <x v="0"/>
    <x v="0"/>
    <x v="5"/>
    <s v="Saturday"/>
    <n v="8"/>
    <n v="0.85087719298245612"/>
    <n v="85.087719298245617"/>
    <x v="0"/>
  </r>
  <r>
    <n v="1665"/>
    <s v="594 Cedar St, CityD"/>
    <x v="618"/>
    <x v="0"/>
    <x v="61"/>
    <x v="2"/>
    <x v="0"/>
    <n v="190"/>
    <n v="23"/>
    <x v="0"/>
    <x v="4"/>
    <x v="2"/>
    <x v="1"/>
    <x v="0"/>
    <x v="6"/>
    <s v="Friday"/>
    <n v="10"/>
    <n v="0.892018779342723"/>
    <n v="89.201877934272304"/>
    <x v="0"/>
  </r>
  <r>
    <n v="1666"/>
    <s v="457 Elm St, CityB"/>
    <x v="619"/>
    <x v="1"/>
    <x v="62"/>
    <x v="1"/>
    <x v="2"/>
    <n v="233"/>
    <n v="22"/>
    <x v="1"/>
    <x v="1"/>
    <x v="0"/>
    <x v="0"/>
    <x v="1"/>
    <x v="4"/>
    <s v="Wednesday"/>
    <n v="13"/>
    <n v="0.9137254901960784"/>
    <n v="91.372549019607845"/>
    <x v="0"/>
  </r>
  <r>
    <n v="1667"/>
    <s v="103 Main St, CityD"/>
    <x v="620"/>
    <x v="0"/>
    <x v="39"/>
    <x v="2"/>
    <x v="1"/>
    <n v="80"/>
    <n v="19"/>
    <x v="1"/>
    <x v="1"/>
    <x v="0"/>
    <x v="0"/>
    <x v="1"/>
    <x v="2"/>
    <s v="Sunday"/>
    <n v="8"/>
    <n v="0.80808080808080807"/>
    <n v="80.808080808080803"/>
    <x v="0"/>
  </r>
  <r>
    <n v="1668"/>
    <s v="730 Pine St, CityD"/>
    <x v="621"/>
    <x v="1"/>
    <x v="73"/>
    <x v="0"/>
    <x v="1"/>
    <n v="161"/>
    <n v="21"/>
    <x v="1"/>
    <x v="1"/>
    <x v="2"/>
    <x v="0"/>
    <x v="1"/>
    <x v="1"/>
    <s v="Friday"/>
    <n v="14"/>
    <n v="0.88461538461538458"/>
    <n v="88.461538461538453"/>
    <x v="0"/>
  </r>
  <r>
    <n v="1669"/>
    <s v="154 Pine St, CityE"/>
    <x v="622"/>
    <x v="0"/>
    <x v="35"/>
    <x v="2"/>
    <x v="2"/>
    <n v="153"/>
    <n v="8"/>
    <x v="0"/>
    <x v="3"/>
    <x v="2"/>
    <x v="2"/>
    <x v="0"/>
    <x v="5"/>
    <s v="Saturday"/>
    <n v="9"/>
    <n v="0.9503105590062112"/>
    <n v="95.031055900621126"/>
    <x v="0"/>
  </r>
  <r>
    <n v="1670"/>
    <s v="769 Pine St, CityA"/>
    <x v="623"/>
    <x v="0"/>
    <x v="60"/>
    <x v="1"/>
    <x v="0"/>
    <n v="198"/>
    <n v="10"/>
    <x v="0"/>
    <x v="2"/>
    <x v="0"/>
    <x v="1"/>
    <x v="0"/>
    <x v="2"/>
    <s v="Sunday"/>
    <n v="13"/>
    <n v="0.95192307692307687"/>
    <n v="95.192307692307693"/>
    <x v="0"/>
  </r>
  <r>
    <n v="1671"/>
    <s v="555 Oak St, CityB"/>
    <x v="431"/>
    <x v="0"/>
    <x v="33"/>
    <x v="1"/>
    <x v="0"/>
    <n v="230"/>
    <n v="24"/>
    <x v="0"/>
    <x v="1"/>
    <x v="0"/>
    <x v="0"/>
    <x v="0"/>
    <x v="7"/>
    <s v="Tuesday"/>
    <n v="13"/>
    <n v="0.90551181102362199"/>
    <n v="90.551181102362193"/>
    <x v="0"/>
  </r>
  <r>
    <n v="1672"/>
    <s v="903 Pine St, CityD"/>
    <x v="624"/>
    <x v="1"/>
    <x v="30"/>
    <x v="2"/>
    <x v="0"/>
    <n v="126"/>
    <n v="3"/>
    <x v="2"/>
    <x v="3"/>
    <x v="1"/>
    <x v="2"/>
    <x v="2"/>
    <x v="4"/>
    <s v="Wednesday"/>
    <n v="15"/>
    <n v="0.97674418604651159"/>
    <n v="97.674418604651152"/>
    <x v="0"/>
  </r>
  <r>
    <n v="1673"/>
    <s v="809 Cedar St, CityC"/>
    <x v="625"/>
    <x v="1"/>
    <x v="65"/>
    <x v="1"/>
    <x v="4"/>
    <n v="115"/>
    <n v="6"/>
    <x v="1"/>
    <x v="1"/>
    <x v="1"/>
    <x v="1"/>
    <x v="1"/>
    <x v="7"/>
    <s v="Tuesday"/>
    <n v="8"/>
    <n v="0.95041322314049592"/>
    <n v="95.041322314049594"/>
    <x v="0"/>
  </r>
  <r>
    <n v="1674"/>
    <s v="330 Main St, CityD"/>
    <x v="626"/>
    <x v="0"/>
    <x v="44"/>
    <x v="2"/>
    <x v="4"/>
    <n v="214"/>
    <n v="8"/>
    <x v="0"/>
    <x v="1"/>
    <x v="1"/>
    <x v="0"/>
    <x v="0"/>
    <x v="6"/>
    <s v="Friday"/>
    <n v="8"/>
    <n v="0.963963963963964"/>
    <n v="96.396396396396398"/>
    <x v="0"/>
  </r>
  <r>
    <n v="1675"/>
    <s v="520 Cedar St, CityD"/>
    <x v="627"/>
    <x v="0"/>
    <x v="66"/>
    <x v="0"/>
    <x v="3"/>
    <n v="103"/>
    <n v="13"/>
    <x v="2"/>
    <x v="1"/>
    <x v="0"/>
    <x v="2"/>
    <x v="2"/>
    <x v="6"/>
    <s v="Friday"/>
    <n v="9"/>
    <n v="0.88793103448275867"/>
    <n v="88.793103448275872"/>
    <x v="0"/>
  </r>
  <r>
    <n v="1676"/>
    <s v="859 Pine St, CityE"/>
    <x v="628"/>
    <x v="0"/>
    <x v="57"/>
    <x v="1"/>
    <x v="4"/>
    <n v="161"/>
    <n v="1"/>
    <x v="1"/>
    <x v="2"/>
    <x v="0"/>
    <x v="1"/>
    <x v="1"/>
    <x v="2"/>
    <s v="Sunday"/>
    <n v="11"/>
    <n v="0.99382716049382713"/>
    <n v="99.382716049382708"/>
    <x v="0"/>
  </r>
  <r>
    <n v="1677"/>
    <s v="211 Oak St, CityB"/>
    <x v="629"/>
    <x v="1"/>
    <x v="78"/>
    <x v="0"/>
    <x v="1"/>
    <n v="87"/>
    <n v="16"/>
    <x v="0"/>
    <x v="1"/>
    <x v="1"/>
    <x v="0"/>
    <x v="0"/>
    <x v="1"/>
    <s v="Friday"/>
    <n v="15"/>
    <n v="0.84466019417475724"/>
    <n v="84.466019417475721"/>
    <x v="0"/>
  </r>
  <r>
    <n v="1678"/>
    <s v="721 Main St, CityE"/>
    <x v="630"/>
    <x v="1"/>
    <x v="95"/>
    <x v="2"/>
    <x v="4"/>
    <n v="99"/>
    <n v="17"/>
    <x v="0"/>
    <x v="4"/>
    <x v="1"/>
    <x v="0"/>
    <x v="0"/>
    <x v="4"/>
    <s v="Wednesday"/>
    <n v="13"/>
    <n v="0.85344827586206895"/>
    <n v="85.34482758620689"/>
    <x v="0"/>
  </r>
  <r>
    <n v="1679"/>
    <s v="858 Pine St, CityB"/>
    <x v="631"/>
    <x v="0"/>
    <x v="56"/>
    <x v="2"/>
    <x v="3"/>
    <n v="158"/>
    <n v="3"/>
    <x v="2"/>
    <x v="4"/>
    <x v="2"/>
    <x v="2"/>
    <x v="2"/>
    <x v="0"/>
    <s v="Monday"/>
    <n v="8"/>
    <n v="0.98136645962732916"/>
    <n v="98.136645962732914"/>
    <x v="0"/>
  </r>
  <r>
    <n v="1680"/>
    <s v="807 Pine St, CityB"/>
    <x v="632"/>
    <x v="1"/>
    <x v="37"/>
    <x v="1"/>
    <x v="0"/>
    <n v="145"/>
    <n v="9"/>
    <x v="0"/>
    <x v="2"/>
    <x v="2"/>
    <x v="0"/>
    <x v="0"/>
    <x v="1"/>
    <s v="Friday"/>
    <n v="9"/>
    <n v="0.94155844155844159"/>
    <n v="94.155844155844164"/>
    <x v="0"/>
  </r>
  <r>
    <n v="1681"/>
    <s v="224 Oak St, CityC"/>
    <x v="132"/>
    <x v="0"/>
    <x v="28"/>
    <x v="2"/>
    <x v="4"/>
    <n v="134"/>
    <n v="5"/>
    <x v="0"/>
    <x v="1"/>
    <x v="1"/>
    <x v="0"/>
    <x v="0"/>
    <x v="0"/>
    <s v="Monday"/>
    <n v="14"/>
    <n v="0.96402877697841727"/>
    <n v="96.402877697841731"/>
    <x v="0"/>
  </r>
  <r>
    <n v="1682"/>
    <s v="415 Oak St, CityB"/>
    <x v="633"/>
    <x v="1"/>
    <x v="33"/>
    <x v="2"/>
    <x v="2"/>
    <n v="197"/>
    <n v="3"/>
    <x v="2"/>
    <x v="0"/>
    <x v="2"/>
    <x v="2"/>
    <x v="2"/>
    <x v="1"/>
    <s v="Friday"/>
    <n v="12"/>
    <n v="0.98499999999999999"/>
    <n v="98.5"/>
    <x v="0"/>
  </r>
  <r>
    <n v="1683"/>
    <s v="733 Oak St, CityB"/>
    <x v="634"/>
    <x v="0"/>
    <x v="38"/>
    <x v="2"/>
    <x v="3"/>
    <n v="193"/>
    <n v="26"/>
    <x v="0"/>
    <x v="2"/>
    <x v="2"/>
    <x v="1"/>
    <x v="0"/>
    <x v="5"/>
    <s v="Saturday"/>
    <n v="11"/>
    <n v="0.88127853881278539"/>
    <n v="88.12785388127854"/>
    <x v="0"/>
  </r>
  <r>
    <n v="1684"/>
    <s v="389 Cedar St, CityD"/>
    <x v="635"/>
    <x v="0"/>
    <x v="43"/>
    <x v="0"/>
    <x v="3"/>
    <n v="82"/>
    <n v="6"/>
    <x v="0"/>
    <x v="2"/>
    <x v="0"/>
    <x v="2"/>
    <x v="0"/>
    <x v="4"/>
    <s v="Wednesday"/>
    <n v="8"/>
    <n v="0.93181818181818177"/>
    <n v="93.181818181818173"/>
    <x v="0"/>
  </r>
  <r>
    <n v="1685"/>
    <s v="984 Main St, CityE"/>
    <x v="636"/>
    <x v="1"/>
    <x v="18"/>
    <x v="0"/>
    <x v="3"/>
    <n v="228"/>
    <n v="20"/>
    <x v="0"/>
    <x v="2"/>
    <x v="1"/>
    <x v="1"/>
    <x v="0"/>
    <x v="0"/>
    <s v="Monday"/>
    <n v="10"/>
    <n v="0.91935483870967738"/>
    <n v="91.935483870967744"/>
    <x v="0"/>
  </r>
  <r>
    <n v="1686"/>
    <s v="250 Main St, CityD"/>
    <x v="637"/>
    <x v="0"/>
    <x v="98"/>
    <x v="0"/>
    <x v="1"/>
    <n v="206"/>
    <n v="3"/>
    <x v="0"/>
    <x v="2"/>
    <x v="0"/>
    <x v="0"/>
    <x v="0"/>
    <x v="7"/>
    <s v="Tuesday"/>
    <n v="14"/>
    <n v="0.9856459330143541"/>
    <n v="98.564593301435409"/>
    <x v="0"/>
  </r>
  <r>
    <n v="1687"/>
    <s v="731 Main St, CityD"/>
    <x v="638"/>
    <x v="1"/>
    <x v="29"/>
    <x v="1"/>
    <x v="2"/>
    <n v="100"/>
    <n v="28"/>
    <x v="0"/>
    <x v="1"/>
    <x v="1"/>
    <x v="0"/>
    <x v="0"/>
    <x v="7"/>
    <s v="Tuesday"/>
    <n v="9"/>
    <n v="0.78125"/>
    <n v="78.125"/>
    <x v="0"/>
  </r>
  <r>
    <n v="1688"/>
    <s v="586 Oak St, CityC"/>
    <x v="639"/>
    <x v="1"/>
    <x v="27"/>
    <x v="1"/>
    <x v="4"/>
    <n v="202"/>
    <n v="14"/>
    <x v="1"/>
    <x v="4"/>
    <x v="2"/>
    <x v="0"/>
    <x v="1"/>
    <x v="4"/>
    <s v="Wednesday"/>
    <n v="9"/>
    <n v="0.93518518518518523"/>
    <n v="93.518518518518519"/>
    <x v="0"/>
  </r>
  <r>
    <n v="1689"/>
    <s v="391 Main St, CityD"/>
    <x v="22"/>
    <x v="0"/>
    <x v="66"/>
    <x v="1"/>
    <x v="4"/>
    <n v="157"/>
    <n v="26"/>
    <x v="1"/>
    <x v="4"/>
    <x v="2"/>
    <x v="1"/>
    <x v="1"/>
    <x v="4"/>
    <s v="Wednesday"/>
    <n v="10"/>
    <n v="0.85792349726775952"/>
    <n v="85.792349726775953"/>
    <x v="0"/>
  </r>
  <r>
    <n v="1690"/>
    <s v="447 Pine St, CityD"/>
    <x v="640"/>
    <x v="0"/>
    <x v="70"/>
    <x v="0"/>
    <x v="3"/>
    <n v="90"/>
    <n v="4"/>
    <x v="2"/>
    <x v="3"/>
    <x v="0"/>
    <x v="2"/>
    <x v="2"/>
    <x v="0"/>
    <s v="Monday"/>
    <n v="13"/>
    <n v="0.95744680851063835"/>
    <n v="95.744680851063833"/>
    <x v="0"/>
  </r>
  <r>
    <n v="1691"/>
    <s v="92 Pine St, CityC"/>
    <x v="641"/>
    <x v="0"/>
    <x v="67"/>
    <x v="1"/>
    <x v="3"/>
    <n v="195"/>
    <n v="10"/>
    <x v="2"/>
    <x v="1"/>
    <x v="2"/>
    <x v="0"/>
    <x v="2"/>
    <x v="4"/>
    <s v="Wednesday"/>
    <n v="13"/>
    <n v="0.95121951219512191"/>
    <n v="95.121951219512198"/>
    <x v="0"/>
  </r>
  <r>
    <n v="1692"/>
    <s v="357 Elm St, CityC"/>
    <x v="642"/>
    <x v="1"/>
    <x v="9"/>
    <x v="1"/>
    <x v="2"/>
    <n v="114"/>
    <n v="14"/>
    <x v="0"/>
    <x v="0"/>
    <x v="2"/>
    <x v="2"/>
    <x v="0"/>
    <x v="4"/>
    <s v="Wednesday"/>
    <n v="10"/>
    <n v="0.890625"/>
    <n v="89.0625"/>
    <x v="0"/>
  </r>
  <r>
    <n v="1693"/>
    <s v="376 Oak St, CityD"/>
    <x v="643"/>
    <x v="1"/>
    <x v="9"/>
    <x v="0"/>
    <x v="3"/>
    <n v="199"/>
    <n v="21"/>
    <x v="1"/>
    <x v="2"/>
    <x v="2"/>
    <x v="0"/>
    <x v="1"/>
    <x v="1"/>
    <s v="Friday"/>
    <n v="14"/>
    <n v="0.90454545454545454"/>
    <n v="90.454545454545453"/>
    <x v="0"/>
  </r>
  <r>
    <n v="1694"/>
    <s v="162 Elm St, CityB"/>
    <x v="644"/>
    <x v="1"/>
    <x v="1"/>
    <x v="0"/>
    <x v="4"/>
    <n v="173"/>
    <n v="15"/>
    <x v="0"/>
    <x v="1"/>
    <x v="2"/>
    <x v="1"/>
    <x v="0"/>
    <x v="6"/>
    <s v="Friday"/>
    <n v="8"/>
    <n v="0.92021276595744683"/>
    <n v="92.021276595744681"/>
    <x v="0"/>
  </r>
  <r>
    <n v="1695"/>
    <s v="875 Cedar St, CityE"/>
    <x v="645"/>
    <x v="1"/>
    <x v="85"/>
    <x v="0"/>
    <x v="0"/>
    <n v="208"/>
    <n v="29"/>
    <x v="1"/>
    <x v="4"/>
    <x v="0"/>
    <x v="2"/>
    <x v="1"/>
    <x v="1"/>
    <s v="Friday"/>
    <n v="8"/>
    <n v="0.87763713080168781"/>
    <n v="87.763713080168785"/>
    <x v="0"/>
  </r>
  <r>
    <n v="1696"/>
    <s v="614 Cedar St, CityB"/>
    <x v="646"/>
    <x v="1"/>
    <x v="27"/>
    <x v="2"/>
    <x v="2"/>
    <n v="125"/>
    <n v="29"/>
    <x v="2"/>
    <x v="4"/>
    <x v="2"/>
    <x v="0"/>
    <x v="2"/>
    <x v="3"/>
    <s v="Thursday"/>
    <n v="14"/>
    <n v="0.81168831168831168"/>
    <n v="81.168831168831161"/>
    <x v="0"/>
  </r>
  <r>
    <n v="1697"/>
    <s v="867 Main St, CityD"/>
    <x v="446"/>
    <x v="0"/>
    <x v="8"/>
    <x v="2"/>
    <x v="0"/>
    <n v="136"/>
    <n v="21"/>
    <x v="2"/>
    <x v="3"/>
    <x v="0"/>
    <x v="1"/>
    <x v="2"/>
    <x v="5"/>
    <s v="Saturday"/>
    <n v="16"/>
    <n v="0.86624203821656054"/>
    <n v="86.624203821656053"/>
    <x v="0"/>
  </r>
  <r>
    <n v="1698"/>
    <s v="374 Main St, CityB"/>
    <x v="647"/>
    <x v="1"/>
    <x v="57"/>
    <x v="0"/>
    <x v="3"/>
    <n v="86"/>
    <n v="0"/>
    <x v="2"/>
    <x v="3"/>
    <x v="2"/>
    <x v="1"/>
    <x v="2"/>
    <x v="6"/>
    <s v="Friday"/>
    <n v="16"/>
    <n v="1"/>
    <n v="100"/>
    <x v="1"/>
  </r>
  <r>
    <n v="1699"/>
    <s v="93 Elm St, CityA"/>
    <x v="648"/>
    <x v="0"/>
    <x v="62"/>
    <x v="2"/>
    <x v="2"/>
    <n v="230"/>
    <n v="24"/>
    <x v="2"/>
    <x v="3"/>
    <x v="0"/>
    <x v="2"/>
    <x v="2"/>
    <x v="1"/>
    <s v="Friday"/>
    <n v="15"/>
    <n v="0.90551181102362199"/>
    <n v="90.551181102362193"/>
    <x v="0"/>
  </r>
  <r>
    <n v="1700"/>
    <s v="631 Cedar St, CityA"/>
    <x v="162"/>
    <x v="0"/>
    <x v="4"/>
    <x v="0"/>
    <x v="0"/>
    <n v="225"/>
    <n v="12"/>
    <x v="2"/>
    <x v="3"/>
    <x v="2"/>
    <x v="0"/>
    <x v="2"/>
    <x v="7"/>
    <s v="Tuesday"/>
    <n v="11"/>
    <n v="0.94936708860759489"/>
    <n v="94.936708860759495"/>
    <x v="0"/>
  </r>
  <r>
    <n v="1701"/>
    <s v="257 Main St, CityE"/>
    <x v="649"/>
    <x v="1"/>
    <x v="17"/>
    <x v="2"/>
    <x v="1"/>
    <n v="201"/>
    <n v="3"/>
    <x v="0"/>
    <x v="4"/>
    <x v="0"/>
    <x v="2"/>
    <x v="0"/>
    <x v="0"/>
    <s v="Monday"/>
    <n v="10"/>
    <n v="0.98529411764705888"/>
    <n v="98.529411764705884"/>
    <x v="0"/>
  </r>
  <r>
    <n v="1702"/>
    <s v="955 Oak St, CityD"/>
    <x v="650"/>
    <x v="0"/>
    <x v="84"/>
    <x v="0"/>
    <x v="4"/>
    <n v="69"/>
    <n v="2"/>
    <x v="1"/>
    <x v="2"/>
    <x v="1"/>
    <x v="2"/>
    <x v="1"/>
    <x v="7"/>
    <s v="Tuesday"/>
    <n v="11"/>
    <n v="0.971830985915493"/>
    <n v="97.183098591549296"/>
    <x v="0"/>
  </r>
  <r>
    <n v="1703"/>
    <s v="153 Oak St, CityB"/>
    <x v="651"/>
    <x v="1"/>
    <x v="52"/>
    <x v="1"/>
    <x v="3"/>
    <n v="90"/>
    <n v="13"/>
    <x v="2"/>
    <x v="3"/>
    <x v="1"/>
    <x v="1"/>
    <x v="2"/>
    <x v="4"/>
    <s v="Wednesday"/>
    <n v="12"/>
    <n v="0.87378640776699024"/>
    <n v="87.378640776699029"/>
    <x v="0"/>
  </r>
  <r>
    <n v="1704"/>
    <s v="880 Pine St, CityC"/>
    <x v="246"/>
    <x v="0"/>
    <x v="19"/>
    <x v="2"/>
    <x v="3"/>
    <n v="108"/>
    <n v="26"/>
    <x v="2"/>
    <x v="3"/>
    <x v="2"/>
    <x v="0"/>
    <x v="2"/>
    <x v="1"/>
    <s v="Friday"/>
    <n v="11"/>
    <n v="0.80597014925373134"/>
    <n v="80.597014925373131"/>
    <x v="0"/>
  </r>
  <r>
    <n v="1705"/>
    <s v="892 Elm St, CityB"/>
    <x v="218"/>
    <x v="0"/>
    <x v="48"/>
    <x v="0"/>
    <x v="0"/>
    <n v="181"/>
    <n v="25"/>
    <x v="1"/>
    <x v="3"/>
    <x v="2"/>
    <x v="2"/>
    <x v="1"/>
    <x v="6"/>
    <s v="Friday"/>
    <n v="14"/>
    <n v="0.87864077669902918"/>
    <n v="87.864077669902912"/>
    <x v="0"/>
  </r>
  <r>
    <n v="1706"/>
    <s v="420 Oak St, CityB"/>
    <x v="652"/>
    <x v="0"/>
    <x v="59"/>
    <x v="2"/>
    <x v="3"/>
    <n v="206"/>
    <n v="27"/>
    <x v="2"/>
    <x v="2"/>
    <x v="0"/>
    <x v="1"/>
    <x v="2"/>
    <x v="2"/>
    <s v="Sunday"/>
    <n v="14"/>
    <n v="0.88412017167381973"/>
    <n v="88.412017167381975"/>
    <x v="0"/>
  </r>
  <r>
    <n v="1707"/>
    <s v="534 Main St, CityB"/>
    <x v="653"/>
    <x v="0"/>
    <x v="97"/>
    <x v="2"/>
    <x v="4"/>
    <n v="120"/>
    <n v="12"/>
    <x v="2"/>
    <x v="3"/>
    <x v="0"/>
    <x v="1"/>
    <x v="2"/>
    <x v="1"/>
    <s v="Friday"/>
    <n v="13"/>
    <n v="0.90909090909090906"/>
    <n v="90.909090909090907"/>
    <x v="0"/>
  </r>
  <r>
    <n v="1708"/>
    <s v="893 Main St, CityE"/>
    <x v="654"/>
    <x v="0"/>
    <x v="80"/>
    <x v="2"/>
    <x v="2"/>
    <n v="114"/>
    <n v="13"/>
    <x v="1"/>
    <x v="0"/>
    <x v="2"/>
    <x v="2"/>
    <x v="1"/>
    <x v="4"/>
    <s v="Wednesday"/>
    <n v="11"/>
    <n v="0.89763779527559051"/>
    <n v="89.763779527559052"/>
    <x v="0"/>
  </r>
  <r>
    <n v="1709"/>
    <s v="54 Cedar St, CityB"/>
    <x v="655"/>
    <x v="0"/>
    <x v="44"/>
    <x v="2"/>
    <x v="4"/>
    <n v="125"/>
    <n v="4"/>
    <x v="2"/>
    <x v="0"/>
    <x v="1"/>
    <x v="2"/>
    <x v="2"/>
    <x v="6"/>
    <s v="Friday"/>
    <n v="8"/>
    <n v="0.96899224806201545"/>
    <n v="96.899224806201545"/>
    <x v="0"/>
  </r>
  <r>
    <n v="1710"/>
    <s v="296 Cedar St, CityD"/>
    <x v="656"/>
    <x v="0"/>
    <x v="87"/>
    <x v="1"/>
    <x v="2"/>
    <n v="194"/>
    <n v="17"/>
    <x v="1"/>
    <x v="2"/>
    <x v="0"/>
    <x v="0"/>
    <x v="1"/>
    <x v="4"/>
    <s v="Wednesday"/>
    <n v="11"/>
    <n v="0.91943127962085303"/>
    <n v="91.943127962085299"/>
    <x v="0"/>
  </r>
  <r>
    <n v="1711"/>
    <s v="965 Pine St, CityB"/>
    <x v="657"/>
    <x v="1"/>
    <x v="96"/>
    <x v="1"/>
    <x v="0"/>
    <n v="151"/>
    <n v="7"/>
    <x v="2"/>
    <x v="3"/>
    <x v="0"/>
    <x v="0"/>
    <x v="2"/>
    <x v="3"/>
    <s v="Thursday"/>
    <n v="12"/>
    <n v="0.95569620253164556"/>
    <n v="95.569620253164558"/>
    <x v="0"/>
  </r>
  <r>
    <n v="1712"/>
    <s v="242 Main St, CityB"/>
    <x v="658"/>
    <x v="1"/>
    <x v="86"/>
    <x v="2"/>
    <x v="0"/>
    <n v="195"/>
    <n v="22"/>
    <x v="1"/>
    <x v="1"/>
    <x v="2"/>
    <x v="2"/>
    <x v="1"/>
    <x v="5"/>
    <s v="Saturday"/>
    <n v="10"/>
    <n v="0.89861751152073732"/>
    <n v="89.861751152073737"/>
    <x v="0"/>
  </r>
  <r>
    <n v="1713"/>
    <s v="618 Main St, CityA"/>
    <x v="659"/>
    <x v="1"/>
    <x v="92"/>
    <x v="1"/>
    <x v="1"/>
    <n v="204"/>
    <n v="0"/>
    <x v="1"/>
    <x v="4"/>
    <x v="2"/>
    <x v="1"/>
    <x v="1"/>
    <x v="7"/>
    <s v="Tuesday"/>
    <n v="15"/>
    <n v="1"/>
    <n v="100"/>
    <x v="1"/>
  </r>
  <r>
    <n v="1714"/>
    <s v="792 Main St, CityC"/>
    <x v="660"/>
    <x v="0"/>
    <x v="74"/>
    <x v="0"/>
    <x v="3"/>
    <n v="150"/>
    <n v="27"/>
    <x v="2"/>
    <x v="3"/>
    <x v="1"/>
    <x v="0"/>
    <x v="2"/>
    <x v="1"/>
    <s v="Friday"/>
    <n v="10"/>
    <n v="0.84745762711864403"/>
    <n v="84.745762711864401"/>
    <x v="0"/>
  </r>
  <r>
    <n v="1715"/>
    <s v="837 Elm St, CityE"/>
    <x v="661"/>
    <x v="1"/>
    <x v="40"/>
    <x v="2"/>
    <x v="2"/>
    <n v="192"/>
    <n v="7"/>
    <x v="2"/>
    <x v="3"/>
    <x v="0"/>
    <x v="2"/>
    <x v="2"/>
    <x v="2"/>
    <s v="Sunday"/>
    <n v="10"/>
    <n v="0.96482412060301503"/>
    <n v="96.482412060301499"/>
    <x v="0"/>
  </r>
  <r>
    <n v="1716"/>
    <s v="128 Pine St, CityE"/>
    <x v="127"/>
    <x v="0"/>
    <x v="48"/>
    <x v="1"/>
    <x v="4"/>
    <n v="218"/>
    <n v="2"/>
    <x v="1"/>
    <x v="1"/>
    <x v="0"/>
    <x v="2"/>
    <x v="1"/>
    <x v="0"/>
    <s v="Monday"/>
    <n v="11"/>
    <n v="0.99090909090909096"/>
    <n v="99.090909090909093"/>
    <x v="0"/>
  </r>
  <r>
    <n v="1717"/>
    <s v="780 Oak St, CityB"/>
    <x v="662"/>
    <x v="0"/>
    <x v="73"/>
    <x v="1"/>
    <x v="4"/>
    <n v="161"/>
    <n v="24"/>
    <x v="1"/>
    <x v="2"/>
    <x v="2"/>
    <x v="0"/>
    <x v="1"/>
    <x v="5"/>
    <s v="Saturday"/>
    <n v="12"/>
    <n v="0.87027027027027026"/>
    <n v="87.027027027027032"/>
    <x v="0"/>
  </r>
  <r>
    <n v="1718"/>
    <s v="157 Cedar St, CityB"/>
    <x v="663"/>
    <x v="0"/>
    <x v="77"/>
    <x v="0"/>
    <x v="0"/>
    <n v="90"/>
    <n v="9"/>
    <x v="0"/>
    <x v="3"/>
    <x v="1"/>
    <x v="0"/>
    <x v="0"/>
    <x v="1"/>
    <s v="Friday"/>
    <n v="9"/>
    <n v="0.90909090909090906"/>
    <n v="90.909090909090907"/>
    <x v="0"/>
  </r>
  <r>
    <n v="1719"/>
    <s v="252 Main St, CityC"/>
    <x v="664"/>
    <x v="0"/>
    <x v="56"/>
    <x v="1"/>
    <x v="2"/>
    <n v="209"/>
    <n v="21"/>
    <x v="1"/>
    <x v="4"/>
    <x v="1"/>
    <x v="2"/>
    <x v="1"/>
    <x v="3"/>
    <s v="Thursday"/>
    <n v="8"/>
    <n v="0.90869565217391302"/>
    <n v="90.869565217391298"/>
    <x v="0"/>
  </r>
  <r>
    <n v="1720"/>
    <s v="876 Elm St, CityC"/>
    <x v="665"/>
    <x v="0"/>
    <x v="40"/>
    <x v="0"/>
    <x v="3"/>
    <n v="148"/>
    <n v="1"/>
    <x v="2"/>
    <x v="4"/>
    <x v="2"/>
    <x v="1"/>
    <x v="2"/>
    <x v="0"/>
    <s v="Monday"/>
    <n v="8"/>
    <n v="0.99328859060402686"/>
    <n v="99.328859060402692"/>
    <x v="0"/>
  </r>
  <r>
    <n v="1721"/>
    <s v="526 Main St, CityE"/>
    <x v="666"/>
    <x v="0"/>
    <x v="19"/>
    <x v="1"/>
    <x v="1"/>
    <n v="90"/>
    <n v="24"/>
    <x v="1"/>
    <x v="2"/>
    <x v="0"/>
    <x v="2"/>
    <x v="1"/>
    <x v="3"/>
    <s v="Thursday"/>
    <n v="8"/>
    <n v="0.78947368421052633"/>
    <n v="78.94736842105263"/>
    <x v="0"/>
  </r>
  <r>
    <n v="1722"/>
    <s v="517 Main St, CityD"/>
    <x v="423"/>
    <x v="0"/>
    <x v="6"/>
    <x v="1"/>
    <x v="1"/>
    <n v="190"/>
    <n v="16"/>
    <x v="2"/>
    <x v="2"/>
    <x v="2"/>
    <x v="0"/>
    <x v="2"/>
    <x v="0"/>
    <s v="Monday"/>
    <n v="16"/>
    <n v="0.92233009708737868"/>
    <n v="92.233009708737868"/>
    <x v="0"/>
  </r>
  <r>
    <n v="1723"/>
    <s v="139 Elm St, CityA"/>
    <x v="667"/>
    <x v="1"/>
    <x v="3"/>
    <x v="0"/>
    <x v="1"/>
    <n v="112"/>
    <n v="1"/>
    <x v="2"/>
    <x v="2"/>
    <x v="2"/>
    <x v="0"/>
    <x v="2"/>
    <x v="5"/>
    <s v="Saturday"/>
    <n v="8"/>
    <n v="0.99115044247787609"/>
    <n v="99.115044247787608"/>
    <x v="0"/>
  </r>
  <r>
    <n v="1724"/>
    <s v="481 Elm St, CityB"/>
    <x v="668"/>
    <x v="1"/>
    <x v="99"/>
    <x v="2"/>
    <x v="0"/>
    <n v="96"/>
    <n v="20"/>
    <x v="2"/>
    <x v="2"/>
    <x v="1"/>
    <x v="2"/>
    <x v="2"/>
    <x v="3"/>
    <s v="Thursday"/>
    <n v="9"/>
    <n v="0.82758620689655171"/>
    <n v="82.758620689655174"/>
    <x v="0"/>
  </r>
  <r>
    <n v="1725"/>
    <s v="248 Cedar St, CityC"/>
    <x v="131"/>
    <x v="0"/>
    <x v="60"/>
    <x v="0"/>
    <x v="3"/>
    <n v="60"/>
    <n v="20"/>
    <x v="2"/>
    <x v="4"/>
    <x v="0"/>
    <x v="1"/>
    <x v="2"/>
    <x v="2"/>
    <s v="Sunday"/>
    <n v="15"/>
    <n v="0.75"/>
    <n v="75"/>
    <x v="0"/>
  </r>
  <r>
    <n v="1726"/>
    <s v="588 Oak St, CityD"/>
    <x v="669"/>
    <x v="0"/>
    <x v="65"/>
    <x v="2"/>
    <x v="4"/>
    <n v="153"/>
    <n v="26"/>
    <x v="2"/>
    <x v="1"/>
    <x v="0"/>
    <x v="0"/>
    <x v="2"/>
    <x v="4"/>
    <s v="Wednesday"/>
    <n v="8"/>
    <n v="0.85474860335195535"/>
    <n v="85.47486033519553"/>
    <x v="0"/>
  </r>
  <r>
    <n v="1727"/>
    <s v="252 Pine St, CityB"/>
    <x v="670"/>
    <x v="1"/>
    <x v="95"/>
    <x v="0"/>
    <x v="0"/>
    <n v="237"/>
    <n v="19"/>
    <x v="1"/>
    <x v="3"/>
    <x v="1"/>
    <x v="0"/>
    <x v="1"/>
    <x v="6"/>
    <s v="Friday"/>
    <n v="15"/>
    <n v="0.92578125"/>
    <n v="92.578125"/>
    <x v="0"/>
  </r>
  <r>
    <n v="1728"/>
    <s v="728 Main St, CityB"/>
    <x v="671"/>
    <x v="0"/>
    <x v="40"/>
    <x v="1"/>
    <x v="3"/>
    <n v="203"/>
    <n v="16"/>
    <x v="2"/>
    <x v="0"/>
    <x v="1"/>
    <x v="1"/>
    <x v="2"/>
    <x v="2"/>
    <s v="Sunday"/>
    <n v="13"/>
    <n v="0.9269406392694064"/>
    <n v="92.694063926940643"/>
    <x v="0"/>
  </r>
  <r>
    <n v="1729"/>
    <s v="166 Cedar St, CityA"/>
    <x v="672"/>
    <x v="1"/>
    <x v="7"/>
    <x v="2"/>
    <x v="3"/>
    <n v="206"/>
    <n v="20"/>
    <x v="2"/>
    <x v="1"/>
    <x v="0"/>
    <x v="1"/>
    <x v="2"/>
    <x v="3"/>
    <s v="Thursday"/>
    <n v="9"/>
    <n v="0.91150442477876104"/>
    <n v="91.150442477876098"/>
    <x v="0"/>
  </r>
  <r>
    <n v="1730"/>
    <s v="69 Pine St, CityB"/>
    <x v="673"/>
    <x v="0"/>
    <x v="82"/>
    <x v="0"/>
    <x v="2"/>
    <n v="138"/>
    <n v="14"/>
    <x v="1"/>
    <x v="2"/>
    <x v="2"/>
    <x v="1"/>
    <x v="1"/>
    <x v="3"/>
    <s v="Thursday"/>
    <n v="12"/>
    <n v="0.90789473684210531"/>
    <n v="90.789473684210535"/>
    <x v="0"/>
  </r>
  <r>
    <n v="1731"/>
    <s v="1 Oak St, CityD"/>
    <x v="674"/>
    <x v="1"/>
    <x v="46"/>
    <x v="2"/>
    <x v="3"/>
    <n v="121"/>
    <n v="22"/>
    <x v="2"/>
    <x v="1"/>
    <x v="2"/>
    <x v="0"/>
    <x v="2"/>
    <x v="0"/>
    <s v="Monday"/>
    <n v="8"/>
    <n v="0.84615384615384615"/>
    <n v="84.615384615384613"/>
    <x v="0"/>
  </r>
  <r>
    <n v="1732"/>
    <s v="542 Pine St, CityD"/>
    <x v="675"/>
    <x v="0"/>
    <x v="85"/>
    <x v="0"/>
    <x v="4"/>
    <n v="204"/>
    <n v="3"/>
    <x v="2"/>
    <x v="0"/>
    <x v="1"/>
    <x v="2"/>
    <x v="2"/>
    <x v="2"/>
    <s v="Sunday"/>
    <n v="14"/>
    <n v="0.98550724637681164"/>
    <n v="98.550724637681171"/>
    <x v="0"/>
  </r>
  <r>
    <n v="1733"/>
    <s v="564 Cedar St, CityD"/>
    <x v="676"/>
    <x v="0"/>
    <x v="4"/>
    <x v="2"/>
    <x v="1"/>
    <n v="137"/>
    <n v="24"/>
    <x v="2"/>
    <x v="4"/>
    <x v="0"/>
    <x v="1"/>
    <x v="2"/>
    <x v="2"/>
    <s v="Sunday"/>
    <n v="8"/>
    <n v="0.85093167701863359"/>
    <n v="85.093167701863365"/>
    <x v="0"/>
  </r>
  <r>
    <n v="1734"/>
    <s v="911 Cedar St, CityD"/>
    <x v="677"/>
    <x v="1"/>
    <x v="6"/>
    <x v="2"/>
    <x v="2"/>
    <n v="196"/>
    <n v="5"/>
    <x v="0"/>
    <x v="0"/>
    <x v="2"/>
    <x v="2"/>
    <x v="0"/>
    <x v="4"/>
    <s v="Wednesday"/>
    <n v="15"/>
    <n v="0.97512437810945274"/>
    <n v="97.512437810945272"/>
    <x v="0"/>
  </r>
  <r>
    <n v="1735"/>
    <s v="986 Cedar St, CityC"/>
    <x v="678"/>
    <x v="1"/>
    <x v="84"/>
    <x v="0"/>
    <x v="3"/>
    <n v="228"/>
    <n v="1"/>
    <x v="0"/>
    <x v="1"/>
    <x v="1"/>
    <x v="2"/>
    <x v="0"/>
    <x v="5"/>
    <s v="Saturday"/>
    <n v="16"/>
    <n v="0.99563318777292575"/>
    <n v="99.563318777292579"/>
    <x v="0"/>
  </r>
  <r>
    <n v="1736"/>
    <s v="806 Cedar St, CityE"/>
    <x v="679"/>
    <x v="1"/>
    <x v="10"/>
    <x v="0"/>
    <x v="4"/>
    <n v="100"/>
    <n v="26"/>
    <x v="0"/>
    <x v="0"/>
    <x v="2"/>
    <x v="2"/>
    <x v="0"/>
    <x v="6"/>
    <s v="Friday"/>
    <n v="12"/>
    <n v="0.79365079365079361"/>
    <n v="79.365079365079367"/>
    <x v="0"/>
  </r>
  <r>
    <n v="1737"/>
    <s v="736 Pine St, CityC"/>
    <x v="680"/>
    <x v="1"/>
    <x v="95"/>
    <x v="1"/>
    <x v="3"/>
    <n v="232"/>
    <n v="19"/>
    <x v="1"/>
    <x v="4"/>
    <x v="0"/>
    <x v="1"/>
    <x v="1"/>
    <x v="2"/>
    <s v="Sunday"/>
    <n v="8"/>
    <n v="0.92430278884462147"/>
    <n v="92.43027888446214"/>
    <x v="0"/>
  </r>
  <r>
    <n v="1738"/>
    <s v="537 Pine St, CityB"/>
    <x v="681"/>
    <x v="0"/>
    <x v="90"/>
    <x v="2"/>
    <x v="0"/>
    <n v="186"/>
    <n v="13"/>
    <x v="2"/>
    <x v="3"/>
    <x v="1"/>
    <x v="2"/>
    <x v="2"/>
    <x v="6"/>
    <s v="Friday"/>
    <n v="8"/>
    <n v="0.9346733668341709"/>
    <n v="93.467336683417088"/>
    <x v="0"/>
  </r>
  <r>
    <n v="1739"/>
    <s v="516 Pine St, CityB"/>
    <x v="682"/>
    <x v="0"/>
    <x v="44"/>
    <x v="0"/>
    <x v="0"/>
    <n v="197"/>
    <n v="2"/>
    <x v="2"/>
    <x v="3"/>
    <x v="0"/>
    <x v="1"/>
    <x v="2"/>
    <x v="4"/>
    <s v="Wednesday"/>
    <n v="9"/>
    <n v="0.98994974874371855"/>
    <n v="98.994974874371849"/>
    <x v="0"/>
  </r>
  <r>
    <n v="1740"/>
    <s v="825 Main St, CityB"/>
    <x v="683"/>
    <x v="1"/>
    <x v="22"/>
    <x v="0"/>
    <x v="1"/>
    <n v="159"/>
    <n v="28"/>
    <x v="1"/>
    <x v="1"/>
    <x v="0"/>
    <x v="2"/>
    <x v="1"/>
    <x v="1"/>
    <s v="Friday"/>
    <n v="10"/>
    <n v="0.85026737967914434"/>
    <n v="85.026737967914428"/>
    <x v="0"/>
  </r>
  <r>
    <n v="1741"/>
    <s v="76 Cedar St, CityC"/>
    <x v="684"/>
    <x v="0"/>
    <x v="50"/>
    <x v="0"/>
    <x v="1"/>
    <n v="181"/>
    <n v="19"/>
    <x v="0"/>
    <x v="0"/>
    <x v="1"/>
    <x v="0"/>
    <x v="0"/>
    <x v="3"/>
    <s v="Thursday"/>
    <n v="10"/>
    <n v="0.90500000000000003"/>
    <n v="90.5"/>
    <x v="0"/>
  </r>
  <r>
    <n v="1742"/>
    <s v="863 Oak St, CityA"/>
    <x v="685"/>
    <x v="0"/>
    <x v="69"/>
    <x v="2"/>
    <x v="0"/>
    <n v="64"/>
    <n v="24"/>
    <x v="1"/>
    <x v="1"/>
    <x v="2"/>
    <x v="2"/>
    <x v="1"/>
    <x v="2"/>
    <s v="Sunday"/>
    <n v="10"/>
    <n v="0.72727272727272729"/>
    <n v="72.727272727272734"/>
    <x v="0"/>
  </r>
  <r>
    <n v="1743"/>
    <s v="619 Pine St, CityD"/>
    <x v="256"/>
    <x v="1"/>
    <x v="65"/>
    <x v="2"/>
    <x v="4"/>
    <n v="194"/>
    <n v="14"/>
    <x v="1"/>
    <x v="0"/>
    <x v="2"/>
    <x v="2"/>
    <x v="1"/>
    <x v="5"/>
    <s v="Saturday"/>
    <n v="9"/>
    <n v="0.93269230769230771"/>
    <n v="93.269230769230774"/>
    <x v="0"/>
  </r>
  <r>
    <n v="1744"/>
    <s v="385 Oak St, CityC"/>
    <x v="686"/>
    <x v="1"/>
    <x v="18"/>
    <x v="0"/>
    <x v="2"/>
    <n v="163"/>
    <n v="2"/>
    <x v="2"/>
    <x v="4"/>
    <x v="2"/>
    <x v="2"/>
    <x v="2"/>
    <x v="6"/>
    <s v="Friday"/>
    <n v="16"/>
    <n v="0.98787878787878791"/>
    <n v="98.787878787878796"/>
    <x v="0"/>
  </r>
  <r>
    <n v="1745"/>
    <s v="25 Oak St, CityD"/>
    <x v="687"/>
    <x v="0"/>
    <x v="58"/>
    <x v="0"/>
    <x v="0"/>
    <n v="222"/>
    <n v="19"/>
    <x v="2"/>
    <x v="0"/>
    <x v="0"/>
    <x v="1"/>
    <x v="2"/>
    <x v="4"/>
    <s v="Wednesday"/>
    <n v="8"/>
    <n v="0.92116182572614103"/>
    <n v="92.116182572614107"/>
    <x v="0"/>
  </r>
  <r>
    <n v="1746"/>
    <s v="204 Main St, CityB"/>
    <x v="688"/>
    <x v="0"/>
    <x v="33"/>
    <x v="2"/>
    <x v="1"/>
    <n v="233"/>
    <n v="10"/>
    <x v="2"/>
    <x v="3"/>
    <x v="1"/>
    <x v="0"/>
    <x v="2"/>
    <x v="5"/>
    <s v="Saturday"/>
    <n v="9"/>
    <n v="0.95884773662551437"/>
    <n v="95.884773662551439"/>
    <x v="0"/>
  </r>
  <r>
    <n v="1747"/>
    <s v="446 Elm St, CityD"/>
    <x v="689"/>
    <x v="1"/>
    <x v="60"/>
    <x v="0"/>
    <x v="3"/>
    <n v="149"/>
    <n v="19"/>
    <x v="0"/>
    <x v="3"/>
    <x v="2"/>
    <x v="1"/>
    <x v="0"/>
    <x v="3"/>
    <s v="Thursday"/>
    <n v="9"/>
    <n v="0.88690476190476186"/>
    <n v="88.69047619047619"/>
    <x v="0"/>
  </r>
  <r>
    <n v="1748"/>
    <s v="886 Cedar St, CityB"/>
    <x v="690"/>
    <x v="1"/>
    <x v="27"/>
    <x v="2"/>
    <x v="2"/>
    <n v="114"/>
    <n v="25"/>
    <x v="2"/>
    <x v="2"/>
    <x v="1"/>
    <x v="2"/>
    <x v="2"/>
    <x v="4"/>
    <s v="Wednesday"/>
    <n v="11"/>
    <n v="0.82014388489208634"/>
    <n v="82.014388489208628"/>
    <x v="0"/>
  </r>
  <r>
    <n v="1749"/>
    <s v="665 Oak St, CityD"/>
    <x v="347"/>
    <x v="1"/>
    <x v="40"/>
    <x v="1"/>
    <x v="1"/>
    <n v="110"/>
    <n v="8"/>
    <x v="2"/>
    <x v="1"/>
    <x v="0"/>
    <x v="2"/>
    <x v="2"/>
    <x v="5"/>
    <s v="Saturday"/>
    <n v="13"/>
    <n v="0.93220338983050843"/>
    <n v="93.220338983050837"/>
    <x v="0"/>
  </r>
  <r>
    <n v="1750"/>
    <s v="251 Elm St, CityA"/>
    <x v="691"/>
    <x v="0"/>
    <x v="26"/>
    <x v="2"/>
    <x v="3"/>
    <n v="199"/>
    <n v="0"/>
    <x v="1"/>
    <x v="0"/>
    <x v="2"/>
    <x v="0"/>
    <x v="1"/>
    <x v="6"/>
    <s v="Friday"/>
    <n v="13"/>
    <n v="1"/>
    <n v="100"/>
    <x v="1"/>
  </r>
  <r>
    <n v="1751"/>
    <s v="923 Elm St, CityD"/>
    <x v="692"/>
    <x v="1"/>
    <x v="53"/>
    <x v="0"/>
    <x v="2"/>
    <n v="169"/>
    <n v="8"/>
    <x v="1"/>
    <x v="2"/>
    <x v="2"/>
    <x v="0"/>
    <x v="1"/>
    <x v="5"/>
    <s v="Saturday"/>
    <n v="15"/>
    <n v="0.95480225988700562"/>
    <n v="95.480225988700568"/>
    <x v="0"/>
  </r>
  <r>
    <n v="1752"/>
    <s v="259 Pine St, CityD"/>
    <x v="693"/>
    <x v="0"/>
    <x v="81"/>
    <x v="0"/>
    <x v="2"/>
    <n v="128"/>
    <n v="4"/>
    <x v="0"/>
    <x v="3"/>
    <x v="0"/>
    <x v="2"/>
    <x v="0"/>
    <x v="1"/>
    <s v="Friday"/>
    <n v="14"/>
    <n v="0.96969696969696972"/>
    <n v="96.969696969696969"/>
    <x v="0"/>
  </r>
  <r>
    <n v="1753"/>
    <s v="478 Pine St, CityC"/>
    <x v="694"/>
    <x v="0"/>
    <x v="28"/>
    <x v="1"/>
    <x v="1"/>
    <n v="227"/>
    <n v="1"/>
    <x v="1"/>
    <x v="4"/>
    <x v="0"/>
    <x v="1"/>
    <x v="1"/>
    <x v="4"/>
    <s v="Wednesday"/>
    <n v="8"/>
    <n v="0.99561403508771928"/>
    <n v="99.561403508771932"/>
    <x v="0"/>
  </r>
  <r>
    <n v="1754"/>
    <s v="904 Elm St, CityD"/>
    <x v="695"/>
    <x v="0"/>
    <x v="37"/>
    <x v="1"/>
    <x v="3"/>
    <n v="145"/>
    <n v="23"/>
    <x v="2"/>
    <x v="3"/>
    <x v="1"/>
    <x v="1"/>
    <x v="2"/>
    <x v="0"/>
    <s v="Monday"/>
    <n v="11"/>
    <n v="0.86309523809523814"/>
    <n v="86.30952380952381"/>
    <x v="0"/>
  </r>
  <r>
    <n v="1755"/>
    <s v="134 Pine St, CityA"/>
    <x v="696"/>
    <x v="1"/>
    <x v="9"/>
    <x v="0"/>
    <x v="4"/>
    <n v="143"/>
    <n v="11"/>
    <x v="2"/>
    <x v="1"/>
    <x v="1"/>
    <x v="2"/>
    <x v="2"/>
    <x v="3"/>
    <s v="Thursday"/>
    <n v="9"/>
    <n v="0.9285714285714286"/>
    <n v="92.857142857142861"/>
    <x v="0"/>
  </r>
  <r>
    <n v="1756"/>
    <s v="252 Elm St, CityA"/>
    <x v="310"/>
    <x v="1"/>
    <x v="78"/>
    <x v="0"/>
    <x v="2"/>
    <n v="100"/>
    <n v="12"/>
    <x v="1"/>
    <x v="2"/>
    <x v="1"/>
    <x v="2"/>
    <x v="1"/>
    <x v="6"/>
    <s v="Friday"/>
    <n v="10"/>
    <n v="0.8928571428571429"/>
    <n v="89.285714285714292"/>
    <x v="0"/>
  </r>
  <r>
    <n v="1757"/>
    <s v="303 Oak St, CityA"/>
    <x v="697"/>
    <x v="0"/>
    <x v="2"/>
    <x v="1"/>
    <x v="0"/>
    <n v="109"/>
    <n v="17"/>
    <x v="1"/>
    <x v="1"/>
    <x v="1"/>
    <x v="1"/>
    <x v="1"/>
    <x v="7"/>
    <s v="Tuesday"/>
    <n v="10"/>
    <n v="0.86507936507936511"/>
    <n v="86.507936507936506"/>
    <x v="0"/>
  </r>
  <r>
    <n v="1758"/>
    <s v="359 Pine St, CityD"/>
    <x v="698"/>
    <x v="1"/>
    <x v="82"/>
    <x v="2"/>
    <x v="0"/>
    <n v="94"/>
    <n v="23"/>
    <x v="2"/>
    <x v="0"/>
    <x v="1"/>
    <x v="2"/>
    <x v="2"/>
    <x v="7"/>
    <s v="Tuesday"/>
    <n v="13"/>
    <n v="0.80341880341880345"/>
    <n v="80.341880341880341"/>
    <x v="0"/>
  </r>
  <r>
    <n v="1759"/>
    <s v="909 Pine St, CityA"/>
    <x v="607"/>
    <x v="1"/>
    <x v="69"/>
    <x v="1"/>
    <x v="3"/>
    <n v="165"/>
    <n v="21"/>
    <x v="0"/>
    <x v="2"/>
    <x v="0"/>
    <x v="1"/>
    <x v="0"/>
    <x v="5"/>
    <s v="Saturday"/>
    <n v="8"/>
    <n v="0.88709677419354838"/>
    <n v="88.709677419354833"/>
    <x v="0"/>
  </r>
  <r>
    <n v="1760"/>
    <s v="613 Oak St, CityC"/>
    <x v="699"/>
    <x v="0"/>
    <x v="0"/>
    <x v="1"/>
    <x v="3"/>
    <n v="97"/>
    <n v="10"/>
    <x v="0"/>
    <x v="4"/>
    <x v="2"/>
    <x v="0"/>
    <x v="0"/>
    <x v="2"/>
    <s v="Sunday"/>
    <n v="16"/>
    <n v="0.90654205607476634"/>
    <n v="90.654205607476641"/>
    <x v="0"/>
  </r>
  <r>
    <n v="1761"/>
    <s v="841 Cedar St, CityE"/>
    <x v="38"/>
    <x v="0"/>
    <x v="56"/>
    <x v="0"/>
    <x v="4"/>
    <n v="207"/>
    <n v="6"/>
    <x v="0"/>
    <x v="3"/>
    <x v="2"/>
    <x v="0"/>
    <x v="0"/>
    <x v="1"/>
    <s v="Friday"/>
    <n v="15"/>
    <n v="0.971830985915493"/>
    <n v="97.183098591549296"/>
    <x v="0"/>
  </r>
  <r>
    <n v="1762"/>
    <s v="489 Main St, CityD"/>
    <x v="483"/>
    <x v="0"/>
    <x v="43"/>
    <x v="1"/>
    <x v="2"/>
    <n v="211"/>
    <n v="26"/>
    <x v="2"/>
    <x v="3"/>
    <x v="2"/>
    <x v="1"/>
    <x v="2"/>
    <x v="0"/>
    <s v="Monday"/>
    <n v="8"/>
    <n v="0.89029535864978904"/>
    <n v="89.029535864978897"/>
    <x v="0"/>
  </r>
  <r>
    <n v="1763"/>
    <s v="70 Oak St, CityC"/>
    <x v="333"/>
    <x v="0"/>
    <x v="13"/>
    <x v="2"/>
    <x v="1"/>
    <n v="124"/>
    <n v="10"/>
    <x v="1"/>
    <x v="1"/>
    <x v="1"/>
    <x v="0"/>
    <x v="1"/>
    <x v="2"/>
    <s v="Sunday"/>
    <n v="12"/>
    <n v="0.92537313432835822"/>
    <n v="92.537313432835816"/>
    <x v="0"/>
  </r>
  <r>
    <n v="1764"/>
    <s v="199 Oak St, CityE"/>
    <x v="700"/>
    <x v="0"/>
    <x v="99"/>
    <x v="1"/>
    <x v="2"/>
    <n v="150"/>
    <n v="22"/>
    <x v="0"/>
    <x v="0"/>
    <x v="2"/>
    <x v="0"/>
    <x v="0"/>
    <x v="2"/>
    <s v="Sunday"/>
    <n v="11"/>
    <n v="0.87209302325581395"/>
    <n v="87.20930232558139"/>
    <x v="0"/>
  </r>
  <r>
    <n v="1765"/>
    <s v="170 Main St, CityA"/>
    <x v="701"/>
    <x v="0"/>
    <x v="2"/>
    <x v="1"/>
    <x v="2"/>
    <n v="73"/>
    <n v="1"/>
    <x v="2"/>
    <x v="1"/>
    <x v="0"/>
    <x v="0"/>
    <x v="2"/>
    <x v="5"/>
    <s v="Saturday"/>
    <n v="8"/>
    <n v="0.98648648648648651"/>
    <n v="98.648648648648646"/>
    <x v="0"/>
  </r>
  <r>
    <n v="1766"/>
    <s v="150 Cedar St, CityC"/>
    <x v="574"/>
    <x v="0"/>
    <x v="24"/>
    <x v="2"/>
    <x v="1"/>
    <n v="134"/>
    <n v="13"/>
    <x v="2"/>
    <x v="0"/>
    <x v="0"/>
    <x v="0"/>
    <x v="2"/>
    <x v="6"/>
    <s v="Friday"/>
    <n v="12"/>
    <n v="0.91156462585034015"/>
    <n v="91.156462585034021"/>
    <x v="0"/>
  </r>
  <r>
    <n v="1767"/>
    <s v="62 Main St, CityE"/>
    <x v="702"/>
    <x v="0"/>
    <x v="86"/>
    <x v="1"/>
    <x v="0"/>
    <n v="171"/>
    <n v="2"/>
    <x v="0"/>
    <x v="1"/>
    <x v="0"/>
    <x v="0"/>
    <x v="0"/>
    <x v="0"/>
    <s v="Monday"/>
    <n v="12"/>
    <n v="0.98843930635838151"/>
    <n v="98.843930635838149"/>
    <x v="0"/>
  </r>
  <r>
    <n v="1768"/>
    <s v="224 Cedar St, CityC"/>
    <x v="703"/>
    <x v="0"/>
    <x v="6"/>
    <x v="0"/>
    <x v="2"/>
    <n v="61"/>
    <n v="6"/>
    <x v="1"/>
    <x v="4"/>
    <x v="1"/>
    <x v="2"/>
    <x v="1"/>
    <x v="5"/>
    <s v="Saturday"/>
    <n v="10"/>
    <n v="0.91044776119402981"/>
    <n v="91.044776119402982"/>
    <x v="0"/>
  </r>
  <r>
    <n v="1769"/>
    <s v="25 Pine St, CityD"/>
    <x v="704"/>
    <x v="1"/>
    <x v="39"/>
    <x v="2"/>
    <x v="3"/>
    <n v="222"/>
    <n v="27"/>
    <x v="1"/>
    <x v="2"/>
    <x v="1"/>
    <x v="1"/>
    <x v="1"/>
    <x v="4"/>
    <s v="Wednesday"/>
    <n v="9"/>
    <n v="0.89156626506024095"/>
    <n v="89.156626506024097"/>
    <x v="0"/>
  </r>
  <r>
    <n v="1770"/>
    <s v="343 Cedar St, CityD"/>
    <x v="705"/>
    <x v="0"/>
    <x v="40"/>
    <x v="2"/>
    <x v="2"/>
    <n v="81"/>
    <n v="15"/>
    <x v="1"/>
    <x v="3"/>
    <x v="2"/>
    <x v="0"/>
    <x v="1"/>
    <x v="1"/>
    <s v="Friday"/>
    <n v="11"/>
    <n v="0.84375"/>
    <n v="84.375"/>
    <x v="0"/>
  </r>
  <r>
    <n v="1771"/>
    <s v="356 Cedar St, CityC"/>
    <x v="90"/>
    <x v="0"/>
    <x v="74"/>
    <x v="0"/>
    <x v="3"/>
    <n v="61"/>
    <n v="10"/>
    <x v="1"/>
    <x v="2"/>
    <x v="1"/>
    <x v="2"/>
    <x v="1"/>
    <x v="1"/>
    <s v="Friday"/>
    <n v="10"/>
    <n v="0.85915492957746475"/>
    <n v="85.91549295774648"/>
    <x v="0"/>
  </r>
  <r>
    <n v="1772"/>
    <s v="292 Oak St, CityA"/>
    <x v="636"/>
    <x v="0"/>
    <x v="25"/>
    <x v="0"/>
    <x v="2"/>
    <n v="114"/>
    <n v="3"/>
    <x v="2"/>
    <x v="4"/>
    <x v="0"/>
    <x v="2"/>
    <x v="2"/>
    <x v="0"/>
    <s v="Monday"/>
    <n v="10"/>
    <n v="0.97435897435897434"/>
    <n v="97.435897435897431"/>
    <x v="0"/>
  </r>
  <r>
    <n v="1773"/>
    <s v="821 Cedar St, CityE"/>
    <x v="706"/>
    <x v="1"/>
    <x v="30"/>
    <x v="0"/>
    <x v="2"/>
    <n v="238"/>
    <n v="9"/>
    <x v="1"/>
    <x v="4"/>
    <x v="1"/>
    <x v="1"/>
    <x v="1"/>
    <x v="2"/>
    <s v="Sunday"/>
    <n v="8"/>
    <n v="0.96356275303643724"/>
    <n v="96.356275303643727"/>
    <x v="0"/>
  </r>
  <r>
    <n v="1774"/>
    <s v="127 Pine St, CityD"/>
    <x v="628"/>
    <x v="0"/>
    <x v="23"/>
    <x v="2"/>
    <x v="4"/>
    <n v="161"/>
    <n v="1"/>
    <x v="1"/>
    <x v="2"/>
    <x v="0"/>
    <x v="0"/>
    <x v="1"/>
    <x v="2"/>
    <s v="Sunday"/>
    <n v="11"/>
    <n v="0.99382716049382713"/>
    <n v="99.382716049382708"/>
    <x v="0"/>
  </r>
  <r>
    <n v="1775"/>
    <s v="444 Cedar St, CityA"/>
    <x v="707"/>
    <x v="1"/>
    <x v="74"/>
    <x v="2"/>
    <x v="2"/>
    <n v="125"/>
    <n v="13"/>
    <x v="2"/>
    <x v="0"/>
    <x v="1"/>
    <x v="0"/>
    <x v="2"/>
    <x v="6"/>
    <s v="Friday"/>
    <n v="10"/>
    <n v="0.90579710144927539"/>
    <n v="90.579710144927532"/>
    <x v="0"/>
  </r>
  <r>
    <n v="1776"/>
    <s v="683 Cedar St, CityE"/>
    <x v="708"/>
    <x v="0"/>
    <x v="49"/>
    <x v="0"/>
    <x v="4"/>
    <n v="159"/>
    <n v="22"/>
    <x v="1"/>
    <x v="3"/>
    <x v="0"/>
    <x v="1"/>
    <x v="1"/>
    <x v="2"/>
    <s v="Sunday"/>
    <n v="15"/>
    <n v="0.87845303867403313"/>
    <n v="87.845303867403317"/>
    <x v="0"/>
  </r>
  <r>
    <n v="1777"/>
    <s v="519 Main St, CityB"/>
    <x v="709"/>
    <x v="0"/>
    <x v="20"/>
    <x v="0"/>
    <x v="2"/>
    <n v="115"/>
    <n v="22"/>
    <x v="2"/>
    <x v="0"/>
    <x v="2"/>
    <x v="1"/>
    <x v="2"/>
    <x v="4"/>
    <s v="Wednesday"/>
    <n v="9"/>
    <n v="0.83941605839416056"/>
    <n v="83.941605839416056"/>
    <x v="0"/>
  </r>
  <r>
    <n v="1778"/>
    <s v="956 Pine St, CityC"/>
    <x v="710"/>
    <x v="0"/>
    <x v="5"/>
    <x v="0"/>
    <x v="0"/>
    <n v="143"/>
    <n v="4"/>
    <x v="1"/>
    <x v="0"/>
    <x v="1"/>
    <x v="2"/>
    <x v="1"/>
    <x v="2"/>
    <s v="Sunday"/>
    <n v="11"/>
    <n v="0.97278911564625847"/>
    <n v="97.278911564625844"/>
    <x v="0"/>
  </r>
  <r>
    <n v="1779"/>
    <s v="677 Pine St, CityC"/>
    <x v="711"/>
    <x v="1"/>
    <x v="18"/>
    <x v="0"/>
    <x v="1"/>
    <n v="98"/>
    <n v="1"/>
    <x v="0"/>
    <x v="3"/>
    <x v="2"/>
    <x v="0"/>
    <x v="0"/>
    <x v="3"/>
    <s v="Thursday"/>
    <n v="16"/>
    <n v="0.98989898989898994"/>
    <n v="98.98989898989899"/>
    <x v="0"/>
  </r>
  <r>
    <n v="1780"/>
    <s v="148 Elm St, CityB"/>
    <x v="712"/>
    <x v="0"/>
    <x v="63"/>
    <x v="1"/>
    <x v="3"/>
    <n v="184"/>
    <n v="7"/>
    <x v="1"/>
    <x v="3"/>
    <x v="2"/>
    <x v="1"/>
    <x v="1"/>
    <x v="1"/>
    <s v="Friday"/>
    <n v="13"/>
    <n v="0.96335078534031415"/>
    <n v="96.33507853403141"/>
    <x v="0"/>
  </r>
  <r>
    <n v="1781"/>
    <s v="96 Cedar St, CityD"/>
    <x v="363"/>
    <x v="1"/>
    <x v="14"/>
    <x v="1"/>
    <x v="3"/>
    <n v="153"/>
    <n v="5"/>
    <x v="0"/>
    <x v="0"/>
    <x v="1"/>
    <x v="1"/>
    <x v="0"/>
    <x v="3"/>
    <s v="Thursday"/>
    <n v="14"/>
    <n v="0.96835443037974689"/>
    <n v="96.835443037974684"/>
    <x v="0"/>
  </r>
  <r>
    <n v="1782"/>
    <s v="283 Pine St, CityB"/>
    <x v="713"/>
    <x v="0"/>
    <x v="63"/>
    <x v="1"/>
    <x v="1"/>
    <n v="146"/>
    <n v="29"/>
    <x v="2"/>
    <x v="2"/>
    <x v="2"/>
    <x v="1"/>
    <x v="2"/>
    <x v="1"/>
    <s v="Friday"/>
    <n v="11"/>
    <n v="0.8342857142857143"/>
    <n v="83.428571428571431"/>
    <x v="0"/>
  </r>
  <r>
    <n v="1783"/>
    <s v="43 Main St, CityC"/>
    <x v="714"/>
    <x v="1"/>
    <x v="27"/>
    <x v="2"/>
    <x v="0"/>
    <n v="149"/>
    <n v="8"/>
    <x v="1"/>
    <x v="2"/>
    <x v="2"/>
    <x v="1"/>
    <x v="1"/>
    <x v="0"/>
    <s v="Monday"/>
    <n v="13"/>
    <n v="0.94904458598726116"/>
    <n v="94.904458598726109"/>
    <x v="0"/>
  </r>
  <r>
    <n v="1784"/>
    <s v="13 Elm St, CityB"/>
    <x v="715"/>
    <x v="0"/>
    <x v="69"/>
    <x v="1"/>
    <x v="3"/>
    <n v="209"/>
    <n v="24"/>
    <x v="0"/>
    <x v="2"/>
    <x v="2"/>
    <x v="1"/>
    <x v="0"/>
    <x v="6"/>
    <s v="Friday"/>
    <n v="15"/>
    <n v="0.89699570815450647"/>
    <n v="89.699570815450642"/>
    <x v="0"/>
  </r>
  <r>
    <n v="1785"/>
    <s v="429 Cedar St, CityB"/>
    <x v="716"/>
    <x v="0"/>
    <x v="64"/>
    <x v="1"/>
    <x v="0"/>
    <n v="143"/>
    <n v="21"/>
    <x v="1"/>
    <x v="1"/>
    <x v="1"/>
    <x v="0"/>
    <x v="1"/>
    <x v="5"/>
    <s v="Saturday"/>
    <n v="13"/>
    <n v="0.87195121951219512"/>
    <n v="87.195121951219505"/>
    <x v="0"/>
  </r>
  <r>
    <n v="1786"/>
    <s v="428 Elm St, CityD"/>
    <x v="717"/>
    <x v="0"/>
    <x v="56"/>
    <x v="2"/>
    <x v="0"/>
    <n v="237"/>
    <n v="10"/>
    <x v="2"/>
    <x v="1"/>
    <x v="1"/>
    <x v="2"/>
    <x v="2"/>
    <x v="2"/>
    <s v="Sunday"/>
    <n v="16"/>
    <n v="0.95951417004048578"/>
    <n v="95.951417004048579"/>
    <x v="0"/>
  </r>
  <r>
    <n v="1787"/>
    <s v="561 Cedar St, CityC"/>
    <x v="718"/>
    <x v="1"/>
    <x v="84"/>
    <x v="0"/>
    <x v="0"/>
    <n v="115"/>
    <n v="20"/>
    <x v="0"/>
    <x v="2"/>
    <x v="0"/>
    <x v="2"/>
    <x v="0"/>
    <x v="1"/>
    <s v="Friday"/>
    <n v="9"/>
    <n v="0.85185185185185186"/>
    <n v="85.18518518518519"/>
    <x v="0"/>
  </r>
  <r>
    <n v="1788"/>
    <s v="939 Elm St, CityA"/>
    <x v="719"/>
    <x v="1"/>
    <x v="38"/>
    <x v="1"/>
    <x v="1"/>
    <n v="150"/>
    <n v="18"/>
    <x v="2"/>
    <x v="0"/>
    <x v="2"/>
    <x v="2"/>
    <x v="2"/>
    <x v="5"/>
    <s v="Saturday"/>
    <n v="10"/>
    <n v="0.8928571428571429"/>
    <n v="89.285714285714292"/>
    <x v="0"/>
  </r>
  <r>
    <n v="1789"/>
    <s v="68 Elm St, CityA"/>
    <x v="720"/>
    <x v="1"/>
    <x v="90"/>
    <x v="2"/>
    <x v="1"/>
    <n v="181"/>
    <n v="13"/>
    <x v="1"/>
    <x v="4"/>
    <x v="0"/>
    <x v="0"/>
    <x v="1"/>
    <x v="5"/>
    <s v="Saturday"/>
    <n v="14"/>
    <n v="0.9329896907216495"/>
    <n v="93.298969072164951"/>
    <x v="0"/>
  </r>
  <r>
    <n v="1790"/>
    <s v="272 Pine St, CityA"/>
    <x v="406"/>
    <x v="0"/>
    <x v="49"/>
    <x v="0"/>
    <x v="4"/>
    <n v="146"/>
    <n v="29"/>
    <x v="1"/>
    <x v="4"/>
    <x v="1"/>
    <x v="1"/>
    <x v="1"/>
    <x v="3"/>
    <s v="Thursday"/>
    <n v="15"/>
    <n v="0.8342857142857143"/>
    <n v="83.428571428571431"/>
    <x v="0"/>
  </r>
  <r>
    <n v="1791"/>
    <s v="225 Pine St, CityB"/>
    <x v="721"/>
    <x v="1"/>
    <x v="22"/>
    <x v="0"/>
    <x v="2"/>
    <n v="140"/>
    <n v="9"/>
    <x v="1"/>
    <x v="2"/>
    <x v="0"/>
    <x v="2"/>
    <x v="1"/>
    <x v="2"/>
    <s v="Sunday"/>
    <n v="8"/>
    <n v="0.93959731543624159"/>
    <n v="93.959731543624159"/>
    <x v="0"/>
  </r>
  <r>
    <n v="1792"/>
    <s v="948 Pine St, CityA"/>
    <x v="722"/>
    <x v="0"/>
    <x v="92"/>
    <x v="0"/>
    <x v="2"/>
    <n v="198"/>
    <n v="5"/>
    <x v="0"/>
    <x v="2"/>
    <x v="1"/>
    <x v="0"/>
    <x v="0"/>
    <x v="5"/>
    <s v="Saturday"/>
    <n v="16"/>
    <n v="0.97536945812807885"/>
    <n v="97.536945812807886"/>
    <x v="0"/>
  </r>
  <r>
    <n v="1793"/>
    <s v="82 Pine St, CityC"/>
    <x v="723"/>
    <x v="0"/>
    <x v="26"/>
    <x v="2"/>
    <x v="4"/>
    <n v="65"/>
    <n v="6"/>
    <x v="0"/>
    <x v="1"/>
    <x v="0"/>
    <x v="1"/>
    <x v="0"/>
    <x v="0"/>
    <s v="Monday"/>
    <n v="8"/>
    <n v="0.91549295774647887"/>
    <n v="91.549295774647888"/>
    <x v="0"/>
  </r>
  <r>
    <n v="1794"/>
    <s v="632 Oak St, CityD"/>
    <x v="724"/>
    <x v="0"/>
    <x v="62"/>
    <x v="0"/>
    <x v="0"/>
    <n v="89"/>
    <n v="7"/>
    <x v="1"/>
    <x v="4"/>
    <x v="0"/>
    <x v="1"/>
    <x v="1"/>
    <x v="7"/>
    <s v="Tuesday"/>
    <n v="16"/>
    <n v="0.92708333333333337"/>
    <n v="92.708333333333343"/>
    <x v="0"/>
  </r>
  <r>
    <n v="1795"/>
    <s v="979 Oak St, CityE"/>
    <x v="725"/>
    <x v="0"/>
    <x v="14"/>
    <x v="2"/>
    <x v="1"/>
    <n v="195"/>
    <n v="6"/>
    <x v="0"/>
    <x v="3"/>
    <x v="0"/>
    <x v="2"/>
    <x v="0"/>
    <x v="3"/>
    <s v="Thursday"/>
    <n v="9"/>
    <n v="0.97014925373134331"/>
    <n v="97.014925373134332"/>
    <x v="0"/>
  </r>
  <r>
    <n v="1796"/>
    <s v="572 Cedar St, CityC"/>
    <x v="24"/>
    <x v="0"/>
    <x v="82"/>
    <x v="1"/>
    <x v="1"/>
    <n v="151"/>
    <n v="2"/>
    <x v="2"/>
    <x v="4"/>
    <x v="2"/>
    <x v="0"/>
    <x v="2"/>
    <x v="2"/>
    <s v="Sunday"/>
    <n v="14"/>
    <n v="0.98692810457516345"/>
    <n v="98.692810457516345"/>
    <x v="0"/>
  </r>
  <r>
    <n v="1797"/>
    <s v="647 Oak St, CityE"/>
    <x v="726"/>
    <x v="1"/>
    <x v="92"/>
    <x v="1"/>
    <x v="0"/>
    <n v="208"/>
    <n v="6"/>
    <x v="2"/>
    <x v="0"/>
    <x v="1"/>
    <x v="0"/>
    <x v="2"/>
    <x v="0"/>
    <s v="Monday"/>
    <n v="9"/>
    <n v="0.9719626168224299"/>
    <n v="97.196261682242991"/>
    <x v="0"/>
  </r>
  <r>
    <n v="1798"/>
    <s v="160 Cedar St, CityE"/>
    <x v="727"/>
    <x v="1"/>
    <x v="33"/>
    <x v="1"/>
    <x v="3"/>
    <n v="201"/>
    <n v="10"/>
    <x v="2"/>
    <x v="1"/>
    <x v="2"/>
    <x v="0"/>
    <x v="2"/>
    <x v="6"/>
    <s v="Friday"/>
    <n v="9"/>
    <n v="0.95260663507109"/>
    <n v="95.260663507109001"/>
    <x v="0"/>
  </r>
  <r>
    <n v="1799"/>
    <s v="699 Oak St, CityE"/>
    <x v="728"/>
    <x v="1"/>
    <x v="45"/>
    <x v="2"/>
    <x v="3"/>
    <n v="68"/>
    <n v="4"/>
    <x v="0"/>
    <x v="4"/>
    <x v="2"/>
    <x v="0"/>
    <x v="0"/>
    <x v="1"/>
    <s v="Friday"/>
    <n v="8"/>
    <n v="0.94444444444444442"/>
    <n v="94.444444444444443"/>
    <x v="0"/>
  </r>
  <r>
    <n v="1800"/>
    <s v="797 Elm St, CityB"/>
    <x v="729"/>
    <x v="1"/>
    <x v="9"/>
    <x v="1"/>
    <x v="1"/>
    <n v="87"/>
    <n v="14"/>
    <x v="1"/>
    <x v="1"/>
    <x v="1"/>
    <x v="2"/>
    <x v="1"/>
    <x v="4"/>
    <s v="Wednesday"/>
    <n v="13"/>
    <n v="0.86138613861386137"/>
    <n v="86.138613861386133"/>
    <x v="0"/>
  </r>
  <r>
    <n v="1801"/>
    <s v="835 Main St, CityD"/>
    <x v="730"/>
    <x v="1"/>
    <x v="1"/>
    <x v="0"/>
    <x v="2"/>
    <n v="121"/>
    <n v="16"/>
    <x v="0"/>
    <x v="4"/>
    <x v="1"/>
    <x v="2"/>
    <x v="0"/>
    <x v="3"/>
    <s v="Thursday"/>
    <n v="14"/>
    <n v="0.88321167883211682"/>
    <n v="88.321167883211686"/>
    <x v="0"/>
  </r>
  <r>
    <n v="1802"/>
    <s v="495 Oak St, CityC"/>
    <x v="731"/>
    <x v="0"/>
    <x v="96"/>
    <x v="0"/>
    <x v="0"/>
    <n v="235"/>
    <n v="7"/>
    <x v="2"/>
    <x v="4"/>
    <x v="2"/>
    <x v="1"/>
    <x v="2"/>
    <x v="1"/>
    <s v="Friday"/>
    <n v="15"/>
    <n v="0.97107438016528924"/>
    <n v="97.107438016528931"/>
    <x v="0"/>
  </r>
  <r>
    <n v="1803"/>
    <s v="963 Cedar St, CityC"/>
    <x v="732"/>
    <x v="1"/>
    <x v="16"/>
    <x v="0"/>
    <x v="2"/>
    <n v="125"/>
    <n v="10"/>
    <x v="0"/>
    <x v="2"/>
    <x v="2"/>
    <x v="0"/>
    <x v="0"/>
    <x v="3"/>
    <s v="Thursday"/>
    <n v="14"/>
    <n v="0.92592592592592593"/>
    <n v="92.592592592592595"/>
    <x v="0"/>
  </r>
  <r>
    <n v="1804"/>
    <s v="511 Pine St, CityA"/>
    <x v="733"/>
    <x v="1"/>
    <x v="89"/>
    <x v="1"/>
    <x v="1"/>
    <n v="168"/>
    <n v="17"/>
    <x v="1"/>
    <x v="2"/>
    <x v="1"/>
    <x v="1"/>
    <x v="1"/>
    <x v="3"/>
    <s v="Thursday"/>
    <n v="10"/>
    <n v="0.90810810810810816"/>
    <n v="90.810810810810821"/>
    <x v="0"/>
  </r>
  <r>
    <n v="1805"/>
    <s v="975 Cedar St, CityC"/>
    <x v="29"/>
    <x v="1"/>
    <x v="39"/>
    <x v="1"/>
    <x v="3"/>
    <n v="153"/>
    <n v="3"/>
    <x v="0"/>
    <x v="0"/>
    <x v="1"/>
    <x v="1"/>
    <x v="0"/>
    <x v="1"/>
    <s v="Friday"/>
    <n v="13"/>
    <n v="0.98076923076923073"/>
    <n v="98.076923076923066"/>
    <x v="0"/>
  </r>
  <r>
    <n v="1806"/>
    <s v="821 Oak St, CityA"/>
    <x v="734"/>
    <x v="1"/>
    <x v="12"/>
    <x v="1"/>
    <x v="4"/>
    <n v="110"/>
    <n v="22"/>
    <x v="2"/>
    <x v="4"/>
    <x v="0"/>
    <x v="0"/>
    <x v="2"/>
    <x v="7"/>
    <s v="Tuesday"/>
    <n v="12"/>
    <n v="0.83333333333333337"/>
    <n v="83.333333333333343"/>
    <x v="0"/>
  </r>
  <r>
    <n v="1807"/>
    <s v="844 Elm St, CityE"/>
    <x v="735"/>
    <x v="0"/>
    <x v="15"/>
    <x v="0"/>
    <x v="3"/>
    <n v="157"/>
    <n v="10"/>
    <x v="0"/>
    <x v="1"/>
    <x v="1"/>
    <x v="0"/>
    <x v="0"/>
    <x v="1"/>
    <s v="Friday"/>
    <n v="12"/>
    <n v="0.94011976047904189"/>
    <n v="94.011976047904184"/>
    <x v="0"/>
  </r>
  <r>
    <n v="1808"/>
    <s v="229 Elm St, CityB"/>
    <x v="249"/>
    <x v="0"/>
    <x v="44"/>
    <x v="0"/>
    <x v="2"/>
    <n v="150"/>
    <n v="6"/>
    <x v="0"/>
    <x v="1"/>
    <x v="2"/>
    <x v="0"/>
    <x v="0"/>
    <x v="3"/>
    <s v="Thursday"/>
    <n v="15"/>
    <n v="0.96153846153846156"/>
    <n v="96.15384615384616"/>
    <x v="0"/>
  </r>
  <r>
    <n v="1809"/>
    <s v="476 Elm St, CityA"/>
    <x v="736"/>
    <x v="0"/>
    <x v="0"/>
    <x v="1"/>
    <x v="2"/>
    <n v="81"/>
    <n v="12"/>
    <x v="1"/>
    <x v="3"/>
    <x v="1"/>
    <x v="1"/>
    <x v="1"/>
    <x v="7"/>
    <s v="Tuesday"/>
    <n v="11"/>
    <n v="0.87096774193548387"/>
    <n v="87.096774193548384"/>
    <x v="0"/>
  </r>
  <r>
    <n v="1810"/>
    <s v="715 Cedar St, CityE"/>
    <x v="737"/>
    <x v="1"/>
    <x v="99"/>
    <x v="2"/>
    <x v="1"/>
    <n v="131"/>
    <n v="26"/>
    <x v="2"/>
    <x v="1"/>
    <x v="2"/>
    <x v="0"/>
    <x v="2"/>
    <x v="0"/>
    <s v="Monday"/>
    <n v="11"/>
    <n v="0.83439490445859876"/>
    <n v="83.439490445859875"/>
    <x v="0"/>
  </r>
  <r>
    <n v="1811"/>
    <s v="372 Pine St, CityD"/>
    <x v="738"/>
    <x v="1"/>
    <x v="1"/>
    <x v="1"/>
    <x v="3"/>
    <n v="176"/>
    <n v="24"/>
    <x v="1"/>
    <x v="2"/>
    <x v="1"/>
    <x v="1"/>
    <x v="1"/>
    <x v="1"/>
    <s v="Friday"/>
    <n v="14"/>
    <n v="0.88"/>
    <n v="88"/>
    <x v="0"/>
  </r>
  <r>
    <n v="1812"/>
    <s v="430 Cedar St, CityC"/>
    <x v="89"/>
    <x v="0"/>
    <x v="99"/>
    <x v="1"/>
    <x v="1"/>
    <n v="211"/>
    <n v="23"/>
    <x v="2"/>
    <x v="1"/>
    <x v="2"/>
    <x v="2"/>
    <x v="2"/>
    <x v="3"/>
    <s v="Thursday"/>
    <n v="12"/>
    <n v="0.90170940170940173"/>
    <n v="90.17094017094017"/>
    <x v="0"/>
  </r>
  <r>
    <n v="1813"/>
    <s v="307 Main St, CityB"/>
    <x v="739"/>
    <x v="0"/>
    <x v="77"/>
    <x v="1"/>
    <x v="4"/>
    <n v="128"/>
    <n v="0"/>
    <x v="2"/>
    <x v="4"/>
    <x v="1"/>
    <x v="0"/>
    <x v="2"/>
    <x v="0"/>
    <s v="Monday"/>
    <n v="10"/>
    <n v="1"/>
    <n v="100"/>
    <x v="1"/>
  </r>
  <r>
    <n v="1814"/>
    <s v="167 Cedar St, CityD"/>
    <x v="402"/>
    <x v="1"/>
    <x v="71"/>
    <x v="0"/>
    <x v="4"/>
    <n v="238"/>
    <n v="27"/>
    <x v="2"/>
    <x v="4"/>
    <x v="1"/>
    <x v="0"/>
    <x v="2"/>
    <x v="2"/>
    <s v="Sunday"/>
    <n v="10"/>
    <n v="0.89811320754716983"/>
    <n v="89.811320754716988"/>
    <x v="0"/>
  </r>
  <r>
    <n v="1815"/>
    <s v="972 Main St, CityC"/>
    <x v="740"/>
    <x v="0"/>
    <x v="14"/>
    <x v="2"/>
    <x v="2"/>
    <n v="205"/>
    <n v="5"/>
    <x v="1"/>
    <x v="4"/>
    <x v="2"/>
    <x v="2"/>
    <x v="1"/>
    <x v="3"/>
    <s v="Thursday"/>
    <n v="14"/>
    <n v="0.97619047619047616"/>
    <n v="97.61904761904762"/>
    <x v="0"/>
  </r>
  <r>
    <n v="1816"/>
    <s v="949 Main St, CityD"/>
    <x v="340"/>
    <x v="0"/>
    <x v="72"/>
    <x v="2"/>
    <x v="3"/>
    <n v="68"/>
    <n v="21"/>
    <x v="2"/>
    <x v="4"/>
    <x v="1"/>
    <x v="0"/>
    <x v="2"/>
    <x v="7"/>
    <s v="Tuesday"/>
    <n v="9"/>
    <n v="0.7640449438202247"/>
    <n v="76.404494382022463"/>
    <x v="0"/>
  </r>
  <r>
    <n v="1817"/>
    <s v="416 Pine St, CityB"/>
    <x v="741"/>
    <x v="1"/>
    <x v="89"/>
    <x v="2"/>
    <x v="2"/>
    <n v="159"/>
    <n v="1"/>
    <x v="1"/>
    <x v="3"/>
    <x v="1"/>
    <x v="2"/>
    <x v="1"/>
    <x v="0"/>
    <s v="Monday"/>
    <n v="10"/>
    <n v="0.99375000000000002"/>
    <n v="99.375"/>
    <x v="0"/>
  </r>
  <r>
    <n v="1818"/>
    <s v="425 Pine St, CityA"/>
    <x v="675"/>
    <x v="0"/>
    <x v="64"/>
    <x v="1"/>
    <x v="0"/>
    <n v="182"/>
    <n v="25"/>
    <x v="1"/>
    <x v="2"/>
    <x v="2"/>
    <x v="1"/>
    <x v="1"/>
    <x v="2"/>
    <s v="Sunday"/>
    <n v="14"/>
    <n v="0.87922705314009664"/>
    <n v="87.922705314009661"/>
    <x v="0"/>
  </r>
  <r>
    <n v="1819"/>
    <s v="342 Oak St, CityA"/>
    <x v="126"/>
    <x v="1"/>
    <x v="94"/>
    <x v="2"/>
    <x v="0"/>
    <n v="162"/>
    <n v="27"/>
    <x v="0"/>
    <x v="0"/>
    <x v="0"/>
    <x v="1"/>
    <x v="0"/>
    <x v="4"/>
    <s v="Wednesday"/>
    <n v="13"/>
    <n v="0.8571428571428571"/>
    <n v="85.714285714285708"/>
    <x v="0"/>
  </r>
  <r>
    <n v="1820"/>
    <s v="316 Elm St, CityD"/>
    <x v="742"/>
    <x v="0"/>
    <x v="63"/>
    <x v="0"/>
    <x v="4"/>
    <n v="136"/>
    <n v="22"/>
    <x v="2"/>
    <x v="0"/>
    <x v="2"/>
    <x v="2"/>
    <x v="2"/>
    <x v="2"/>
    <s v="Sunday"/>
    <n v="12"/>
    <n v="0.86075949367088611"/>
    <n v="86.075949367088612"/>
    <x v="0"/>
  </r>
  <r>
    <n v="1821"/>
    <s v="901 Pine St, CityD"/>
    <x v="718"/>
    <x v="1"/>
    <x v="45"/>
    <x v="0"/>
    <x v="4"/>
    <n v="142"/>
    <n v="2"/>
    <x v="0"/>
    <x v="3"/>
    <x v="0"/>
    <x v="0"/>
    <x v="0"/>
    <x v="1"/>
    <s v="Friday"/>
    <n v="9"/>
    <n v="0.98611111111111116"/>
    <n v="98.611111111111114"/>
    <x v="0"/>
  </r>
  <r>
    <n v="1822"/>
    <s v="603 Elm St, CityD"/>
    <x v="743"/>
    <x v="1"/>
    <x v="18"/>
    <x v="0"/>
    <x v="1"/>
    <n v="113"/>
    <n v="8"/>
    <x v="1"/>
    <x v="0"/>
    <x v="1"/>
    <x v="1"/>
    <x v="1"/>
    <x v="6"/>
    <s v="Friday"/>
    <n v="16"/>
    <n v="0.93388429752066116"/>
    <n v="93.388429752066116"/>
    <x v="0"/>
  </r>
  <r>
    <n v="1823"/>
    <s v="441 Elm St, CityC"/>
    <x v="744"/>
    <x v="1"/>
    <x v="69"/>
    <x v="0"/>
    <x v="2"/>
    <n v="231"/>
    <n v="9"/>
    <x v="2"/>
    <x v="1"/>
    <x v="0"/>
    <x v="0"/>
    <x v="2"/>
    <x v="3"/>
    <s v="Thursday"/>
    <n v="9"/>
    <n v="0.96250000000000002"/>
    <n v="96.25"/>
    <x v="0"/>
  </r>
  <r>
    <n v="1824"/>
    <s v="250 Cedar St, CityB"/>
    <x v="16"/>
    <x v="0"/>
    <x v="99"/>
    <x v="0"/>
    <x v="2"/>
    <n v="203"/>
    <n v="10"/>
    <x v="1"/>
    <x v="1"/>
    <x v="1"/>
    <x v="1"/>
    <x v="1"/>
    <x v="0"/>
    <s v="Monday"/>
    <n v="10"/>
    <n v="0.95305164319248825"/>
    <n v="95.305164319248831"/>
    <x v="0"/>
  </r>
  <r>
    <n v="1825"/>
    <s v="345 Elm St, CityE"/>
    <x v="745"/>
    <x v="1"/>
    <x v="89"/>
    <x v="2"/>
    <x v="2"/>
    <n v="239"/>
    <n v="24"/>
    <x v="0"/>
    <x v="1"/>
    <x v="0"/>
    <x v="0"/>
    <x v="0"/>
    <x v="5"/>
    <s v="Saturday"/>
    <n v="12"/>
    <n v="0.90874524714828897"/>
    <n v="90.874524714828894"/>
    <x v="0"/>
  </r>
  <r>
    <n v="1826"/>
    <s v="335 Cedar St, CityD"/>
    <x v="746"/>
    <x v="1"/>
    <x v="1"/>
    <x v="2"/>
    <x v="4"/>
    <n v="74"/>
    <n v="22"/>
    <x v="2"/>
    <x v="4"/>
    <x v="0"/>
    <x v="1"/>
    <x v="2"/>
    <x v="0"/>
    <s v="Monday"/>
    <n v="14"/>
    <n v="0.77083333333333337"/>
    <n v="77.083333333333343"/>
    <x v="0"/>
  </r>
  <r>
    <n v="1827"/>
    <s v="874 Main St, CityA"/>
    <x v="747"/>
    <x v="0"/>
    <x v="7"/>
    <x v="1"/>
    <x v="1"/>
    <n v="238"/>
    <n v="4"/>
    <x v="0"/>
    <x v="0"/>
    <x v="2"/>
    <x v="1"/>
    <x v="0"/>
    <x v="4"/>
    <s v="Wednesday"/>
    <n v="11"/>
    <n v="0.98347107438016534"/>
    <n v="98.347107438016536"/>
    <x v="0"/>
  </r>
  <r>
    <n v="1828"/>
    <s v="85 Main St, CityA"/>
    <x v="748"/>
    <x v="0"/>
    <x v="33"/>
    <x v="1"/>
    <x v="2"/>
    <n v="68"/>
    <n v="4"/>
    <x v="2"/>
    <x v="4"/>
    <x v="2"/>
    <x v="0"/>
    <x v="2"/>
    <x v="2"/>
    <s v="Sunday"/>
    <n v="11"/>
    <n v="0.94444444444444442"/>
    <n v="94.444444444444443"/>
    <x v="0"/>
  </r>
  <r>
    <n v="1829"/>
    <s v="154 Cedar St, CityD"/>
    <x v="749"/>
    <x v="0"/>
    <x v="31"/>
    <x v="0"/>
    <x v="2"/>
    <n v="131"/>
    <n v="3"/>
    <x v="0"/>
    <x v="1"/>
    <x v="2"/>
    <x v="0"/>
    <x v="0"/>
    <x v="2"/>
    <s v="Sunday"/>
    <n v="12"/>
    <n v="0.97761194029850751"/>
    <n v="97.761194029850756"/>
    <x v="0"/>
  </r>
  <r>
    <n v="1830"/>
    <s v="505 Main St, CityB"/>
    <x v="750"/>
    <x v="1"/>
    <x v="87"/>
    <x v="0"/>
    <x v="1"/>
    <n v="80"/>
    <n v="8"/>
    <x v="0"/>
    <x v="2"/>
    <x v="1"/>
    <x v="0"/>
    <x v="0"/>
    <x v="1"/>
    <s v="Friday"/>
    <n v="13"/>
    <n v="0.90909090909090906"/>
    <n v="90.909090909090907"/>
    <x v="0"/>
  </r>
  <r>
    <n v="1831"/>
    <s v="53 Main St, CityD"/>
    <x v="751"/>
    <x v="1"/>
    <x v="35"/>
    <x v="1"/>
    <x v="0"/>
    <n v="177"/>
    <n v="23"/>
    <x v="1"/>
    <x v="3"/>
    <x v="0"/>
    <x v="0"/>
    <x v="1"/>
    <x v="0"/>
    <s v="Monday"/>
    <n v="13"/>
    <n v="0.88500000000000001"/>
    <n v="88.5"/>
    <x v="0"/>
  </r>
  <r>
    <n v="1832"/>
    <s v="182 Main St, CityB"/>
    <x v="752"/>
    <x v="0"/>
    <x v="43"/>
    <x v="0"/>
    <x v="4"/>
    <n v="171"/>
    <n v="28"/>
    <x v="1"/>
    <x v="1"/>
    <x v="2"/>
    <x v="0"/>
    <x v="1"/>
    <x v="7"/>
    <s v="Tuesday"/>
    <n v="11"/>
    <n v="0.85929648241206025"/>
    <n v="85.929648241206024"/>
    <x v="0"/>
  </r>
  <r>
    <n v="1833"/>
    <s v="299 Oak St, CityC"/>
    <x v="753"/>
    <x v="0"/>
    <x v="58"/>
    <x v="1"/>
    <x v="4"/>
    <n v="219"/>
    <n v="1"/>
    <x v="2"/>
    <x v="0"/>
    <x v="1"/>
    <x v="1"/>
    <x v="2"/>
    <x v="1"/>
    <s v="Friday"/>
    <n v="11"/>
    <n v="0.99545454545454548"/>
    <n v="99.545454545454547"/>
    <x v="0"/>
  </r>
  <r>
    <n v="1834"/>
    <s v="683 Cedar St, CityA"/>
    <x v="754"/>
    <x v="1"/>
    <x v="94"/>
    <x v="2"/>
    <x v="4"/>
    <n v="61"/>
    <n v="16"/>
    <x v="0"/>
    <x v="3"/>
    <x v="2"/>
    <x v="0"/>
    <x v="0"/>
    <x v="5"/>
    <s v="Saturday"/>
    <n v="11"/>
    <n v="0.79220779220779225"/>
    <n v="79.220779220779221"/>
    <x v="0"/>
  </r>
  <r>
    <n v="1835"/>
    <s v="42 Elm St, CityC"/>
    <x v="755"/>
    <x v="0"/>
    <x v="45"/>
    <x v="2"/>
    <x v="2"/>
    <n v="195"/>
    <n v="13"/>
    <x v="1"/>
    <x v="1"/>
    <x v="2"/>
    <x v="1"/>
    <x v="1"/>
    <x v="6"/>
    <s v="Friday"/>
    <n v="13"/>
    <n v="0.9375"/>
    <n v="93.75"/>
    <x v="0"/>
  </r>
  <r>
    <n v="1836"/>
    <s v="339 Main St, CityA"/>
    <x v="756"/>
    <x v="1"/>
    <x v="97"/>
    <x v="0"/>
    <x v="2"/>
    <n v="70"/>
    <n v="21"/>
    <x v="0"/>
    <x v="0"/>
    <x v="2"/>
    <x v="0"/>
    <x v="0"/>
    <x v="4"/>
    <s v="Wednesday"/>
    <n v="14"/>
    <n v="0.76923076923076927"/>
    <n v="76.923076923076934"/>
    <x v="0"/>
  </r>
  <r>
    <n v="1837"/>
    <s v="597 Main St, CityA"/>
    <x v="540"/>
    <x v="0"/>
    <x v="51"/>
    <x v="1"/>
    <x v="2"/>
    <n v="114"/>
    <n v="17"/>
    <x v="1"/>
    <x v="0"/>
    <x v="2"/>
    <x v="1"/>
    <x v="1"/>
    <x v="6"/>
    <s v="Friday"/>
    <n v="12"/>
    <n v="0.87022900763358779"/>
    <n v="87.022900763358777"/>
    <x v="0"/>
  </r>
  <r>
    <n v="1838"/>
    <s v="630 Main St, CityB"/>
    <x v="594"/>
    <x v="1"/>
    <x v="27"/>
    <x v="1"/>
    <x v="0"/>
    <n v="206"/>
    <n v="20"/>
    <x v="2"/>
    <x v="1"/>
    <x v="2"/>
    <x v="2"/>
    <x v="2"/>
    <x v="7"/>
    <s v="Tuesday"/>
    <n v="14"/>
    <n v="0.91150442477876104"/>
    <n v="91.150442477876098"/>
    <x v="0"/>
  </r>
  <r>
    <n v="1839"/>
    <s v="809 Elm St, CityD"/>
    <x v="670"/>
    <x v="0"/>
    <x v="82"/>
    <x v="1"/>
    <x v="3"/>
    <n v="140"/>
    <n v="18"/>
    <x v="1"/>
    <x v="4"/>
    <x v="2"/>
    <x v="0"/>
    <x v="1"/>
    <x v="6"/>
    <s v="Friday"/>
    <n v="15"/>
    <n v="0.88607594936708856"/>
    <n v="88.60759493670885"/>
    <x v="0"/>
  </r>
  <r>
    <n v="1840"/>
    <s v="844 Pine St, CityA"/>
    <x v="757"/>
    <x v="0"/>
    <x v="6"/>
    <x v="0"/>
    <x v="1"/>
    <n v="134"/>
    <n v="5"/>
    <x v="2"/>
    <x v="3"/>
    <x v="0"/>
    <x v="2"/>
    <x v="2"/>
    <x v="7"/>
    <s v="Tuesday"/>
    <n v="14"/>
    <n v="0.96402877697841727"/>
    <n v="96.402877697841731"/>
    <x v="0"/>
  </r>
  <r>
    <n v="1841"/>
    <s v="274 Cedar St, CityC"/>
    <x v="758"/>
    <x v="0"/>
    <x v="83"/>
    <x v="1"/>
    <x v="0"/>
    <n v="124"/>
    <n v="23"/>
    <x v="0"/>
    <x v="4"/>
    <x v="0"/>
    <x v="0"/>
    <x v="0"/>
    <x v="4"/>
    <s v="Wednesday"/>
    <n v="13"/>
    <n v="0.84353741496598644"/>
    <n v="84.353741496598644"/>
    <x v="0"/>
  </r>
  <r>
    <n v="1842"/>
    <s v="631 Cedar St, CityA"/>
    <x v="759"/>
    <x v="0"/>
    <x v="51"/>
    <x v="0"/>
    <x v="1"/>
    <n v="121"/>
    <n v="4"/>
    <x v="0"/>
    <x v="4"/>
    <x v="2"/>
    <x v="2"/>
    <x v="0"/>
    <x v="4"/>
    <s v="Wednesday"/>
    <n v="11"/>
    <n v="0.96799999999999997"/>
    <n v="96.8"/>
    <x v="0"/>
  </r>
  <r>
    <n v="1843"/>
    <s v="852 Cedar St, CityC"/>
    <x v="760"/>
    <x v="0"/>
    <x v="33"/>
    <x v="0"/>
    <x v="0"/>
    <n v="131"/>
    <n v="22"/>
    <x v="1"/>
    <x v="4"/>
    <x v="1"/>
    <x v="2"/>
    <x v="1"/>
    <x v="7"/>
    <s v="Tuesday"/>
    <n v="15"/>
    <n v="0.85620915032679734"/>
    <n v="85.620915032679733"/>
    <x v="0"/>
  </r>
  <r>
    <n v="1844"/>
    <s v="142 Main St, CityD"/>
    <x v="761"/>
    <x v="0"/>
    <x v="78"/>
    <x v="0"/>
    <x v="2"/>
    <n v="95"/>
    <n v="4"/>
    <x v="1"/>
    <x v="3"/>
    <x v="2"/>
    <x v="1"/>
    <x v="1"/>
    <x v="3"/>
    <s v="Thursday"/>
    <n v="14"/>
    <n v="0.95959595959595956"/>
    <n v="95.959595959595958"/>
    <x v="0"/>
  </r>
  <r>
    <n v="1845"/>
    <s v="621 Oak St, CityB"/>
    <x v="762"/>
    <x v="0"/>
    <x v="8"/>
    <x v="0"/>
    <x v="0"/>
    <n v="109"/>
    <n v="21"/>
    <x v="0"/>
    <x v="2"/>
    <x v="2"/>
    <x v="1"/>
    <x v="0"/>
    <x v="0"/>
    <s v="Monday"/>
    <n v="9"/>
    <n v="0.83846153846153848"/>
    <n v="83.846153846153854"/>
    <x v="0"/>
  </r>
  <r>
    <n v="1846"/>
    <s v="659 Cedar St, CityA"/>
    <x v="429"/>
    <x v="1"/>
    <x v="77"/>
    <x v="0"/>
    <x v="0"/>
    <n v="168"/>
    <n v="12"/>
    <x v="1"/>
    <x v="4"/>
    <x v="0"/>
    <x v="2"/>
    <x v="1"/>
    <x v="5"/>
    <s v="Saturday"/>
    <n v="12"/>
    <n v="0.93333333333333335"/>
    <n v="93.333333333333329"/>
    <x v="0"/>
  </r>
  <r>
    <n v="1847"/>
    <s v="509 Cedar St, CityB"/>
    <x v="611"/>
    <x v="0"/>
    <x v="34"/>
    <x v="2"/>
    <x v="2"/>
    <n v="187"/>
    <n v="28"/>
    <x v="2"/>
    <x v="2"/>
    <x v="0"/>
    <x v="0"/>
    <x v="2"/>
    <x v="7"/>
    <s v="Tuesday"/>
    <n v="10"/>
    <n v="0.86976744186046506"/>
    <n v="86.976744186046503"/>
    <x v="0"/>
  </r>
  <r>
    <n v="1848"/>
    <s v="706 Oak St, CityA"/>
    <x v="501"/>
    <x v="1"/>
    <x v="78"/>
    <x v="2"/>
    <x v="3"/>
    <n v="188"/>
    <n v="8"/>
    <x v="0"/>
    <x v="0"/>
    <x v="2"/>
    <x v="0"/>
    <x v="0"/>
    <x v="1"/>
    <s v="Friday"/>
    <n v="13"/>
    <n v="0.95918367346938771"/>
    <n v="95.918367346938766"/>
    <x v="0"/>
  </r>
  <r>
    <n v="1849"/>
    <s v="403 Oak St, CityB"/>
    <x v="763"/>
    <x v="1"/>
    <x v="7"/>
    <x v="1"/>
    <x v="4"/>
    <n v="168"/>
    <n v="27"/>
    <x v="0"/>
    <x v="4"/>
    <x v="2"/>
    <x v="0"/>
    <x v="0"/>
    <x v="7"/>
    <s v="Tuesday"/>
    <n v="13"/>
    <n v="0.86153846153846159"/>
    <n v="86.15384615384616"/>
    <x v="0"/>
  </r>
  <r>
    <n v="1850"/>
    <s v="712 Pine St, CityD"/>
    <x v="764"/>
    <x v="0"/>
    <x v="14"/>
    <x v="2"/>
    <x v="0"/>
    <n v="199"/>
    <n v="27"/>
    <x v="0"/>
    <x v="2"/>
    <x v="2"/>
    <x v="0"/>
    <x v="0"/>
    <x v="4"/>
    <s v="Wednesday"/>
    <n v="16"/>
    <n v="0.88053097345132747"/>
    <n v="88.053097345132741"/>
    <x v="0"/>
  </r>
  <r>
    <n v="1851"/>
    <s v="368 Cedar St, CityC"/>
    <x v="765"/>
    <x v="1"/>
    <x v="44"/>
    <x v="2"/>
    <x v="3"/>
    <n v="129"/>
    <n v="17"/>
    <x v="2"/>
    <x v="1"/>
    <x v="2"/>
    <x v="0"/>
    <x v="2"/>
    <x v="3"/>
    <s v="Thursday"/>
    <n v="10"/>
    <n v="0.88356164383561642"/>
    <n v="88.356164383561648"/>
    <x v="0"/>
  </r>
  <r>
    <n v="1852"/>
    <s v="301 Pine St, CityD"/>
    <x v="766"/>
    <x v="0"/>
    <x v="80"/>
    <x v="2"/>
    <x v="0"/>
    <n v="213"/>
    <n v="27"/>
    <x v="0"/>
    <x v="3"/>
    <x v="2"/>
    <x v="2"/>
    <x v="0"/>
    <x v="4"/>
    <s v="Wednesday"/>
    <n v="10"/>
    <n v="0.88749999999999996"/>
    <n v="88.75"/>
    <x v="0"/>
  </r>
  <r>
    <n v="1853"/>
    <s v="827 Elm St, CityC"/>
    <x v="767"/>
    <x v="0"/>
    <x v="5"/>
    <x v="0"/>
    <x v="1"/>
    <n v="111"/>
    <n v="4"/>
    <x v="2"/>
    <x v="0"/>
    <x v="0"/>
    <x v="1"/>
    <x v="2"/>
    <x v="7"/>
    <s v="Tuesday"/>
    <n v="14"/>
    <n v="0.9652173913043478"/>
    <n v="96.521739130434781"/>
    <x v="0"/>
  </r>
  <r>
    <n v="1854"/>
    <s v="683 Oak St, CityB"/>
    <x v="768"/>
    <x v="1"/>
    <x v="82"/>
    <x v="0"/>
    <x v="2"/>
    <n v="173"/>
    <n v="29"/>
    <x v="0"/>
    <x v="1"/>
    <x v="1"/>
    <x v="1"/>
    <x v="0"/>
    <x v="5"/>
    <s v="Saturday"/>
    <n v="15"/>
    <n v="0.85643564356435642"/>
    <n v="85.643564356435647"/>
    <x v="0"/>
  </r>
  <r>
    <n v="1855"/>
    <s v="247 Pine St, CityB"/>
    <x v="769"/>
    <x v="0"/>
    <x v="28"/>
    <x v="2"/>
    <x v="2"/>
    <n v="155"/>
    <n v="20"/>
    <x v="1"/>
    <x v="4"/>
    <x v="0"/>
    <x v="1"/>
    <x v="1"/>
    <x v="6"/>
    <s v="Friday"/>
    <n v="11"/>
    <n v="0.88571428571428568"/>
    <n v="88.571428571428569"/>
    <x v="0"/>
  </r>
  <r>
    <n v="1856"/>
    <s v="721 Elm St, CityA"/>
    <x v="770"/>
    <x v="1"/>
    <x v="32"/>
    <x v="1"/>
    <x v="4"/>
    <n v="122"/>
    <n v="5"/>
    <x v="2"/>
    <x v="4"/>
    <x v="1"/>
    <x v="1"/>
    <x v="2"/>
    <x v="0"/>
    <s v="Monday"/>
    <n v="12"/>
    <n v="0.96062992125984248"/>
    <n v="96.062992125984252"/>
    <x v="0"/>
  </r>
  <r>
    <n v="1857"/>
    <s v="82 Main St, CityE"/>
    <x v="771"/>
    <x v="0"/>
    <x v="75"/>
    <x v="1"/>
    <x v="0"/>
    <n v="141"/>
    <n v="7"/>
    <x v="2"/>
    <x v="2"/>
    <x v="2"/>
    <x v="0"/>
    <x v="2"/>
    <x v="5"/>
    <s v="Saturday"/>
    <n v="13"/>
    <n v="0.95270270270270274"/>
    <n v="95.270270270270274"/>
    <x v="0"/>
  </r>
  <r>
    <n v="1858"/>
    <s v="897 Main St, CityB"/>
    <x v="772"/>
    <x v="0"/>
    <x v="1"/>
    <x v="1"/>
    <x v="2"/>
    <n v="153"/>
    <n v="20"/>
    <x v="1"/>
    <x v="0"/>
    <x v="1"/>
    <x v="0"/>
    <x v="1"/>
    <x v="3"/>
    <s v="Thursday"/>
    <n v="12"/>
    <n v="0.88439306358381498"/>
    <n v="88.439306358381501"/>
    <x v="0"/>
  </r>
  <r>
    <n v="1859"/>
    <s v="111 Pine St, CityB"/>
    <x v="773"/>
    <x v="1"/>
    <x v="23"/>
    <x v="2"/>
    <x v="4"/>
    <n v="215"/>
    <n v="13"/>
    <x v="0"/>
    <x v="1"/>
    <x v="0"/>
    <x v="1"/>
    <x v="0"/>
    <x v="7"/>
    <s v="Tuesday"/>
    <n v="9"/>
    <n v="0.94298245614035092"/>
    <n v="94.298245614035096"/>
    <x v="0"/>
  </r>
  <r>
    <n v="1860"/>
    <s v="153 Main St, CityC"/>
    <x v="774"/>
    <x v="0"/>
    <x v="24"/>
    <x v="1"/>
    <x v="3"/>
    <n v="222"/>
    <n v="22"/>
    <x v="1"/>
    <x v="4"/>
    <x v="1"/>
    <x v="2"/>
    <x v="1"/>
    <x v="7"/>
    <s v="Tuesday"/>
    <n v="8"/>
    <n v="0.9098360655737705"/>
    <n v="90.983606557377044"/>
    <x v="0"/>
  </r>
  <r>
    <n v="1861"/>
    <s v="789 Oak St, CityC"/>
    <x v="775"/>
    <x v="1"/>
    <x v="99"/>
    <x v="2"/>
    <x v="4"/>
    <n v="127"/>
    <n v="7"/>
    <x v="1"/>
    <x v="2"/>
    <x v="2"/>
    <x v="2"/>
    <x v="1"/>
    <x v="0"/>
    <s v="Monday"/>
    <n v="16"/>
    <n v="0.94776119402985071"/>
    <n v="94.776119402985074"/>
    <x v="0"/>
  </r>
  <r>
    <n v="1862"/>
    <s v="594 Elm St, CityD"/>
    <x v="776"/>
    <x v="0"/>
    <x v="30"/>
    <x v="0"/>
    <x v="0"/>
    <n v="128"/>
    <n v="22"/>
    <x v="2"/>
    <x v="4"/>
    <x v="0"/>
    <x v="2"/>
    <x v="2"/>
    <x v="2"/>
    <s v="Sunday"/>
    <n v="11"/>
    <n v="0.85333333333333339"/>
    <n v="85.333333333333343"/>
    <x v="0"/>
  </r>
  <r>
    <n v="1863"/>
    <s v="446 Pine St, CityA"/>
    <x v="777"/>
    <x v="0"/>
    <x v="70"/>
    <x v="2"/>
    <x v="0"/>
    <n v="108"/>
    <n v="12"/>
    <x v="2"/>
    <x v="4"/>
    <x v="1"/>
    <x v="1"/>
    <x v="2"/>
    <x v="5"/>
    <s v="Saturday"/>
    <n v="14"/>
    <n v="0.9"/>
    <n v="90"/>
    <x v="0"/>
  </r>
  <r>
    <n v="1864"/>
    <s v="953 Cedar St, CityE"/>
    <x v="778"/>
    <x v="0"/>
    <x v="10"/>
    <x v="2"/>
    <x v="0"/>
    <n v="96"/>
    <n v="28"/>
    <x v="2"/>
    <x v="0"/>
    <x v="1"/>
    <x v="0"/>
    <x v="2"/>
    <x v="4"/>
    <s v="Wednesday"/>
    <n v="12"/>
    <n v="0.77419354838709675"/>
    <n v="77.41935483870968"/>
    <x v="0"/>
  </r>
  <r>
    <n v="1865"/>
    <s v="310 Elm St, CityD"/>
    <x v="779"/>
    <x v="1"/>
    <x v="98"/>
    <x v="1"/>
    <x v="2"/>
    <n v="119"/>
    <n v="26"/>
    <x v="0"/>
    <x v="2"/>
    <x v="2"/>
    <x v="0"/>
    <x v="0"/>
    <x v="1"/>
    <s v="Friday"/>
    <n v="12"/>
    <n v="0.82068965517241377"/>
    <n v="82.068965517241381"/>
    <x v="0"/>
  </r>
  <r>
    <n v="1866"/>
    <s v="672 Main St, CityC"/>
    <x v="780"/>
    <x v="1"/>
    <x v="58"/>
    <x v="2"/>
    <x v="2"/>
    <n v="157"/>
    <n v="6"/>
    <x v="1"/>
    <x v="4"/>
    <x v="2"/>
    <x v="1"/>
    <x v="1"/>
    <x v="3"/>
    <s v="Thursday"/>
    <n v="15"/>
    <n v="0.96319018404907975"/>
    <n v="96.319018404907979"/>
    <x v="0"/>
  </r>
  <r>
    <n v="1867"/>
    <s v="161 Pine St, CityB"/>
    <x v="140"/>
    <x v="1"/>
    <x v="77"/>
    <x v="2"/>
    <x v="1"/>
    <n v="186"/>
    <n v="15"/>
    <x v="0"/>
    <x v="2"/>
    <x v="0"/>
    <x v="2"/>
    <x v="0"/>
    <x v="6"/>
    <s v="Friday"/>
    <n v="11"/>
    <n v="0.92537313432835822"/>
    <n v="92.537313432835816"/>
    <x v="0"/>
  </r>
  <r>
    <n v="1868"/>
    <s v="354 Main St, CityA"/>
    <x v="781"/>
    <x v="1"/>
    <x v="71"/>
    <x v="1"/>
    <x v="3"/>
    <n v="115"/>
    <n v="7"/>
    <x v="1"/>
    <x v="0"/>
    <x v="2"/>
    <x v="2"/>
    <x v="1"/>
    <x v="1"/>
    <s v="Friday"/>
    <n v="11"/>
    <n v="0.94262295081967218"/>
    <n v="94.262295081967224"/>
    <x v="0"/>
  </r>
  <r>
    <n v="1869"/>
    <s v="33 Oak St, CityD"/>
    <x v="782"/>
    <x v="0"/>
    <x v="63"/>
    <x v="2"/>
    <x v="3"/>
    <n v="146"/>
    <n v="8"/>
    <x v="1"/>
    <x v="4"/>
    <x v="1"/>
    <x v="1"/>
    <x v="1"/>
    <x v="5"/>
    <s v="Saturday"/>
    <n v="8"/>
    <n v="0.94805194805194803"/>
    <n v="94.805194805194802"/>
    <x v="0"/>
  </r>
  <r>
    <n v="1870"/>
    <s v="192 Pine St, CityD"/>
    <x v="783"/>
    <x v="1"/>
    <x v="29"/>
    <x v="1"/>
    <x v="1"/>
    <n v="119"/>
    <n v="4"/>
    <x v="0"/>
    <x v="0"/>
    <x v="0"/>
    <x v="1"/>
    <x v="0"/>
    <x v="4"/>
    <s v="Wednesday"/>
    <n v="15"/>
    <n v="0.96747967479674801"/>
    <n v="96.747967479674799"/>
    <x v="0"/>
  </r>
  <r>
    <n v="1871"/>
    <s v="675 Pine St, CityC"/>
    <x v="481"/>
    <x v="1"/>
    <x v="83"/>
    <x v="1"/>
    <x v="3"/>
    <n v="202"/>
    <n v="16"/>
    <x v="2"/>
    <x v="1"/>
    <x v="2"/>
    <x v="2"/>
    <x v="2"/>
    <x v="5"/>
    <s v="Saturday"/>
    <n v="10"/>
    <n v="0.92660550458715596"/>
    <n v="92.660550458715591"/>
    <x v="0"/>
  </r>
  <r>
    <n v="1872"/>
    <s v="461 Elm St, CityC"/>
    <x v="220"/>
    <x v="1"/>
    <x v="78"/>
    <x v="0"/>
    <x v="0"/>
    <n v="184"/>
    <n v="16"/>
    <x v="2"/>
    <x v="1"/>
    <x v="0"/>
    <x v="2"/>
    <x v="2"/>
    <x v="6"/>
    <s v="Friday"/>
    <n v="9"/>
    <n v="0.92"/>
    <n v="92"/>
    <x v="0"/>
  </r>
  <r>
    <n v="1873"/>
    <s v="764 Pine St, CityC"/>
    <x v="784"/>
    <x v="1"/>
    <x v="41"/>
    <x v="2"/>
    <x v="4"/>
    <n v="125"/>
    <n v="21"/>
    <x v="0"/>
    <x v="0"/>
    <x v="0"/>
    <x v="0"/>
    <x v="0"/>
    <x v="7"/>
    <s v="Tuesday"/>
    <n v="9"/>
    <n v="0.85616438356164382"/>
    <n v="85.61643835616438"/>
    <x v="0"/>
  </r>
  <r>
    <n v="1874"/>
    <s v="982 Cedar St, CityB"/>
    <x v="785"/>
    <x v="1"/>
    <x v="95"/>
    <x v="1"/>
    <x v="4"/>
    <n v="227"/>
    <n v="28"/>
    <x v="1"/>
    <x v="1"/>
    <x v="2"/>
    <x v="0"/>
    <x v="1"/>
    <x v="0"/>
    <s v="Monday"/>
    <n v="13"/>
    <n v="0.8901960784313725"/>
    <n v="89.019607843137251"/>
    <x v="0"/>
  </r>
  <r>
    <n v="1875"/>
    <s v="8 Elm St, CityC"/>
    <x v="15"/>
    <x v="1"/>
    <x v="33"/>
    <x v="2"/>
    <x v="1"/>
    <n v="188"/>
    <n v="8"/>
    <x v="1"/>
    <x v="2"/>
    <x v="0"/>
    <x v="2"/>
    <x v="1"/>
    <x v="7"/>
    <s v="Tuesday"/>
    <n v="13"/>
    <n v="0.95918367346938771"/>
    <n v="95.918367346938766"/>
    <x v="0"/>
  </r>
  <r>
    <n v="1876"/>
    <s v="426 Main St, CityD"/>
    <x v="786"/>
    <x v="1"/>
    <x v="70"/>
    <x v="1"/>
    <x v="2"/>
    <n v="192"/>
    <n v="15"/>
    <x v="0"/>
    <x v="4"/>
    <x v="2"/>
    <x v="1"/>
    <x v="0"/>
    <x v="6"/>
    <s v="Friday"/>
    <n v="10"/>
    <n v="0.92753623188405798"/>
    <n v="92.753623188405797"/>
    <x v="0"/>
  </r>
  <r>
    <n v="1877"/>
    <s v="897 Oak St, CityB"/>
    <x v="574"/>
    <x v="1"/>
    <x v="69"/>
    <x v="1"/>
    <x v="1"/>
    <n v="219"/>
    <n v="12"/>
    <x v="0"/>
    <x v="2"/>
    <x v="1"/>
    <x v="1"/>
    <x v="0"/>
    <x v="6"/>
    <s v="Friday"/>
    <n v="12"/>
    <n v="0.94805194805194803"/>
    <n v="94.805194805194802"/>
    <x v="0"/>
  </r>
  <r>
    <n v="1878"/>
    <s v="44 Elm St, CityB"/>
    <x v="787"/>
    <x v="1"/>
    <x v="39"/>
    <x v="1"/>
    <x v="3"/>
    <n v="173"/>
    <n v="10"/>
    <x v="2"/>
    <x v="2"/>
    <x v="0"/>
    <x v="2"/>
    <x v="2"/>
    <x v="6"/>
    <s v="Friday"/>
    <n v="8"/>
    <n v="0.94535519125683065"/>
    <n v="94.535519125683066"/>
    <x v="0"/>
  </r>
  <r>
    <n v="1879"/>
    <s v="526 Cedar St, CityD"/>
    <x v="788"/>
    <x v="0"/>
    <x v="5"/>
    <x v="0"/>
    <x v="0"/>
    <n v="176"/>
    <n v="28"/>
    <x v="2"/>
    <x v="3"/>
    <x v="1"/>
    <x v="1"/>
    <x v="2"/>
    <x v="2"/>
    <s v="Sunday"/>
    <n v="11"/>
    <n v="0.86274509803921573"/>
    <n v="86.274509803921575"/>
    <x v="0"/>
  </r>
  <r>
    <n v="1880"/>
    <s v="981 Oak St, CityB"/>
    <x v="401"/>
    <x v="1"/>
    <x v="16"/>
    <x v="0"/>
    <x v="2"/>
    <n v="167"/>
    <n v="4"/>
    <x v="1"/>
    <x v="0"/>
    <x v="2"/>
    <x v="1"/>
    <x v="1"/>
    <x v="3"/>
    <s v="Thursday"/>
    <n v="8"/>
    <n v="0.97660818713450293"/>
    <n v="97.660818713450297"/>
    <x v="0"/>
  </r>
  <r>
    <n v="1881"/>
    <s v="739 Elm St, CityD"/>
    <x v="789"/>
    <x v="0"/>
    <x v="41"/>
    <x v="1"/>
    <x v="1"/>
    <n v="228"/>
    <n v="13"/>
    <x v="1"/>
    <x v="0"/>
    <x v="1"/>
    <x v="2"/>
    <x v="1"/>
    <x v="2"/>
    <s v="Sunday"/>
    <n v="13"/>
    <n v="0.94605809128630702"/>
    <n v="94.605809128630696"/>
    <x v="0"/>
  </r>
  <r>
    <n v="1882"/>
    <s v="40 Main St, CityC"/>
    <x v="790"/>
    <x v="1"/>
    <x v="9"/>
    <x v="0"/>
    <x v="0"/>
    <n v="228"/>
    <n v="13"/>
    <x v="0"/>
    <x v="0"/>
    <x v="1"/>
    <x v="1"/>
    <x v="0"/>
    <x v="6"/>
    <s v="Friday"/>
    <n v="11"/>
    <n v="0.94605809128630702"/>
    <n v="94.605809128630696"/>
    <x v="0"/>
  </r>
  <r>
    <n v="1883"/>
    <s v="729 Oak St, CityE"/>
    <x v="791"/>
    <x v="1"/>
    <x v="31"/>
    <x v="0"/>
    <x v="2"/>
    <n v="74"/>
    <n v="24"/>
    <x v="2"/>
    <x v="3"/>
    <x v="2"/>
    <x v="2"/>
    <x v="2"/>
    <x v="2"/>
    <s v="Sunday"/>
    <n v="15"/>
    <n v="0.75510204081632648"/>
    <n v="75.510204081632651"/>
    <x v="0"/>
  </r>
  <r>
    <n v="1884"/>
    <s v="382 Oak St, CityA"/>
    <x v="792"/>
    <x v="0"/>
    <x v="91"/>
    <x v="0"/>
    <x v="2"/>
    <n v="209"/>
    <n v="8"/>
    <x v="0"/>
    <x v="4"/>
    <x v="1"/>
    <x v="2"/>
    <x v="0"/>
    <x v="4"/>
    <s v="Wednesday"/>
    <n v="14"/>
    <n v="0.96313364055299544"/>
    <n v="96.313364055299544"/>
    <x v="0"/>
  </r>
  <r>
    <n v="1885"/>
    <s v="108 Pine St, CityE"/>
    <x v="793"/>
    <x v="1"/>
    <x v="2"/>
    <x v="2"/>
    <x v="1"/>
    <n v="232"/>
    <n v="29"/>
    <x v="0"/>
    <x v="0"/>
    <x v="0"/>
    <x v="0"/>
    <x v="0"/>
    <x v="0"/>
    <s v="Monday"/>
    <n v="14"/>
    <n v="0.88888888888888884"/>
    <n v="88.888888888888886"/>
    <x v="0"/>
  </r>
  <r>
    <n v="1886"/>
    <s v="207 Elm St, CityB"/>
    <x v="794"/>
    <x v="1"/>
    <x v="55"/>
    <x v="0"/>
    <x v="2"/>
    <n v="71"/>
    <n v="25"/>
    <x v="1"/>
    <x v="4"/>
    <x v="0"/>
    <x v="0"/>
    <x v="1"/>
    <x v="5"/>
    <s v="Saturday"/>
    <n v="15"/>
    <n v="0.73958333333333337"/>
    <n v="73.958333333333343"/>
    <x v="0"/>
  </r>
  <r>
    <n v="1887"/>
    <s v="341 Cedar St, CityC"/>
    <x v="795"/>
    <x v="0"/>
    <x v="51"/>
    <x v="1"/>
    <x v="2"/>
    <n v="123"/>
    <n v="19"/>
    <x v="1"/>
    <x v="0"/>
    <x v="1"/>
    <x v="2"/>
    <x v="1"/>
    <x v="1"/>
    <s v="Friday"/>
    <n v="12"/>
    <n v="0.86619718309859151"/>
    <n v="86.619718309859152"/>
    <x v="0"/>
  </r>
  <r>
    <n v="1888"/>
    <s v="544 Pine St, CityE"/>
    <x v="796"/>
    <x v="0"/>
    <x v="86"/>
    <x v="0"/>
    <x v="4"/>
    <n v="222"/>
    <n v="27"/>
    <x v="0"/>
    <x v="4"/>
    <x v="1"/>
    <x v="1"/>
    <x v="0"/>
    <x v="4"/>
    <s v="Wednesday"/>
    <n v="8"/>
    <n v="0.89156626506024095"/>
    <n v="89.156626506024097"/>
    <x v="0"/>
  </r>
  <r>
    <n v="1889"/>
    <s v="605 Cedar St, CityE"/>
    <x v="797"/>
    <x v="1"/>
    <x v="71"/>
    <x v="0"/>
    <x v="4"/>
    <n v="91"/>
    <n v="28"/>
    <x v="2"/>
    <x v="2"/>
    <x v="0"/>
    <x v="0"/>
    <x v="2"/>
    <x v="6"/>
    <s v="Friday"/>
    <n v="10"/>
    <n v="0.76470588235294112"/>
    <n v="76.470588235294116"/>
    <x v="0"/>
  </r>
  <r>
    <n v="1890"/>
    <s v="202 Pine St, CityA"/>
    <x v="798"/>
    <x v="0"/>
    <x v="47"/>
    <x v="2"/>
    <x v="1"/>
    <n v="180"/>
    <n v="7"/>
    <x v="1"/>
    <x v="2"/>
    <x v="0"/>
    <x v="2"/>
    <x v="1"/>
    <x v="1"/>
    <s v="Friday"/>
    <n v="16"/>
    <n v="0.96256684491978606"/>
    <n v="96.256684491978604"/>
    <x v="0"/>
  </r>
  <r>
    <n v="1891"/>
    <s v="466 Cedar St, CityE"/>
    <x v="653"/>
    <x v="0"/>
    <x v="89"/>
    <x v="0"/>
    <x v="1"/>
    <n v="232"/>
    <n v="23"/>
    <x v="2"/>
    <x v="3"/>
    <x v="0"/>
    <x v="1"/>
    <x v="2"/>
    <x v="1"/>
    <s v="Friday"/>
    <n v="13"/>
    <n v="0.90980392156862744"/>
    <n v="90.980392156862749"/>
    <x v="0"/>
  </r>
  <r>
    <n v="1892"/>
    <s v="298 Cedar St, CityD"/>
    <x v="799"/>
    <x v="0"/>
    <x v="0"/>
    <x v="2"/>
    <x v="2"/>
    <n v="64"/>
    <n v="18"/>
    <x v="2"/>
    <x v="3"/>
    <x v="0"/>
    <x v="0"/>
    <x v="2"/>
    <x v="2"/>
    <s v="Sunday"/>
    <n v="8"/>
    <n v="0.78048780487804881"/>
    <n v="78.048780487804876"/>
    <x v="0"/>
  </r>
  <r>
    <n v="1893"/>
    <s v="46 Oak St, CityC"/>
    <x v="524"/>
    <x v="0"/>
    <x v="38"/>
    <x v="1"/>
    <x v="4"/>
    <n v="164"/>
    <n v="10"/>
    <x v="0"/>
    <x v="3"/>
    <x v="1"/>
    <x v="1"/>
    <x v="0"/>
    <x v="2"/>
    <s v="Sunday"/>
    <n v="15"/>
    <n v="0.94252873563218387"/>
    <n v="94.252873563218387"/>
    <x v="0"/>
  </r>
  <r>
    <n v="1894"/>
    <s v="19 Pine St, CityE"/>
    <x v="800"/>
    <x v="1"/>
    <x v="88"/>
    <x v="2"/>
    <x v="0"/>
    <n v="107"/>
    <n v="7"/>
    <x v="0"/>
    <x v="1"/>
    <x v="2"/>
    <x v="2"/>
    <x v="0"/>
    <x v="7"/>
    <s v="Tuesday"/>
    <n v="10"/>
    <n v="0.93859649122807021"/>
    <n v="93.859649122807014"/>
    <x v="0"/>
  </r>
  <r>
    <n v="1895"/>
    <s v="643 Main St, CityD"/>
    <x v="801"/>
    <x v="1"/>
    <x v="90"/>
    <x v="0"/>
    <x v="1"/>
    <n v="181"/>
    <n v="11"/>
    <x v="0"/>
    <x v="0"/>
    <x v="0"/>
    <x v="0"/>
    <x v="0"/>
    <x v="6"/>
    <s v="Friday"/>
    <n v="10"/>
    <n v="0.94270833333333337"/>
    <n v="94.270833333333343"/>
    <x v="0"/>
  </r>
  <r>
    <n v="1896"/>
    <s v="850 Pine St, CityD"/>
    <x v="802"/>
    <x v="1"/>
    <x v="85"/>
    <x v="2"/>
    <x v="2"/>
    <n v="72"/>
    <n v="22"/>
    <x v="1"/>
    <x v="0"/>
    <x v="0"/>
    <x v="2"/>
    <x v="1"/>
    <x v="3"/>
    <s v="Thursday"/>
    <n v="11"/>
    <n v="0.76595744680851063"/>
    <n v="76.59574468085107"/>
    <x v="0"/>
  </r>
  <r>
    <n v="1897"/>
    <s v="937 Cedar St, CityE"/>
    <x v="803"/>
    <x v="1"/>
    <x v="10"/>
    <x v="1"/>
    <x v="4"/>
    <n v="183"/>
    <n v="6"/>
    <x v="0"/>
    <x v="0"/>
    <x v="0"/>
    <x v="2"/>
    <x v="0"/>
    <x v="7"/>
    <s v="Tuesday"/>
    <n v="8"/>
    <n v="0.96825396825396826"/>
    <n v="96.825396825396822"/>
    <x v="0"/>
  </r>
  <r>
    <n v="1898"/>
    <s v="237 Oak St, CityE"/>
    <x v="476"/>
    <x v="0"/>
    <x v="46"/>
    <x v="0"/>
    <x v="0"/>
    <n v="172"/>
    <n v="28"/>
    <x v="1"/>
    <x v="1"/>
    <x v="0"/>
    <x v="1"/>
    <x v="1"/>
    <x v="5"/>
    <s v="Saturday"/>
    <n v="11"/>
    <n v="0.86"/>
    <n v="86"/>
    <x v="0"/>
  </r>
  <r>
    <n v="1899"/>
    <s v="229 Pine St, CityC"/>
    <x v="804"/>
    <x v="0"/>
    <x v="90"/>
    <x v="1"/>
    <x v="0"/>
    <n v="103"/>
    <n v="6"/>
    <x v="1"/>
    <x v="4"/>
    <x v="0"/>
    <x v="2"/>
    <x v="1"/>
    <x v="3"/>
    <s v="Thursday"/>
    <n v="11"/>
    <n v="0.94495412844036697"/>
    <n v="94.495412844036693"/>
    <x v="0"/>
  </r>
  <r>
    <n v="1900"/>
    <s v="308 Main St, CityB"/>
    <x v="805"/>
    <x v="0"/>
    <x v="5"/>
    <x v="1"/>
    <x v="4"/>
    <n v="226"/>
    <n v="12"/>
    <x v="0"/>
    <x v="2"/>
    <x v="1"/>
    <x v="1"/>
    <x v="0"/>
    <x v="5"/>
    <s v="Saturday"/>
    <n v="16"/>
    <n v="0.94957983193277307"/>
    <n v="94.9579831932773"/>
    <x v="0"/>
  </r>
  <r>
    <n v="1901"/>
    <s v="685 Cedar St, CityC"/>
    <x v="38"/>
    <x v="1"/>
    <x v="19"/>
    <x v="2"/>
    <x v="0"/>
    <n v="214"/>
    <n v="16"/>
    <x v="2"/>
    <x v="0"/>
    <x v="1"/>
    <x v="2"/>
    <x v="2"/>
    <x v="1"/>
    <s v="Friday"/>
    <n v="15"/>
    <n v="0.93043478260869561"/>
    <n v="93.043478260869563"/>
    <x v="0"/>
  </r>
  <r>
    <n v="1902"/>
    <s v="405 Oak St, CityA"/>
    <x v="806"/>
    <x v="1"/>
    <x v="75"/>
    <x v="2"/>
    <x v="0"/>
    <n v="158"/>
    <n v="24"/>
    <x v="2"/>
    <x v="4"/>
    <x v="0"/>
    <x v="0"/>
    <x v="2"/>
    <x v="0"/>
    <s v="Monday"/>
    <n v="11"/>
    <n v="0.86813186813186816"/>
    <n v="86.813186813186817"/>
    <x v="0"/>
  </r>
  <r>
    <n v="1903"/>
    <s v="544 Elm St, CityA"/>
    <x v="807"/>
    <x v="0"/>
    <x v="69"/>
    <x v="0"/>
    <x v="1"/>
    <n v="234"/>
    <n v="28"/>
    <x v="2"/>
    <x v="3"/>
    <x v="0"/>
    <x v="2"/>
    <x v="2"/>
    <x v="4"/>
    <s v="Wednesday"/>
    <n v="14"/>
    <n v="0.89312977099236646"/>
    <n v="89.312977099236647"/>
    <x v="0"/>
  </r>
  <r>
    <n v="1904"/>
    <s v="228 Pine St, CityB"/>
    <x v="808"/>
    <x v="0"/>
    <x v="25"/>
    <x v="1"/>
    <x v="0"/>
    <n v="229"/>
    <n v="10"/>
    <x v="1"/>
    <x v="0"/>
    <x v="0"/>
    <x v="2"/>
    <x v="1"/>
    <x v="2"/>
    <s v="Sunday"/>
    <n v="13"/>
    <n v="0.95815899581589958"/>
    <n v="95.81589958158996"/>
    <x v="0"/>
  </r>
  <r>
    <n v="1905"/>
    <s v="407 Main St, CityD"/>
    <x v="809"/>
    <x v="0"/>
    <x v="59"/>
    <x v="2"/>
    <x v="0"/>
    <n v="108"/>
    <n v="23"/>
    <x v="2"/>
    <x v="0"/>
    <x v="1"/>
    <x v="2"/>
    <x v="2"/>
    <x v="3"/>
    <s v="Thursday"/>
    <n v="16"/>
    <n v="0.82442748091603058"/>
    <n v="82.44274809160305"/>
    <x v="0"/>
  </r>
  <r>
    <n v="1906"/>
    <s v="49 Main St, CityC"/>
    <x v="810"/>
    <x v="1"/>
    <x v="95"/>
    <x v="1"/>
    <x v="4"/>
    <n v="77"/>
    <n v="3"/>
    <x v="2"/>
    <x v="4"/>
    <x v="1"/>
    <x v="2"/>
    <x v="2"/>
    <x v="1"/>
    <s v="Friday"/>
    <n v="10"/>
    <n v="0.96250000000000002"/>
    <n v="96.25"/>
    <x v="0"/>
  </r>
  <r>
    <n v="1907"/>
    <s v="549 Cedar St, CityD"/>
    <x v="811"/>
    <x v="0"/>
    <x v="89"/>
    <x v="0"/>
    <x v="2"/>
    <n v="125"/>
    <n v="8"/>
    <x v="2"/>
    <x v="1"/>
    <x v="2"/>
    <x v="1"/>
    <x v="2"/>
    <x v="6"/>
    <s v="Friday"/>
    <n v="10"/>
    <n v="0.93984962406015038"/>
    <n v="93.984962406015043"/>
    <x v="0"/>
  </r>
  <r>
    <n v="1908"/>
    <s v="17 Cedar St, CityC"/>
    <x v="342"/>
    <x v="0"/>
    <x v="67"/>
    <x v="2"/>
    <x v="1"/>
    <n v="205"/>
    <n v="2"/>
    <x v="1"/>
    <x v="0"/>
    <x v="2"/>
    <x v="0"/>
    <x v="1"/>
    <x v="2"/>
    <s v="Sunday"/>
    <n v="11"/>
    <n v="0.99033816425120769"/>
    <n v="99.033816425120762"/>
    <x v="0"/>
  </r>
  <r>
    <n v="1909"/>
    <s v="788 Cedar St, CityA"/>
    <x v="812"/>
    <x v="1"/>
    <x v="21"/>
    <x v="2"/>
    <x v="0"/>
    <n v="128"/>
    <n v="17"/>
    <x v="2"/>
    <x v="0"/>
    <x v="1"/>
    <x v="0"/>
    <x v="2"/>
    <x v="4"/>
    <s v="Wednesday"/>
    <n v="13"/>
    <n v="0.88275862068965516"/>
    <n v="88.275862068965523"/>
    <x v="0"/>
  </r>
  <r>
    <n v="1910"/>
    <s v="509 Cedar St, CityB"/>
    <x v="813"/>
    <x v="0"/>
    <x v="24"/>
    <x v="0"/>
    <x v="4"/>
    <n v="204"/>
    <n v="17"/>
    <x v="2"/>
    <x v="0"/>
    <x v="1"/>
    <x v="1"/>
    <x v="2"/>
    <x v="0"/>
    <s v="Monday"/>
    <n v="11"/>
    <n v="0.92307692307692313"/>
    <n v="92.307692307692307"/>
    <x v="0"/>
  </r>
  <r>
    <n v="1911"/>
    <s v="547 Cedar St, CityC"/>
    <x v="536"/>
    <x v="0"/>
    <x v="80"/>
    <x v="2"/>
    <x v="2"/>
    <n v="61"/>
    <n v="20"/>
    <x v="1"/>
    <x v="4"/>
    <x v="2"/>
    <x v="0"/>
    <x v="1"/>
    <x v="2"/>
    <s v="Sunday"/>
    <n v="10"/>
    <n v="0.75308641975308643"/>
    <n v="75.308641975308646"/>
    <x v="0"/>
  </r>
  <r>
    <n v="1912"/>
    <s v="799 Main St, CityB"/>
    <x v="814"/>
    <x v="0"/>
    <x v="9"/>
    <x v="0"/>
    <x v="3"/>
    <n v="85"/>
    <n v="2"/>
    <x v="0"/>
    <x v="3"/>
    <x v="2"/>
    <x v="0"/>
    <x v="0"/>
    <x v="0"/>
    <s v="Monday"/>
    <n v="15"/>
    <n v="0.97701149425287359"/>
    <n v="97.701149425287355"/>
    <x v="0"/>
  </r>
  <r>
    <n v="1913"/>
    <s v="948 Pine St, CityE"/>
    <x v="815"/>
    <x v="1"/>
    <x v="3"/>
    <x v="0"/>
    <x v="4"/>
    <n v="68"/>
    <n v="14"/>
    <x v="0"/>
    <x v="3"/>
    <x v="0"/>
    <x v="0"/>
    <x v="0"/>
    <x v="2"/>
    <s v="Sunday"/>
    <n v="16"/>
    <n v="0.82926829268292679"/>
    <n v="82.926829268292678"/>
    <x v="0"/>
  </r>
  <r>
    <n v="1914"/>
    <s v="744 Oak St, CityB"/>
    <x v="669"/>
    <x v="0"/>
    <x v="80"/>
    <x v="2"/>
    <x v="4"/>
    <n v="72"/>
    <n v="25"/>
    <x v="2"/>
    <x v="2"/>
    <x v="0"/>
    <x v="1"/>
    <x v="2"/>
    <x v="4"/>
    <s v="Wednesday"/>
    <n v="8"/>
    <n v="0.74226804123711343"/>
    <n v="74.226804123711347"/>
    <x v="0"/>
  </r>
  <r>
    <n v="1915"/>
    <s v="559 Elm St, CityA"/>
    <x v="816"/>
    <x v="0"/>
    <x v="46"/>
    <x v="0"/>
    <x v="2"/>
    <n v="214"/>
    <n v="13"/>
    <x v="1"/>
    <x v="3"/>
    <x v="2"/>
    <x v="1"/>
    <x v="1"/>
    <x v="0"/>
    <s v="Monday"/>
    <n v="15"/>
    <n v="0.94273127753303965"/>
    <n v="94.273127753303967"/>
    <x v="0"/>
  </r>
  <r>
    <n v="1916"/>
    <s v="702 Pine St, CityA"/>
    <x v="817"/>
    <x v="1"/>
    <x v="48"/>
    <x v="2"/>
    <x v="1"/>
    <n v="194"/>
    <n v="12"/>
    <x v="1"/>
    <x v="4"/>
    <x v="0"/>
    <x v="0"/>
    <x v="1"/>
    <x v="2"/>
    <s v="Sunday"/>
    <n v="13"/>
    <n v="0.94174757281553401"/>
    <n v="94.174757281553397"/>
    <x v="0"/>
  </r>
  <r>
    <n v="1917"/>
    <s v="337 Elm St, CityD"/>
    <x v="818"/>
    <x v="0"/>
    <x v="24"/>
    <x v="2"/>
    <x v="2"/>
    <n v="140"/>
    <n v="3"/>
    <x v="0"/>
    <x v="0"/>
    <x v="1"/>
    <x v="1"/>
    <x v="0"/>
    <x v="3"/>
    <s v="Thursday"/>
    <n v="11"/>
    <n v="0.97902097902097907"/>
    <n v="97.902097902097907"/>
    <x v="0"/>
  </r>
  <r>
    <n v="1918"/>
    <s v="22 Main St, CityB"/>
    <x v="819"/>
    <x v="0"/>
    <x v="13"/>
    <x v="0"/>
    <x v="1"/>
    <n v="106"/>
    <n v="14"/>
    <x v="2"/>
    <x v="1"/>
    <x v="1"/>
    <x v="0"/>
    <x v="2"/>
    <x v="4"/>
    <s v="Wednesday"/>
    <n v="9"/>
    <n v="0.8833333333333333"/>
    <n v="88.333333333333329"/>
    <x v="0"/>
  </r>
  <r>
    <n v="1919"/>
    <s v="954 Oak St, CityB"/>
    <x v="820"/>
    <x v="1"/>
    <x v="79"/>
    <x v="1"/>
    <x v="0"/>
    <n v="122"/>
    <n v="6"/>
    <x v="1"/>
    <x v="3"/>
    <x v="2"/>
    <x v="1"/>
    <x v="1"/>
    <x v="3"/>
    <s v="Thursday"/>
    <n v="8"/>
    <n v="0.953125"/>
    <n v="95.3125"/>
    <x v="0"/>
  </r>
  <r>
    <n v="1920"/>
    <s v="674 Oak St, CityC"/>
    <x v="821"/>
    <x v="0"/>
    <x v="26"/>
    <x v="1"/>
    <x v="2"/>
    <n v="141"/>
    <n v="20"/>
    <x v="0"/>
    <x v="4"/>
    <x v="1"/>
    <x v="1"/>
    <x v="0"/>
    <x v="1"/>
    <s v="Friday"/>
    <n v="9"/>
    <n v="0.87577639751552794"/>
    <n v="87.577639751552795"/>
    <x v="0"/>
  </r>
  <r>
    <n v="1921"/>
    <s v="426 Elm St, CityD"/>
    <x v="822"/>
    <x v="0"/>
    <x v="16"/>
    <x v="1"/>
    <x v="3"/>
    <n v="67"/>
    <n v="1"/>
    <x v="0"/>
    <x v="2"/>
    <x v="0"/>
    <x v="0"/>
    <x v="0"/>
    <x v="1"/>
    <s v="Friday"/>
    <n v="16"/>
    <n v="0.98529411764705888"/>
    <n v="98.529411764705884"/>
    <x v="0"/>
  </r>
  <r>
    <n v="1922"/>
    <s v="209 Elm St, CityC"/>
    <x v="823"/>
    <x v="1"/>
    <x v="61"/>
    <x v="0"/>
    <x v="0"/>
    <n v="217"/>
    <n v="3"/>
    <x v="2"/>
    <x v="1"/>
    <x v="2"/>
    <x v="2"/>
    <x v="2"/>
    <x v="3"/>
    <s v="Thursday"/>
    <n v="16"/>
    <n v="0.98636363636363633"/>
    <n v="98.636363636363626"/>
    <x v="0"/>
  </r>
  <r>
    <n v="1923"/>
    <s v="100 Oak St, CityC"/>
    <x v="824"/>
    <x v="1"/>
    <x v="2"/>
    <x v="0"/>
    <x v="3"/>
    <n v="90"/>
    <n v="9"/>
    <x v="2"/>
    <x v="2"/>
    <x v="2"/>
    <x v="0"/>
    <x v="2"/>
    <x v="5"/>
    <s v="Saturday"/>
    <n v="15"/>
    <n v="0.90909090909090906"/>
    <n v="90.909090909090907"/>
    <x v="0"/>
  </r>
  <r>
    <n v="1924"/>
    <s v="556 Cedar St, CityA"/>
    <x v="825"/>
    <x v="1"/>
    <x v="52"/>
    <x v="0"/>
    <x v="4"/>
    <n v="115"/>
    <n v="9"/>
    <x v="1"/>
    <x v="3"/>
    <x v="2"/>
    <x v="0"/>
    <x v="1"/>
    <x v="2"/>
    <s v="Sunday"/>
    <n v="16"/>
    <n v="0.92741935483870963"/>
    <n v="92.741935483870961"/>
    <x v="0"/>
  </r>
  <r>
    <n v="1925"/>
    <s v="79 Elm St, CityA"/>
    <x v="826"/>
    <x v="0"/>
    <x v="92"/>
    <x v="2"/>
    <x v="2"/>
    <n v="198"/>
    <n v="17"/>
    <x v="1"/>
    <x v="1"/>
    <x v="1"/>
    <x v="0"/>
    <x v="1"/>
    <x v="1"/>
    <s v="Friday"/>
    <n v="11"/>
    <n v="0.92093023255813955"/>
    <n v="92.093023255813961"/>
    <x v="0"/>
  </r>
  <r>
    <n v="1926"/>
    <s v="874 Main St, CityB"/>
    <x v="827"/>
    <x v="1"/>
    <x v="28"/>
    <x v="0"/>
    <x v="0"/>
    <n v="181"/>
    <n v="7"/>
    <x v="2"/>
    <x v="4"/>
    <x v="0"/>
    <x v="2"/>
    <x v="2"/>
    <x v="6"/>
    <s v="Friday"/>
    <n v="9"/>
    <n v="0.96276595744680848"/>
    <n v="96.276595744680847"/>
    <x v="0"/>
  </r>
  <r>
    <n v="1927"/>
    <s v="68 Oak St, CityB"/>
    <x v="828"/>
    <x v="1"/>
    <x v="29"/>
    <x v="0"/>
    <x v="3"/>
    <n v="72"/>
    <n v="27"/>
    <x v="1"/>
    <x v="3"/>
    <x v="2"/>
    <x v="0"/>
    <x v="1"/>
    <x v="3"/>
    <s v="Thursday"/>
    <n v="9"/>
    <n v="0.72727272727272729"/>
    <n v="72.727272727272734"/>
    <x v="0"/>
  </r>
  <r>
    <n v="1928"/>
    <s v="117 Pine St, CityC"/>
    <x v="829"/>
    <x v="0"/>
    <x v="98"/>
    <x v="0"/>
    <x v="4"/>
    <n v="205"/>
    <n v="14"/>
    <x v="0"/>
    <x v="2"/>
    <x v="2"/>
    <x v="2"/>
    <x v="0"/>
    <x v="0"/>
    <s v="Monday"/>
    <n v="9"/>
    <n v="0.9360730593607306"/>
    <n v="93.607305936073061"/>
    <x v="0"/>
  </r>
  <r>
    <n v="1929"/>
    <s v="125 Cedar St, CityE"/>
    <x v="830"/>
    <x v="0"/>
    <x v="43"/>
    <x v="2"/>
    <x v="1"/>
    <n v="95"/>
    <n v="13"/>
    <x v="2"/>
    <x v="2"/>
    <x v="1"/>
    <x v="2"/>
    <x v="2"/>
    <x v="2"/>
    <s v="Sunday"/>
    <n v="16"/>
    <n v="0.87962962962962965"/>
    <n v="87.962962962962962"/>
    <x v="0"/>
  </r>
  <r>
    <n v="1930"/>
    <s v="477 Cedar St, CityA"/>
    <x v="831"/>
    <x v="1"/>
    <x v="22"/>
    <x v="2"/>
    <x v="4"/>
    <n v="232"/>
    <n v="24"/>
    <x v="2"/>
    <x v="2"/>
    <x v="0"/>
    <x v="2"/>
    <x v="2"/>
    <x v="6"/>
    <s v="Friday"/>
    <n v="9"/>
    <n v="0.90625"/>
    <n v="90.625"/>
    <x v="0"/>
  </r>
  <r>
    <n v="1931"/>
    <s v="493 Cedar St, CityC"/>
    <x v="832"/>
    <x v="0"/>
    <x v="9"/>
    <x v="1"/>
    <x v="0"/>
    <n v="196"/>
    <n v="5"/>
    <x v="2"/>
    <x v="3"/>
    <x v="1"/>
    <x v="1"/>
    <x v="2"/>
    <x v="7"/>
    <s v="Tuesday"/>
    <n v="14"/>
    <n v="0.97512437810945274"/>
    <n v="97.512437810945272"/>
    <x v="0"/>
  </r>
  <r>
    <n v="1932"/>
    <s v="805 Main St, CityC"/>
    <x v="833"/>
    <x v="0"/>
    <x v="23"/>
    <x v="0"/>
    <x v="0"/>
    <n v="168"/>
    <n v="12"/>
    <x v="2"/>
    <x v="1"/>
    <x v="1"/>
    <x v="2"/>
    <x v="2"/>
    <x v="7"/>
    <s v="Tuesday"/>
    <n v="16"/>
    <n v="0.93333333333333335"/>
    <n v="93.333333333333329"/>
    <x v="0"/>
  </r>
  <r>
    <n v="1933"/>
    <s v="808 Main St, CityC"/>
    <x v="834"/>
    <x v="1"/>
    <x v="46"/>
    <x v="0"/>
    <x v="4"/>
    <n v="85"/>
    <n v="22"/>
    <x v="0"/>
    <x v="0"/>
    <x v="0"/>
    <x v="1"/>
    <x v="0"/>
    <x v="0"/>
    <s v="Monday"/>
    <n v="14"/>
    <n v="0.79439252336448596"/>
    <n v="79.43925233644859"/>
    <x v="0"/>
  </r>
  <r>
    <n v="1934"/>
    <s v="181 Pine St, CityB"/>
    <x v="835"/>
    <x v="0"/>
    <x v="32"/>
    <x v="0"/>
    <x v="1"/>
    <n v="206"/>
    <n v="13"/>
    <x v="2"/>
    <x v="0"/>
    <x v="2"/>
    <x v="2"/>
    <x v="2"/>
    <x v="7"/>
    <s v="Tuesday"/>
    <n v="13"/>
    <n v="0.94063926940639264"/>
    <n v="94.063926940639263"/>
    <x v="0"/>
  </r>
  <r>
    <n v="1935"/>
    <s v="559 Oak St, CityA"/>
    <x v="120"/>
    <x v="0"/>
    <x v="65"/>
    <x v="0"/>
    <x v="4"/>
    <n v="188"/>
    <n v="15"/>
    <x v="0"/>
    <x v="0"/>
    <x v="1"/>
    <x v="0"/>
    <x v="0"/>
    <x v="0"/>
    <s v="Monday"/>
    <n v="10"/>
    <n v="0.92610837438423643"/>
    <n v="92.610837438423644"/>
    <x v="0"/>
  </r>
  <r>
    <n v="1936"/>
    <s v="933 Cedar St, CityA"/>
    <x v="836"/>
    <x v="0"/>
    <x v="64"/>
    <x v="2"/>
    <x v="3"/>
    <n v="173"/>
    <n v="19"/>
    <x v="1"/>
    <x v="2"/>
    <x v="1"/>
    <x v="2"/>
    <x v="1"/>
    <x v="2"/>
    <s v="Sunday"/>
    <n v="11"/>
    <n v="0.90104166666666663"/>
    <n v="90.104166666666657"/>
    <x v="0"/>
  </r>
  <r>
    <n v="1937"/>
    <s v="65 Elm St, CityB"/>
    <x v="837"/>
    <x v="1"/>
    <x v="93"/>
    <x v="0"/>
    <x v="3"/>
    <n v="222"/>
    <n v="7"/>
    <x v="0"/>
    <x v="1"/>
    <x v="0"/>
    <x v="1"/>
    <x v="0"/>
    <x v="1"/>
    <s v="Friday"/>
    <n v="10"/>
    <n v="0.96943231441048039"/>
    <n v="96.943231441048042"/>
    <x v="0"/>
  </r>
  <r>
    <n v="1938"/>
    <s v="351 Elm St, CityE"/>
    <x v="838"/>
    <x v="1"/>
    <x v="32"/>
    <x v="2"/>
    <x v="0"/>
    <n v="73"/>
    <n v="21"/>
    <x v="0"/>
    <x v="2"/>
    <x v="2"/>
    <x v="0"/>
    <x v="0"/>
    <x v="7"/>
    <s v="Tuesday"/>
    <n v="9"/>
    <n v="0.77659574468085102"/>
    <n v="77.659574468085097"/>
    <x v="0"/>
  </r>
  <r>
    <n v="1939"/>
    <s v="835 Cedar St, CityB"/>
    <x v="839"/>
    <x v="0"/>
    <x v="44"/>
    <x v="1"/>
    <x v="1"/>
    <n v="187"/>
    <n v="22"/>
    <x v="0"/>
    <x v="0"/>
    <x v="0"/>
    <x v="1"/>
    <x v="0"/>
    <x v="4"/>
    <s v="Wednesday"/>
    <n v="12"/>
    <n v="0.89473684210526316"/>
    <n v="89.473684210526315"/>
    <x v="0"/>
  </r>
  <r>
    <n v="1940"/>
    <s v="491 Oak St, CityA"/>
    <x v="840"/>
    <x v="1"/>
    <x v="89"/>
    <x v="0"/>
    <x v="1"/>
    <n v="143"/>
    <n v="23"/>
    <x v="1"/>
    <x v="0"/>
    <x v="2"/>
    <x v="2"/>
    <x v="1"/>
    <x v="2"/>
    <s v="Sunday"/>
    <n v="16"/>
    <n v="0.86144578313253017"/>
    <n v="86.144578313253021"/>
    <x v="0"/>
  </r>
  <r>
    <n v="1941"/>
    <s v="349 Pine St, CityD"/>
    <x v="841"/>
    <x v="0"/>
    <x v="70"/>
    <x v="2"/>
    <x v="3"/>
    <n v="115"/>
    <n v="16"/>
    <x v="1"/>
    <x v="2"/>
    <x v="0"/>
    <x v="2"/>
    <x v="1"/>
    <x v="4"/>
    <s v="Wednesday"/>
    <n v="10"/>
    <n v="0.87786259541984735"/>
    <n v="87.786259541984734"/>
    <x v="0"/>
  </r>
  <r>
    <n v="1942"/>
    <s v="107 Cedar St, CityD"/>
    <x v="842"/>
    <x v="0"/>
    <x v="55"/>
    <x v="1"/>
    <x v="3"/>
    <n v="161"/>
    <n v="6"/>
    <x v="0"/>
    <x v="2"/>
    <x v="2"/>
    <x v="0"/>
    <x v="0"/>
    <x v="3"/>
    <s v="Thursday"/>
    <n v="14"/>
    <n v="0.9640718562874252"/>
    <n v="96.407185628742525"/>
    <x v="0"/>
  </r>
  <r>
    <n v="1943"/>
    <s v="218 Elm St, CityB"/>
    <x v="843"/>
    <x v="0"/>
    <x v="48"/>
    <x v="1"/>
    <x v="0"/>
    <n v="200"/>
    <n v="21"/>
    <x v="2"/>
    <x v="3"/>
    <x v="0"/>
    <x v="2"/>
    <x v="2"/>
    <x v="4"/>
    <s v="Wednesday"/>
    <n v="10"/>
    <n v="0.90497737556561086"/>
    <n v="90.497737556561091"/>
    <x v="0"/>
  </r>
  <r>
    <n v="1944"/>
    <s v="636 Pine St, CityE"/>
    <x v="4"/>
    <x v="1"/>
    <x v="29"/>
    <x v="2"/>
    <x v="0"/>
    <n v="91"/>
    <n v="19"/>
    <x v="2"/>
    <x v="2"/>
    <x v="0"/>
    <x v="0"/>
    <x v="2"/>
    <x v="1"/>
    <s v="Friday"/>
    <n v="11"/>
    <n v="0.82727272727272727"/>
    <n v="82.727272727272734"/>
    <x v="0"/>
  </r>
  <r>
    <n v="1945"/>
    <s v="766 Main St, CityB"/>
    <x v="844"/>
    <x v="1"/>
    <x v="78"/>
    <x v="2"/>
    <x v="2"/>
    <n v="177"/>
    <n v="17"/>
    <x v="2"/>
    <x v="4"/>
    <x v="2"/>
    <x v="0"/>
    <x v="2"/>
    <x v="6"/>
    <s v="Friday"/>
    <n v="14"/>
    <n v="0.91237113402061853"/>
    <n v="91.237113402061851"/>
    <x v="0"/>
  </r>
  <r>
    <n v="1946"/>
    <s v="855 Pine St, CityE"/>
    <x v="754"/>
    <x v="0"/>
    <x v="96"/>
    <x v="2"/>
    <x v="2"/>
    <n v="128"/>
    <n v="13"/>
    <x v="2"/>
    <x v="3"/>
    <x v="2"/>
    <x v="1"/>
    <x v="2"/>
    <x v="5"/>
    <s v="Saturday"/>
    <n v="11"/>
    <n v="0.90780141843971629"/>
    <n v="90.780141843971634"/>
    <x v="0"/>
  </r>
  <r>
    <n v="1947"/>
    <s v="790 Pine St, CityD"/>
    <x v="845"/>
    <x v="1"/>
    <x v="78"/>
    <x v="1"/>
    <x v="1"/>
    <n v="109"/>
    <n v="12"/>
    <x v="0"/>
    <x v="4"/>
    <x v="2"/>
    <x v="2"/>
    <x v="0"/>
    <x v="7"/>
    <s v="Tuesday"/>
    <n v="16"/>
    <n v="0.90082644628099173"/>
    <n v="90.082644628099175"/>
    <x v="0"/>
  </r>
  <r>
    <n v="1948"/>
    <s v="330 Oak St, CityB"/>
    <x v="846"/>
    <x v="1"/>
    <x v="77"/>
    <x v="2"/>
    <x v="2"/>
    <n v="120"/>
    <n v="16"/>
    <x v="2"/>
    <x v="1"/>
    <x v="2"/>
    <x v="1"/>
    <x v="2"/>
    <x v="6"/>
    <s v="Friday"/>
    <n v="14"/>
    <n v="0.88235294117647056"/>
    <n v="88.235294117647058"/>
    <x v="0"/>
  </r>
  <r>
    <n v="1949"/>
    <s v="922 Main St, CityA"/>
    <x v="847"/>
    <x v="1"/>
    <x v="5"/>
    <x v="0"/>
    <x v="0"/>
    <n v="233"/>
    <n v="24"/>
    <x v="1"/>
    <x v="3"/>
    <x v="2"/>
    <x v="0"/>
    <x v="1"/>
    <x v="0"/>
    <s v="Monday"/>
    <n v="12"/>
    <n v="0.9066147859922179"/>
    <n v="90.661478599221795"/>
    <x v="0"/>
  </r>
  <r>
    <n v="1950"/>
    <s v="464 Elm St, CityA"/>
    <x v="848"/>
    <x v="0"/>
    <x v="94"/>
    <x v="0"/>
    <x v="4"/>
    <n v="65"/>
    <n v="20"/>
    <x v="2"/>
    <x v="4"/>
    <x v="0"/>
    <x v="2"/>
    <x v="2"/>
    <x v="4"/>
    <s v="Wednesday"/>
    <n v="8"/>
    <n v="0.76470588235294112"/>
    <n v="76.470588235294116"/>
    <x v="0"/>
  </r>
  <r>
    <n v="1951"/>
    <s v="585 Oak St, CityA"/>
    <x v="849"/>
    <x v="0"/>
    <x v="51"/>
    <x v="0"/>
    <x v="1"/>
    <n v="207"/>
    <n v="19"/>
    <x v="0"/>
    <x v="0"/>
    <x v="1"/>
    <x v="2"/>
    <x v="0"/>
    <x v="7"/>
    <s v="Tuesday"/>
    <n v="11"/>
    <n v="0.91592920353982299"/>
    <n v="91.592920353982294"/>
    <x v="0"/>
  </r>
  <r>
    <n v="1952"/>
    <s v="681 Oak St, CityC"/>
    <x v="850"/>
    <x v="1"/>
    <x v="8"/>
    <x v="0"/>
    <x v="0"/>
    <n v="172"/>
    <n v="24"/>
    <x v="1"/>
    <x v="2"/>
    <x v="0"/>
    <x v="2"/>
    <x v="1"/>
    <x v="4"/>
    <s v="Wednesday"/>
    <n v="9"/>
    <n v="0.87755102040816324"/>
    <n v="87.755102040816325"/>
    <x v="0"/>
  </r>
  <r>
    <n v="1953"/>
    <s v="426 Main St, CityC"/>
    <x v="851"/>
    <x v="0"/>
    <x v="74"/>
    <x v="0"/>
    <x v="3"/>
    <n v="65"/>
    <n v="0"/>
    <x v="0"/>
    <x v="0"/>
    <x v="1"/>
    <x v="2"/>
    <x v="0"/>
    <x v="5"/>
    <s v="Saturday"/>
    <n v="10"/>
    <n v="1"/>
    <n v="100"/>
    <x v="1"/>
  </r>
  <r>
    <n v="1954"/>
    <s v="883 Pine St, CityA"/>
    <x v="852"/>
    <x v="1"/>
    <x v="95"/>
    <x v="1"/>
    <x v="0"/>
    <n v="185"/>
    <n v="14"/>
    <x v="1"/>
    <x v="3"/>
    <x v="2"/>
    <x v="1"/>
    <x v="1"/>
    <x v="3"/>
    <s v="Thursday"/>
    <n v="11"/>
    <n v="0.92964824120603018"/>
    <n v="92.964824120603012"/>
    <x v="0"/>
  </r>
  <r>
    <n v="1955"/>
    <s v="138 Main St, CityE"/>
    <x v="167"/>
    <x v="1"/>
    <x v="49"/>
    <x v="2"/>
    <x v="2"/>
    <n v="92"/>
    <n v="18"/>
    <x v="0"/>
    <x v="1"/>
    <x v="1"/>
    <x v="2"/>
    <x v="0"/>
    <x v="1"/>
    <s v="Friday"/>
    <n v="10"/>
    <n v="0.83636363636363631"/>
    <n v="83.636363636363626"/>
    <x v="0"/>
  </r>
  <r>
    <n v="1956"/>
    <s v="534 Cedar St, CityA"/>
    <x v="853"/>
    <x v="1"/>
    <x v="95"/>
    <x v="1"/>
    <x v="4"/>
    <n v="101"/>
    <n v="26"/>
    <x v="2"/>
    <x v="2"/>
    <x v="2"/>
    <x v="0"/>
    <x v="2"/>
    <x v="7"/>
    <s v="Tuesday"/>
    <n v="16"/>
    <n v="0.79527559055118113"/>
    <n v="79.527559055118118"/>
    <x v="0"/>
  </r>
  <r>
    <n v="1957"/>
    <s v="608 Elm St, CityD"/>
    <x v="854"/>
    <x v="1"/>
    <x v="99"/>
    <x v="1"/>
    <x v="1"/>
    <n v="215"/>
    <n v="5"/>
    <x v="1"/>
    <x v="4"/>
    <x v="2"/>
    <x v="1"/>
    <x v="1"/>
    <x v="6"/>
    <s v="Friday"/>
    <n v="14"/>
    <n v="0.97727272727272729"/>
    <n v="97.727272727272734"/>
    <x v="0"/>
  </r>
  <r>
    <n v="1958"/>
    <s v="507 Cedar St, CityE"/>
    <x v="855"/>
    <x v="1"/>
    <x v="11"/>
    <x v="1"/>
    <x v="3"/>
    <n v="228"/>
    <n v="21"/>
    <x v="1"/>
    <x v="3"/>
    <x v="0"/>
    <x v="1"/>
    <x v="1"/>
    <x v="5"/>
    <s v="Saturday"/>
    <n v="13"/>
    <n v="0.91566265060240959"/>
    <n v="91.566265060240966"/>
    <x v="0"/>
  </r>
  <r>
    <n v="1959"/>
    <s v="744 Oak St, CityA"/>
    <x v="856"/>
    <x v="1"/>
    <x v="28"/>
    <x v="2"/>
    <x v="3"/>
    <n v="63"/>
    <n v="10"/>
    <x v="1"/>
    <x v="2"/>
    <x v="2"/>
    <x v="0"/>
    <x v="1"/>
    <x v="7"/>
    <s v="Tuesday"/>
    <n v="13"/>
    <n v="0.86301369863013699"/>
    <n v="86.301369863013704"/>
    <x v="0"/>
  </r>
  <r>
    <n v="1960"/>
    <s v="640 Main St, CityC"/>
    <x v="857"/>
    <x v="1"/>
    <x v="97"/>
    <x v="1"/>
    <x v="0"/>
    <n v="116"/>
    <n v="26"/>
    <x v="2"/>
    <x v="4"/>
    <x v="1"/>
    <x v="2"/>
    <x v="2"/>
    <x v="4"/>
    <s v="Wednesday"/>
    <n v="15"/>
    <n v="0.81690140845070425"/>
    <n v="81.690140845070431"/>
    <x v="0"/>
  </r>
  <r>
    <n v="1961"/>
    <s v="252 Oak St, CityE"/>
    <x v="858"/>
    <x v="0"/>
    <x v="17"/>
    <x v="2"/>
    <x v="0"/>
    <n v="208"/>
    <n v="20"/>
    <x v="2"/>
    <x v="3"/>
    <x v="0"/>
    <x v="0"/>
    <x v="2"/>
    <x v="5"/>
    <s v="Saturday"/>
    <n v="13"/>
    <n v="0.91228070175438591"/>
    <n v="91.228070175438589"/>
    <x v="0"/>
  </r>
  <r>
    <n v="1962"/>
    <s v="842 Pine St, CityC"/>
    <x v="703"/>
    <x v="0"/>
    <x v="62"/>
    <x v="1"/>
    <x v="4"/>
    <n v="224"/>
    <n v="10"/>
    <x v="2"/>
    <x v="0"/>
    <x v="2"/>
    <x v="0"/>
    <x v="2"/>
    <x v="5"/>
    <s v="Saturday"/>
    <n v="10"/>
    <n v="0.95726495726495731"/>
    <n v="95.726495726495727"/>
    <x v="0"/>
  </r>
  <r>
    <n v="1963"/>
    <s v="40 Main St, CityA"/>
    <x v="859"/>
    <x v="1"/>
    <x v="94"/>
    <x v="2"/>
    <x v="3"/>
    <n v="230"/>
    <n v="21"/>
    <x v="2"/>
    <x v="3"/>
    <x v="0"/>
    <x v="2"/>
    <x v="2"/>
    <x v="3"/>
    <s v="Thursday"/>
    <n v="13"/>
    <n v="0.91633466135458164"/>
    <n v="91.633466135458164"/>
    <x v="0"/>
  </r>
  <r>
    <n v="1964"/>
    <s v="962 Oak St, CityB"/>
    <x v="860"/>
    <x v="0"/>
    <x v="51"/>
    <x v="0"/>
    <x v="4"/>
    <n v="130"/>
    <n v="18"/>
    <x v="2"/>
    <x v="4"/>
    <x v="2"/>
    <x v="2"/>
    <x v="2"/>
    <x v="5"/>
    <s v="Saturday"/>
    <n v="12"/>
    <n v="0.8783783783783784"/>
    <n v="87.837837837837839"/>
    <x v="0"/>
  </r>
  <r>
    <n v="1965"/>
    <s v="713 Oak St, CityD"/>
    <x v="861"/>
    <x v="1"/>
    <x v="81"/>
    <x v="0"/>
    <x v="0"/>
    <n v="230"/>
    <n v="14"/>
    <x v="2"/>
    <x v="0"/>
    <x v="2"/>
    <x v="1"/>
    <x v="2"/>
    <x v="3"/>
    <s v="Thursday"/>
    <n v="13"/>
    <n v="0.94262295081967218"/>
    <n v="94.262295081967224"/>
    <x v="0"/>
  </r>
  <r>
    <n v="1966"/>
    <s v="157 Oak St, CityC"/>
    <x v="862"/>
    <x v="1"/>
    <x v="2"/>
    <x v="0"/>
    <x v="0"/>
    <n v="168"/>
    <n v="28"/>
    <x v="0"/>
    <x v="2"/>
    <x v="1"/>
    <x v="2"/>
    <x v="0"/>
    <x v="5"/>
    <s v="Saturday"/>
    <n v="12"/>
    <n v="0.8571428571428571"/>
    <n v="85.714285714285708"/>
    <x v="0"/>
  </r>
  <r>
    <n v="1967"/>
    <s v="871 Pine St, CityA"/>
    <x v="25"/>
    <x v="1"/>
    <x v="81"/>
    <x v="0"/>
    <x v="3"/>
    <n v="202"/>
    <n v="14"/>
    <x v="0"/>
    <x v="4"/>
    <x v="0"/>
    <x v="2"/>
    <x v="0"/>
    <x v="0"/>
    <s v="Monday"/>
    <n v="14"/>
    <n v="0.93518518518518523"/>
    <n v="93.518518518518519"/>
    <x v="0"/>
  </r>
  <r>
    <n v="1968"/>
    <s v="999 Cedar St, CityC"/>
    <x v="863"/>
    <x v="0"/>
    <x v="17"/>
    <x v="2"/>
    <x v="4"/>
    <n v="141"/>
    <n v="2"/>
    <x v="0"/>
    <x v="1"/>
    <x v="0"/>
    <x v="2"/>
    <x v="0"/>
    <x v="6"/>
    <s v="Friday"/>
    <n v="13"/>
    <n v="0.98601398601398604"/>
    <n v="98.6013986013986"/>
    <x v="0"/>
  </r>
  <r>
    <n v="1969"/>
    <s v="77 Pine St, CityC"/>
    <x v="864"/>
    <x v="1"/>
    <x v="57"/>
    <x v="2"/>
    <x v="1"/>
    <n v="219"/>
    <n v="13"/>
    <x v="1"/>
    <x v="1"/>
    <x v="1"/>
    <x v="1"/>
    <x v="1"/>
    <x v="2"/>
    <s v="Sunday"/>
    <n v="13"/>
    <n v="0.94396551724137934"/>
    <n v="94.396551724137936"/>
    <x v="0"/>
  </r>
  <r>
    <n v="1970"/>
    <s v="757 Oak St, CityD"/>
    <x v="865"/>
    <x v="1"/>
    <x v="14"/>
    <x v="1"/>
    <x v="4"/>
    <n v="78"/>
    <n v="3"/>
    <x v="0"/>
    <x v="4"/>
    <x v="2"/>
    <x v="2"/>
    <x v="0"/>
    <x v="1"/>
    <s v="Friday"/>
    <n v="8"/>
    <n v="0.96296296296296291"/>
    <n v="96.296296296296291"/>
    <x v="0"/>
  </r>
  <r>
    <n v="1971"/>
    <s v="24 Main St, CityC"/>
    <x v="866"/>
    <x v="1"/>
    <x v="56"/>
    <x v="1"/>
    <x v="1"/>
    <n v="202"/>
    <n v="15"/>
    <x v="0"/>
    <x v="0"/>
    <x v="1"/>
    <x v="1"/>
    <x v="0"/>
    <x v="7"/>
    <s v="Tuesday"/>
    <n v="10"/>
    <n v="0.93087557603686633"/>
    <n v="93.087557603686633"/>
    <x v="0"/>
  </r>
  <r>
    <n v="1972"/>
    <s v="336 Elm St, CityA"/>
    <x v="867"/>
    <x v="1"/>
    <x v="59"/>
    <x v="1"/>
    <x v="2"/>
    <n v="93"/>
    <n v="6"/>
    <x v="1"/>
    <x v="4"/>
    <x v="2"/>
    <x v="0"/>
    <x v="1"/>
    <x v="2"/>
    <s v="Sunday"/>
    <n v="10"/>
    <n v="0.93939393939393945"/>
    <n v="93.939393939393938"/>
    <x v="0"/>
  </r>
  <r>
    <n v="1973"/>
    <s v="891 Elm St, CityE"/>
    <x v="655"/>
    <x v="0"/>
    <x v="61"/>
    <x v="2"/>
    <x v="0"/>
    <n v="170"/>
    <n v="1"/>
    <x v="1"/>
    <x v="4"/>
    <x v="0"/>
    <x v="0"/>
    <x v="1"/>
    <x v="6"/>
    <s v="Friday"/>
    <n v="8"/>
    <n v="0.99415204678362568"/>
    <n v="99.415204678362571"/>
    <x v="0"/>
  </r>
  <r>
    <n v="1974"/>
    <s v="618 Cedar St, CityA"/>
    <x v="868"/>
    <x v="1"/>
    <x v="60"/>
    <x v="2"/>
    <x v="1"/>
    <n v="90"/>
    <n v="24"/>
    <x v="1"/>
    <x v="0"/>
    <x v="0"/>
    <x v="1"/>
    <x v="1"/>
    <x v="5"/>
    <s v="Saturday"/>
    <n v="9"/>
    <n v="0.78947368421052633"/>
    <n v="78.94736842105263"/>
    <x v="0"/>
  </r>
  <r>
    <n v="1975"/>
    <s v="372 Main St, CityA"/>
    <x v="869"/>
    <x v="0"/>
    <x v="67"/>
    <x v="1"/>
    <x v="2"/>
    <n v="114"/>
    <n v="17"/>
    <x v="0"/>
    <x v="3"/>
    <x v="1"/>
    <x v="1"/>
    <x v="0"/>
    <x v="5"/>
    <s v="Saturday"/>
    <n v="10"/>
    <n v="0.87022900763358779"/>
    <n v="87.022900763358777"/>
    <x v="0"/>
  </r>
  <r>
    <n v="1976"/>
    <s v="999 Oak St, CityC"/>
    <x v="870"/>
    <x v="1"/>
    <x v="84"/>
    <x v="1"/>
    <x v="2"/>
    <n v="150"/>
    <n v="6"/>
    <x v="2"/>
    <x v="4"/>
    <x v="2"/>
    <x v="2"/>
    <x v="2"/>
    <x v="0"/>
    <s v="Monday"/>
    <n v="11"/>
    <n v="0.96153846153846156"/>
    <n v="96.15384615384616"/>
    <x v="0"/>
  </r>
  <r>
    <n v="1977"/>
    <s v="326 Main St, CityB"/>
    <x v="871"/>
    <x v="0"/>
    <x v="73"/>
    <x v="0"/>
    <x v="0"/>
    <n v="205"/>
    <n v="21"/>
    <x v="2"/>
    <x v="4"/>
    <x v="0"/>
    <x v="1"/>
    <x v="2"/>
    <x v="3"/>
    <s v="Thursday"/>
    <n v="14"/>
    <n v="0.90707964601769908"/>
    <n v="90.707964601769902"/>
    <x v="0"/>
  </r>
  <r>
    <n v="1978"/>
    <s v="591 Elm St, CityE"/>
    <x v="872"/>
    <x v="1"/>
    <x v="99"/>
    <x v="1"/>
    <x v="1"/>
    <n v="179"/>
    <n v="14"/>
    <x v="0"/>
    <x v="1"/>
    <x v="2"/>
    <x v="1"/>
    <x v="0"/>
    <x v="6"/>
    <s v="Friday"/>
    <n v="15"/>
    <n v="0.92746113989637302"/>
    <n v="92.746113989637308"/>
    <x v="0"/>
  </r>
  <r>
    <n v="1979"/>
    <s v="820 Main St, CityB"/>
    <x v="318"/>
    <x v="0"/>
    <x v="6"/>
    <x v="1"/>
    <x v="2"/>
    <n v="110"/>
    <n v="26"/>
    <x v="0"/>
    <x v="4"/>
    <x v="2"/>
    <x v="1"/>
    <x v="0"/>
    <x v="6"/>
    <s v="Friday"/>
    <n v="14"/>
    <n v="0.80882352941176472"/>
    <n v="80.882352941176478"/>
    <x v="0"/>
  </r>
  <r>
    <n v="1980"/>
    <s v="51 Oak St, CityC"/>
    <x v="873"/>
    <x v="0"/>
    <x v="36"/>
    <x v="1"/>
    <x v="2"/>
    <n v="214"/>
    <n v="10"/>
    <x v="0"/>
    <x v="4"/>
    <x v="0"/>
    <x v="2"/>
    <x v="0"/>
    <x v="2"/>
    <s v="Sunday"/>
    <n v="11"/>
    <n v="0.9553571428571429"/>
    <n v="95.535714285714292"/>
    <x v="0"/>
  </r>
  <r>
    <n v="1981"/>
    <s v="862 Cedar St, CityE"/>
    <x v="218"/>
    <x v="0"/>
    <x v="86"/>
    <x v="0"/>
    <x v="3"/>
    <n v="123"/>
    <n v="11"/>
    <x v="1"/>
    <x v="4"/>
    <x v="1"/>
    <x v="0"/>
    <x v="1"/>
    <x v="6"/>
    <s v="Friday"/>
    <n v="14"/>
    <n v="0.91791044776119401"/>
    <n v="91.791044776119406"/>
    <x v="0"/>
  </r>
  <r>
    <n v="1982"/>
    <s v="935 Main St, CityE"/>
    <x v="874"/>
    <x v="0"/>
    <x v="38"/>
    <x v="0"/>
    <x v="4"/>
    <n v="155"/>
    <n v="24"/>
    <x v="1"/>
    <x v="4"/>
    <x v="1"/>
    <x v="1"/>
    <x v="1"/>
    <x v="2"/>
    <s v="Sunday"/>
    <n v="11"/>
    <n v="0.86592178770949724"/>
    <n v="86.592178770949729"/>
    <x v="0"/>
  </r>
  <r>
    <n v="1983"/>
    <s v="958 Cedar St, CityE"/>
    <x v="875"/>
    <x v="0"/>
    <x v="19"/>
    <x v="1"/>
    <x v="1"/>
    <n v="203"/>
    <n v="24"/>
    <x v="1"/>
    <x v="1"/>
    <x v="2"/>
    <x v="0"/>
    <x v="1"/>
    <x v="3"/>
    <s v="Thursday"/>
    <n v="10"/>
    <n v="0.89427312775330392"/>
    <n v="89.427312775330392"/>
    <x v="0"/>
  </r>
  <r>
    <n v="1984"/>
    <s v="305 Cedar St, CityC"/>
    <x v="876"/>
    <x v="0"/>
    <x v="68"/>
    <x v="2"/>
    <x v="3"/>
    <n v="61"/>
    <n v="29"/>
    <x v="2"/>
    <x v="3"/>
    <x v="1"/>
    <x v="2"/>
    <x v="2"/>
    <x v="4"/>
    <s v="Wednesday"/>
    <n v="8"/>
    <n v="0.67777777777777781"/>
    <n v="67.777777777777786"/>
    <x v="0"/>
  </r>
  <r>
    <n v="1985"/>
    <s v="103 Pine St, CityA"/>
    <x v="877"/>
    <x v="0"/>
    <x v="58"/>
    <x v="2"/>
    <x v="0"/>
    <n v="214"/>
    <n v="23"/>
    <x v="0"/>
    <x v="1"/>
    <x v="1"/>
    <x v="0"/>
    <x v="0"/>
    <x v="6"/>
    <s v="Friday"/>
    <n v="16"/>
    <n v="0.90295358649789026"/>
    <n v="90.295358649789023"/>
    <x v="0"/>
  </r>
  <r>
    <n v="1986"/>
    <s v="320 Pine St, CityA"/>
    <x v="878"/>
    <x v="1"/>
    <x v="76"/>
    <x v="0"/>
    <x v="0"/>
    <n v="160"/>
    <n v="6"/>
    <x v="0"/>
    <x v="1"/>
    <x v="0"/>
    <x v="0"/>
    <x v="0"/>
    <x v="4"/>
    <s v="Wednesday"/>
    <n v="16"/>
    <n v="0.96385542168674698"/>
    <n v="96.385542168674704"/>
    <x v="0"/>
  </r>
  <r>
    <n v="1987"/>
    <s v="674 Oak St, CityC"/>
    <x v="879"/>
    <x v="1"/>
    <x v="72"/>
    <x v="2"/>
    <x v="1"/>
    <n v="235"/>
    <n v="6"/>
    <x v="2"/>
    <x v="2"/>
    <x v="1"/>
    <x v="0"/>
    <x v="2"/>
    <x v="0"/>
    <s v="Monday"/>
    <n v="11"/>
    <n v="0.975103734439834"/>
    <n v="97.510373443983397"/>
    <x v="0"/>
  </r>
  <r>
    <n v="1988"/>
    <s v="759 Main St, CityB"/>
    <x v="880"/>
    <x v="1"/>
    <x v="3"/>
    <x v="1"/>
    <x v="1"/>
    <n v="131"/>
    <n v="21"/>
    <x v="1"/>
    <x v="0"/>
    <x v="1"/>
    <x v="0"/>
    <x v="1"/>
    <x v="5"/>
    <s v="Saturday"/>
    <n v="12"/>
    <n v="0.86184210526315785"/>
    <n v="86.18421052631578"/>
    <x v="0"/>
  </r>
  <r>
    <n v="1989"/>
    <s v="71 Main St, CityE"/>
    <x v="545"/>
    <x v="0"/>
    <x v="74"/>
    <x v="2"/>
    <x v="2"/>
    <n v="165"/>
    <n v="12"/>
    <x v="2"/>
    <x v="2"/>
    <x v="2"/>
    <x v="0"/>
    <x v="2"/>
    <x v="3"/>
    <s v="Thursday"/>
    <n v="9"/>
    <n v="0.93220338983050843"/>
    <n v="93.220338983050837"/>
    <x v="0"/>
  </r>
  <r>
    <n v="1990"/>
    <s v="5 Main St, CityD"/>
    <x v="881"/>
    <x v="1"/>
    <x v="16"/>
    <x v="0"/>
    <x v="3"/>
    <n v="75"/>
    <n v="28"/>
    <x v="0"/>
    <x v="2"/>
    <x v="1"/>
    <x v="1"/>
    <x v="0"/>
    <x v="0"/>
    <s v="Monday"/>
    <n v="13"/>
    <n v="0.72815533980582525"/>
    <n v="72.815533980582529"/>
    <x v="0"/>
  </r>
  <r>
    <n v="1991"/>
    <s v="44 Pine St, CityC"/>
    <x v="882"/>
    <x v="0"/>
    <x v="50"/>
    <x v="0"/>
    <x v="0"/>
    <n v="88"/>
    <n v="13"/>
    <x v="2"/>
    <x v="4"/>
    <x v="0"/>
    <x v="2"/>
    <x v="2"/>
    <x v="4"/>
    <s v="Wednesday"/>
    <n v="8"/>
    <n v="0.87128712871287128"/>
    <n v="87.128712871287135"/>
    <x v="0"/>
  </r>
  <r>
    <n v="1992"/>
    <s v="416 Cedar St, CityA"/>
    <x v="883"/>
    <x v="0"/>
    <x v="44"/>
    <x v="2"/>
    <x v="4"/>
    <n v="151"/>
    <n v="17"/>
    <x v="2"/>
    <x v="4"/>
    <x v="0"/>
    <x v="1"/>
    <x v="2"/>
    <x v="5"/>
    <s v="Saturday"/>
    <n v="10"/>
    <n v="0.89880952380952384"/>
    <n v="89.88095238095238"/>
    <x v="0"/>
  </r>
  <r>
    <n v="1993"/>
    <s v="271 Elm St, CityE"/>
    <x v="884"/>
    <x v="0"/>
    <x v="26"/>
    <x v="1"/>
    <x v="0"/>
    <n v="63"/>
    <n v="27"/>
    <x v="2"/>
    <x v="4"/>
    <x v="0"/>
    <x v="0"/>
    <x v="2"/>
    <x v="2"/>
    <s v="Sunday"/>
    <n v="10"/>
    <n v="0.7"/>
    <n v="70"/>
    <x v="0"/>
  </r>
  <r>
    <n v="1994"/>
    <s v="963 Cedar St, CityB"/>
    <x v="885"/>
    <x v="0"/>
    <x v="12"/>
    <x v="1"/>
    <x v="1"/>
    <n v="162"/>
    <n v="25"/>
    <x v="2"/>
    <x v="4"/>
    <x v="2"/>
    <x v="1"/>
    <x v="2"/>
    <x v="5"/>
    <s v="Saturday"/>
    <n v="9"/>
    <n v="0.86631016042780751"/>
    <n v="86.631016042780757"/>
    <x v="0"/>
  </r>
  <r>
    <n v="1995"/>
    <s v="84 Oak St, CityB"/>
    <x v="886"/>
    <x v="1"/>
    <x v="10"/>
    <x v="2"/>
    <x v="3"/>
    <n v="172"/>
    <n v="29"/>
    <x v="0"/>
    <x v="0"/>
    <x v="0"/>
    <x v="1"/>
    <x v="0"/>
    <x v="1"/>
    <s v="Friday"/>
    <n v="13"/>
    <n v="0.85572139303482586"/>
    <n v="85.572139303482587"/>
    <x v="0"/>
  </r>
  <r>
    <n v="1996"/>
    <s v="190 Cedar St, CityA"/>
    <x v="887"/>
    <x v="1"/>
    <x v="38"/>
    <x v="2"/>
    <x v="1"/>
    <n v="236"/>
    <n v="27"/>
    <x v="0"/>
    <x v="4"/>
    <x v="2"/>
    <x v="1"/>
    <x v="0"/>
    <x v="3"/>
    <s v="Thursday"/>
    <n v="13"/>
    <n v="0.89733840304182511"/>
    <n v="89.733840304182507"/>
    <x v="0"/>
  </r>
  <r>
    <n v="1997"/>
    <s v="646 Main St, CityD"/>
    <x v="888"/>
    <x v="0"/>
    <x v="45"/>
    <x v="2"/>
    <x v="4"/>
    <n v="145"/>
    <n v="14"/>
    <x v="1"/>
    <x v="0"/>
    <x v="1"/>
    <x v="0"/>
    <x v="1"/>
    <x v="6"/>
    <s v="Friday"/>
    <n v="12"/>
    <n v="0.91194968553459121"/>
    <n v="91.19496855345912"/>
    <x v="0"/>
  </r>
  <r>
    <n v="1998"/>
    <s v="224 Elm St, CityB"/>
    <x v="889"/>
    <x v="1"/>
    <x v="53"/>
    <x v="1"/>
    <x v="2"/>
    <n v="159"/>
    <n v="12"/>
    <x v="1"/>
    <x v="3"/>
    <x v="0"/>
    <x v="1"/>
    <x v="1"/>
    <x v="1"/>
    <s v="Friday"/>
    <n v="12"/>
    <n v="0.92982456140350878"/>
    <n v="92.982456140350877"/>
    <x v="0"/>
  </r>
  <r>
    <n v="1999"/>
    <s v="756 Cedar St, CityB"/>
    <x v="620"/>
    <x v="1"/>
    <x v="78"/>
    <x v="2"/>
    <x v="1"/>
    <n v="239"/>
    <n v="10"/>
    <x v="1"/>
    <x v="2"/>
    <x v="1"/>
    <x v="2"/>
    <x v="1"/>
    <x v="2"/>
    <s v="Sunday"/>
    <n v="8"/>
    <n v="0.95983935742971882"/>
    <n v="95.98393574297188"/>
    <x v="0"/>
  </r>
  <r>
    <n v="2000"/>
    <s v="418 Main St, CityE"/>
    <x v="890"/>
    <x v="0"/>
    <x v="82"/>
    <x v="1"/>
    <x v="1"/>
    <n v="138"/>
    <n v="25"/>
    <x v="0"/>
    <x v="4"/>
    <x v="2"/>
    <x v="0"/>
    <x v="0"/>
    <x v="6"/>
    <s v="Friday"/>
    <n v="14"/>
    <n v="0.84662576687116564"/>
    <n v="84.662576687116569"/>
    <x v="0"/>
  </r>
  <r>
    <n v="2001"/>
    <s v="897 Oak St, CityE"/>
    <x v="891"/>
    <x v="1"/>
    <x v="11"/>
    <x v="0"/>
    <x v="2"/>
    <n v="168"/>
    <n v="13"/>
    <x v="2"/>
    <x v="4"/>
    <x v="1"/>
    <x v="1"/>
    <x v="2"/>
    <x v="7"/>
    <s v="Tuesday"/>
    <n v="14"/>
    <n v="0.92817679558011046"/>
    <n v="92.817679558011051"/>
    <x v="0"/>
  </r>
  <r>
    <n v="2002"/>
    <s v="814 Elm St, CityD"/>
    <x v="892"/>
    <x v="1"/>
    <x v="47"/>
    <x v="1"/>
    <x v="1"/>
    <n v="133"/>
    <n v="25"/>
    <x v="0"/>
    <x v="4"/>
    <x v="0"/>
    <x v="0"/>
    <x v="0"/>
    <x v="3"/>
    <s v="Thursday"/>
    <n v="16"/>
    <n v="0.84177215189873422"/>
    <n v="84.177215189873422"/>
    <x v="0"/>
  </r>
  <r>
    <n v="2003"/>
    <s v="561 Elm St, CityA"/>
    <x v="893"/>
    <x v="0"/>
    <x v="54"/>
    <x v="2"/>
    <x v="0"/>
    <n v="158"/>
    <n v="16"/>
    <x v="2"/>
    <x v="0"/>
    <x v="0"/>
    <x v="0"/>
    <x v="2"/>
    <x v="7"/>
    <s v="Tuesday"/>
    <n v="15"/>
    <n v="0.90804597701149425"/>
    <n v="90.804597701149419"/>
    <x v="0"/>
  </r>
  <r>
    <n v="2004"/>
    <s v="441 Elm St, CityE"/>
    <x v="894"/>
    <x v="0"/>
    <x v="84"/>
    <x v="0"/>
    <x v="4"/>
    <n v="147"/>
    <n v="9"/>
    <x v="0"/>
    <x v="3"/>
    <x v="2"/>
    <x v="1"/>
    <x v="0"/>
    <x v="6"/>
    <s v="Friday"/>
    <n v="15"/>
    <n v="0.94230769230769229"/>
    <n v="94.230769230769226"/>
    <x v="0"/>
  </r>
  <r>
    <n v="2005"/>
    <s v="683 Pine St, CityB"/>
    <x v="895"/>
    <x v="1"/>
    <x v="65"/>
    <x v="2"/>
    <x v="2"/>
    <n v="141"/>
    <n v="9"/>
    <x v="2"/>
    <x v="2"/>
    <x v="2"/>
    <x v="0"/>
    <x v="2"/>
    <x v="5"/>
    <s v="Saturday"/>
    <n v="12"/>
    <n v="0.94"/>
    <n v="94"/>
    <x v="0"/>
  </r>
  <r>
    <n v="2006"/>
    <s v="845 Cedar St, CityC"/>
    <x v="896"/>
    <x v="1"/>
    <x v="65"/>
    <x v="1"/>
    <x v="3"/>
    <n v="230"/>
    <n v="23"/>
    <x v="2"/>
    <x v="4"/>
    <x v="0"/>
    <x v="0"/>
    <x v="2"/>
    <x v="0"/>
    <s v="Monday"/>
    <n v="14"/>
    <n v="0.90909090909090906"/>
    <n v="90.909090909090907"/>
    <x v="0"/>
  </r>
  <r>
    <n v="2007"/>
    <s v="353 Elm St, CityD"/>
    <x v="897"/>
    <x v="1"/>
    <x v="14"/>
    <x v="2"/>
    <x v="1"/>
    <n v="159"/>
    <n v="21"/>
    <x v="2"/>
    <x v="2"/>
    <x v="2"/>
    <x v="2"/>
    <x v="2"/>
    <x v="4"/>
    <s v="Wednesday"/>
    <n v="14"/>
    <n v="0.8833333333333333"/>
    <n v="88.333333333333329"/>
    <x v="0"/>
  </r>
  <r>
    <n v="2008"/>
    <s v="998 Cedar St, CityD"/>
    <x v="898"/>
    <x v="1"/>
    <x v="77"/>
    <x v="2"/>
    <x v="2"/>
    <n v="79"/>
    <n v="12"/>
    <x v="0"/>
    <x v="3"/>
    <x v="0"/>
    <x v="2"/>
    <x v="0"/>
    <x v="1"/>
    <s v="Friday"/>
    <n v="14"/>
    <n v="0.86813186813186816"/>
    <n v="86.813186813186817"/>
    <x v="0"/>
  </r>
  <r>
    <n v="2009"/>
    <s v="933 Cedar St, CityC"/>
    <x v="899"/>
    <x v="1"/>
    <x v="18"/>
    <x v="2"/>
    <x v="1"/>
    <n v="88"/>
    <n v="1"/>
    <x v="2"/>
    <x v="4"/>
    <x v="0"/>
    <x v="1"/>
    <x v="2"/>
    <x v="4"/>
    <s v="Wednesday"/>
    <n v="12"/>
    <n v="0.9887640449438202"/>
    <n v="98.876404494382015"/>
    <x v="0"/>
  </r>
  <r>
    <n v="2010"/>
    <s v="276 Elm St, CityE"/>
    <x v="900"/>
    <x v="0"/>
    <x v="50"/>
    <x v="2"/>
    <x v="4"/>
    <n v="210"/>
    <n v="0"/>
    <x v="2"/>
    <x v="3"/>
    <x v="0"/>
    <x v="0"/>
    <x v="2"/>
    <x v="3"/>
    <s v="Thursday"/>
    <n v="8"/>
    <n v="1"/>
    <n v="100"/>
    <x v="1"/>
  </r>
  <r>
    <n v="2011"/>
    <s v="877 Main St, CityD"/>
    <x v="901"/>
    <x v="1"/>
    <x v="15"/>
    <x v="2"/>
    <x v="1"/>
    <n v="217"/>
    <n v="29"/>
    <x v="1"/>
    <x v="0"/>
    <x v="1"/>
    <x v="0"/>
    <x v="1"/>
    <x v="4"/>
    <s v="Wednesday"/>
    <n v="11"/>
    <n v="0.88211382113821135"/>
    <n v="88.211382113821131"/>
    <x v="0"/>
  </r>
  <r>
    <n v="2012"/>
    <s v="262 Cedar St, CityD"/>
    <x v="695"/>
    <x v="1"/>
    <x v="67"/>
    <x v="0"/>
    <x v="0"/>
    <n v="192"/>
    <n v="8"/>
    <x v="2"/>
    <x v="4"/>
    <x v="1"/>
    <x v="1"/>
    <x v="2"/>
    <x v="0"/>
    <s v="Monday"/>
    <n v="11"/>
    <n v="0.96"/>
    <n v="96"/>
    <x v="0"/>
  </r>
  <r>
    <n v="2013"/>
    <s v="2 Main St, CityD"/>
    <x v="902"/>
    <x v="1"/>
    <x v="54"/>
    <x v="0"/>
    <x v="0"/>
    <n v="94"/>
    <n v="28"/>
    <x v="0"/>
    <x v="1"/>
    <x v="1"/>
    <x v="1"/>
    <x v="0"/>
    <x v="3"/>
    <s v="Thursday"/>
    <n v="8"/>
    <n v="0.77049180327868849"/>
    <n v="77.049180327868854"/>
    <x v="0"/>
  </r>
  <r>
    <n v="2014"/>
    <s v="605 Elm St, CityC"/>
    <x v="903"/>
    <x v="1"/>
    <x v="5"/>
    <x v="0"/>
    <x v="1"/>
    <n v="221"/>
    <n v="8"/>
    <x v="2"/>
    <x v="3"/>
    <x v="2"/>
    <x v="2"/>
    <x v="2"/>
    <x v="3"/>
    <s v="Thursday"/>
    <n v="12"/>
    <n v="0.96506550218340614"/>
    <n v="96.506550218340621"/>
    <x v="0"/>
  </r>
  <r>
    <n v="2015"/>
    <s v="708 Elm St, CityE"/>
    <x v="904"/>
    <x v="0"/>
    <x v="31"/>
    <x v="2"/>
    <x v="0"/>
    <n v="198"/>
    <n v="27"/>
    <x v="2"/>
    <x v="2"/>
    <x v="1"/>
    <x v="1"/>
    <x v="2"/>
    <x v="6"/>
    <s v="Friday"/>
    <n v="10"/>
    <n v="0.88"/>
    <n v="88"/>
    <x v="0"/>
  </r>
  <r>
    <n v="2016"/>
    <s v="189 Cedar St, CityA"/>
    <x v="558"/>
    <x v="0"/>
    <x v="56"/>
    <x v="0"/>
    <x v="1"/>
    <n v="111"/>
    <n v="8"/>
    <x v="1"/>
    <x v="2"/>
    <x v="0"/>
    <x v="2"/>
    <x v="1"/>
    <x v="4"/>
    <s v="Wednesday"/>
    <n v="9"/>
    <n v="0.9327731092436975"/>
    <n v="93.277310924369743"/>
    <x v="0"/>
  </r>
  <r>
    <n v="2017"/>
    <s v="991 Elm St, CityB"/>
    <x v="905"/>
    <x v="1"/>
    <x v="59"/>
    <x v="2"/>
    <x v="2"/>
    <n v="193"/>
    <n v="27"/>
    <x v="1"/>
    <x v="4"/>
    <x v="0"/>
    <x v="1"/>
    <x v="1"/>
    <x v="3"/>
    <s v="Thursday"/>
    <n v="10"/>
    <n v="0.87727272727272732"/>
    <n v="87.727272727272734"/>
    <x v="0"/>
  </r>
  <r>
    <n v="2018"/>
    <s v="729 Main St, CityB"/>
    <x v="906"/>
    <x v="0"/>
    <x v="59"/>
    <x v="1"/>
    <x v="4"/>
    <n v="219"/>
    <n v="14"/>
    <x v="0"/>
    <x v="4"/>
    <x v="1"/>
    <x v="0"/>
    <x v="0"/>
    <x v="0"/>
    <s v="Monday"/>
    <n v="11"/>
    <n v="0.93991416309012876"/>
    <n v="93.991416309012877"/>
    <x v="0"/>
  </r>
  <r>
    <n v="2019"/>
    <s v="256 Main St, CityA"/>
    <x v="907"/>
    <x v="0"/>
    <x v="33"/>
    <x v="2"/>
    <x v="2"/>
    <n v="84"/>
    <n v="13"/>
    <x v="2"/>
    <x v="3"/>
    <x v="2"/>
    <x v="0"/>
    <x v="2"/>
    <x v="4"/>
    <s v="Wednesday"/>
    <n v="8"/>
    <n v="0.865979381443299"/>
    <n v="86.597938144329902"/>
    <x v="0"/>
  </r>
  <r>
    <n v="2020"/>
    <s v="701 Pine St, CityB"/>
    <x v="908"/>
    <x v="0"/>
    <x v="76"/>
    <x v="2"/>
    <x v="4"/>
    <n v="200"/>
    <n v="10"/>
    <x v="2"/>
    <x v="3"/>
    <x v="1"/>
    <x v="2"/>
    <x v="2"/>
    <x v="1"/>
    <s v="Friday"/>
    <n v="15"/>
    <n v="0.95238095238095233"/>
    <n v="95.238095238095227"/>
    <x v="0"/>
  </r>
  <r>
    <n v="2021"/>
    <s v="989 Elm St, CityC"/>
    <x v="909"/>
    <x v="0"/>
    <x v="56"/>
    <x v="0"/>
    <x v="0"/>
    <n v="78"/>
    <n v="17"/>
    <x v="0"/>
    <x v="3"/>
    <x v="2"/>
    <x v="2"/>
    <x v="0"/>
    <x v="4"/>
    <s v="Wednesday"/>
    <n v="10"/>
    <n v="0.82105263157894737"/>
    <n v="82.10526315789474"/>
    <x v="0"/>
  </r>
  <r>
    <n v="2022"/>
    <s v="983 Main St, CityE"/>
    <x v="910"/>
    <x v="0"/>
    <x v="69"/>
    <x v="0"/>
    <x v="4"/>
    <n v="111"/>
    <n v="18"/>
    <x v="2"/>
    <x v="0"/>
    <x v="1"/>
    <x v="2"/>
    <x v="2"/>
    <x v="2"/>
    <s v="Sunday"/>
    <n v="9"/>
    <n v="0.86046511627906974"/>
    <n v="86.04651162790698"/>
    <x v="0"/>
  </r>
  <r>
    <n v="2023"/>
    <s v="3 Elm St, CityA"/>
    <x v="911"/>
    <x v="0"/>
    <x v="86"/>
    <x v="1"/>
    <x v="0"/>
    <n v="205"/>
    <n v="10"/>
    <x v="2"/>
    <x v="1"/>
    <x v="2"/>
    <x v="2"/>
    <x v="2"/>
    <x v="0"/>
    <s v="Monday"/>
    <n v="15"/>
    <n v="0.95348837209302328"/>
    <n v="95.348837209302332"/>
    <x v="0"/>
  </r>
  <r>
    <n v="2024"/>
    <s v="850 Main St, CityD"/>
    <x v="912"/>
    <x v="0"/>
    <x v="86"/>
    <x v="0"/>
    <x v="2"/>
    <n v="218"/>
    <n v="24"/>
    <x v="1"/>
    <x v="0"/>
    <x v="0"/>
    <x v="1"/>
    <x v="1"/>
    <x v="0"/>
    <s v="Monday"/>
    <n v="14"/>
    <n v="0.90082644628099173"/>
    <n v="90.082644628099175"/>
    <x v="0"/>
  </r>
  <r>
    <n v="2025"/>
    <s v="110 Oak St, CityB"/>
    <x v="913"/>
    <x v="1"/>
    <x v="34"/>
    <x v="1"/>
    <x v="0"/>
    <n v="161"/>
    <n v="2"/>
    <x v="1"/>
    <x v="0"/>
    <x v="0"/>
    <x v="2"/>
    <x v="1"/>
    <x v="4"/>
    <s v="Wednesday"/>
    <n v="9"/>
    <n v="0.98773006134969321"/>
    <n v="98.773006134969322"/>
    <x v="0"/>
  </r>
  <r>
    <n v="2026"/>
    <s v="458 Elm St, CityB"/>
    <x v="914"/>
    <x v="0"/>
    <x v="88"/>
    <x v="2"/>
    <x v="4"/>
    <n v="224"/>
    <n v="15"/>
    <x v="2"/>
    <x v="1"/>
    <x v="2"/>
    <x v="1"/>
    <x v="2"/>
    <x v="4"/>
    <s v="Wednesday"/>
    <n v="12"/>
    <n v="0.93723849372384938"/>
    <n v="93.723849372384933"/>
    <x v="0"/>
  </r>
  <r>
    <n v="2027"/>
    <s v="742 Main St, CityC"/>
    <x v="915"/>
    <x v="0"/>
    <x v="99"/>
    <x v="2"/>
    <x v="3"/>
    <n v="134"/>
    <n v="1"/>
    <x v="1"/>
    <x v="3"/>
    <x v="1"/>
    <x v="1"/>
    <x v="1"/>
    <x v="7"/>
    <s v="Tuesday"/>
    <n v="14"/>
    <n v="0.99259259259259258"/>
    <n v="99.259259259259252"/>
    <x v="0"/>
  </r>
  <r>
    <n v="2028"/>
    <s v="333 Pine St, CityD"/>
    <x v="916"/>
    <x v="0"/>
    <x v="2"/>
    <x v="0"/>
    <x v="3"/>
    <n v="157"/>
    <n v="20"/>
    <x v="1"/>
    <x v="0"/>
    <x v="1"/>
    <x v="2"/>
    <x v="1"/>
    <x v="3"/>
    <s v="Thursday"/>
    <n v="14"/>
    <n v="0.88700564971751417"/>
    <n v="88.700564971751419"/>
    <x v="0"/>
  </r>
  <r>
    <n v="2029"/>
    <s v="676 Cedar St, CityC"/>
    <x v="917"/>
    <x v="0"/>
    <x v="35"/>
    <x v="1"/>
    <x v="0"/>
    <n v="139"/>
    <n v="3"/>
    <x v="1"/>
    <x v="4"/>
    <x v="1"/>
    <x v="1"/>
    <x v="1"/>
    <x v="4"/>
    <s v="Wednesday"/>
    <n v="11"/>
    <n v="0.97887323943661975"/>
    <n v="97.887323943661968"/>
    <x v="0"/>
  </r>
  <r>
    <n v="2030"/>
    <s v="455 Elm St, CityB"/>
    <x v="134"/>
    <x v="1"/>
    <x v="78"/>
    <x v="1"/>
    <x v="3"/>
    <n v="201"/>
    <n v="14"/>
    <x v="1"/>
    <x v="1"/>
    <x v="1"/>
    <x v="2"/>
    <x v="1"/>
    <x v="7"/>
    <s v="Tuesday"/>
    <n v="12"/>
    <n v="0.93488372093023253"/>
    <n v="93.488372093023258"/>
    <x v="0"/>
  </r>
  <r>
    <n v="2031"/>
    <s v="212 Pine St, CityC"/>
    <x v="918"/>
    <x v="1"/>
    <x v="72"/>
    <x v="1"/>
    <x v="1"/>
    <n v="181"/>
    <n v="19"/>
    <x v="0"/>
    <x v="3"/>
    <x v="1"/>
    <x v="1"/>
    <x v="0"/>
    <x v="7"/>
    <s v="Tuesday"/>
    <n v="11"/>
    <n v="0.90500000000000003"/>
    <n v="90.5"/>
    <x v="0"/>
  </r>
  <r>
    <n v="2032"/>
    <s v="193 Elm St, CityD"/>
    <x v="919"/>
    <x v="0"/>
    <x v="61"/>
    <x v="2"/>
    <x v="1"/>
    <n v="93"/>
    <n v="18"/>
    <x v="1"/>
    <x v="0"/>
    <x v="2"/>
    <x v="1"/>
    <x v="1"/>
    <x v="7"/>
    <s v="Tuesday"/>
    <n v="9"/>
    <n v="0.83783783783783783"/>
    <n v="83.78378378378379"/>
    <x v="0"/>
  </r>
  <r>
    <n v="2033"/>
    <s v="501 Oak St, CityD"/>
    <x v="920"/>
    <x v="1"/>
    <x v="71"/>
    <x v="2"/>
    <x v="2"/>
    <n v="150"/>
    <n v="3"/>
    <x v="2"/>
    <x v="3"/>
    <x v="2"/>
    <x v="2"/>
    <x v="2"/>
    <x v="0"/>
    <s v="Monday"/>
    <n v="9"/>
    <n v="0.98039215686274506"/>
    <n v="98.039215686274503"/>
    <x v="0"/>
  </r>
  <r>
    <n v="2034"/>
    <s v="51 Oak St, CityA"/>
    <x v="921"/>
    <x v="0"/>
    <x v="67"/>
    <x v="2"/>
    <x v="4"/>
    <n v="91"/>
    <n v="22"/>
    <x v="1"/>
    <x v="1"/>
    <x v="2"/>
    <x v="1"/>
    <x v="1"/>
    <x v="7"/>
    <s v="Tuesday"/>
    <n v="11"/>
    <n v="0.80530973451327437"/>
    <n v="80.530973451327441"/>
    <x v="0"/>
  </r>
  <r>
    <n v="2035"/>
    <s v="444 Pine St, CityB"/>
    <x v="922"/>
    <x v="1"/>
    <x v="16"/>
    <x v="2"/>
    <x v="0"/>
    <n v="197"/>
    <n v="5"/>
    <x v="0"/>
    <x v="2"/>
    <x v="2"/>
    <x v="1"/>
    <x v="0"/>
    <x v="6"/>
    <s v="Friday"/>
    <n v="12"/>
    <n v="0.97524752475247523"/>
    <n v="97.524752475247524"/>
    <x v="0"/>
  </r>
  <r>
    <n v="2036"/>
    <s v="63 Main St, CityD"/>
    <x v="923"/>
    <x v="1"/>
    <x v="77"/>
    <x v="0"/>
    <x v="0"/>
    <n v="173"/>
    <n v="2"/>
    <x v="0"/>
    <x v="2"/>
    <x v="0"/>
    <x v="0"/>
    <x v="0"/>
    <x v="7"/>
    <s v="Tuesday"/>
    <n v="12"/>
    <n v="0.98857142857142855"/>
    <n v="98.857142857142861"/>
    <x v="0"/>
  </r>
  <r>
    <n v="2037"/>
    <s v="537 Oak St, CityB"/>
    <x v="924"/>
    <x v="0"/>
    <x v="88"/>
    <x v="1"/>
    <x v="0"/>
    <n v="153"/>
    <n v="1"/>
    <x v="0"/>
    <x v="1"/>
    <x v="2"/>
    <x v="1"/>
    <x v="0"/>
    <x v="1"/>
    <s v="Friday"/>
    <n v="14"/>
    <n v="0.99350649350649356"/>
    <n v="99.350649350649363"/>
    <x v="0"/>
  </r>
  <r>
    <n v="2038"/>
    <s v="424 Main St, CityC"/>
    <x v="925"/>
    <x v="0"/>
    <x v="12"/>
    <x v="0"/>
    <x v="3"/>
    <n v="173"/>
    <n v="21"/>
    <x v="2"/>
    <x v="0"/>
    <x v="2"/>
    <x v="2"/>
    <x v="2"/>
    <x v="2"/>
    <s v="Sunday"/>
    <n v="16"/>
    <n v="0.89175257731958768"/>
    <n v="89.175257731958766"/>
    <x v="0"/>
  </r>
  <r>
    <n v="2039"/>
    <s v="145 Oak St, CityC"/>
    <x v="683"/>
    <x v="0"/>
    <x v="1"/>
    <x v="1"/>
    <x v="0"/>
    <n v="179"/>
    <n v="14"/>
    <x v="0"/>
    <x v="4"/>
    <x v="2"/>
    <x v="1"/>
    <x v="0"/>
    <x v="1"/>
    <s v="Friday"/>
    <n v="10"/>
    <n v="0.92746113989637302"/>
    <n v="92.746113989637308"/>
    <x v="0"/>
  </r>
  <r>
    <n v="2040"/>
    <s v="182 Pine St, CityA"/>
    <x v="926"/>
    <x v="0"/>
    <x v="36"/>
    <x v="0"/>
    <x v="4"/>
    <n v="237"/>
    <n v="7"/>
    <x v="1"/>
    <x v="0"/>
    <x v="2"/>
    <x v="0"/>
    <x v="1"/>
    <x v="3"/>
    <s v="Thursday"/>
    <n v="13"/>
    <n v="0.97131147540983609"/>
    <n v="97.131147540983605"/>
    <x v="0"/>
  </r>
  <r>
    <n v="2041"/>
    <s v="485 Cedar St, CityA"/>
    <x v="927"/>
    <x v="1"/>
    <x v="19"/>
    <x v="0"/>
    <x v="2"/>
    <n v="218"/>
    <n v="28"/>
    <x v="1"/>
    <x v="4"/>
    <x v="1"/>
    <x v="1"/>
    <x v="1"/>
    <x v="6"/>
    <s v="Friday"/>
    <n v="10"/>
    <n v="0.88617886178861793"/>
    <n v="88.617886178861795"/>
    <x v="0"/>
  </r>
  <r>
    <n v="2042"/>
    <s v="601 Pine St, CityC"/>
    <x v="650"/>
    <x v="0"/>
    <x v="59"/>
    <x v="1"/>
    <x v="3"/>
    <n v="238"/>
    <n v="8"/>
    <x v="0"/>
    <x v="3"/>
    <x v="1"/>
    <x v="2"/>
    <x v="0"/>
    <x v="7"/>
    <s v="Tuesday"/>
    <n v="11"/>
    <n v="0.96747967479674801"/>
    <n v="96.747967479674799"/>
    <x v="0"/>
  </r>
  <r>
    <n v="2043"/>
    <s v="311 Elm St, CityD"/>
    <x v="928"/>
    <x v="0"/>
    <x v="96"/>
    <x v="1"/>
    <x v="1"/>
    <n v="131"/>
    <n v="7"/>
    <x v="0"/>
    <x v="2"/>
    <x v="0"/>
    <x v="1"/>
    <x v="0"/>
    <x v="2"/>
    <s v="Sunday"/>
    <n v="9"/>
    <n v="0.94927536231884058"/>
    <n v="94.927536231884062"/>
    <x v="0"/>
  </r>
  <r>
    <n v="2044"/>
    <s v="206 Oak St, CityD"/>
    <x v="827"/>
    <x v="0"/>
    <x v="78"/>
    <x v="0"/>
    <x v="1"/>
    <n v="182"/>
    <n v="17"/>
    <x v="2"/>
    <x v="2"/>
    <x v="2"/>
    <x v="1"/>
    <x v="2"/>
    <x v="6"/>
    <s v="Friday"/>
    <n v="9"/>
    <n v="0.914572864321608"/>
    <n v="91.457286432160799"/>
    <x v="0"/>
  </r>
  <r>
    <n v="2045"/>
    <s v="987 Pine St, CityC"/>
    <x v="929"/>
    <x v="1"/>
    <x v="68"/>
    <x v="1"/>
    <x v="2"/>
    <n v="102"/>
    <n v="4"/>
    <x v="1"/>
    <x v="0"/>
    <x v="0"/>
    <x v="0"/>
    <x v="1"/>
    <x v="2"/>
    <s v="Sunday"/>
    <n v="10"/>
    <n v="0.96226415094339623"/>
    <n v="96.226415094339629"/>
    <x v="0"/>
  </r>
  <r>
    <n v="2046"/>
    <s v="165 Pine St, CityB"/>
    <x v="170"/>
    <x v="0"/>
    <x v="71"/>
    <x v="0"/>
    <x v="0"/>
    <n v="102"/>
    <n v="24"/>
    <x v="2"/>
    <x v="1"/>
    <x v="0"/>
    <x v="2"/>
    <x v="2"/>
    <x v="6"/>
    <s v="Friday"/>
    <n v="9"/>
    <n v="0.80952380952380953"/>
    <n v="80.952380952380949"/>
    <x v="0"/>
  </r>
  <r>
    <n v="2047"/>
    <s v="449 Elm St, CityA"/>
    <x v="930"/>
    <x v="1"/>
    <x v="50"/>
    <x v="1"/>
    <x v="1"/>
    <n v="121"/>
    <n v="0"/>
    <x v="1"/>
    <x v="0"/>
    <x v="2"/>
    <x v="1"/>
    <x v="1"/>
    <x v="4"/>
    <s v="Wednesday"/>
    <n v="8"/>
    <n v="1"/>
    <n v="100"/>
    <x v="1"/>
  </r>
  <r>
    <n v="2048"/>
    <s v="800 Elm St, CityD"/>
    <x v="931"/>
    <x v="1"/>
    <x v="45"/>
    <x v="2"/>
    <x v="2"/>
    <n v="232"/>
    <n v="24"/>
    <x v="2"/>
    <x v="1"/>
    <x v="0"/>
    <x v="1"/>
    <x v="2"/>
    <x v="4"/>
    <s v="Wednesday"/>
    <n v="12"/>
    <n v="0.90625"/>
    <n v="90.625"/>
    <x v="0"/>
  </r>
  <r>
    <n v="2049"/>
    <s v="394 Elm St, CityE"/>
    <x v="932"/>
    <x v="0"/>
    <x v="10"/>
    <x v="0"/>
    <x v="0"/>
    <n v="100"/>
    <n v="12"/>
    <x v="1"/>
    <x v="4"/>
    <x v="0"/>
    <x v="1"/>
    <x v="1"/>
    <x v="3"/>
    <s v="Thursday"/>
    <n v="11"/>
    <n v="0.8928571428571429"/>
    <n v="89.285714285714292"/>
    <x v="0"/>
  </r>
  <r>
    <n v="2050"/>
    <s v="522 Elm St, CityA"/>
    <x v="81"/>
    <x v="1"/>
    <x v="70"/>
    <x v="2"/>
    <x v="1"/>
    <n v="123"/>
    <n v="26"/>
    <x v="0"/>
    <x v="1"/>
    <x v="1"/>
    <x v="2"/>
    <x v="0"/>
    <x v="6"/>
    <s v="Friday"/>
    <n v="13"/>
    <n v="0.82550335570469802"/>
    <n v="82.550335570469798"/>
    <x v="0"/>
  </r>
  <r>
    <n v="2051"/>
    <s v="275 Oak St, CityE"/>
    <x v="402"/>
    <x v="0"/>
    <x v="58"/>
    <x v="2"/>
    <x v="0"/>
    <n v="147"/>
    <n v="28"/>
    <x v="2"/>
    <x v="3"/>
    <x v="2"/>
    <x v="1"/>
    <x v="2"/>
    <x v="2"/>
    <s v="Sunday"/>
    <n v="10"/>
    <n v="0.84"/>
    <n v="84"/>
    <x v="0"/>
  </r>
  <r>
    <n v="2052"/>
    <s v="261 Main St, CityC"/>
    <x v="216"/>
    <x v="1"/>
    <x v="44"/>
    <x v="0"/>
    <x v="2"/>
    <n v="172"/>
    <n v="3"/>
    <x v="2"/>
    <x v="3"/>
    <x v="0"/>
    <x v="2"/>
    <x v="2"/>
    <x v="1"/>
    <s v="Friday"/>
    <n v="8"/>
    <n v="0.98285714285714287"/>
    <n v="98.285714285714292"/>
    <x v="0"/>
  </r>
  <r>
    <n v="2053"/>
    <s v="883 Cedar St, CityC"/>
    <x v="933"/>
    <x v="0"/>
    <x v="86"/>
    <x v="1"/>
    <x v="1"/>
    <n v="238"/>
    <n v="29"/>
    <x v="1"/>
    <x v="2"/>
    <x v="2"/>
    <x v="1"/>
    <x v="1"/>
    <x v="7"/>
    <s v="Tuesday"/>
    <n v="8"/>
    <n v="0.89138576779026213"/>
    <n v="89.138576779026209"/>
    <x v="0"/>
  </r>
  <r>
    <n v="2054"/>
    <s v="765 Pine St, CityA"/>
    <x v="934"/>
    <x v="1"/>
    <x v="87"/>
    <x v="1"/>
    <x v="4"/>
    <n v="142"/>
    <n v="22"/>
    <x v="1"/>
    <x v="0"/>
    <x v="2"/>
    <x v="1"/>
    <x v="1"/>
    <x v="7"/>
    <s v="Tuesday"/>
    <n v="14"/>
    <n v="0.86585365853658536"/>
    <n v="86.58536585365853"/>
    <x v="0"/>
  </r>
  <r>
    <n v="2055"/>
    <s v="65 Cedar St, CityA"/>
    <x v="935"/>
    <x v="1"/>
    <x v="83"/>
    <x v="0"/>
    <x v="2"/>
    <n v="92"/>
    <n v="29"/>
    <x v="1"/>
    <x v="3"/>
    <x v="0"/>
    <x v="2"/>
    <x v="1"/>
    <x v="5"/>
    <s v="Saturday"/>
    <n v="14"/>
    <n v="0.76033057851239672"/>
    <n v="76.033057851239676"/>
    <x v="0"/>
  </r>
  <r>
    <n v="2056"/>
    <s v="248 Oak St, CityC"/>
    <x v="936"/>
    <x v="0"/>
    <x v="73"/>
    <x v="1"/>
    <x v="2"/>
    <n v="177"/>
    <n v="18"/>
    <x v="1"/>
    <x v="3"/>
    <x v="2"/>
    <x v="1"/>
    <x v="1"/>
    <x v="0"/>
    <s v="Monday"/>
    <n v="10"/>
    <n v="0.90769230769230769"/>
    <n v="90.769230769230774"/>
    <x v="0"/>
  </r>
  <r>
    <n v="2057"/>
    <s v="830 Elm St, CityE"/>
    <x v="937"/>
    <x v="1"/>
    <x v="65"/>
    <x v="1"/>
    <x v="2"/>
    <n v="118"/>
    <n v="2"/>
    <x v="1"/>
    <x v="4"/>
    <x v="2"/>
    <x v="1"/>
    <x v="1"/>
    <x v="1"/>
    <s v="Friday"/>
    <n v="8"/>
    <n v="0.98333333333333328"/>
    <n v="98.333333333333329"/>
    <x v="0"/>
  </r>
  <r>
    <n v="2058"/>
    <s v="877 Cedar St, CityE"/>
    <x v="938"/>
    <x v="1"/>
    <x v="75"/>
    <x v="0"/>
    <x v="4"/>
    <n v="127"/>
    <n v="22"/>
    <x v="1"/>
    <x v="2"/>
    <x v="0"/>
    <x v="2"/>
    <x v="1"/>
    <x v="4"/>
    <s v="Wednesday"/>
    <n v="10"/>
    <n v="0.8523489932885906"/>
    <n v="85.234899328859058"/>
    <x v="0"/>
  </r>
  <r>
    <n v="2059"/>
    <s v="819 Cedar St, CityB"/>
    <x v="868"/>
    <x v="0"/>
    <x v="96"/>
    <x v="0"/>
    <x v="1"/>
    <n v="183"/>
    <n v="14"/>
    <x v="2"/>
    <x v="0"/>
    <x v="1"/>
    <x v="0"/>
    <x v="2"/>
    <x v="5"/>
    <s v="Saturday"/>
    <n v="9"/>
    <n v="0.92893401015228427"/>
    <n v="92.89340101522842"/>
    <x v="0"/>
  </r>
  <r>
    <n v="2060"/>
    <s v="643 Pine St, CityE"/>
    <x v="939"/>
    <x v="1"/>
    <x v="92"/>
    <x v="2"/>
    <x v="0"/>
    <n v="149"/>
    <n v="29"/>
    <x v="0"/>
    <x v="0"/>
    <x v="0"/>
    <x v="2"/>
    <x v="0"/>
    <x v="6"/>
    <s v="Friday"/>
    <n v="11"/>
    <n v="0.8370786516853933"/>
    <n v="83.707865168539328"/>
    <x v="0"/>
  </r>
  <r>
    <n v="2061"/>
    <s v="4 Elm St, CityA"/>
    <x v="940"/>
    <x v="1"/>
    <x v="72"/>
    <x v="1"/>
    <x v="1"/>
    <n v="145"/>
    <n v="6"/>
    <x v="2"/>
    <x v="4"/>
    <x v="0"/>
    <x v="1"/>
    <x v="2"/>
    <x v="3"/>
    <s v="Thursday"/>
    <n v="13"/>
    <n v="0.96026490066225167"/>
    <n v="96.026490066225165"/>
    <x v="0"/>
  </r>
  <r>
    <n v="2062"/>
    <s v="336 Cedar St, CityD"/>
    <x v="941"/>
    <x v="1"/>
    <x v="2"/>
    <x v="2"/>
    <x v="0"/>
    <n v="154"/>
    <n v="4"/>
    <x v="0"/>
    <x v="1"/>
    <x v="0"/>
    <x v="1"/>
    <x v="0"/>
    <x v="3"/>
    <s v="Thursday"/>
    <n v="13"/>
    <n v="0.97468354430379744"/>
    <n v="97.468354430379748"/>
    <x v="0"/>
  </r>
  <r>
    <n v="2063"/>
    <s v="582 Oak St, CityA"/>
    <x v="26"/>
    <x v="1"/>
    <x v="92"/>
    <x v="0"/>
    <x v="4"/>
    <n v="135"/>
    <n v="24"/>
    <x v="2"/>
    <x v="3"/>
    <x v="2"/>
    <x v="0"/>
    <x v="2"/>
    <x v="4"/>
    <s v="Wednesday"/>
    <n v="11"/>
    <n v="0.84905660377358494"/>
    <n v="84.905660377358487"/>
    <x v="0"/>
  </r>
  <r>
    <n v="2064"/>
    <s v="493 Elm St, CityB"/>
    <x v="942"/>
    <x v="0"/>
    <x v="25"/>
    <x v="1"/>
    <x v="1"/>
    <n v="170"/>
    <n v="28"/>
    <x v="2"/>
    <x v="4"/>
    <x v="1"/>
    <x v="1"/>
    <x v="2"/>
    <x v="3"/>
    <s v="Thursday"/>
    <n v="15"/>
    <n v="0.85858585858585856"/>
    <n v="85.858585858585855"/>
    <x v="0"/>
  </r>
  <r>
    <n v="2065"/>
    <s v="112 Oak St, CityD"/>
    <x v="943"/>
    <x v="1"/>
    <x v="72"/>
    <x v="1"/>
    <x v="4"/>
    <n v="203"/>
    <n v="24"/>
    <x v="1"/>
    <x v="2"/>
    <x v="2"/>
    <x v="0"/>
    <x v="1"/>
    <x v="0"/>
    <s v="Monday"/>
    <n v="9"/>
    <n v="0.89427312775330392"/>
    <n v="89.427312775330392"/>
    <x v="0"/>
  </r>
  <r>
    <n v="2066"/>
    <s v="258 Oak St, CityE"/>
    <x v="944"/>
    <x v="1"/>
    <x v="23"/>
    <x v="1"/>
    <x v="0"/>
    <n v="220"/>
    <n v="19"/>
    <x v="0"/>
    <x v="0"/>
    <x v="0"/>
    <x v="2"/>
    <x v="0"/>
    <x v="4"/>
    <s v="Wednesday"/>
    <n v="9"/>
    <n v="0.92050209205020916"/>
    <n v="92.05020920502092"/>
    <x v="0"/>
  </r>
  <r>
    <n v="2067"/>
    <s v="205 Pine St, CityE"/>
    <x v="945"/>
    <x v="0"/>
    <x v="4"/>
    <x v="2"/>
    <x v="1"/>
    <n v="86"/>
    <n v="13"/>
    <x v="2"/>
    <x v="4"/>
    <x v="2"/>
    <x v="0"/>
    <x v="2"/>
    <x v="0"/>
    <s v="Monday"/>
    <n v="16"/>
    <n v="0.86868686868686873"/>
    <n v="86.868686868686879"/>
    <x v="0"/>
  </r>
  <r>
    <n v="2068"/>
    <s v="579 Cedar St, CityC"/>
    <x v="946"/>
    <x v="0"/>
    <x v="85"/>
    <x v="1"/>
    <x v="2"/>
    <n v="221"/>
    <n v="8"/>
    <x v="0"/>
    <x v="3"/>
    <x v="0"/>
    <x v="1"/>
    <x v="0"/>
    <x v="4"/>
    <s v="Wednesday"/>
    <n v="12"/>
    <n v="0.96506550218340614"/>
    <n v="96.506550218340621"/>
    <x v="0"/>
  </r>
  <r>
    <n v="2069"/>
    <s v="99 Pine St, CityD"/>
    <x v="947"/>
    <x v="1"/>
    <x v="74"/>
    <x v="0"/>
    <x v="1"/>
    <n v="199"/>
    <n v="9"/>
    <x v="0"/>
    <x v="1"/>
    <x v="2"/>
    <x v="2"/>
    <x v="0"/>
    <x v="0"/>
    <s v="Monday"/>
    <n v="14"/>
    <n v="0.95673076923076927"/>
    <n v="95.673076923076934"/>
    <x v="0"/>
  </r>
  <r>
    <n v="2070"/>
    <s v="640 Elm St, CityB"/>
    <x v="948"/>
    <x v="0"/>
    <x v="54"/>
    <x v="0"/>
    <x v="4"/>
    <n v="207"/>
    <n v="5"/>
    <x v="2"/>
    <x v="2"/>
    <x v="2"/>
    <x v="1"/>
    <x v="2"/>
    <x v="0"/>
    <s v="Monday"/>
    <n v="9"/>
    <n v="0.97641509433962259"/>
    <n v="97.641509433962256"/>
    <x v="0"/>
  </r>
  <r>
    <n v="2071"/>
    <s v="333 Main St, CityC"/>
    <x v="949"/>
    <x v="1"/>
    <x v="24"/>
    <x v="1"/>
    <x v="2"/>
    <n v="202"/>
    <n v="1"/>
    <x v="0"/>
    <x v="3"/>
    <x v="2"/>
    <x v="2"/>
    <x v="0"/>
    <x v="4"/>
    <s v="Wednesday"/>
    <n v="16"/>
    <n v="0.99507389162561577"/>
    <n v="99.50738916256158"/>
    <x v="0"/>
  </r>
  <r>
    <n v="2072"/>
    <s v="366 Pine St, CityB"/>
    <x v="950"/>
    <x v="0"/>
    <x v="62"/>
    <x v="2"/>
    <x v="4"/>
    <n v="170"/>
    <n v="14"/>
    <x v="2"/>
    <x v="3"/>
    <x v="0"/>
    <x v="0"/>
    <x v="2"/>
    <x v="0"/>
    <s v="Monday"/>
    <n v="8"/>
    <n v="0.92391304347826086"/>
    <n v="92.391304347826093"/>
    <x v="0"/>
  </r>
  <r>
    <n v="2073"/>
    <s v="546 Oak St, CityD"/>
    <x v="951"/>
    <x v="1"/>
    <x v="96"/>
    <x v="1"/>
    <x v="3"/>
    <n v="110"/>
    <n v="13"/>
    <x v="1"/>
    <x v="4"/>
    <x v="0"/>
    <x v="1"/>
    <x v="1"/>
    <x v="2"/>
    <s v="Sunday"/>
    <n v="12"/>
    <n v="0.89430894308943087"/>
    <n v="89.430894308943081"/>
    <x v="0"/>
  </r>
  <r>
    <n v="2074"/>
    <s v="234 Pine St, CityE"/>
    <x v="375"/>
    <x v="1"/>
    <x v="16"/>
    <x v="0"/>
    <x v="3"/>
    <n v="117"/>
    <n v="13"/>
    <x v="0"/>
    <x v="3"/>
    <x v="0"/>
    <x v="0"/>
    <x v="0"/>
    <x v="3"/>
    <s v="Thursday"/>
    <n v="11"/>
    <n v="0.9"/>
    <n v="90"/>
    <x v="0"/>
  </r>
  <r>
    <n v="2075"/>
    <s v="17 Main St, CityA"/>
    <x v="952"/>
    <x v="1"/>
    <x v="99"/>
    <x v="0"/>
    <x v="3"/>
    <n v="131"/>
    <n v="24"/>
    <x v="1"/>
    <x v="0"/>
    <x v="1"/>
    <x v="2"/>
    <x v="1"/>
    <x v="2"/>
    <s v="Sunday"/>
    <n v="10"/>
    <n v="0.84516129032258069"/>
    <n v="84.516129032258064"/>
    <x v="0"/>
  </r>
  <r>
    <n v="2076"/>
    <s v="579 Elm St, CityB"/>
    <x v="953"/>
    <x v="1"/>
    <x v="67"/>
    <x v="2"/>
    <x v="4"/>
    <n v="209"/>
    <n v="11"/>
    <x v="0"/>
    <x v="2"/>
    <x v="1"/>
    <x v="2"/>
    <x v="0"/>
    <x v="0"/>
    <s v="Monday"/>
    <n v="8"/>
    <n v="0.95"/>
    <n v="95"/>
    <x v="0"/>
  </r>
  <r>
    <n v="2077"/>
    <s v="421 Main St, CityB"/>
    <x v="954"/>
    <x v="0"/>
    <x v="22"/>
    <x v="1"/>
    <x v="3"/>
    <n v="159"/>
    <n v="19"/>
    <x v="2"/>
    <x v="1"/>
    <x v="0"/>
    <x v="2"/>
    <x v="2"/>
    <x v="6"/>
    <s v="Friday"/>
    <n v="11"/>
    <n v="0.8932584269662921"/>
    <n v="89.325842696629209"/>
    <x v="0"/>
  </r>
  <r>
    <n v="2078"/>
    <s v="479 Pine St, CityE"/>
    <x v="473"/>
    <x v="0"/>
    <x v="43"/>
    <x v="1"/>
    <x v="0"/>
    <n v="91"/>
    <n v="4"/>
    <x v="1"/>
    <x v="3"/>
    <x v="0"/>
    <x v="2"/>
    <x v="1"/>
    <x v="7"/>
    <s v="Tuesday"/>
    <n v="12"/>
    <n v="0.95789473684210524"/>
    <n v="95.78947368421052"/>
    <x v="0"/>
  </r>
  <r>
    <n v="2079"/>
    <s v="757 Main St, CityA"/>
    <x v="955"/>
    <x v="0"/>
    <x v="29"/>
    <x v="2"/>
    <x v="2"/>
    <n v="232"/>
    <n v="2"/>
    <x v="1"/>
    <x v="2"/>
    <x v="2"/>
    <x v="0"/>
    <x v="1"/>
    <x v="5"/>
    <s v="Saturday"/>
    <n v="14"/>
    <n v="0.99145299145299148"/>
    <n v="99.145299145299148"/>
    <x v="0"/>
  </r>
  <r>
    <n v="2080"/>
    <s v="698 Cedar St, CityD"/>
    <x v="956"/>
    <x v="1"/>
    <x v="32"/>
    <x v="0"/>
    <x v="4"/>
    <n v="239"/>
    <n v="21"/>
    <x v="0"/>
    <x v="0"/>
    <x v="2"/>
    <x v="2"/>
    <x v="0"/>
    <x v="0"/>
    <s v="Monday"/>
    <n v="8"/>
    <n v="0.91923076923076918"/>
    <n v="91.92307692307692"/>
    <x v="0"/>
  </r>
  <r>
    <n v="2081"/>
    <s v="736 Elm St, CityB"/>
    <x v="957"/>
    <x v="1"/>
    <x v="79"/>
    <x v="2"/>
    <x v="3"/>
    <n v="232"/>
    <n v="23"/>
    <x v="0"/>
    <x v="0"/>
    <x v="2"/>
    <x v="0"/>
    <x v="0"/>
    <x v="3"/>
    <s v="Thursday"/>
    <n v="15"/>
    <n v="0.90980392156862744"/>
    <n v="90.980392156862749"/>
    <x v="0"/>
  </r>
  <r>
    <n v="2082"/>
    <s v="756 Elm St, CityB"/>
    <x v="465"/>
    <x v="0"/>
    <x v="49"/>
    <x v="0"/>
    <x v="3"/>
    <n v="92"/>
    <n v="16"/>
    <x v="2"/>
    <x v="3"/>
    <x v="0"/>
    <x v="0"/>
    <x v="2"/>
    <x v="3"/>
    <s v="Thursday"/>
    <n v="16"/>
    <n v="0.85185185185185186"/>
    <n v="85.18518518518519"/>
    <x v="0"/>
  </r>
  <r>
    <n v="2083"/>
    <s v="380 Main St, CityA"/>
    <x v="958"/>
    <x v="0"/>
    <x v="70"/>
    <x v="1"/>
    <x v="0"/>
    <n v="86"/>
    <n v="15"/>
    <x v="2"/>
    <x v="4"/>
    <x v="1"/>
    <x v="0"/>
    <x v="2"/>
    <x v="1"/>
    <s v="Friday"/>
    <n v="16"/>
    <n v="0.85148514851485146"/>
    <n v="85.148514851485146"/>
    <x v="0"/>
  </r>
  <r>
    <n v="2084"/>
    <s v="263 Main St, CityE"/>
    <x v="959"/>
    <x v="0"/>
    <x v="23"/>
    <x v="1"/>
    <x v="2"/>
    <n v="84"/>
    <n v="29"/>
    <x v="0"/>
    <x v="3"/>
    <x v="2"/>
    <x v="0"/>
    <x v="0"/>
    <x v="4"/>
    <s v="Wednesday"/>
    <n v="8"/>
    <n v="0.74336283185840712"/>
    <n v="74.336283185840713"/>
    <x v="0"/>
  </r>
  <r>
    <n v="2085"/>
    <s v="419 Main St, CityC"/>
    <x v="960"/>
    <x v="1"/>
    <x v="51"/>
    <x v="0"/>
    <x v="1"/>
    <n v="112"/>
    <n v="13"/>
    <x v="1"/>
    <x v="0"/>
    <x v="0"/>
    <x v="2"/>
    <x v="1"/>
    <x v="7"/>
    <s v="Tuesday"/>
    <n v="10"/>
    <n v="0.89600000000000002"/>
    <n v="89.600000000000009"/>
    <x v="0"/>
  </r>
  <r>
    <n v="2086"/>
    <s v="659 Cedar St, CityD"/>
    <x v="621"/>
    <x v="0"/>
    <x v="60"/>
    <x v="2"/>
    <x v="1"/>
    <n v="190"/>
    <n v="11"/>
    <x v="1"/>
    <x v="4"/>
    <x v="2"/>
    <x v="2"/>
    <x v="1"/>
    <x v="1"/>
    <s v="Friday"/>
    <n v="14"/>
    <n v="0.94527363184079605"/>
    <n v="94.527363184079604"/>
    <x v="0"/>
  </r>
  <r>
    <n v="2087"/>
    <s v="915 Elm St, CityA"/>
    <x v="961"/>
    <x v="0"/>
    <x v="58"/>
    <x v="1"/>
    <x v="4"/>
    <n v="238"/>
    <n v="24"/>
    <x v="1"/>
    <x v="4"/>
    <x v="1"/>
    <x v="0"/>
    <x v="1"/>
    <x v="5"/>
    <s v="Saturday"/>
    <n v="10"/>
    <n v="0.90839694656488545"/>
    <n v="90.839694656488547"/>
    <x v="0"/>
  </r>
  <r>
    <n v="2088"/>
    <s v="349 Elm St, CityE"/>
    <x v="962"/>
    <x v="0"/>
    <x v="71"/>
    <x v="0"/>
    <x v="1"/>
    <n v="77"/>
    <n v="21"/>
    <x v="0"/>
    <x v="3"/>
    <x v="1"/>
    <x v="2"/>
    <x v="0"/>
    <x v="7"/>
    <s v="Tuesday"/>
    <n v="15"/>
    <n v="0.7857142857142857"/>
    <n v="78.571428571428569"/>
    <x v="0"/>
  </r>
  <r>
    <n v="2089"/>
    <s v="122 Main St, CityC"/>
    <x v="583"/>
    <x v="1"/>
    <x v="86"/>
    <x v="0"/>
    <x v="3"/>
    <n v="127"/>
    <n v="9"/>
    <x v="0"/>
    <x v="4"/>
    <x v="1"/>
    <x v="0"/>
    <x v="0"/>
    <x v="7"/>
    <s v="Tuesday"/>
    <n v="9"/>
    <n v="0.93382352941176472"/>
    <n v="93.382352941176478"/>
    <x v="0"/>
  </r>
  <r>
    <n v="2090"/>
    <s v="811 Cedar St, CityE"/>
    <x v="346"/>
    <x v="1"/>
    <x v="54"/>
    <x v="1"/>
    <x v="4"/>
    <n v="119"/>
    <n v="9"/>
    <x v="2"/>
    <x v="0"/>
    <x v="2"/>
    <x v="0"/>
    <x v="2"/>
    <x v="7"/>
    <s v="Tuesday"/>
    <n v="11"/>
    <n v="0.9296875"/>
    <n v="92.96875"/>
    <x v="0"/>
  </r>
  <r>
    <n v="2091"/>
    <s v="765 Elm St, CityA"/>
    <x v="361"/>
    <x v="0"/>
    <x v="26"/>
    <x v="2"/>
    <x v="3"/>
    <n v="133"/>
    <n v="22"/>
    <x v="1"/>
    <x v="2"/>
    <x v="2"/>
    <x v="2"/>
    <x v="1"/>
    <x v="4"/>
    <s v="Wednesday"/>
    <n v="11"/>
    <n v="0.85806451612903223"/>
    <n v="85.806451612903217"/>
    <x v="0"/>
  </r>
  <r>
    <n v="2092"/>
    <s v="488 Oak St, CityE"/>
    <x v="963"/>
    <x v="1"/>
    <x v="66"/>
    <x v="0"/>
    <x v="4"/>
    <n v="200"/>
    <n v="11"/>
    <x v="0"/>
    <x v="4"/>
    <x v="0"/>
    <x v="2"/>
    <x v="0"/>
    <x v="0"/>
    <s v="Monday"/>
    <n v="8"/>
    <n v="0.94786729857819907"/>
    <n v="94.786729857819907"/>
    <x v="0"/>
  </r>
  <r>
    <n v="2093"/>
    <s v="172 Main St, CityD"/>
    <x v="964"/>
    <x v="1"/>
    <x v="7"/>
    <x v="1"/>
    <x v="3"/>
    <n v="94"/>
    <n v="21"/>
    <x v="0"/>
    <x v="4"/>
    <x v="0"/>
    <x v="1"/>
    <x v="0"/>
    <x v="4"/>
    <s v="Wednesday"/>
    <n v="16"/>
    <n v="0.81739130434782614"/>
    <n v="81.739130434782609"/>
    <x v="0"/>
  </r>
  <r>
    <n v="2094"/>
    <s v="837 Elm St, CityD"/>
    <x v="965"/>
    <x v="0"/>
    <x v="39"/>
    <x v="0"/>
    <x v="4"/>
    <n v="125"/>
    <n v="25"/>
    <x v="1"/>
    <x v="4"/>
    <x v="2"/>
    <x v="2"/>
    <x v="1"/>
    <x v="2"/>
    <s v="Sunday"/>
    <n v="8"/>
    <n v="0.83333333333333337"/>
    <n v="83.333333333333343"/>
    <x v="0"/>
  </r>
  <r>
    <n v="2095"/>
    <s v="909 Oak St, CityA"/>
    <x v="966"/>
    <x v="0"/>
    <x v="5"/>
    <x v="1"/>
    <x v="2"/>
    <n v="197"/>
    <n v="4"/>
    <x v="1"/>
    <x v="0"/>
    <x v="0"/>
    <x v="1"/>
    <x v="1"/>
    <x v="7"/>
    <s v="Tuesday"/>
    <n v="16"/>
    <n v="0.98009950248756217"/>
    <n v="98.009950248756212"/>
    <x v="0"/>
  </r>
  <r>
    <n v="2096"/>
    <s v="91 Cedar St, CityE"/>
    <x v="792"/>
    <x v="1"/>
    <x v="34"/>
    <x v="2"/>
    <x v="0"/>
    <n v="195"/>
    <n v="4"/>
    <x v="1"/>
    <x v="4"/>
    <x v="1"/>
    <x v="2"/>
    <x v="1"/>
    <x v="4"/>
    <s v="Wednesday"/>
    <n v="14"/>
    <n v="0.97989949748743721"/>
    <n v="97.989949748743726"/>
    <x v="0"/>
  </r>
  <r>
    <n v="2097"/>
    <s v="235 Cedar St, CityC"/>
    <x v="967"/>
    <x v="1"/>
    <x v="76"/>
    <x v="0"/>
    <x v="1"/>
    <n v="168"/>
    <n v="15"/>
    <x v="1"/>
    <x v="0"/>
    <x v="0"/>
    <x v="2"/>
    <x v="1"/>
    <x v="4"/>
    <s v="Wednesday"/>
    <n v="10"/>
    <n v="0.91803278688524592"/>
    <n v="91.803278688524586"/>
    <x v="0"/>
  </r>
  <r>
    <n v="2098"/>
    <s v="1 Pine St, CityC"/>
    <x v="968"/>
    <x v="0"/>
    <x v="71"/>
    <x v="2"/>
    <x v="0"/>
    <n v="180"/>
    <n v="26"/>
    <x v="1"/>
    <x v="2"/>
    <x v="0"/>
    <x v="0"/>
    <x v="1"/>
    <x v="0"/>
    <s v="Monday"/>
    <n v="10"/>
    <n v="0.87378640776699024"/>
    <n v="87.378640776699029"/>
    <x v="0"/>
  </r>
  <r>
    <n v="2099"/>
    <s v="958 Oak St, CityD"/>
    <x v="969"/>
    <x v="1"/>
    <x v="23"/>
    <x v="0"/>
    <x v="1"/>
    <n v="237"/>
    <n v="16"/>
    <x v="1"/>
    <x v="1"/>
    <x v="1"/>
    <x v="0"/>
    <x v="1"/>
    <x v="2"/>
    <s v="Sunday"/>
    <n v="10"/>
    <n v="0.93675889328063244"/>
    <n v="93.675889328063249"/>
    <x v="0"/>
  </r>
  <r>
    <n v="2100"/>
    <s v="570 Elm St, CityA"/>
    <x v="970"/>
    <x v="0"/>
    <x v="63"/>
    <x v="0"/>
    <x v="4"/>
    <n v="79"/>
    <n v="11"/>
    <x v="0"/>
    <x v="0"/>
    <x v="1"/>
    <x v="2"/>
    <x v="0"/>
    <x v="2"/>
    <s v="Sunday"/>
    <n v="11"/>
    <n v="0.87777777777777777"/>
    <n v="87.777777777777771"/>
    <x v="0"/>
  </r>
  <r>
    <n v="2101"/>
    <s v="757 Main St, CityE"/>
    <x v="971"/>
    <x v="0"/>
    <x v="51"/>
    <x v="0"/>
    <x v="4"/>
    <n v="90"/>
    <n v="20"/>
    <x v="2"/>
    <x v="3"/>
    <x v="0"/>
    <x v="2"/>
    <x v="2"/>
    <x v="4"/>
    <s v="Wednesday"/>
    <n v="8"/>
    <n v="0.81818181818181823"/>
    <n v="81.818181818181827"/>
    <x v="0"/>
  </r>
  <r>
    <n v="2102"/>
    <s v="22 Oak St, CityB"/>
    <x v="307"/>
    <x v="1"/>
    <x v="75"/>
    <x v="2"/>
    <x v="2"/>
    <n v="203"/>
    <n v="5"/>
    <x v="2"/>
    <x v="0"/>
    <x v="2"/>
    <x v="2"/>
    <x v="2"/>
    <x v="5"/>
    <s v="Saturday"/>
    <n v="14"/>
    <n v="0.97596153846153844"/>
    <n v="97.59615384615384"/>
    <x v="0"/>
  </r>
  <r>
    <n v="2103"/>
    <s v="177 Elm St, CityB"/>
    <x v="972"/>
    <x v="1"/>
    <x v="95"/>
    <x v="0"/>
    <x v="3"/>
    <n v="188"/>
    <n v="1"/>
    <x v="1"/>
    <x v="2"/>
    <x v="2"/>
    <x v="2"/>
    <x v="1"/>
    <x v="1"/>
    <s v="Friday"/>
    <n v="11"/>
    <n v="0.99470899470899465"/>
    <n v="99.470899470899468"/>
    <x v="0"/>
  </r>
  <r>
    <n v="2104"/>
    <s v="756 Main St, CityB"/>
    <x v="973"/>
    <x v="1"/>
    <x v="66"/>
    <x v="0"/>
    <x v="4"/>
    <n v="191"/>
    <n v="23"/>
    <x v="2"/>
    <x v="1"/>
    <x v="2"/>
    <x v="0"/>
    <x v="2"/>
    <x v="0"/>
    <s v="Monday"/>
    <n v="11"/>
    <n v="0.89252336448598135"/>
    <n v="89.252336448598129"/>
    <x v="0"/>
  </r>
  <r>
    <n v="2105"/>
    <s v="201 Elm St, CityB"/>
    <x v="974"/>
    <x v="0"/>
    <x v="81"/>
    <x v="2"/>
    <x v="1"/>
    <n v="162"/>
    <n v="9"/>
    <x v="2"/>
    <x v="2"/>
    <x v="0"/>
    <x v="2"/>
    <x v="2"/>
    <x v="3"/>
    <s v="Thursday"/>
    <n v="11"/>
    <n v="0.94736842105263153"/>
    <n v="94.73684210526315"/>
    <x v="0"/>
  </r>
  <r>
    <n v="2106"/>
    <s v="136 Oak St, CityD"/>
    <x v="975"/>
    <x v="1"/>
    <x v="20"/>
    <x v="2"/>
    <x v="4"/>
    <n v="151"/>
    <n v="3"/>
    <x v="0"/>
    <x v="3"/>
    <x v="0"/>
    <x v="1"/>
    <x v="0"/>
    <x v="5"/>
    <s v="Saturday"/>
    <n v="15"/>
    <n v="0.98051948051948057"/>
    <n v="98.05194805194806"/>
    <x v="0"/>
  </r>
  <r>
    <n v="2107"/>
    <s v="63 Pine St, CityB"/>
    <x v="976"/>
    <x v="1"/>
    <x v="87"/>
    <x v="1"/>
    <x v="0"/>
    <n v="98"/>
    <n v="26"/>
    <x v="2"/>
    <x v="0"/>
    <x v="2"/>
    <x v="2"/>
    <x v="2"/>
    <x v="3"/>
    <s v="Thursday"/>
    <n v="9"/>
    <n v="0.79032258064516125"/>
    <n v="79.032258064516128"/>
    <x v="0"/>
  </r>
  <r>
    <n v="2108"/>
    <s v="634 Elm St, CityA"/>
    <x v="977"/>
    <x v="1"/>
    <x v="68"/>
    <x v="1"/>
    <x v="3"/>
    <n v="65"/>
    <n v="11"/>
    <x v="2"/>
    <x v="4"/>
    <x v="0"/>
    <x v="2"/>
    <x v="2"/>
    <x v="1"/>
    <s v="Friday"/>
    <n v="15"/>
    <n v="0.85526315789473684"/>
    <n v="85.526315789473685"/>
    <x v="0"/>
  </r>
  <r>
    <n v="2109"/>
    <s v="121 Elm St, CityC"/>
    <x v="978"/>
    <x v="0"/>
    <x v="51"/>
    <x v="2"/>
    <x v="0"/>
    <n v="177"/>
    <n v="12"/>
    <x v="2"/>
    <x v="1"/>
    <x v="2"/>
    <x v="2"/>
    <x v="2"/>
    <x v="3"/>
    <s v="Thursday"/>
    <n v="15"/>
    <n v="0.93650793650793651"/>
    <n v="93.650793650793645"/>
    <x v="0"/>
  </r>
  <r>
    <n v="2110"/>
    <s v="643 Oak St, CityD"/>
    <x v="194"/>
    <x v="0"/>
    <x v="96"/>
    <x v="1"/>
    <x v="2"/>
    <n v="238"/>
    <n v="16"/>
    <x v="2"/>
    <x v="3"/>
    <x v="2"/>
    <x v="2"/>
    <x v="2"/>
    <x v="6"/>
    <s v="Friday"/>
    <n v="10"/>
    <n v="0.93700787401574803"/>
    <n v="93.7007874015748"/>
    <x v="0"/>
  </r>
  <r>
    <n v="2111"/>
    <s v="158 Main St, CityB"/>
    <x v="979"/>
    <x v="0"/>
    <x v="77"/>
    <x v="0"/>
    <x v="2"/>
    <n v="75"/>
    <n v="3"/>
    <x v="0"/>
    <x v="4"/>
    <x v="2"/>
    <x v="2"/>
    <x v="0"/>
    <x v="4"/>
    <s v="Wednesday"/>
    <n v="13"/>
    <n v="0.96153846153846156"/>
    <n v="96.15384615384616"/>
    <x v="0"/>
  </r>
  <r>
    <n v="2112"/>
    <s v="486 Pine St, CityA"/>
    <x v="980"/>
    <x v="1"/>
    <x v="65"/>
    <x v="0"/>
    <x v="1"/>
    <n v="64"/>
    <n v="10"/>
    <x v="0"/>
    <x v="4"/>
    <x v="1"/>
    <x v="0"/>
    <x v="0"/>
    <x v="1"/>
    <s v="Friday"/>
    <n v="11"/>
    <n v="0.86486486486486491"/>
    <n v="86.486486486486484"/>
    <x v="0"/>
  </r>
  <r>
    <n v="2113"/>
    <s v="176 Oak St, CityA"/>
    <x v="981"/>
    <x v="1"/>
    <x v="33"/>
    <x v="0"/>
    <x v="4"/>
    <n v="110"/>
    <n v="14"/>
    <x v="1"/>
    <x v="4"/>
    <x v="0"/>
    <x v="2"/>
    <x v="1"/>
    <x v="4"/>
    <s v="Wednesday"/>
    <n v="10"/>
    <n v="0.88709677419354838"/>
    <n v="88.709677419354833"/>
    <x v="0"/>
  </r>
  <r>
    <n v="2114"/>
    <s v="546 Elm St, CityD"/>
    <x v="982"/>
    <x v="0"/>
    <x v="86"/>
    <x v="1"/>
    <x v="0"/>
    <n v="149"/>
    <n v="6"/>
    <x v="1"/>
    <x v="0"/>
    <x v="0"/>
    <x v="1"/>
    <x v="1"/>
    <x v="5"/>
    <s v="Saturday"/>
    <n v="11"/>
    <n v="0.96129032258064517"/>
    <n v="96.129032258064512"/>
    <x v="0"/>
  </r>
  <r>
    <n v="2115"/>
    <s v="112 Main St, CityB"/>
    <x v="983"/>
    <x v="0"/>
    <x v="52"/>
    <x v="0"/>
    <x v="2"/>
    <n v="62"/>
    <n v="27"/>
    <x v="1"/>
    <x v="2"/>
    <x v="0"/>
    <x v="2"/>
    <x v="1"/>
    <x v="0"/>
    <s v="Monday"/>
    <n v="10"/>
    <n v="0.6966292134831461"/>
    <n v="69.662921348314612"/>
    <x v="0"/>
  </r>
  <r>
    <n v="2116"/>
    <s v="217 Main St, CityB"/>
    <x v="984"/>
    <x v="0"/>
    <x v="73"/>
    <x v="2"/>
    <x v="2"/>
    <n v="184"/>
    <n v="13"/>
    <x v="1"/>
    <x v="4"/>
    <x v="2"/>
    <x v="2"/>
    <x v="1"/>
    <x v="7"/>
    <s v="Tuesday"/>
    <n v="16"/>
    <n v="0.93401015228426398"/>
    <n v="93.401015228426402"/>
    <x v="0"/>
  </r>
  <r>
    <n v="2117"/>
    <s v="426 Main St, CityD"/>
    <x v="475"/>
    <x v="0"/>
    <x v="84"/>
    <x v="0"/>
    <x v="1"/>
    <n v="184"/>
    <n v="18"/>
    <x v="0"/>
    <x v="1"/>
    <x v="2"/>
    <x v="0"/>
    <x v="0"/>
    <x v="0"/>
    <s v="Monday"/>
    <n v="15"/>
    <n v="0.91089108910891092"/>
    <n v="91.089108910891099"/>
    <x v="0"/>
  </r>
  <r>
    <n v="2118"/>
    <s v="235 Elm St, CityC"/>
    <x v="985"/>
    <x v="0"/>
    <x v="28"/>
    <x v="2"/>
    <x v="4"/>
    <n v="134"/>
    <n v="14"/>
    <x v="0"/>
    <x v="2"/>
    <x v="2"/>
    <x v="1"/>
    <x v="0"/>
    <x v="7"/>
    <s v="Tuesday"/>
    <n v="8"/>
    <n v="0.90540540540540537"/>
    <n v="90.540540540540533"/>
    <x v="0"/>
  </r>
  <r>
    <n v="2119"/>
    <s v="731 Cedar St, CityE"/>
    <x v="884"/>
    <x v="1"/>
    <x v="26"/>
    <x v="1"/>
    <x v="3"/>
    <n v="235"/>
    <n v="22"/>
    <x v="1"/>
    <x v="3"/>
    <x v="1"/>
    <x v="0"/>
    <x v="1"/>
    <x v="2"/>
    <s v="Sunday"/>
    <n v="10"/>
    <n v="0.91439688715953304"/>
    <n v="91.439688715953309"/>
    <x v="0"/>
  </r>
  <r>
    <n v="2120"/>
    <s v="906 Cedar St, CityE"/>
    <x v="986"/>
    <x v="0"/>
    <x v="50"/>
    <x v="0"/>
    <x v="4"/>
    <n v="167"/>
    <n v="4"/>
    <x v="2"/>
    <x v="1"/>
    <x v="0"/>
    <x v="1"/>
    <x v="2"/>
    <x v="6"/>
    <s v="Friday"/>
    <n v="16"/>
    <n v="0.97660818713450293"/>
    <n v="97.660818713450297"/>
    <x v="0"/>
  </r>
  <r>
    <n v="2121"/>
    <s v="921 Cedar St, CityC"/>
    <x v="192"/>
    <x v="0"/>
    <x v="30"/>
    <x v="1"/>
    <x v="2"/>
    <n v="161"/>
    <n v="21"/>
    <x v="0"/>
    <x v="2"/>
    <x v="0"/>
    <x v="0"/>
    <x v="0"/>
    <x v="1"/>
    <s v="Friday"/>
    <n v="9"/>
    <n v="0.88461538461538458"/>
    <n v="88.461538461538453"/>
    <x v="0"/>
  </r>
  <r>
    <n v="2122"/>
    <s v="908 Pine St, CityB"/>
    <x v="987"/>
    <x v="1"/>
    <x v="98"/>
    <x v="0"/>
    <x v="3"/>
    <n v="74"/>
    <n v="19"/>
    <x v="2"/>
    <x v="4"/>
    <x v="0"/>
    <x v="2"/>
    <x v="2"/>
    <x v="2"/>
    <s v="Sunday"/>
    <n v="9"/>
    <n v="0.79569892473118276"/>
    <n v="79.569892473118273"/>
    <x v="0"/>
  </r>
  <r>
    <n v="2123"/>
    <s v="849 Cedar St, CityE"/>
    <x v="661"/>
    <x v="0"/>
    <x v="43"/>
    <x v="0"/>
    <x v="4"/>
    <n v="117"/>
    <n v="6"/>
    <x v="2"/>
    <x v="4"/>
    <x v="0"/>
    <x v="1"/>
    <x v="2"/>
    <x v="2"/>
    <s v="Sunday"/>
    <n v="10"/>
    <n v="0.95121951219512191"/>
    <n v="95.121951219512198"/>
    <x v="0"/>
  </r>
  <r>
    <n v="2124"/>
    <s v="677 Cedar St, CityB"/>
    <x v="988"/>
    <x v="0"/>
    <x v="63"/>
    <x v="1"/>
    <x v="3"/>
    <n v="111"/>
    <n v="15"/>
    <x v="2"/>
    <x v="2"/>
    <x v="2"/>
    <x v="1"/>
    <x v="2"/>
    <x v="4"/>
    <s v="Wednesday"/>
    <n v="12"/>
    <n v="0.88095238095238093"/>
    <n v="88.095238095238088"/>
    <x v="0"/>
  </r>
  <r>
    <n v="2125"/>
    <s v="977 Pine St, CityD"/>
    <x v="989"/>
    <x v="1"/>
    <x v="36"/>
    <x v="0"/>
    <x v="1"/>
    <n v="154"/>
    <n v="13"/>
    <x v="2"/>
    <x v="0"/>
    <x v="2"/>
    <x v="1"/>
    <x v="2"/>
    <x v="3"/>
    <s v="Thursday"/>
    <n v="8"/>
    <n v="0.92215568862275454"/>
    <n v="92.215568862275461"/>
    <x v="0"/>
  </r>
  <r>
    <n v="2126"/>
    <s v="177 Cedar St, CityD"/>
    <x v="990"/>
    <x v="0"/>
    <x v="21"/>
    <x v="1"/>
    <x v="3"/>
    <n v="230"/>
    <n v="12"/>
    <x v="1"/>
    <x v="0"/>
    <x v="1"/>
    <x v="2"/>
    <x v="1"/>
    <x v="6"/>
    <s v="Friday"/>
    <n v="12"/>
    <n v="0.95041322314049592"/>
    <n v="95.041322314049594"/>
    <x v="0"/>
  </r>
  <r>
    <n v="2127"/>
    <s v="286 Oak St, CityC"/>
    <x v="991"/>
    <x v="1"/>
    <x v="29"/>
    <x v="2"/>
    <x v="3"/>
    <n v="206"/>
    <n v="13"/>
    <x v="1"/>
    <x v="2"/>
    <x v="2"/>
    <x v="1"/>
    <x v="1"/>
    <x v="6"/>
    <s v="Friday"/>
    <n v="9"/>
    <n v="0.94063926940639264"/>
    <n v="94.063926940639263"/>
    <x v="0"/>
  </r>
  <r>
    <n v="2128"/>
    <s v="621 Elm St, CityA"/>
    <x v="992"/>
    <x v="1"/>
    <x v="80"/>
    <x v="0"/>
    <x v="4"/>
    <n v="141"/>
    <n v="24"/>
    <x v="2"/>
    <x v="1"/>
    <x v="0"/>
    <x v="0"/>
    <x v="2"/>
    <x v="7"/>
    <s v="Tuesday"/>
    <n v="15"/>
    <n v="0.8545454545454545"/>
    <n v="85.454545454545453"/>
    <x v="0"/>
  </r>
  <r>
    <n v="2129"/>
    <s v="201 Pine St, CityC"/>
    <x v="174"/>
    <x v="1"/>
    <x v="11"/>
    <x v="2"/>
    <x v="2"/>
    <n v="224"/>
    <n v="27"/>
    <x v="2"/>
    <x v="3"/>
    <x v="0"/>
    <x v="0"/>
    <x v="2"/>
    <x v="2"/>
    <s v="Sunday"/>
    <n v="14"/>
    <n v="0.89243027888446214"/>
    <n v="89.243027888446207"/>
    <x v="0"/>
  </r>
  <r>
    <n v="2130"/>
    <s v="385 Cedar St, CityD"/>
    <x v="993"/>
    <x v="1"/>
    <x v="82"/>
    <x v="2"/>
    <x v="3"/>
    <n v="167"/>
    <n v="22"/>
    <x v="2"/>
    <x v="1"/>
    <x v="0"/>
    <x v="2"/>
    <x v="2"/>
    <x v="3"/>
    <s v="Thursday"/>
    <n v="12"/>
    <n v="0.8835978835978836"/>
    <n v="88.359788359788354"/>
    <x v="0"/>
  </r>
  <r>
    <n v="2131"/>
    <s v="950 Main St, CityE"/>
    <x v="76"/>
    <x v="1"/>
    <x v="11"/>
    <x v="1"/>
    <x v="0"/>
    <n v="188"/>
    <n v="15"/>
    <x v="0"/>
    <x v="3"/>
    <x v="0"/>
    <x v="2"/>
    <x v="0"/>
    <x v="0"/>
    <s v="Monday"/>
    <n v="13"/>
    <n v="0.92610837438423643"/>
    <n v="92.610837438423644"/>
    <x v="0"/>
  </r>
  <r>
    <n v="2132"/>
    <s v="119 Elm St, CityA"/>
    <x v="994"/>
    <x v="1"/>
    <x v="50"/>
    <x v="1"/>
    <x v="1"/>
    <n v="75"/>
    <n v="28"/>
    <x v="0"/>
    <x v="0"/>
    <x v="0"/>
    <x v="0"/>
    <x v="0"/>
    <x v="6"/>
    <s v="Friday"/>
    <n v="16"/>
    <n v="0.72815533980582525"/>
    <n v="72.815533980582529"/>
    <x v="0"/>
  </r>
  <r>
    <n v="2133"/>
    <s v="236 Cedar St, CityA"/>
    <x v="995"/>
    <x v="1"/>
    <x v="91"/>
    <x v="0"/>
    <x v="0"/>
    <n v="198"/>
    <n v="24"/>
    <x v="1"/>
    <x v="3"/>
    <x v="1"/>
    <x v="2"/>
    <x v="1"/>
    <x v="6"/>
    <s v="Friday"/>
    <n v="10"/>
    <n v="0.89189189189189189"/>
    <n v="89.189189189189193"/>
    <x v="0"/>
  </r>
  <r>
    <n v="2134"/>
    <s v="574 Pine St, CityD"/>
    <x v="996"/>
    <x v="1"/>
    <x v="19"/>
    <x v="1"/>
    <x v="2"/>
    <n v="64"/>
    <n v="18"/>
    <x v="2"/>
    <x v="2"/>
    <x v="2"/>
    <x v="2"/>
    <x v="2"/>
    <x v="5"/>
    <s v="Saturday"/>
    <n v="10"/>
    <n v="0.78048780487804881"/>
    <n v="78.048780487804876"/>
    <x v="0"/>
  </r>
  <r>
    <n v="2135"/>
    <s v="932 Cedar St, CityB"/>
    <x v="997"/>
    <x v="1"/>
    <x v="36"/>
    <x v="0"/>
    <x v="3"/>
    <n v="101"/>
    <n v="25"/>
    <x v="2"/>
    <x v="0"/>
    <x v="1"/>
    <x v="2"/>
    <x v="2"/>
    <x v="4"/>
    <s v="Wednesday"/>
    <n v="10"/>
    <n v="0.80158730158730163"/>
    <n v="80.158730158730165"/>
    <x v="0"/>
  </r>
  <r>
    <n v="2136"/>
    <s v="55 Cedar St, CityB"/>
    <x v="998"/>
    <x v="1"/>
    <x v="56"/>
    <x v="2"/>
    <x v="3"/>
    <n v="179"/>
    <n v="16"/>
    <x v="1"/>
    <x v="1"/>
    <x v="2"/>
    <x v="1"/>
    <x v="1"/>
    <x v="4"/>
    <s v="Wednesday"/>
    <n v="8"/>
    <n v="0.91794871794871791"/>
    <n v="91.794871794871796"/>
    <x v="0"/>
  </r>
  <r>
    <n v="2137"/>
    <s v="552 Elm St, CityB"/>
    <x v="767"/>
    <x v="1"/>
    <x v="79"/>
    <x v="1"/>
    <x v="1"/>
    <n v="137"/>
    <n v="0"/>
    <x v="0"/>
    <x v="0"/>
    <x v="1"/>
    <x v="1"/>
    <x v="0"/>
    <x v="7"/>
    <s v="Tuesday"/>
    <n v="14"/>
    <n v="1"/>
    <n v="100"/>
    <x v="1"/>
  </r>
  <r>
    <n v="2138"/>
    <s v="247 Main St, CityE"/>
    <x v="999"/>
    <x v="1"/>
    <x v="91"/>
    <x v="2"/>
    <x v="4"/>
    <n v="86"/>
    <n v="19"/>
    <x v="0"/>
    <x v="0"/>
    <x v="1"/>
    <x v="0"/>
    <x v="0"/>
    <x v="2"/>
    <s v="Sunday"/>
    <n v="12"/>
    <n v="0.81904761904761902"/>
    <n v="81.904761904761898"/>
    <x v="0"/>
  </r>
  <r>
    <n v="2139"/>
    <s v="879 Cedar St, CityE"/>
    <x v="1000"/>
    <x v="1"/>
    <x v="39"/>
    <x v="1"/>
    <x v="2"/>
    <n v="73"/>
    <n v="9"/>
    <x v="0"/>
    <x v="0"/>
    <x v="1"/>
    <x v="0"/>
    <x v="0"/>
    <x v="0"/>
    <s v="Monday"/>
    <n v="11"/>
    <n v="0.8902439024390244"/>
    <n v="89.024390243902445"/>
    <x v="0"/>
  </r>
  <r>
    <n v="2140"/>
    <s v="906 Main St, CityB"/>
    <x v="1001"/>
    <x v="0"/>
    <x v="50"/>
    <x v="1"/>
    <x v="3"/>
    <n v="224"/>
    <n v="0"/>
    <x v="0"/>
    <x v="3"/>
    <x v="1"/>
    <x v="2"/>
    <x v="0"/>
    <x v="5"/>
    <s v="Saturday"/>
    <n v="11"/>
    <n v="1"/>
    <n v="100"/>
    <x v="1"/>
  </r>
  <r>
    <n v="2141"/>
    <s v="552 Cedar St, CityA"/>
    <x v="685"/>
    <x v="1"/>
    <x v="47"/>
    <x v="1"/>
    <x v="0"/>
    <n v="232"/>
    <n v="10"/>
    <x v="0"/>
    <x v="3"/>
    <x v="2"/>
    <x v="2"/>
    <x v="0"/>
    <x v="2"/>
    <s v="Sunday"/>
    <n v="10"/>
    <n v="0.95867768595041325"/>
    <n v="95.867768595041326"/>
    <x v="0"/>
  </r>
  <r>
    <n v="2142"/>
    <s v="348 Cedar St, CityE"/>
    <x v="1002"/>
    <x v="0"/>
    <x v="80"/>
    <x v="2"/>
    <x v="0"/>
    <n v="165"/>
    <n v="15"/>
    <x v="0"/>
    <x v="1"/>
    <x v="0"/>
    <x v="2"/>
    <x v="0"/>
    <x v="1"/>
    <s v="Friday"/>
    <n v="9"/>
    <n v="0.91666666666666663"/>
    <n v="91.666666666666657"/>
    <x v="0"/>
  </r>
  <r>
    <n v="2143"/>
    <s v="96 Oak St, CityC"/>
    <x v="1003"/>
    <x v="1"/>
    <x v="15"/>
    <x v="1"/>
    <x v="4"/>
    <n v="184"/>
    <n v="1"/>
    <x v="2"/>
    <x v="1"/>
    <x v="0"/>
    <x v="2"/>
    <x v="2"/>
    <x v="6"/>
    <s v="Friday"/>
    <n v="9"/>
    <n v="0.99459459459459465"/>
    <n v="99.459459459459467"/>
    <x v="0"/>
  </r>
  <r>
    <n v="2144"/>
    <s v="341 Cedar St, CityB"/>
    <x v="1004"/>
    <x v="1"/>
    <x v="71"/>
    <x v="2"/>
    <x v="1"/>
    <n v="142"/>
    <n v="25"/>
    <x v="1"/>
    <x v="0"/>
    <x v="2"/>
    <x v="2"/>
    <x v="1"/>
    <x v="0"/>
    <s v="Monday"/>
    <n v="16"/>
    <n v="0.85029940119760483"/>
    <n v="85.029940119760482"/>
    <x v="0"/>
  </r>
  <r>
    <n v="2145"/>
    <s v="848 Elm St, CityA"/>
    <x v="1005"/>
    <x v="0"/>
    <x v="10"/>
    <x v="1"/>
    <x v="3"/>
    <n v="115"/>
    <n v="16"/>
    <x v="0"/>
    <x v="1"/>
    <x v="2"/>
    <x v="1"/>
    <x v="0"/>
    <x v="3"/>
    <s v="Thursday"/>
    <n v="13"/>
    <n v="0.87786259541984735"/>
    <n v="87.786259541984734"/>
    <x v="0"/>
  </r>
  <r>
    <n v="2146"/>
    <s v="438 Pine St, CityB"/>
    <x v="607"/>
    <x v="0"/>
    <x v="79"/>
    <x v="1"/>
    <x v="0"/>
    <n v="66"/>
    <n v="18"/>
    <x v="2"/>
    <x v="2"/>
    <x v="0"/>
    <x v="1"/>
    <x v="2"/>
    <x v="5"/>
    <s v="Saturday"/>
    <n v="8"/>
    <n v="0.7857142857142857"/>
    <n v="78.571428571428569"/>
    <x v="0"/>
  </r>
  <r>
    <n v="2147"/>
    <s v="144 Elm St, CityA"/>
    <x v="1006"/>
    <x v="0"/>
    <x v="40"/>
    <x v="2"/>
    <x v="2"/>
    <n v="204"/>
    <n v="29"/>
    <x v="1"/>
    <x v="0"/>
    <x v="0"/>
    <x v="0"/>
    <x v="1"/>
    <x v="1"/>
    <s v="Friday"/>
    <n v="15"/>
    <n v="0.87553648068669532"/>
    <n v="87.553648068669531"/>
    <x v="0"/>
  </r>
  <r>
    <n v="2148"/>
    <s v="531 Elm St, CityE"/>
    <x v="277"/>
    <x v="1"/>
    <x v="76"/>
    <x v="2"/>
    <x v="2"/>
    <n v="170"/>
    <n v="29"/>
    <x v="1"/>
    <x v="0"/>
    <x v="2"/>
    <x v="2"/>
    <x v="1"/>
    <x v="1"/>
    <s v="Friday"/>
    <n v="15"/>
    <n v="0.85427135678391963"/>
    <n v="85.427135678391963"/>
    <x v="0"/>
  </r>
  <r>
    <n v="2149"/>
    <s v="453 Main St, CityD"/>
    <x v="1007"/>
    <x v="1"/>
    <x v="26"/>
    <x v="0"/>
    <x v="4"/>
    <n v="71"/>
    <n v="16"/>
    <x v="2"/>
    <x v="3"/>
    <x v="1"/>
    <x v="1"/>
    <x v="2"/>
    <x v="2"/>
    <s v="Sunday"/>
    <n v="11"/>
    <n v="0.81609195402298851"/>
    <n v="81.609195402298852"/>
    <x v="0"/>
  </r>
  <r>
    <n v="2150"/>
    <s v="739 Cedar St, CityA"/>
    <x v="1008"/>
    <x v="0"/>
    <x v="4"/>
    <x v="2"/>
    <x v="0"/>
    <n v="182"/>
    <n v="24"/>
    <x v="0"/>
    <x v="4"/>
    <x v="2"/>
    <x v="1"/>
    <x v="0"/>
    <x v="7"/>
    <s v="Tuesday"/>
    <n v="13"/>
    <n v="0.88349514563106801"/>
    <n v="88.349514563106794"/>
    <x v="0"/>
  </r>
  <r>
    <n v="2151"/>
    <s v="756 Oak St, CityD"/>
    <x v="1009"/>
    <x v="1"/>
    <x v="66"/>
    <x v="2"/>
    <x v="3"/>
    <n v="114"/>
    <n v="5"/>
    <x v="2"/>
    <x v="3"/>
    <x v="0"/>
    <x v="2"/>
    <x v="2"/>
    <x v="4"/>
    <s v="Wednesday"/>
    <n v="13"/>
    <n v="0.95798319327731096"/>
    <n v="95.798319327731093"/>
    <x v="0"/>
  </r>
  <r>
    <n v="2152"/>
    <s v="169 Oak St, CityC"/>
    <x v="1010"/>
    <x v="0"/>
    <x v="92"/>
    <x v="0"/>
    <x v="3"/>
    <n v="84"/>
    <n v="7"/>
    <x v="2"/>
    <x v="4"/>
    <x v="2"/>
    <x v="2"/>
    <x v="2"/>
    <x v="5"/>
    <s v="Saturday"/>
    <n v="9"/>
    <n v="0.92307692307692313"/>
    <n v="92.307692307692307"/>
    <x v="0"/>
  </r>
  <r>
    <n v="2153"/>
    <s v="31 Main St, CityA"/>
    <x v="1011"/>
    <x v="0"/>
    <x v="87"/>
    <x v="1"/>
    <x v="2"/>
    <n v="181"/>
    <n v="16"/>
    <x v="2"/>
    <x v="0"/>
    <x v="2"/>
    <x v="0"/>
    <x v="2"/>
    <x v="2"/>
    <s v="Sunday"/>
    <n v="10"/>
    <n v="0.91878172588832485"/>
    <n v="91.878172588832484"/>
    <x v="0"/>
  </r>
  <r>
    <n v="2154"/>
    <s v="799 Main St, CityA"/>
    <x v="1012"/>
    <x v="0"/>
    <x v="53"/>
    <x v="1"/>
    <x v="2"/>
    <n v="188"/>
    <n v="26"/>
    <x v="1"/>
    <x v="1"/>
    <x v="2"/>
    <x v="0"/>
    <x v="1"/>
    <x v="7"/>
    <s v="Tuesday"/>
    <n v="15"/>
    <n v="0.87850467289719625"/>
    <n v="87.850467289719631"/>
    <x v="0"/>
  </r>
  <r>
    <n v="2155"/>
    <s v="884 Main St, CityA"/>
    <x v="1013"/>
    <x v="1"/>
    <x v="26"/>
    <x v="1"/>
    <x v="4"/>
    <n v="162"/>
    <n v="3"/>
    <x v="1"/>
    <x v="3"/>
    <x v="0"/>
    <x v="2"/>
    <x v="1"/>
    <x v="6"/>
    <s v="Friday"/>
    <n v="11"/>
    <n v="0.98181818181818181"/>
    <n v="98.181818181818187"/>
    <x v="0"/>
  </r>
  <r>
    <n v="2156"/>
    <s v="331 Elm St, CityE"/>
    <x v="837"/>
    <x v="1"/>
    <x v="49"/>
    <x v="2"/>
    <x v="4"/>
    <n v="227"/>
    <n v="1"/>
    <x v="1"/>
    <x v="1"/>
    <x v="0"/>
    <x v="1"/>
    <x v="1"/>
    <x v="1"/>
    <s v="Friday"/>
    <n v="10"/>
    <n v="0.99561403508771928"/>
    <n v="99.561403508771932"/>
    <x v="0"/>
  </r>
  <r>
    <n v="2157"/>
    <s v="84 Main St, CityB"/>
    <x v="1014"/>
    <x v="1"/>
    <x v="5"/>
    <x v="2"/>
    <x v="4"/>
    <n v="131"/>
    <n v="27"/>
    <x v="2"/>
    <x v="3"/>
    <x v="2"/>
    <x v="1"/>
    <x v="2"/>
    <x v="7"/>
    <s v="Tuesday"/>
    <n v="13"/>
    <n v="0.82911392405063289"/>
    <n v="82.911392405063282"/>
    <x v="0"/>
  </r>
  <r>
    <n v="2158"/>
    <s v="493 Main St, CityD"/>
    <x v="481"/>
    <x v="1"/>
    <x v="23"/>
    <x v="0"/>
    <x v="4"/>
    <n v="219"/>
    <n v="10"/>
    <x v="0"/>
    <x v="1"/>
    <x v="1"/>
    <x v="2"/>
    <x v="0"/>
    <x v="5"/>
    <s v="Saturday"/>
    <n v="10"/>
    <n v="0.95633187772925765"/>
    <n v="95.633187772925766"/>
    <x v="0"/>
  </r>
  <r>
    <n v="2159"/>
    <s v="803 Cedar St, CityC"/>
    <x v="1015"/>
    <x v="1"/>
    <x v="45"/>
    <x v="2"/>
    <x v="2"/>
    <n v="139"/>
    <n v="26"/>
    <x v="0"/>
    <x v="4"/>
    <x v="0"/>
    <x v="1"/>
    <x v="0"/>
    <x v="3"/>
    <s v="Thursday"/>
    <n v="14"/>
    <n v="0.84242424242424241"/>
    <n v="84.242424242424235"/>
    <x v="0"/>
  </r>
  <r>
    <n v="2160"/>
    <s v="59 Cedar St, CityA"/>
    <x v="1016"/>
    <x v="1"/>
    <x v="1"/>
    <x v="1"/>
    <x v="1"/>
    <n v="217"/>
    <n v="7"/>
    <x v="2"/>
    <x v="2"/>
    <x v="2"/>
    <x v="1"/>
    <x v="2"/>
    <x v="7"/>
    <s v="Tuesday"/>
    <n v="13"/>
    <n v="0.96875"/>
    <n v="96.875"/>
    <x v="0"/>
  </r>
  <r>
    <n v="2161"/>
    <s v="737 Elm St, CityC"/>
    <x v="1017"/>
    <x v="1"/>
    <x v="74"/>
    <x v="0"/>
    <x v="2"/>
    <n v="60"/>
    <n v="16"/>
    <x v="2"/>
    <x v="3"/>
    <x v="2"/>
    <x v="2"/>
    <x v="2"/>
    <x v="0"/>
    <s v="Monday"/>
    <n v="14"/>
    <n v="0.78947368421052633"/>
    <n v="78.94736842105263"/>
    <x v="0"/>
  </r>
  <r>
    <n v="2162"/>
    <s v="321 Pine St, CityA"/>
    <x v="1018"/>
    <x v="0"/>
    <x v="60"/>
    <x v="1"/>
    <x v="2"/>
    <n v="118"/>
    <n v="11"/>
    <x v="1"/>
    <x v="2"/>
    <x v="0"/>
    <x v="2"/>
    <x v="1"/>
    <x v="1"/>
    <s v="Friday"/>
    <n v="11"/>
    <n v="0.9147286821705426"/>
    <n v="91.472868217054256"/>
    <x v="0"/>
  </r>
  <r>
    <n v="2163"/>
    <s v="814 Cedar St, CityC"/>
    <x v="1019"/>
    <x v="0"/>
    <x v="46"/>
    <x v="1"/>
    <x v="2"/>
    <n v="72"/>
    <n v="28"/>
    <x v="2"/>
    <x v="0"/>
    <x v="2"/>
    <x v="2"/>
    <x v="2"/>
    <x v="0"/>
    <s v="Monday"/>
    <n v="16"/>
    <n v="0.72"/>
    <n v="72"/>
    <x v="0"/>
  </r>
  <r>
    <n v="2164"/>
    <s v="771 Oak St, CityC"/>
    <x v="1020"/>
    <x v="0"/>
    <x v="49"/>
    <x v="2"/>
    <x v="0"/>
    <n v="118"/>
    <n v="0"/>
    <x v="2"/>
    <x v="4"/>
    <x v="1"/>
    <x v="0"/>
    <x v="2"/>
    <x v="7"/>
    <s v="Tuesday"/>
    <n v="11"/>
    <n v="1"/>
    <n v="100"/>
    <x v="1"/>
  </r>
  <r>
    <n v="2165"/>
    <s v="164 Main St, CityE"/>
    <x v="1021"/>
    <x v="1"/>
    <x v="76"/>
    <x v="2"/>
    <x v="0"/>
    <n v="228"/>
    <n v="20"/>
    <x v="2"/>
    <x v="3"/>
    <x v="2"/>
    <x v="2"/>
    <x v="2"/>
    <x v="1"/>
    <s v="Friday"/>
    <n v="12"/>
    <n v="0.91935483870967738"/>
    <n v="91.935483870967744"/>
    <x v="0"/>
  </r>
  <r>
    <n v="2166"/>
    <s v="833 Elm St, CityE"/>
    <x v="1022"/>
    <x v="0"/>
    <x v="68"/>
    <x v="2"/>
    <x v="0"/>
    <n v="212"/>
    <n v="9"/>
    <x v="0"/>
    <x v="0"/>
    <x v="2"/>
    <x v="2"/>
    <x v="0"/>
    <x v="6"/>
    <s v="Friday"/>
    <n v="12"/>
    <n v="0.95927601809954754"/>
    <n v="95.927601809954751"/>
    <x v="0"/>
  </r>
  <r>
    <n v="2167"/>
    <s v="685 Cedar St, CityE"/>
    <x v="1023"/>
    <x v="1"/>
    <x v="79"/>
    <x v="1"/>
    <x v="2"/>
    <n v="169"/>
    <n v="24"/>
    <x v="0"/>
    <x v="4"/>
    <x v="2"/>
    <x v="0"/>
    <x v="0"/>
    <x v="4"/>
    <s v="Wednesday"/>
    <n v="16"/>
    <n v="0.87564766839378239"/>
    <n v="87.564766839378237"/>
    <x v="0"/>
  </r>
  <r>
    <n v="2168"/>
    <s v="489 Oak St, CityD"/>
    <x v="327"/>
    <x v="0"/>
    <x v="95"/>
    <x v="0"/>
    <x v="3"/>
    <n v="138"/>
    <n v="19"/>
    <x v="0"/>
    <x v="1"/>
    <x v="1"/>
    <x v="0"/>
    <x v="0"/>
    <x v="6"/>
    <s v="Friday"/>
    <n v="8"/>
    <n v="0.87898089171974525"/>
    <n v="87.898089171974519"/>
    <x v="0"/>
  </r>
  <r>
    <n v="2169"/>
    <s v="535 Main St, CityB"/>
    <x v="1024"/>
    <x v="0"/>
    <x v="89"/>
    <x v="0"/>
    <x v="0"/>
    <n v="99"/>
    <n v="13"/>
    <x v="2"/>
    <x v="2"/>
    <x v="1"/>
    <x v="2"/>
    <x v="2"/>
    <x v="2"/>
    <s v="Sunday"/>
    <n v="8"/>
    <n v="0.8839285714285714"/>
    <n v="88.392857142857139"/>
    <x v="0"/>
  </r>
  <r>
    <n v="2170"/>
    <s v="180 Oak St, CityE"/>
    <x v="1025"/>
    <x v="0"/>
    <x v="72"/>
    <x v="0"/>
    <x v="1"/>
    <n v="164"/>
    <n v="27"/>
    <x v="2"/>
    <x v="3"/>
    <x v="0"/>
    <x v="2"/>
    <x v="2"/>
    <x v="4"/>
    <s v="Wednesday"/>
    <n v="8"/>
    <n v="0.8586387434554974"/>
    <n v="85.863874345549746"/>
    <x v="0"/>
  </r>
  <r>
    <n v="2171"/>
    <s v="637 Main St, CityC"/>
    <x v="1026"/>
    <x v="0"/>
    <x v="47"/>
    <x v="1"/>
    <x v="4"/>
    <n v="82"/>
    <n v="13"/>
    <x v="0"/>
    <x v="4"/>
    <x v="1"/>
    <x v="2"/>
    <x v="0"/>
    <x v="4"/>
    <s v="Wednesday"/>
    <n v="14"/>
    <n v="0.86315789473684212"/>
    <n v="86.31578947368422"/>
    <x v="0"/>
  </r>
  <r>
    <n v="2172"/>
    <s v="389 Pine St, CityA"/>
    <x v="1027"/>
    <x v="0"/>
    <x v="4"/>
    <x v="0"/>
    <x v="3"/>
    <n v="164"/>
    <n v="6"/>
    <x v="0"/>
    <x v="4"/>
    <x v="0"/>
    <x v="0"/>
    <x v="0"/>
    <x v="4"/>
    <s v="Wednesday"/>
    <n v="9"/>
    <n v="0.96470588235294119"/>
    <n v="96.470588235294116"/>
    <x v="0"/>
  </r>
  <r>
    <n v="2173"/>
    <s v="520 Pine St, CityD"/>
    <x v="1028"/>
    <x v="0"/>
    <x v="66"/>
    <x v="2"/>
    <x v="0"/>
    <n v="208"/>
    <n v="25"/>
    <x v="0"/>
    <x v="0"/>
    <x v="2"/>
    <x v="2"/>
    <x v="0"/>
    <x v="6"/>
    <s v="Friday"/>
    <n v="11"/>
    <n v="0.89270386266094426"/>
    <n v="89.27038626609442"/>
    <x v="0"/>
  </r>
  <r>
    <n v="2174"/>
    <s v="27 Main St, CityE"/>
    <x v="1029"/>
    <x v="1"/>
    <x v="54"/>
    <x v="0"/>
    <x v="3"/>
    <n v="89"/>
    <n v="18"/>
    <x v="2"/>
    <x v="0"/>
    <x v="0"/>
    <x v="1"/>
    <x v="2"/>
    <x v="2"/>
    <s v="Sunday"/>
    <n v="15"/>
    <n v="0.83177570093457942"/>
    <n v="83.177570093457945"/>
    <x v="0"/>
  </r>
  <r>
    <n v="2175"/>
    <s v="51 Main St, CityC"/>
    <x v="1030"/>
    <x v="0"/>
    <x v="28"/>
    <x v="2"/>
    <x v="0"/>
    <n v="110"/>
    <n v="19"/>
    <x v="2"/>
    <x v="3"/>
    <x v="2"/>
    <x v="2"/>
    <x v="2"/>
    <x v="0"/>
    <s v="Monday"/>
    <n v="14"/>
    <n v="0.8527131782945736"/>
    <n v="85.271317829457359"/>
    <x v="0"/>
  </r>
  <r>
    <n v="2176"/>
    <s v="908 Elm St, CityD"/>
    <x v="1031"/>
    <x v="1"/>
    <x v="75"/>
    <x v="0"/>
    <x v="2"/>
    <n v="105"/>
    <n v="29"/>
    <x v="2"/>
    <x v="3"/>
    <x v="2"/>
    <x v="1"/>
    <x v="2"/>
    <x v="4"/>
    <s v="Wednesday"/>
    <n v="10"/>
    <n v="0.78358208955223885"/>
    <n v="78.358208955223887"/>
    <x v="0"/>
  </r>
  <r>
    <n v="2177"/>
    <s v="354 Oak St, CityA"/>
    <x v="1032"/>
    <x v="0"/>
    <x v="17"/>
    <x v="0"/>
    <x v="4"/>
    <n v="107"/>
    <n v="28"/>
    <x v="0"/>
    <x v="2"/>
    <x v="0"/>
    <x v="0"/>
    <x v="0"/>
    <x v="7"/>
    <s v="Tuesday"/>
    <n v="14"/>
    <n v="0.79259259259259263"/>
    <n v="79.259259259259267"/>
    <x v="0"/>
  </r>
  <r>
    <n v="2178"/>
    <s v="371 Cedar St, CityC"/>
    <x v="1033"/>
    <x v="1"/>
    <x v="93"/>
    <x v="1"/>
    <x v="4"/>
    <n v="114"/>
    <n v="23"/>
    <x v="2"/>
    <x v="0"/>
    <x v="2"/>
    <x v="2"/>
    <x v="2"/>
    <x v="6"/>
    <s v="Friday"/>
    <n v="10"/>
    <n v="0.83211678832116787"/>
    <n v="83.211678832116789"/>
    <x v="0"/>
  </r>
  <r>
    <n v="2179"/>
    <s v="543 Elm St, CityD"/>
    <x v="1034"/>
    <x v="0"/>
    <x v="41"/>
    <x v="0"/>
    <x v="1"/>
    <n v="194"/>
    <n v="6"/>
    <x v="2"/>
    <x v="2"/>
    <x v="1"/>
    <x v="1"/>
    <x v="2"/>
    <x v="2"/>
    <s v="Sunday"/>
    <n v="15"/>
    <n v="0.97"/>
    <n v="97"/>
    <x v="0"/>
  </r>
  <r>
    <n v="2180"/>
    <s v="387 Cedar St, CityA"/>
    <x v="1035"/>
    <x v="1"/>
    <x v="76"/>
    <x v="0"/>
    <x v="3"/>
    <n v="105"/>
    <n v="13"/>
    <x v="2"/>
    <x v="0"/>
    <x v="0"/>
    <x v="0"/>
    <x v="2"/>
    <x v="4"/>
    <s v="Wednesday"/>
    <n v="10"/>
    <n v="0.88983050847457623"/>
    <n v="88.983050847457619"/>
    <x v="0"/>
  </r>
  <r>
    <n v="2181"/>
    <s v="242 Pine St, CityB"/>
    <x v="1036"/>
    <x v="0"/>
    <x v="36"/>
    <x v="0"/>
    <x v="4"/>
    <n v="89"/>
    <n v="28"/>
    <x v="2"/>
    <x v="0"/>
    <x v="1"/>
    <x v="1"/>
    <x v="2"/>
    <x v="3"/>
    <s v="Thursday"/>
    <n v="10"/>
    <n v="0.76068376068376065"/>
    <n v="76.068376068376068"/>
    <x v="0"/>
  </r>
  <r>
    <n v="2182"/>
    <s v="817 Oak St, CityE"/>
    <x v="1037"/>
    <x v="1"/>
    <x v="31"/>
    <x v="0"/>
    <x v="0"/>
    <n v="173"/>
    <n v="28"/>
    <x v="0"/>
    <x v="3"/>
    <x v="2"/>
    <x v="1"/>
    <x v="0"/>
    <x v="3"/>
    <s v="Thursday"/>
    <n v="9"/>
    <n v="0.86069651741293529"/>
    <n v="86.069651741293526"/>
    <x v="0"/>
  </r>
  <r>
    <n v="2183"/>
    <s v="234 Oak St, CityC"/>
    <x v="1038"/>
    <x v="0"/>
    <x v="72"/>
    <x v="1"/>
    <x v="0"/>
    <n v="72"/>
    <n v="4"/>
    <x v="0"/>
    <x v="0"/>
    <x v="2"/>
    <x v="1"/>
    <x v="0"/>
    <x v="5"/>
    <s v="Saturday"/>
    <n v="13"/>
    <n v="0.94736842105263153"/>
    <n v="94.73684210526315"/>
    <x v="0"/>
  </r>
  <r>
    <n v="2184"/>
    <s v="678 Main St, CityC"/>
    <x v="1039"/>
    <x v="1"/>
    <x v="41"/>
    <x v="2"/>
    <x v="2"/>
    <n v="205"/>
    <n v="20"/>
    <x v="1"/>
    <x v="3"/>
    <x v="1"/>
    <x v="2"/>
    <x v="1"/>
    <x v="2"/>
    <s v="Sunday"/>
    <n v="10"/>
    <n v="0.91111111111111109"/>
    <n v="91.111111111111114"/>
    <x v="0"/>
  </r>
  <r>
    <n v="2185"/>
    <s v="318 Elm St, CityE"/>
    <x v="463"/>
    <x v="1"/>
    <x v="11"/>
    <x v="1"/>
    <x v="4"/>
    <n v="80"/>
    <n v="22"/>
    <x v="2"/>
    <x v="2"/>
    <x v="1"/>
    <x v="1"/>
    <x v="2"/>
    <x v="4"/>
    <s v="Wednesday"/>
    <n v="8"/>
    <n v="0.78431372549019607"/>
    <n v="78.431372549019613"/>
    <x v="0"/>
  </r>
  <r>
    <n v="2186"/>
    <s v="385 Main St, CityE"/>
    <x v="188"/>
    <x v="0"/>
    <x v="53"/>
    <x v="2"/>
    <x v="4"/>
    <n v="105"/>
    <n v="14"/>
    <x v="1"/>
    <x v="3"/>
    <x v="0"/>
    <x v="1"/>
    <x v="1"/>
    <x v="7"/>
    <s v="Tuesday"/>
    <n v="10"/>
    <n v="0.88235294117647056"/>
    <n v="88.235294117647058"/>
    <x v="0"/>
  </r>
  <r>
    <n v="2187"/>
    <s v="732 Main St, CityD"/>
    <x v="1040"/>
    <x v="1"/>
    <x v="34"/>
    <x v="2"/>
    <x v="2"/>
    <n v="134"/>
    <n v="28"/>
    <x v="0"/>
    <x v="2"/>
    <x v="1"/>
    <x v="1"/>
    <x v="0"/>
    <x v="4"/>
    <s v="Wednesday"/>
    <n v="9"/>
    <n v="0.8271604938271605"/>
    <n v="82.716049382716051"/>
    <x v="0"/>
  </r>
  <r>
    <n v="2188"/>
    <s v="55 Pine St, CityB"/>
    <x v="1041"/>
    <x v="0"/>
    <x v="85"/>
    <x v="2"/>
    <x v="0"/>
    <n v="126"/>
    <n v="29"/>
    <x v="0"/>
    <x v="2"/>
    <x v="0"/>
    <x v="1"/>
    <x v="0"/>
    <x v="1"/>
    <s v="Friday"/>
    <n v="14"/>
    <n v="0.81290322580645158"/>
    <n v="81.290322580645153"/>
    <x v="0"/>
  </r>
  <r>
    <n v="2189"/>
    <s v="247 Pine St, CityE"/>
    <x v="1042"/>
    <x v="0"/>
    <x v="5"/>
    <x v="0"/>
    <x v="0"/>
    <n v="98"/>
    <n v="10"/>
    <x v="1"/>
    <x v="1"/>
    <x v="0"/>
    <x v="2"/>
    <x v="1"/>
    <x v="4"/>
    <s v="Wednesday"/>
    <n v="10"/>
    <n v="0.90740740740740744"/>
    <n v="90.740740740740748"/>
    <x v="0"/>
  </r>
  <r>
    <n v="2190"/>
    <s v="877 Cedar St, CityE"/>
    <x v="6"/>
    <x v="1"/>
    <x v="39"/>
    <x v="1"/>
    <x v="4"/>
    <n v="166"/>
    <n v="17"/>
    <x v="2"/>
    <x v="3"/>
    <x v="0"/>
    <x v="2"/>
    <x v="2"/>
    <x v="3"/>
    <s v="Thursday"/>
    <n v="13"/>
    <n v="0.90710382513661203"/>
    <n v="90.710382513661202"/>
    <x v="0"/>
  </r>
  <r>
    <n v="2191"/>
    <s v="472 Cedar St, CityC"/>
    <x v="1043"/>
    <x v="1"/>
    <x v="23"/>
    <x v="1"/>
    <x v="1"/>
    <n v="162"/>
    <n v="0"/>
    <x v="1"/>
    <x v="2"/>
    <x v="1"/>
    <x v="0"/>
    <x v="1"/>
    <x v="0"/>
    <s v="Monday"/>
    <n v="11"/>
    <n v="1"/>
    <n v="100"/>
    <x v="1"/>
  </r>
  <r>
    <n v="2192"/>
    <s v="806 Main St, CityE"/>
    <x v="1044"/>
    <x v="1"/>
    <x v="10"/>
    <x v="0"/>
    <x v="2"/>
    <n v="174"/>
    <n v="22"/>
    <x v="1"/>
    <x v="1"/>
    <x v="0"/>
    <x v="2"/>
    <x v="1"/>
    <x v="2"/>
    <s v="Sunday"/>
    <n v="15"/>
    <n v="0.88775510204081631"/>
    <n v="88.775510204081627"/>
    <x v="0"/>
  </r>
  <r>
    <n v="2193"/>
    <s v="798 Cedar St, CityB"/>
    <x v="323"/>
    <x v="1"/>
    <x v="88"/>
    <x v="0"/>
    <x v="2"/>
    <n v="155"/>
    <n v="1"/>
    <x v="0"/>
    <x v="0"/>
    <x v="0"/>
    <x v="2"/>
    <x v="0"/>
    <x v="7"/>
    <s v="Tuesday"/>
    <n v="14"/>
    <n v="0.99358974358974361"/>
    <n v="99.358974358974365"/>
    <x v="0"/>
  </r>
  <r>
    <n v="2194"/>
    <s v="129 Main St, CityA"/>
    <x v="1045"/>
    <x v="1"/>
    <x v="84"/>
    <x v="0"/>
    <x v="2"/>
    <n v="138"/>
    <n v="20"/>
    <x v="1"/>
    <x v="1"/>
    <x v="1"/>
    <x v="2"/>
    <x v="1"/>
    <x v="3"/>
    <s v="Thursday"/>
    <n v="10"/>
    <n v="0.87341772151898733"/>
    <n v="87.341772151898738"/>
    <x v="0"/>
  </r>
  <r>
    <n v="2195"/>
    <s v="275 Main St, CityA"/>
    <x v="1046"/>
    <x v="0"/>
    <x v="74"/>
    <x v="1"/>
    <x v="1"/>
    <n v="135"/>
    <n v="12"/>
    <x v="2"/>
    <x v="3"/>
    <x v="1"/>
    <x v="0"/>
    <x v="2"/>
    <x v="4"/>
    <s v="Wednesday"/>
    <n v="14"/>
    <n v="0.91836734693877553"/>
    <n v="91.83673469387756"/>
    <x v="0"/>
  </r>
  <r>
    <n v="2196"/>
    <s v="887 Pine St, CityC"/>
    <x v="1047"/>
    <x v="1"/>
    <x v="43"/>
    <x v="0"/>
    <x v="2"/>
    <n v="183"/>
    <n v="2"/>
    <x v="1"/>
    <x v="4"/>
    <x v="0"/>
    <x v="2"/>
    <x v="1"/>
    <x v="1"/>
    <s v="Friday"/>
    <n v="12"/>
    <n v="0.98918918918918919"/>
    <n v="98.918918918918919"/>
    <x v="0"/>
  </r>
  <r>
    <n v="2197"/>
    <s v="855 Cedar St, CityA"/>
    <x v="1048"/>
    <x v="1"/>
    <x v="47"/>
    <x v="1"/>
    <x v="0"/>
    <n v="189"/>
    <n v="22"/>
    <x v="0"/>
    <x v="2"/>
    <x v="2"/>
    <x v="2"/>
    <x v="0"/>
    <x v="5"/>
    <s v="Saturday"/>
    <n v="16"/>
    <n v="0.89573459715639814"/>
    <n v="89.573459715639814"/>
    <x v="0"/>
  </r>
  <r>
    <n v="2198"/>
    <s v="912 Cedar St, CityE"/>
    <x v="1049"/>
    <x v="0"/>
    <x v="77"/>
    <x v="0"/>
    <x v="0"/>
    <n v="225"/>
    <n v="11"/>
    <x v="1"/>
    <x v="0"/>
    <x v="1"/>
    <x v="1"/>
    <x v="1"/>
    <x v="5"/>
    <s v="Saturday"/>
    <n v="11"/>
    <n v="0.95338983050847459"/>
    <n v="95.33898305084746"/>
    <x v="0"/>
  </r>
  <r>
    <n v="2199"/>
    <s v="757 Main St, CityC"/>
    <x v="1050"/>
    <x v="1"/>
    <x v="87"/>
    <x v="2"/>
    <x v="2"/>
    <n v="68"/>
    <n v="4"/>
    <x v="1"/>
    <x v="0"/>
    <x v="2"/>
    <x v="1"/>
    <x v="1"/>
    <x v="1"/>
    <s v="Friday"/>
    <n v="11"/>
    <n v="0.94444444444444442"/>
    <n v="94.444444444444443"/>
    <x v="0"/>
  </r>
  <r>
    <n v="2200"/>
    <s v="641 Oak St, CityB"/>
    <x v="1051"/>
    <x v="0"/>
    <x v="74"/>
    <x v="0"/>
    <x v="4"/>
    <n v="163"/>
    <n v="9"/>
    <x v="1"/>
    <x v="1"/>
    <x v="2"/>
    <x v="2"/>
    <x v="1"/>
    <x v="0"/>
    <s v="Monday"/>
    <n v="8"/>
    <n v="0.94767441860465118"/>
    <n v="94.767441860465112"/>
    <x v="0"/>
  </r>
  <r>
    <n v="2201"/>
    <s v="561 Pine St, CityD"/>
    <x v="1052"/>
    <x v="1"/>
    <x v="98"/>
    <x v="2"/>
    <x v="4"/>
    <n v="234"/>
    <n v="3"/>
    <x v="0"/>
    <x v="2"/>
    <x v="0"/>
    <x v="2"/>
    <x v="0"/>
    <x v="5"/>
    <s v="Saturday"/>
    <n v="10"/>
    <n v="0.98734177215189878"/>
    <n v="98.734177215189874"/>
    <x v="0"/>
  </r>
  <r>
    <n v="2202"/>
    <s v="902 Elm St, CityE"/>
    <x v="402"/>
    <x v="1"/>
    <x v="81"/>
    <x v="1"/>
    <x v="3"/>
    <n v="160"/>
    <n v="27"/>
    <x v="2"/>
    <x v="1"/>
    <x v="1"/>
    <x v="0"/>
    <x v="2"/>
    <x v="2"/>
    <s v="Sunday"/>
    <n v="10"/>
    <n v="0.85561497326203206"/>
    <n v="85.561497326203209"/>
    <x v="0"/>
  </r>
  <r>
    <n v="2203"/>
    <s v="199 Pine St, CityB"/>
    <x v="1053"/>
    <x v="0"/>
    <x v="26"/>
    <x v="0"/>
    <x v="2"/>
    <n v="105"/>
    <n v="21"/>
    <x v="2"/>
    <x v="1"/>
    <x v="2"/>
    <x v="2"/>
    <x v="2"/>
    <x v="2"/>
    <s v="Sunday"/>
    <n v="9"/>
    <n v="0.83333333333333337"/>
    <n v="83.333333333333343"/>
    <x v="0"/>
  </r>
  <r>
    <n v="2204"/>
    <s v="542 Main St, CityD"/>
    <x v="411"/>
    <x v="1"/>
    <x v="65"/>
    <x v="2"/>
    <x v="0"/>
    <n v="165"/>
    <n v="2"/>
    <x v="0"/>
    <x v="2"/>
    <x v="0"/>
    <x v="1"/>
    <x v="0"/>
    <x v="7"/>
    <s v="Tuesday"/>
    <n v="9"/>
    <n v="0.9880239520958084"/>
    <n v="98.802395209580837"/>
    <x v="0"/>
  </r>
  <r>
    <n v="2205"/>
    <s v="275 Elm St, CityB"/>
    <x v="1054"/>
    <x v="1"/>
    <x v="22"/>
    <x v="2"/>
    <x v="0"/>
    <n v="192"/>
    <n v="13"/>
    <x v="1"/>
    <x v="3"/>
    <x v="1"/>
    <x v="2"/>
    <x v="1"/>
    <x v="5"/>
    <s v="Saturday"/>
    <n v="16"/>
    <n v="0.93658536585365859"/>
    <n v="93.658536585365866"/>
    <x v="0"/>
  </r>
  <r>
    <n v="2206"/>
    <s v="690 Main St, CityB"/>
    <x v="1055"/>
    <x v="1"/>
    <x v="43"/>
    <x v="0"/>
    <x v="0"/>
    <n v="94"/>
    <n v="24"/>
    <x v="2"/>
    <x v="1"/>
    <x v="2"/>
    <x v="2"/>
    <x v="2"/>
    <x v="2"/>
    <s v="Sunday"/>
    <n v="13"/>
    <n v="0.79661016949152541"/>
    <n v="79.66101694915254"/>
    <x v="0"/>
  </r>
  <r>
    <n v="2207"/>
    <s v="714 Pine St, CityE"/>
    <x v="514"/>
    <x v="1"/>
    <x v="91"/>
    <x v="0"/>
    <x v="4"/>
    <n v="90"/>
    <n v="20"/>
    <x v="2"/>
    <x v="4"/>
    <x v="0"/>
    <x v="0"/>
    <x v="2"/>
    <x v="3"/>
    <s v="Thursday"/>
    <n v="14"/>
    <n v="0.81818181818181823"/>
    <n v="81.818181818181827"/>
    <x v="0"/>
  </r>
  <r>
    <n v="2208"/>
    <s v="695 Oak St, CityB"/>
    <x v="1056"/>
    <x v="0"/>
    <x v="7"/>
    <x v="2"/>
    <x v="0"/>
    <n v="219"/>
    <n v="17"/>
    <x v="1"/>
    <x v="1"/>
    <x v="1"/>
    <x v="0"/>
    <x v="1"/>
    <x v="3"/>
    <s v="Thursday"/>
    <n v="16"/>
    <n v="0.92796610169491522"/>
    <n v="92.796610169491515"/>
    <x v="0"/>
  </r>
  <r>
    <n v="2209"/>
    <s v="535 Cedar St, CityC"/>
    <x v="1057"/>
    <x v="0"/>
    <x v="17"/>
    <x v="2"/>
    <x v="0"/>
    <n v="176"/>
    <n v="2"/>
    <x v="2"/>
    <x v="0"/>
    <x v="0"/>
    <x v="1"/>
    <x v="2"/>
    <x v="1"/>
    <s v="Friday"/>
    <n v="12"/>
    <n v="0.9887640449438202"/>
    <n v="98.876404494382015"/>
    <x v="0"/>
  </r>
  <r>
    <n v="2210"/>
    <s v="418 Oak St, CityB"/>
    <x v="309"/>
    <x v="1"/>
    <x v="38"/>
    <x v="1"/>
    <x v="0"/>
    <n v="210"/>
    <n v="16"/>
    <x v="1"/>
    <x v="3"/>
    <x v="1"/>
    <x v="1"/>
    <x v="1"/>
    <x v="5"/>
    <s v="Saturday"/>
    <n v="9"/>
    <n v="0.92920353982300885"/>
    <n v="92.920353982300881"/>
    <x v="0"/>
  </r>
  <r>
    <n v="2211"/>
    <s v="22 Elm St, CityD"/>
    <x v="430"/>
    <x v="0"/>
    <x v="13"/>
    <x v="0"/>
    <x v="4"/>
    <n v="64"/>
    <n v="0"/>
    <x v="1"/>
    <x v="3"/>
    <x v="0"/>
    <x v="0"/>
    <x v="1"/>
    <x v="7"/>
    <s v="Tuesday"/>
    <n v="16"/>
    <n v="1"/>
    <n v="100"/>
    <x v="1"/>
  </r>
  <r>
    <n v="2212"/>
    <s v="775 Elm St, CityC"/>
    <x v="357"/>
    <x v="1"/>
    <x v="37"/>
    <x v="1"/>
    <x v="4"/>
    <n v="218"/>
    <n v="16"/>
    <x v="1"/>
    <x v="1"/>
    <x v="0"/>
    <x v="0"/>
    <x v="1"/>
    <x v="1"/>
    <s v="Friday"/>
    <n v="16"/>
    <n v="0.93162393162393164"/>
    <n v="93.162393162393158"/>
    <x v="0"/>
  </r>
  <r>
    <n v="2213"/>
    <s v="740 Cedar St, CityD"/>
    <x v="891"/>
    <x v="0"/>
    <x v="6"/>
    <x v="2"/>
    <x v="3"/>
    <n v="198"/>
    <n v="23"/>
    <x v="1"/>
    <x v="2"/>
    <x v="1"/>
    <x v="0"/>
    <x v="1"/>
    <x v="7"/>
    <s v="Tuesday"/>
    <n v="14"/>
    <n v="0.89592760180995479"/>
    <n v="89.592760180995484"/>
    <x v="0"/>
  </r>
  <r>
    <n v="2214"/>
    <s v="220 Main St, CityC"/>
    <x v="1058"/>
    <x v="1"/>
    <x v="40"/>
    <x v="1"/>
    <x v="0"/>
    <n v="76"/>
    <n v="19"/>
    <x v="2"/>
    <x v="1"/>
    <x v="2"/>
    <x v="0"/>
    <x v="2"/>
    <x v="1"/>
    <s v="Friday"/>
    <n v="10"/>
    <n v="0.8"/>
    <n v="80"/>
    <x v="0"/>
  </r>
  <r>
    <n v="2215"/>
    <s v="984 Oak St, CityA"/>
    <x v="1059"/>
    <x v="1"/>
    <x v="42"/>
    <x v="1"/>
    <x v="2"/>
    <n v="148"/>
    <n v="20"/>
    <x v="2"/>
    <x v="3"/>
    <x v="2"/>
    <x v="1"/>
    <x v="2"/>
    <x v="3"/>
    <s v="Thursday"/>
    <n v="8"/>
    <n v="0.88095238095238093"/>
    <n v="88.095238095238088"/>
    <x v="0"/>
  </r>
  <r>
    <n v="2216"/>
    <s v="474 Main St, CityD"/>
    <x v="811"/>
    <x v="1"/>
    <x v="90"/>
    <x v="2"/>
    <x v="2"/>
    <n v="161"/>
    <n v="3"/>
    <x v="1"/>
    <x v="3"/>
    <x v="2"/>
    <x v="1"/>
    <x v="1"/>
    <x v="6"/>
    <s v="Friday"/>
    <n v="10"/>
    <n v="0.98170731707317072"/>
    <n v="98.170731707317074"/>
    <x v="0"/>
  </r>
  <r>
    <n v="2217"/>
    <s v="299 Pine St, CityB"/>
    <x v="1060"/>
    <x v="1"/>
    <x v="88"/>
    <x v="2"/>
    <x v="0"/>
    <n v="121"/>
    <n v="10"/>
    <x v="1"/>
    <x v="4"/>
    <x v="1"/>
    <x v="0"/>
    <x v="1"/>
    <x v="6"/>
    <s v="Friday"/>
    <n v="15"/>
    <n v="0.92366412213740456"/>
    <n v="92.36641221374046"/>
    <x v="0"/>
  </r>
  <r>
    <n v="2218"/>
    <s v="364 Oak St, CityC"/>
    <x v="361"/>
    <x v="0"/>
    <x v="2"/>
    <x v="2"/>
    <x v="0"/>
    <n v="145"/>
    <n v="9"/>
    <x v="2"/>
    <x v="2"/>
    <x v="2"/>
    <x v="1"/>
    <x v="2"/>
    <x v="4"/>
    <s v="Wednesday"/>
    <n v="11"/>
    <n v="0.94155844155844159"/>
    <n v="94.155844155844164"/>
    <x v="0"/>
  </r>
  <r>
    <n v="2219"/>
    <s v="888 Main St, CityB"/>
    <x v="1061"/>
    <x v="0"/>
    <x v="36"/>
    <x v="2"/>
    <x v="2"/>
    <n v="220"/>
    <n v="22"/>
    <x v="0"/>
    <x v="2"/>
    <x v="0"/>
    <x v="2"/>
    <x v="0"/>
    <x v="3"/>
    <s v="Thursday"/>
    <n v="16"/>
    <n v="0.90909090909090906"/>
    <n v="90.909090909090907"/>
    <x v="0"/>
  </r>
  <r>
    <n v="2220"/>
    <s v="413 Elm St, CityC"/>
    <x v="1062"/>
    <x v="0"/>
    <x v="90"/>
    <x v="2"/>
    <x v="2"/>
    <n v="219"/>
    <n v="21"/>
    <x v="1"/>
    <x v="2"/>
    <x v="0"/>
    <x v="1"/>
    <x v="1"/>
    <x v="3"/>
    <s v="Thursday"/>
    <n v="14"/>
    <n v="0.91249999999999998"/>
    <n v="91.25"/>
    <x v="0"/>
  </r>
  <r>
    <n v="2221"/>
    <s v="349 Cedar St, CityB"/>
    <x v="53"/>
    <x v="1"/>
    <x v="52"/>
    <x v="1"/>
    <x v="2"/>
    <n v="186"/>
    <n v="17"/>
    <x v="2"/>
    <x v="2"/>
    <x v="2"/>
    <x v="1"/>
    <x v="2"/>
    <x v="5"/>
    <s v="Saturday"/>
    <n v="12"/>
    <n v="0.91625615763546797"/>
    <n v="91.62561576354679"/>
    <x v="0"/>
  </r>
  <r>
    <n v="2222"/>
    <s v="301 Elm St, CityA"/>
    <x v="1063"/>
    <x v="1"/>
    <x v="22"/>
    <x v="2"/>
    <x v="0"/>
    <n v="229"/>
    <n v="18"/>
    <x v="0"/>
    <x v="2"/>
    <x v="2"/>
    <x v="0"/>
    <x v="0"/>
    <x v="2"/>
    <s v="Sunday"/>
    <n v="14"/>
    <n v="0.92712550607287447"/>
    <n v="92.712550607287454"/>
    <x v="0"/>
  </r>
  <r>
    <n v="2223"/>
    <s v="685 Main St, CityD"/>
    <x v="1064"/>
    <x v="0"/>
    <x v="75"/>
    <x v="2"/>
    <x v="4"/>
    <n v="123"/>
    <n v="19"/>
    <x v="1"/>
    <x v="4"/>
    <x v="2"/>
    <x v="1"/>
    <x v="1"/>
    <x v="2"/>
    <s v="Sunday"/>
    <n v="11"/>
    <n v="0.86619718309859151"/>
    <n v="86.619718309859152"/>
    <x v="0"/>
  </r>
  <r>
    <n v="2224"/>
    <s v="387 Oak St, CityD"/>
    <x v="1065"/>
    <x v="0"/>
    <x v="62"/>
    <x v="2"/>
    <x v="3"/>
    <n v="176"/>
    <n v="12"/>
    <x v="1"/>
    <x v="3"/>
    <x v="2"/>
    <x v="0"/>
    <x v="1"/>
    <x v="2"/>
    <s v="Sunday"/>
    <n v="9"/>
    <n v="0.93617021276595747"/>
    <n v="93.61702127659575"/>
    <x v="0"/>
  </r>
  <r>
    <n v="2225"/>
    <s v="812 Oak St, CityC"/>
    <x v="1066"/>
    <x v="0"/>
    <x v="38"/>
    <x v="1"/>
    <x v="2"/>
    <n v="141"/>
    <n v="29"/>
    <x v="2"/>
    <x v="2"/>
    <x v="0"/>
    <x v="2"/>
    <x v="2"/>
    <x v="2"/>
    <s v="Sunday"/>
    <n v="14"/>
    <n v="0.8294117647058824"/>
    <n v="82.941176470588246"/>
    <x v="0"/>
  </r>
  <r>
    <n v="2226"/>
    <s v="526 Cedar St, CityE"/>
    <x v="1067"/>
    <x v="0"/>
    <x v="66"/>
    <x v="1"/>
    <x v="1"/>
    <n v="170"/>
    <n v="23"/>
    <x v="0"/>
    <x v="4"/>
    <x v="1"/>
    <x v="0"/>
    <x v="0"/>
    <x v="0"/>
    <s v="Monday"/>
    <n v="10"/>
    <n v="0.88082901554404147"/>
    <n v="88.082901554404145"/>
    <x v="0"/>
  </r>
  <r>
    <n v="2227"/>
    <s v="518 Main St, CityB"/>
    <x v="866"/>
    <x v="0"/>
    <x v="8"/>
    <x v="0"/>
    <x v="3"/>
    <n v="94"/>
    <n v="19"/>
    <x v="2"/>
    <x v="4"/>
    <x v="0"/>
    <x v="0"/>
    <x v="2"/>
    <x v="7"/>
    <s v="Tuesday"/>
    <n v="10"/>
    <n v="0.83185840707964598"/>
    <n v="83.185840707964601"/>
    <x v="0"/>
  </r>
  <r>
    <n v="2228"/>
    <s v="749 Main St, CityC"/>
    <x v="579"/>
    <x v="1"/>
    <x v="74"/>
    <x v="0"/>
    <x v="1"/>
    <n v="145"/>
    <n v="5"/>
    <x v="2"/>
    <x v="3"/>
    <x v="2"/>
    <x v="1"/>
    <x v="2"/>
    <x v="7"/>
    <s v="Tuesday"/>
    <n v="9"/>
    <n v="0.96666666666666667"/>
    <n v="96.666666666666671"/>
    <x v="0"/>
  </r>
  <r>
    <n v="2229"/>
    <s v="248 Cedar St, CityE"/>
    <x v="1068"/>
    <x v="1"/>
    <x v="81"/>
    <x v="1"/>
    <x v="4"/>
    <n v="71"/>
    <n v="5"/>
    <x v="0"/>
    <x v="3"/>
    <x v="1"/>
    <x v="1"/>
    <x v="0"/>
    <x v="7"/>
    <s v="Tuesday"/>
    <n v="10"/>
    <n v="0.93421052631578949"/>
    <n v="93.421052631578945"/>
    <x v="0"/>
  </r>
  <r>
    <n v="2230"/>
    <s v="532 Elm St, CityC"/>
    <x v="722"/>
    <x v="0"/>
    <x v="0"/>
    <x v="0"/>
    <x v="3"/>
    <n v="84"/>
    <n v="0"/>
    <x v="1"/>
    <x v="2"/>
    <x v="1"/>
    <x v="0"/>
    <x v="1"/>
    <x v="5"/>
    <s v="Saturday"/>
    <n v="16"/>
    <n v="1"/>
    <n v="100"/>
    <x v="1"/>
  </r>
  <r>
    <n v="2231"/>
    <s v="340 Elm St, CityD"/>
    <x v="1069"/>
    <x v="1"/>
    <x v="33"/>
    <x v="2"/>
    <x v="0"/>
    <n v="75"/>
    <n v="24"/>
    <x v="0"/>
    <x v="4"/>
    <x v="0"/>
    <x v="0"/>
    <x v="0"/>
    <x v="6"/>
    <s v="Friday"/>
    <n v="12"/>
    <n v="0.75757575757575757"/>
    <n v="75.757575757575751"/>
    <x v="0"/>
  </r>
  <r>
    <n v="2232"/>
    <s v="625 Main St, CityC"/>
    <x v="1070"/>
    <x v="0"/>
    <x v="90"/>
    <x v="2"/>
    <x v="4"/>
    <n v="140"/>
    <n v="22"/>
    <x v="1"/>
    <x v="2"/>
    <x v="2"/>
    <x v="1"/>
    <x v="1"/>
    <x v="5"/>
    <s v="Saturday"/>
    <n v="16"/>
    <n v="0.86419753086419748"/>
    <n v="86.419753086419746"/>
    <x v="0"/>
  </r>
  <r>
    <n v="2233"/>
    <s v="39 Oak St, CityA"/>
    <x v="1071"/>
    <x v="0"/>
    <x v="38"/>
    <x v="2"/>
    <x v="1"/>
    <n v="82"/>
    <n v="4"/>
    <x v="1"/>
    <x v="3"/>
    <x v="0"/>
    <x v="0"/>
    <x v="1"/>
    <x v="6"/>
    <s v="Friday"/>
    <n v="9"/>
    <n v="0.95348837209302328"/>
    <n v="95.348837209302332"/>
    <x v="0"/>
  </r>
  <r>
    <n v="2234"/>
    <s v="874 Oak St, CityB"/>
    <x v="1072"/>
    <x v="1"/>
    <x v="79"/>
    <x v="0"/>
    <x v="0"/>
    <n v="195"/>
    <n v="10"/>
    <x v="0"/>
    <x v="1"/>
    <x v="0"/>
    <x v="2"/>
    <x v="0"/>
    <x v="3"/>
    <s v="Thursday"/>
    <n v="10"/>
    <n v="0.95121951219512191"/>
    <n v="95.121951219512198"/>
    <x v="0"/>
  </r>
  <r>
    <n v="2235"/>
    <s v="210 Elm St, CityB"/>
    <x v="1073"/>
    <x v="1"/>
    <x v="56"/>
    <x v="1"/>
    <x v="3"/>
    <n v="93"/>
    <n v="28"/>
    <x v="0"/>
    <x v="3"/>
    <x v="0"/>
    <x v="1"/>
    <x v="0"/>
    <x v="5"/>
    <s v="Saturday"/>
    <n v="12"/>
    <n v="0.76859504132231404"/>
    <n v="76.859504132231407"/>
    <x v="0"/>
  </r>
  <r>
    <n v="2236"/>
    <s v="994 Oak St, CityB"/>
    <x v="1074"/>
    <x v="1"/>
    <x v="75"/>
    <x v="2"/>
    <x v="0"/>
    <n v="156"/>
    <n v="13"/>
    <x v="1"/>
    <x v="1"/>
    <x v="1"/>
    <x v="2"/>
    <x v="1"/>
    <x v="0"/>
    <s v="Monday"/>
    <n v="10"/>
    <n v="0.92307692307692313"/>
    <n v="92.307692307692307"/>
    <x v="0"/>
  </r>
  <r>
    <n v="2237"/>
    <s v="849 Cedar St, CityC"/>
    <x v="1075"/>
    <x v="0"/>
    <x v="80"/>
    <x v="0"/>
    <x v="4"/>
    <n v="123"/>
    <n v="13"/>
    <x v="0"/>
    <x v="3"/>
    <x v="0"/>
    <x v="2"/>
    <x v="0"/>
    <x v="1"/>
    <s v="Friday"/>
    <n v="9"/>
    <n v="0.90441176470588236"/>
    <n v="90.441176470588232"/>
    <x v="0"/>
  </r>
  <r>
    <n v="2238"/>
    <s v="602 Oak St, CityA"/>
    <x v="1076"/>
    <x v="0"/>
    <x v="20"/>
    <x v="0"/>
    <x v="1"/>
    <n v="217"/>
    <n v="1"/>
    <x v="0"/>
    <x v="4"/>
    <x v="0"/>
    <x v="2"/>
    <x v="0"/>
    <x v="3"/>
    <s v="Thursday"/>
    <n v="8"/>
    <n v="0.99541284403669728"/>
    <n v="99.541284403669721"/>
    <x v="0"/>
  </r>
  <r>
    <n v="2239"/>
    <s v="405 Elm St, CityB"/>
    <x v="1077"/>
    <x v="0"/>
    <x v="20"/>
    <x v="1"/>
    <x v="3"/>
    <n v="110"/>
    <n v="7"/>
    <x v="2"/>
    <x v="1"/>
    <x v="1"/>
    <x v="2"/>
    <x v="2"/>
    <x v="1"/>
    <s v="Friday"/>
    <n v="14"/>
    <n v="0.94017094017094016"/>
    <n v="94.01709401709401"/>
    <x v="0"/>
  </r>
  <r>
    <n v="2240"/>
    <s v="826 Main St, CityA"/>
    <x v="1078"/>
    <x v="0"/>
    <x v="81"/>
    <x v="0"/>
    <x v="4"/>
    <n v="169"/>
    <n v="8"/>
    <x v="2"/>
    <x v="4"/>
    <x v="2"/>
    <x v="2"/>
    <x v="2"/>
    <x v="1"/>
    <s v="Friday"/>
    <n v="10"/>
    <n v="0.95480225988700562"/>
    <n v="95.480225988700568"/>
    <x v="0"/>
  </r>
  <r>
    <n v="2241"/>
    <s v="97 Cedar St, CityD"/>
    <x v="1079"/>
    <x v="1"/>
    <x v="18"/>
    <x v="0"/>
    <x v="0"/>
    <n v="161"/>
    <n v="7"/>
    <x v="0"/>
    <x v="3"/>
    <x v="2"/>
    <x v="0"/>
    <x v="0"/>
    <x v="4"/>
    <s v="Wednesday"/>
    <n v="8"/>
    <n v="0.95833333333333337"/>
    <n v="95.833333333333343"/>
    <x v="0"/>
  </r>
  <r>
    <n v="2242"/>
    <s v="539 Pine St, CityA"/>
    <x v="1080"/>
    <x v="0"/>
    <x v="97"/>
    <x v="1"/>
    <x v="0"/>
    <n v="175"/>
    <n v="5"/>
    <x v="2"/>
    <x v="4"/>
    <x v="0"/>
    <x v="0"/>
    <x v="2"/>
    <x v="2"/>
    <s v="Sunday"/>
    <n v="11"/>
    <n v="0.97222222222222221"/>
    <n v="97.222222222222214"/>
    <x v="0"/>
  </r>
  <r>
    <n v="2243"/>
    <s v="558 Main St, CityE"/>
    <x v="1081"/>
    <x v="0"/>
    <x v="24"/>
    <x v="2"/>
    <x v="4"/>
    <n v="131"/>
    <n v="26"/>
    <x v="0"/>
    <x v="4"/>
    <x v="0"/>
    <x v="2"/>
    <x v="0"/>
    <x v="0"/>
    <s v="Monday"/>
    <n v="16"/>
    <n v="0.83439490445859876"/>
    <n v="83.439490445859875"/>
    <x v="0"/>
  </r>
  <r>
    <n v="2244"/>
    <s v="1000 Elm St, CityB"/>
    <x v="1082"/>
    <x v="0"/>
    <x v="60"/>
    <x v="0"/>
    <x v="0"/>
    <n v="193"/>
    <n v="24"/>
    <x v="0"/>
    <x v="2"/>
    <x v="0"/>
    <x v="0"/>
    <x v="0"/>
    <x v="0"/>
    <s v="Monday"/>
    <n v="16"/>
    <n v="0.88940092165898621"/>
    <n v="88.940092165898619"/>
    <x v="0"/>
  </r>
  <r>
    <n v="2245"/>
    <s v="608 Main St, CityB"/>
    <x v="1083"/>
    <x v="1"/>
    <x v="36"/>
    <x v="2"/>
    <x v="1"/>
    <n v="171"/>
    <n v="23"/>
    <x v="0"/>
    <x v="1"/>
    <x v="0"/>
    <x v="2"/>
    <x v="0"/>
    <x v="4"/>
    <s v="Wednesday"/>
    <n v="9"/>
    <n v="0.88144329896907214"/>
    <n v="88.144329896907209"/>
    <x v="0"/>
  </r>
  <r>
    <n v="2246"/>
    <s v="505 Elm St, CityB"/>
    <x v="119"/>
    <x v="1"/>
    <x v="12"/>
    <x v="1"/>
    <x v="4"/>
    <n v="223"/>
    <n v="27"/>
    <x v="1"/>
    <x v="0"/>
    <x v="0"/>
    <x v="2"/>
    <x v="1"/>
    <x v="2"/>
    <s v="Sunday"/>
    <n v="8"/>
    <n v="0.89200000000000002"/>
    <n v="89.2"/>
    <x v="0"/>
  </r>
  <r>
    <n v="2247"/>
    <s v="415 Oak St, CityB"/>
    <x v="1084"/>
    <x v="1"/>
    <x v="57"/>
    <x v="0"/>
    <x v="4"/>
    <n v="224"/>
    <n v="12"/>
    <x v="0"/>
    <x v="1"/>
    <x v="2"/>
    <x v="0"/>
    <x v="0"/>
    <x v="0"/>
    <s v="Monday"/>
    <n v="12"/>
    <n v="0.94915254237288138"/>
    <n v="94.915254237288138"/>
    <x v="0"/>
  </r>
  <r>
    <n v="2248"/>
    <s v="41 Pine St, CityA"/>
    <x v="1085"/>
    <x v="0"/>
    <x v="98"/>
    <x v="2"/>
    <x v="2"/>
    <n v="121"/>
    <n v="16"/>
    <x v="2"/>
    <x v="0"/>
    <x v="1"/>
    <x v="0"/>
    <x v="2"/>
    <x v="1"/>
    <s v="Friday"/>
    <n v="16"/>
    <n v="0.88321167883211682"/>
    <n v="88.321167883211686"/>
    <x v="0"/>
  </r>
  <r>
    <n v="2249"/>
    <s v="741 Main St, CityA"/>
    <x v="1086"/>
    <x v="0"/>
    <x v="25"/>
    <x v="2"/>
    <x v="1"/>
    <n v="154"/>
    <n v="12"/>
    <x v="1"/>
    <x v="2"/>
    <x v="2"/>
    <x v="1"/>
    <x v="1"/>
    <x v="2"/>
    <s v="Sunday"/>
    <n v="13"/>
    <n v="0.92771084337349397"/>
    <n v="92.771084337349393"/>
    <x v="0"/>
  </r>
  <r>
    <n v="2250"/>
    <s v="941 Cedar St, CityE"/>
    <x v="222"/>
    <x v="0"/>
    <x v="71"/>
    <x v="1"/>
    <x v="1"/>
    <n v="157"/>
    <n v="2"/>
    <x v="0"/>
    <x v="2"/>
    <x v="2"/>
    <x v="1"/>
    <x v="0"/>
    <x v="2"/>
    <s v="Sunday"/>
    <n v="14"/>
    <n v="0.98742138364779874"/>
    <n v="98.742138364779876"/>
    <x v="0"/>
  </r>
  <r>
    <n v="2251"/>
    <s v="509 Oak St, CityD"/>
    <x v="1087"/>
    <x v="1"/>
    <x v="44"/>
    <x v="0"/>
    <x v="1"/>
    <n v="123"/>
    <n v="4"/>
    <x v="1"/>
    <x v="1"/>
    <x v="1"/>
    <x v="0"/>
    <x v="1"/>
    <x v="6"/>
    <s v="Friday"/>
    <n v="8"/>
    <n v="0.96850393700787396"/>
    <n v="96.850393700787393"/>
    <x v="0"/>
  </r>
  <r>
    <n v="2252"/>
    <s v="98 Pine St, CityE"/>
    <x v="514"/>
    <x v="1"/>
    <x v="99"/>
    <x v="0"/>
    <x v="1"/>
    <n v="158"/>
    <n v="1"/>
    <x v="1"/>
    <x v="1"/>
    <x v="0"/>
    <x v="0"/>
    <x v="1"/>
    <x v="3"/>
    <s v="Thursday"/>
    <n v="14"/>
    <n v="0.99371069182389937"/>
    <n v="99.371069182389931"/>
    <x v="0"/>
  </r>
  <r>
    <n v="2253"/>
    <s v="879 Pine St, CityE"/>
    <x v="797"/>
    <x v="0"/>
    <x v="27"/>
    <x v="1"/>
    <x v="3"/>
    <n v="216"/>
    <n v="24"/>
    <x v="2"/>
    <x v="0"/>
    <x v="2"/>
    <x v="2"/>
    <x v="2"/>
    <x v="6"/>
    <s v="Friday"/>
    <n v="10"/>
    <n v="0.9"/>
    <n v="90"/>
    <x v="0"/>
  </r>
  <r>
    <n v="2254"/>
    <s v="738 Cedar St, CityA"/>
    <x v="1088"/>
    <x v="0"/>
    <x v="92"/>
    <x v="0"/>
    <x v="3"/>
    <n v="75"/>
    <n v="8"/>
    <x v="2"/>
    <x v="1"/>
    <x v="2"/>
    <x v="2"/>
    <x v="2"/>
    <x v="0"/>
    <s v="Monday"/>
    <n v="14"/>
    <n v="0.90361445783132532"/>
    <n v="90.361445783132538"/>
    <x v="0"/>
  </r>
  <r>
    <n v="2255"/>
    <s v="11 Elm St, CityB"/>
    <x v="1089"/>
    <x v="0"/>
    <x v="94"/>
    <x v="2"/>
    <x v="1"/>
    <n v="166"/>
    <n v="29"/>
    <x v="0"/>
    <x v="4"/>
    <x v="1"/>
    <x v="0"/>
    <x v="0"/>
    <x v="0"/>
    <s v="Monday"/>
    <n v="11"/>
    <n v="0.85128205128205126"/>
    <n v="85.128205128205124"/>
    <x v="0"/>
  </r>
  <r>
    <n v="2256"/>
    <s v="841 Main St, CityA"/>
    <x v="383"/>
    <x v="1"/>
    <x v="49"/>
    <x v="0"/>
    <x v="2"/>
    <n v="96"/>
    <n v="27"/>
    <x v="2"/>
    <x v="4"/>
    <x v="1"/>
    <x v="2"/>
    <x v="2"/>
    <x v="3"/>
    <s v="Thursday"/>
    <n v="16"/>
    <n v="0.78048780487804881"/>
    <n v="78.048780487804876"/>
    <x v="0"/>
  </r>
  <r>
    <n v="2257"/>
    <s v="601 Main St, CityC"/>
    <x v="1090"/>
    <x v="0"/>
    <x v="9"/>
    <x v="2"/>
    <x v="2"/>
    <n v="181"/>
    <n v="8"/>
    <x v="0"/>
    <x v="2"/>
    <x v="0"/>
    <x v="1"/>
    <x v="0"/>
    <x v="6"/>
    <s v="Friday"/>
    <n v="11"/>
    <n v="0.95767195767195767"/>
    <n v="95.767195767195773"/>
    <x v="0"/>
  </r>
  <r>
    <n v="2258"/>
    <s v="798 Pine St, CityA"/>
    <x v="1091"/>
    <x v="1"/>
    <x v="32"/>
    <x v="2"/>
    <x v="4"/>
    <n v="67"/>
    <n v="29"/>
    <x v="0"/>
    <x v="0"/>
    <x v="1"/>
    <x v="1"/>
    <x v="0"/>
    <x v="5"/>
    <s v="Saturday"/>
    <n v="14"/>
    <n v="0.69791666666666663"/>
    <n v="69.791666666666657"/>
    <x v="0"/>
  </r>
  <r>
    <n v="2259"/>
    <s v="563 Elm St, CityE"/>
    <x v="1048"/>
    <x v="0"/>
    <x v="44"/>
    <x v="1"/>
    <x v="0"/>
    <n v="98"/>
    <n v="3"/>
    <x v="1"/>
    <x v="4"/>
    <x v="2"/>
    <x v="1"/>
    <x v="1"/>
    <x v="5"/>
    <s v="Saturday"/>
    <n v="16"/>
    <n v="0.97029702970297027"/>
    <n v="97.029702970297024"/>
    <x v="0"/>
  </r>
  <r>
    <n v="2260"/>
    <s v="537 Main St, CityB"/>
    <x v="1092"/>
    <x v="0"/>
    <x v="75"/>
    <x v="2"/>
    <x v="1"/>
    <n v="66"/>
    <n v="8"/>
    <x v="1"/>
    <x v="4"/>
    <x v="2"/>
    <x v="0"/>
    <x v="1"/>
    <x v="3"/>
    <s v="Thursday"/>
    <n v="16"/>
    <n v="0.89189189189189189"/>
    <n v="89.189189189189193"/>
    <x v="0"/>
  </r>
  <r>
    <n v="2261"/>
    <s v="705 Pine St, CityC"/>
    <x v="1093"/>
    <x v="1"/>
    <x v="21"/>
    <x v="0"/>
    <x v="3"/>
    <n v="96"/>
    <n v="21"/>
    <x v="0"/>
    <x v="3"/>
    <x v="1"/>
    <x v="0"/>
    <x v="0"/>
    <x v="6"/>
    <s v="Friday"/>
    <n v="10"/>
    <n v="0.82051282051282048"/>
    <n v="82.051282051282044"/>
    <x v="0"/>
  </r>
  <r>
    <n v="2262"/>
    <s v="484 Pine St, CityC"/>
    <x v="1094"/>
    <x v="1"/>
    <x v="10"/>
    <x v="2"/>
    <x v="4"/>
    <n v="162"/>
    <n v="2"/>
    <x v="1"/>
    <x v="1"/>
    <x v="2"/>
    <x v="1"/>
    <x v="1"/>
    <x v="3"/>
    <s v="Thursday"/>
    <n v="9"/>
    <n v="0.98780487804878048"/>
    <n v="98.780487804878049"/>
    <x v="0"/>
  </r>
  <r>
    <n v="2263"/>
    <s v="747 Oak St, CityE"/>
    <x v="1095"/>
    <x v="0"/>
    <x v="93"/>
    <x v="1"/>
    <x v="1"/>
    <n v="165"/>
    <n v="27"/>
    <x v="1"/>
    <x v="1"/>
    <x v="1"/>
    <x v="2"/>
    <x v="1"/>
    <x v="5"/>
    <s v="Saturday"/>
    <n v="16"/>
    <n v="0.859375"/>
    <n v="85.9375"/>
    <x v="0"/>
  </r>
  <r>
    <n v="2264"/>
    <s v="123 Pine St, CityA"/>
    <x v="1096"/>
    <x v="0"/>
    <x v="43"/>
    <x v="1"/>
    <x v="3"/>
    <n v="235"/>
    <n v="11"/>
    <x v="1"/>
    <x v="3"/>
    <x v="2"/>
    <x v="2"/>
    <x v="1"/>
    <x v="0"/>
    <s v="Monday"/>
    <n v="8"/>
    <n v="0.95528455284552849"/>
    <n v="95.528455284552848"/>
    <x v="0"/>
  </r>
  <r>
    <n v="2265"/>
    <s v="904 Cedar St, CityB"/>
    <x v="661"/>
    <x v="1"/>
    <x v="42"/>
    <x v="0"/>
    <x v="0"/>
    <n v="177"/>
    <n v="16"/>
    <x v="1"/>
    <x v="2"/>
    <x v="1"/>
    <x v="0"/>
    <x v="1"/>
    <x v="2"/>
    <s v="Sunday"/>
    <n v="10"/>
    <n v="0.91709844559585496"/>
    <n v="91.709844559585491"/>
    <x v="0"/>
  </r>
  <r>
    <n v="2266"/>
    <s v="402 Oak St, CityE"/>
    <x v="1097"/>
    <x v="0"/>
    <x v="72"/>
    <x v="2"/>
    <x v="1"/>
    <n v="214"/>
    <n v="24"/>
    <x v="0"/>
    <x v="3"/>
    <x v="2"/>
    <x v="0"/>
    <x v="0"/>
    <x v="0"/>
    <s v="Monday"/>
    <n v="11"/>
    <n v="0.89915966386554624"/>
    <n v="89.915966386554629"/>
    <x v="0"/>
  </r>
  <r>
    <n v="2267"/>
    <s v="812 Oak St, CityB"/>
    <x v="1098"/>
    <x v="0"/>
    <x v="98"/>
    <x v="0"/>
    <x v="4"/>
    <n v="66"/>
    <n v="28"/>
    <x v="0"/>
    <x v="1"/>
    <x v="2"/>
    <x v="2"/>
    <x v="0"/>
    <x v="0"/>
    <s v="Monday"/>
    <n v="10"/>
    <n v="0.7021276595744681"/>
    <n v="70.212765957446805"/>
    <x v="0"/>
  </r>
  <r>
    <n v="2268"/>
    <s v="908 Main St, CityA"/>
    <x v="1099"/>
    <x v="1"/>
    <x v="34"/>
    <x v="1"/>
    <x v="3"/>
    <n v="228"/>
    <n v="6"/>
    <x v="2"/>
    <x v="3"/>
    <x v="0"/>
    <x v="2"/>
    <x v="2"/>
    <x v="2"/>
    <s v="Sunday"/>
    <n v="13"/>
    <n v="0.97435897435897434"/>
    <n v="97.435897435897431"/>
    <x v="0"/>
  </r>
  <r>
    <n v="2269"/>
    <s v="319 Cedar St, CityA"/>
    <x v="1100"/>
    <x v="1"/>
    <x v="7"/>
    <x v="2"/>
    <x v="1"/>
    <n v="181"/>
    <n v="9"/>
    <x v="0"/>
    <x v="1"/>
    <x v="2"/>
    <x v="1"/>
    <x v="0"/>
    <x v="5"/>
    <s v="Saturday"/>
    <n v="15"/>
    <n v="0.95263157894736838"/>
    <n v="95.263157894736835"/>
    <x v="0"/>
  </r>
  <r>
    <n v="2270"/>
    <s v="828 Main St, CityE"/>
    <x v="1101"/>
    <x v="1"/>
    <x v="15"/>
    <x v="2"/>
    <x v="1"/>
    <n v="226"/>
    <n v="15"/>
    <x v="0"/>
    <x v="3"/>
    <x v="1"/>
    <x v="2"/>
    <x v="0"/>
    <x v="4"/>
    <s v="Wednesday"/>
    <n v="16"/>
    <n v="0.93775933609958506"/>
    <n v="93.7759336099585"/>
    <x v="0"/>
  </r>
  <r>
    <n v="2271"/>
    <s v="655 Cedar St, CityC"/>
    <x v="1102"/>
    <x v="0"/>
    <x v="6"/>
    <x v="0"/>
    <x v="4"/>
    <n v="197"/>
    <n v="9"/>
    <x v="1"/>
    <x v="4"/>
    <x v="1"/>
    <x v="2"/>
    <x v="1"/>
    <x v="6"/>
    <s v="Friday"/>
    <n v="8"/>
    <n v="0.9563106796116505"/>
    <n v="95.631067961165044"/>
    <x v="0"/>
  </r>
  <r>
    <n v="2272"/>
    <s v="112 Cedar St, CityC"/>
    <x v="1103"/>
    <x v="1"/>
    <x v="33"/>
    <x v="1"/>
    <x v="0"/>
    <n v="238"/>
    <n v="21"/>
    <x v="2"/>
    <x v="1"/>
    <x v="0"/>
    <x v="0"/>
    <x v="2"/>
    <x v="5"/>
    <s v="Saturday"/>
    <n v="15"/>
    <n v="0.91891891891891897"/>
    <n v="91.891891891891902"/>
    <x v="0"/>
  </r>
  <r>
    <n v="2273"/>
    <s v="232 Elm St, CityD"/>
    <x v="1104"/>
    <x v="1"/>
    <x v="2"/>
    <x v="1"/>
    <x v="0"/>
    <n v="166"/>
    <n v="11"/>
    <x v="0"/>
    <x v="0"/>
    <x v="0"/>
    <x v="0"/>
    <x v="0"/>
    <x v="4"/>
    <s v="Wednesday"/>
    <n v="8"/>
    <n v="0.93785310734463279"/>
    <n v="93.78531073446328"/>
    <x v="0"/>
  </r>
  <r>
    <n v="2274"/>
    <s v="543 Pine St, CityC"/>
    <x v="851"/>
    <x v="1"/>
    <x v="84"/>
    <x v="2"/>
    <x v="2"/>
    <n v="168"/>
    <n v="29"/>
    <x v="2"/>
    <x v="4"/>
    <x v="2"/>
    <x v="1"/>
    <x v="2"/>
    <x v="5"/>
    <s v="Saturday"/>
    <n v="10"/>
    <n v="0.85279187817258884"/>
    <n v="85.279187817258887"/>
    <x v="0"/>
  </r>
  <r>
    <n v="2275"/>
    <s v="859 Main St, CityE"/>
    <x v="1105"/>
    <x v="0"/>
    <x v="42"/>
    <x v="0"/>
    <x v="3"/>
    <n v="178"/>
    <n v="29"/>
    <x v="1"/>
    <x v="4"/>
    <x v="2"/>
    <x v="0"/>
    <x v="1"/>
    <x v="5"/>
    <s v="Saturday"/>
    <n v="12"/>
    <n v="0.85990338164251212"/>
    <n v="85.990338164251213"/>
    <x v="0"/>
  </r>
  <r>
    <n v="2276"/>
    <s v="143 Pine St, CityB"/>
    <x v="904"/>
    <x v="1"/>
    <x v="25"/>
    <x v="2"/>
    <x v="4"/>
    <n v="97"/>
    <n v="22"/>
    <x v="2"/>
    <x v="4"/>
    <x v="2"/>
    <x v="0"/>
    <x v="2"/>
    <x v="6"/>
    <s v="Friday"/>
    <n v="10"/>
    <n v="0.81512605042016806"/>
    <n v="81.512605042016801"/>
    <x v="0"/>
  </r>
  <r>
    <n v="2277"/>
    <s v="175 Elm St, CityB"/>
    <x v="1106"/>
    <x v="1"/>
    <x v="71"/>
    <x v="2"/>
    <x v="0"/>
    <n v="184"/>
    <n v="22"/>
    <x v="2"/>
    <x v="1"/>
    <x v="1"/>
    <x v="2"/>
    <x v="2"/>
    <x v="6"/>
    <s v="Friday"/>
    <n v="14"/>
    <n v="0.89320388349514568"/>
    <n v="89.320388349514573"/>
    <x v="0"/>
  </r>
  <r>
    <n v="2278"/>
    <s v="622 Cedar St, CityE"/>
    <x v="1107"/>
    <x v="0"/>
    <x v="60"/>
    <x v="1"/>
    <x v="2"/>
    <n v="234"/>
    <n v="6"/>
    <x v="0"/>
    <x v="3"/>
    <x v="2"/>
    <x v="2"/>
    <x v="0"/>
    <x v="5"/>
    <s v="Saturday"/>
    <n v="16"/>
    <n v="0.97499999999999998"/>
    <n v="97.5"/>
    <x v="0"/>
  </r>
  <r>
    <n v="2279"/>
    <s v="152 Main St, CityB"/>
    <x v="1108"/>
    <x v="1"/>
    <x v="49"/>
    <x v="0"/>
    <x v="4"/>
    <n v="233"/>
    <n v="3"/>
    <x v="0"/>
    <x v="3"/>
    <x v="2"/>
    <x v="1"/>
    <x v="0"/>
    <x v="3"/>
    <s v="Thursday"/>
    <n v="13"/>
    <n v="0.98728813559322037"/>
    <n v="98.728813559322035"/>
    <x v="0"/>
  </r>
  <r>
    <n v="2280"/>
    <s v="463 Oak St, CityC"/>
    <x v="319"/>
    <x v="1"/>
    <x v="24"/>
    <x v="2"/>
    <x v="1"/>
    <n v="163"/>
    <n v="19"/>
    <x v="2"/>
    <x v="0"/>
    <x v="0"/>
    <x v="0"/>
    <x v="2"/>
    <x v="0"/>
    <s v="Monday"/>
    <n v="16"/>
    <n v="0.89560439560439564"/>
    <n v="89.560439560439562"/>
    <x v="0"/>
  </r>
  <r>
    <n v="2281"/>
    <s v="346 Pine St, CityA"/>
    <x v="1109"/>
    <x v="1"/>
    <x v="31"/>
    <x v="1"/>
    <x v="0"/>
    <n v="159"/>
    <n v="24"/>
    <x v="2"/>
    <x v="1"/>
    <x v="0"/>
    <x v="1"/>
    <x v="2"/>
    <x v="7"/>
    <s v="Tuesday"/>
    <n v="16"/>
    <n v="0.86885245901639341"/>
    <n v="86.885245901639337"/>
    <x v="0"/>
  </r>
  <r>
    <n v="2282"/>
    <s v="95 Oak St, CityA"/>
    <x v="177"/>
    <x v="1"/>
    <x v="82"/>
    <x v="2"/>
    <x v="0"/>
    <n v="144"/>
    <n v="19"/>
    <x v="1"/>
    <x v="0"/>
    <x v="2"/>
    <x v="1"/>
    <x v="1"/>
    <x v="6"/>
    <s v="Friday"/>
    <n v="13"/>
    <n v="0.8834355828220859"/>
    <n v="88.343558282208591"/>
    <x v="0"/>
  </r>
  <r>
    <n v="2283"/>
    <s v="713 Oak St, CityB"/>
    <x v="90"/>
    <x v="1"/>
    <x v="57"/>
    <x v="1"/>
    <x v="0"/>
    <n v="105"/>
    <n v="10"/>
    <x v="2"/>
    <x v="3"/>
    <x v="2"/>
    <x v="1"/>
    <x v="2"/>
    <x v="1"/>
    <s v="Friday"/>
    <n v="10"/>
    <n v="0.91304347826086951"/>
    <n v="91.304347826086953"/>
    <x v="0"/>
  </r>
  <r>
    <n v="2284"/>
    <s v="533 Cedar St, CityD"/>
    <x v="1110"/>
    <x v="0"/>
    <x v="40"/>
    <x v="0"/>
    <x v="2"/>
    <n v="94"/>
    <n v="13"/>
    <x v="0"/>
    <x v="1"/>
    <x v="2"/>
    <x v="1"/>
    <x v="0"/>
    <x v="3"/>
    <s v="Thursday"/>
    <n v="10"/>
    <n v="0.87850467289719625"/>
    <n v="87.850467289719631"/>
    <x v="0"/>
  </r>
  <r>
    <n v="2285"/>
    <s v="964 Main St, CityC"/>
    <x v="1111"/>
    <x v="0"/>
    <x v="84"/>
    <x v="2"/>
    <x v="3"/>
    <n v="111"/>
    <n v="0"/>
    <x v="1"/>
    <x v="0"/>
    <x v="2"/>
    <x v="2"/>
    <x v="1"/>
    <x v="3"/>
    <s v="Thursday"/>
    <n v="14"/>
    <n v="1"/>
    <n v="100"/>
    <x v="1"/>
  </r>
  <r>
    <n v="2286"/>
    <s v="646 Main St, CityC"/>
    <x v="1112"/>
    <x v="0"/>
    <x v="3"/>
    <x v="1"/>
    <x v="2"/>
    <n v="105"/>
    <n v="20"/>
    <x v="0"/>
    <x v="3"/>
    <x v="0"/>
    <x v="0"/>
    <x v="0"/>
    <x v="2"/>
    <s v="Sunday"/>
    <n v="16"/>
    <n v="0.84"/>
    <n v="84"/>
    <x v="0"/>
  </r>
  <r>
    <n v="2287"/>
    <s v="244 Pine St, CityD"/>
    <x v="1113"/>
    <x v="0"/>
    <x v="13"/>
    <x v="1"/>
    <x v="3"/>
    <n v="77"/>
    <n v="22"/>
    <x v="2"/>
    <x v="4"/>
    <x v="2"/>
    <x v="0"/>
    <x v="2"/>
    <x v="5"/>
    <s v="Saturday"/>
    <n v="13"/>
    <n v="0.77777777777777779"/>
    <n v="77.777777777777786"/>
    <x v="0"/>
  </r>
  <r>
    <n v="2288"/>
    <s v="439 Pine St, CityA"/>
    <x v="801"/>
    <x v="1"/>
    <x v="65"/>
    <x v="2"/>
    <x v="4"/>
    <n v="230"/>
    <n v="5"/>
    <x v="1"/>
    <x v="4"/>
    <x v="2"/>
    <x v="2"/>
    <x v="1"/>
    <x v="6"/>
    <s v="Friday"/>
    <n v="10"/>
    <n v="0.97872340425531912"/>
    <n v="97.872340425531917"/>
    <x v="0"/>
  </r>
  <r>
    <n v="2289"/>
    <s v="532 Main St, CityA"/>
    <x v="1114"/>
    <x v="1"/>
    <x v="18"/>
    <x v="0"/>
    <x v="4"/>
    <n v="170"/>
    <n v="24"/>
    <x v="0"/>
    <x v="4"/>
    <x v="2"/>
    <x v="2"/>
    <x v="0"/>
    <x v="2"/>
    <s v="Sunday"/>
    <n v="11"/>
    <n v="0.87628865979381443"/>
    <n v="87.628865979381445"/>
    <x v="0"/>
  </r>
  <r>
    <n v="2290"/>
    <s v="765 Elm St, CityD"/>
    <x v="1115"/>
    <x v="1"/>
    <x v="82"/>
    <x v="2"/>
    <x v="3"/>
    <n v="189"/>
    <n v="24"/>
    <x v="1"/>
    <x v="0"/>
    <x v="0"/>
    <x v="0"/>
    <x v="1"/>
    <x v="0"/>
    <s v="Monday"/>
    <n v="13"/>
    <n v="0.88732394366197187"/>
    <n v="88.732394366197184"/>
    <x v="0"/>
  </r>
  <r>
    <n v="2291"/>
    <s v="800 Main St, CityA"/>
    <x v="1116"/>
    <x v="1"/>
    <x v="1"/>
    <x v="2"/>
    <x v="1"/>
    <n v="95"/>
    <n v="1"/>
    <x v="2"/>
    <x v="3"/>
    <x v="0"/>
    <x v="2"/>
    <x v="2"/>
    <x v="3"/>
    <s v="Thursday"/>
    <n v="12"/>
    <n v="0.98958333333333337"/>
    <n v="98.958333333333343"/>
    <x v="0"/>
  </r>
  <r>
    <n v="2292"/>
    <s v="967 Elm St, CityA"/>
    <x v="1117"/>
    <x v="1"/>
    <x v="43"/>
    <x v="0"/>
    <x v="3"/>
    <n v="191"/>
    <n v="19"/>
    <x v="0"/>
    <x v="1"/>
    <x v="2"/>
    <x v="1"/>
    <x v="0"/>
    <x v="6"/>
    <s v="Friday"/>
    <n v="8"/>
    <n v="0.90952380952380951"/>
    <n v="90.952380952380949"/>
    <x v="0"/>
  </r>
  <r>
    <n v="2293"/>
    <s v="533 Elm St, CityC"/>
    <x v="951"/>
    <x v="1"/>
    <x v="32"/>
    <x v="2"/>
    <x v="0"/>
    <n v="66"/>
    <n v="28"/>
    <x v="1"/>
    <x v="3"/>
    <x v="1"/>
    <x v="1"/>
    <x v="1"/>
    <x v="2"/>
    <s v="Sunday"/>
    <n v="12"/>
    <n v="0.7021276595744681"/>
    <n v="70.212765957446805"/>
    <x v="0"/>
  </r>
  <r>
    <n v="2294"/>
    <s v="400 Pine St, CityE"/>
    <x v="625"/>
    <x v="1"/>
    <x v="23"/>
    <x v="2"/>
    <x v="4"/>
    <n v="187"/>
    <n v="17"/>
    <x v="2"/>
    <x v="4"/>
    <x v="0"/>
    <x v="2"/>
    <x v="2"/>
    <x v="7"/>
    <s v="Tuesday"/>
    <n v="8"/>
    <n v="0.91666666666666663"/>
    <n v="91.666666666666657"/>
    <x v="0"/>
  </r>
  <r>
    <n v="2295"/>
    <s v="91 Main St, CityD"/>
    <x v="1118"/>
    <x v="1"/>
    <x v="94"/>
    <x v="0"/>
    <x v="1"/>
    <n v="160"/>
    <n v="28"/>
    <x v="1"/>
    <x v="1"/>
    <x v="2"/>
    <x v="0"/>
    <x v="1"/>
    <x v="3"/>
    <s v="Thursday"/>
    <n v="15"/>
    <n v="0.85106382978723405"/>
    <n v="85.106382978723403"/>
    <x v="0"/>
  </r>
  <r>
    <n v="2296"/>
    <s v="158 Pine St, CityA"/>
    <x v="757"/>
    <x v="1"/>
    <x v="45"/>
    <x v="2"/>
    <x v="0"/>
    <n v="117"/>
    <n v="14"/>
    <x v="2"/>
    <x v="2"/>
    <x v="2"/>
    <x v="1"/>
    <x v="2"/>
    <x v="7"/>
    <s v="Tuesday"/>
    <n v="14"/>
    <n v="0.89312977099236646"/>
    <n v="89.312977099236647"/>
    <x v="0"/>
  </r>
  <r>
    <n v="2297"/>
    <s v="329 Elm St, CityA"/>
    <x v="627"/>
    <x v="0"/>
    <x v="4"/>
    <x v="0"/>
    <x v="4"/>
    <n v="132"/>
    <n v="3"/>
    <x v="0"/>
    <x v="2"/>
    <x v="0"/>
    <x v="0"/>
    <x v="0"/>
    <x v="6"/>
    <s v="Friday"/>
    <n v="9"/>
    <n v="0.97777777777777775"/>
    <n v="97.777777777777771"/>
    <x v="0"/>
  </r>
  <r>
    <n v="2298"/>
    <s v="976 Elm St, CityB"/>
    <x v="379"/>
    <x v="1"/>
    <x v="21"/>
    <x v="2"/>
    <x v="4"/>
    <n v="94"/>
    <n v="6"/>
    <x v="1"/>
    <x v="2"/>
    <x v="0"/>
    <x v="2"/>
    <x v="1"/>
    <x v="1"/>
    <s v="Friday"/>
    <n v="14"/>
    <n v="0.94"/>
    <n v="94"/>
    <x v="0"/>
  </r>
  <r>
    <n v="2299"/>
    <s v="261 Oak St, CityC"/>
    <x v="1119"/>
    <x v="1"/>
    <x v="43"/>
    <x v="2"/>
    <x v="3"/>
    <n v="153"/>
    <n v="6"/>
    <x v="0"/>
    <x v="2"/>
    <x v="1"/>
    <x v="1"/>
    <x v="0"/>
    <x v="6"/>
    <s v="Friday"/>
    <n v="16"/>
    <n v="0.96226415094339623"/>
    <n v="96.226415094339629"/>
    <x v="0"/>
  </r>
  <r>
    <n v="2300"/>
    <s v="54 Pine St, CityE"/>
    <x v="1120"/>
    <x v="0"/>
    <x v="55"/>
    <x v="1"/>
    <x v="4"/>
    <n v="104"/>
    <n v="12"/>
    <x v="2"/>
    <x v="2"/>
    <x v="0"/>
    <x v="1"/>
    <x v="2"/>
    <x v="6"/>
    <s v="Friday"/>
    <n v="12"/>
    <n v="0.89655172413793105"/>
    <n v="89.65517241379311"/>
    <x v="0"/>
  </r>
  <r>
    <n v="2301"/>
    <s v="564 Elm St, CityD"/>
    <x v="1121"/>
    <x v="0"/>
    <x v="53"/>
    <x v="0"/>
    <x v="1"/>
    <n v="144"/>
    <n v="23"/>
    <x v="0"/>
    <x v="4"/>
    <x v="0"/>
    <x v="0"/>
    <x v="0"/>
    <x v="4"/>
    <s v="Wednesday"/>
    <n v="12"/>
    <n v="0.86227544910179643"/>
    <n v="86.227544910179645"/>
    <x v="0"/>
  </r>
  <r>
    <n v="2302"/>
    <s v="586 Main St, CityD"/>
    <x v="1122"/>
    <x v="1"/>
    <x v="34"/>
    <x v="0"/>
    <x v="0"/>
    <n v="230"/>
    <n v="25"/>
    <x v="0"/>
    <x v="3"/>
    <x v="2"/>
    <x v="1"/>
    <x v="0"/>
    <x v="7"/>
    <s v="Tuesday"/>
    <n v="12"/>
    <n v="0.90196078431372551"/>
    <n v="90.196078431372555"/>
    <x v="0"/>
  </r>
  <r>
    <n v="2303"/>
    <s v="642 Pine St, CityD"/>
    <x v="1123"/>
    <x v="1"/>
    <x v="44"/>
    <x v="1"/>
    <x v="2"/>
    <n v="239"/>
    <n v="18"/>
    <x v="1"/>
    <x v="4"/>
    <x v="2"/>
    <x v="1"/>
    <x v="1"/>
    <x v="0"/>
    <s v="Monday"/>
    <n v="9"/>
    <n v="0.92996108949416345"/>
    <n v="92.996108949416339"/>
    <x v="0"/>
  </r>
  <r>
    <n v="2304"/>
    <s v="782 Cedar St, CityB"/>
    <x v="1124"/>
    <x v="1"/>
    <x v="86"/>
    <x v="1"/>
    <x v="2"/>
    <n v="149"/>
    <n v="0"/>
    <x v="2"/>
    <x v="1"/>
    <x v="0"/>
    <x v="2"/>
    <x v="2"/>
    <x v="7"/>
    <s v="Tuesday"/>
    <n v="16"/>
    <n v="1"/>
    <n v="100"/>
    <x v="1"/>
  </r>
  <r>
    <n v="2305"/>
    <s v="637 Elm St, CityE"/>
    <x v="727"/>
    <x v="0"/>
    <x v="35"/>
    <x v="2"/>
    <x v="2"/>
    <n v="152"/>
    <n v="5"/>
    <x v="1"/>
    <x v="2"/>
    <x v="0"/>
    <x v="0"/>
    <x v="1"/>
    <x v="6"/>
    <s v="Friday"/>
    <n v="9"/>
    <n v="0.96815286624203822"/>
    <n v="96.815286624203821"/>
    <x v="0"/>
  </r>
  <r>
    <n v="2306"/>
    <s v="852 Oak St, CityC"/>
    <x v="1125"/>
    <x v="0"/>
    <x v="21"/>
    <x v="2"/>
    <x v="0"/>
    <n v="173"/>
    <n v="17"/>
    <x v="0"/>
    <x v="1"/>
    <x v="1"/>
    <x v="0"/>
    <x v="0"/>
    <x v="6"/>
    <s v="Friday"/>
    <n v="11"/>
    <n v="0.91052631578947374"/>
    <n v="91.05263157894737"/>
    <x v="0"/>
  </r>
  <r>
    <n v="2307"/>
    <s v="768 Main St, CityA"/>
    <x v="68"/>
    <x v="1"/>
    <x v="8"/>
    <x v="2"/>
    <x v="1"/>
    <n v="113"/>
    <n v="5"/>
    <x v="2"/>
    <x v="1"/>
    <x v="2"/>
    <x v="0"/>
    <x v="2"/>
    <x v="4"/>
    <s v="Wednesday"/>
    <n v="16"/>
    <n v="0.9576271186440678"/>
    <n v="95.762711864406782"/>
    <x v="0"/>
  </r>
  <r>
    <n v="2308"/>
    <s v="248 Oak St, CityE"/>
    <x v="1126"/>
    <x v="1"/>
    <x v="79"/>
    <x v="2"/>
    <x v="0"/>
    <n v="132"/>
    <n v="2"/>
    <x v="1"/>
    <x v="4"/>
    <x v="1"/>
    <x v="0"/>
    <x v="1"/>
    <x v="5"/>
    <s v="Saturday"/>
    <n v="11"/>
    <n v="0.9850746268656716"/>
    <n v="98.507462686567166"/>
    <x v="0"/>
  </r>
  <r>
    <n v="2309"/>
    <s v="6 Cedar St, CityD"/>
    <x v="1127"/>
    <x v="0"/>
    <x v="77"/>
    <x v="1"/>
    <x v="3"/>
    <n v="225"/>
    <n v="9"/>
    <x v="0"/>
    <x v="0"/>
    <x v="2"/>
    <x v="2"/>
    <x v="0"/>
    <x v="1"/>
    <s v="Friday"/>
    <n v="14"/>
    <n v="0.96153846153846156"/>
    <n v="96.15384615384616"/>
    <x v="0"/>
  </r>
  <r>
    <n v="2310"/>
    <s v="799 Elm St, CityC"/>
    <x v="1128"/>
    <x v="1"/>
    <x v="98"/>
    <x v="0"/>
    <x v="0"/>
    <n v="232"/>
    <n v="0"/>
    <x v="1"/>
    <x v="4"/>
    <x v="2"/>
    <x v="2"/>
    <x v="1"/>
    <x v="4"/>
    <s v="Wednesday"/>
    <n v="12"/>
    <n v="1"/>
    <n v="100"/>
    <x v="1"/>
  </r>
  <r>
    <n v="2311"/>
    <s v="306 Elm St, CityD"/>
    <x v="1129"/>
    <x v="1"/>
    <x v="66"/>
    <x v="0"/>
    <x v="0"/>
    <n v="61"/>
    <n v="4"/>
    <x v="2"/>
    <x v="3"/>
    <x v="0"/>
    <x v="1"/>
    <x v="2"/>
    <x v="2"/>
    <s v="Sunday"/>
    <n v="8"/>
    <n v="0.93846153846153846"/>
    <n v="93.84615384615384"/>
    <x v="0"/>
  </r>
  <r>
    <n v="2312"/>
    <s v="884 Cedar St, CityE"/>
    <x v="412"/>
    <x v="0"/>
    <x v="87"/>
    <x v="0"/>
    <x v="2"/>
    <n v="130"/>
    <n v="28"/>
    <x v="1"/>
    <x v="0"/>
    <x v="0"/>
    <x v="1"/>
    <x v="1"/>
    <x v="3"/>
    <s v="Thursday"/>
    <n v="16"/>
    <n v="0.82278481012658233"/>
    <n v="82.278481012658233"/>
    <x v="0"/>
  </r>
  <r>
    <n v="2313"/>
    <s v="140 Pine St, CityA"/>
    <x v="119"/>
    <x v="0"/>
    <x v="74"/>
    <x v="1"/>
    <x v="4"/>
    <n v="95"/>
    <n v="4"/>
    <x v="2"/>
    <x v="1"/>
    <x v="0"/>
    <x v="0"/>
    <x v="2"/>
    <x v="2"/>
    <s v="Sunday"/>
    <n v="8"/>
    <n v="0.95959595959595956"/>
    <n v="95.959595959595958"/>
    <x v="0"/>
  </r>
  <r>
    <n v="2314"/>
    <s v="218 Elm St, CityC"/>
    <x v="1130"/>
    <x v="1"/>
    <x v="75"/>
    <x v="0"/>
    <x v="0"/>
    <n v="132"/>
    <n v="28"/>
    <x v="1"/>
    <x v="3"/>
    <x v="1"/>
    <x v="1"/>
    <x v="1"/>
    <x v="1"/>
    <s v="Friday"/>
    <n v="9"/>
    <n v="0.82499999999999996"/>
    <n v="82.5"/>
    <x v="0"/>
  </r>
  <r>
    <n v="2315"/>
    <s v="630 Main St, CityA"/>
    <x v="1131"/>
    <x v="1"/>
    <x v="25"/>
    <x v="1"/>
    <x v="0"/>
    <n v="170"/>
    <n v="12"/>
    <x v="2"/>
    <x v="4"/>
    <x v="2"/>
    <x v="1"/>
    <x v="2"/>
    <x v="2"/>
    <s v="Sunday"/>
    <n v="10"/>
    <n v="0.93406593406593408"/>
    <n v="93.406593406593402"/>
    <x v="0"/>
  </r>
  <r>
    <n v="2316"/>
    <s v="105 Oak St, CityD"/>
    <x v="1132"/>
    <x v="1"/>
    <x v="13"/>
    <x v="0"/>
    <x v="1"/>
    <n v="99"/>
    <n v="17"/>
    <x v="2"/>
    <x v="0"/>
    <x v="0"/>
    <x v="2"/>
    <x v="2"/>
    <x v="3"/>
    <s v="Thursday"/>
    <n v="15"/>
    <n v="0.85344827586206895"/>
    <n v="85.34482758620689"/>
    <x v="0"/>
  </r>
  <r>
    <n v="2317"/>
    <s v="708 Main St, CityE"/>
    <x v="1127"/>
    <x v="1"/>
    <x v="59"/>
    <x v="0"/>
    <x v="3"/>
    <n v="67"/>
    <n v="26"/>
    <x v="0"/>
    <x v="3"/>
    <x v="0"/>
    <x v="0"/>
    <x v="0"/>
    <x v="1"/>
    <s v="Friday"/>
    <n v="14"/>
    <n v="0.72043010752688175"/>
    <n v="72.043010752688176"/>
    <x v="0"/>
  </r>
  <r>
    <n v="2318"/>
    <s v="842 Main St, CityE"/>
    <x v="289"/>
    <x v="0"/>
    <x v="87"/>
    <x v="1"/>
    <x v="2"/>
    <n v="94"/>
    <n v="18"/>
    <x v="2"/>
    <x v="4"/>
    <x v="2"/>
    <x v="1"/>
    <x v="2"/>
    <x v="2"/>
    <s v="Sunday"/>
    <n v="8"/>
    <n v="0.8392857142857143"/>
    <n v="83.928571428571431"/>
    <x v="0"/>
  </r>
  <r>
    <n v="2319"/>
    <s v="378 Cedar St, CityE"/>
    <x v="1133"/>
    <x v="0"/>
    <x v="12"/>
    <x v="1"/>
    <x v="0"/>
    <n v="71"/>
    <n v="1"/>
    <x v="0"/>
    <x v="2"/>
    <x v="2"/>
    <x v="0"/>
    <x v="0"/>
    <x v="7"/>
    <s v="Tuesday"/>
    <n v="12"/>
    <n v="0.98611111111111116"/>
    <n v="98.611111111111114"/>
    <x v="0"/>
  </r>
  <r>
    <n v="2320"/>
    <s v="725 Main St, CityC"/>
    <x v="1134"/>
    <x v="1"/>
    <x v="53"/>
    <x v="0"/>
    <x v="4"/>
    <n v="73"/>
    <n v="21"/>
    <x v="0"/>
    <x v="0"/>
    <x v="1"/>
    <x v="2"/>
    <x v="0"/>
    <x v="5"/>
    <s v="Saturday"/>
    <n v="13"/>
    <n v="0.77659574468085102"/>
    <n v="77.659574468085097"/>
    <x v="0"/>
  </r>
  <r>
    <n v="2321"/>
    <s v="293 Cedar St, CityB"/>
    <x v="1135"/>
    <x v="1"/>
    <x v="38"/>
    <x v="1"/>
    <x v="1"/>
    <n v="191"/>
    <n v="26"/>
    <x v="2"/>
    <x v="2"/>
    <x v="2"/>
    <x v="1"/>
    <x v="2"/>
    <x v="0"/>
    <s v="Monday"/>
    <n v="11"/>
    <n v="0.88018433179723499"/>
    <n v="88.018433179723502"/>
    <x v="0"/>
  </r>
  <r>
    <n v="2322"/>
    <s v="958 Main St, CityD"/>
    <x v="1136"/>
    <x v="1"/>
    <x v="68"/>
    <x v="1"/>
    <x v="1"/>
    <n v="192"/>
    <n v="2"/>
    <x v="0"/>
    <x v="4"/>
    <x v="0"/>
    <x v="1"/>
    <x v="0"/>
    <x v="6"/>
    <s v="Friday"/>
    <n v="8"/>
    <n v="0.98969072164948457"/>
    <n v="98.969072164948457"/>
    <x v="0"/>
  </r>
  <r>
    <n v="2323"/>
    <s v="262 Cedar St, CityB"/>
    <x v="1137"/>
    <x v="1"/>
    <x v="30"/>
    <x v="2"/>
    <x v="2"/>
    <n v="65"/>
    <n v="23"/>
    <x v="1"/>
    <x v="0"/>
    <x v="1"/>
    <x v="0"/>
    <x v="1"/>
    <x v="0"/>
    <s v="Monday"/>
    <n v="12"/>
    <n v="0.73863636363636365"/>
    <n v="73.86363636363636"/>
    <x v="0"/>
  </r>
  <r>
    <n v="2324"/>
    <s v="413 Cedar St, CityE"/>
    <x v="1138"/>
    <x v="1"/>
    <x v="53"/>
    <x v="2"/>
    <x v="3"/>
    <n v="160"/>
    <n v="7"/>
    <x v="1"/>
    <x v="3"/>
    <x v="0"/>
    <x v="0"/>
    <x v="1"/>
    <x v="5"/>
    <s v="Saturday"/>
    <n v="15"/>
    <n v="0.95808383233532934"/>
    <n v="95.808383233532936"/>
    <x v="0"/>
  </r>
  <r>
    <n v="2325"/>
    <s v="639 Pine St, CityE"/>
    <x v="1139"/>
    <x v="1"/>
    <x v="78"/>
    <x v="2"/>
    <x v="4"/>
    <n v="144"/>
    <n v="16"/>
    <x v="1"/>
    <x v="2"/>
    <x v="2"/>
    <x v="0"/>
    <x v="1"/>
    <x v="3"/>
    <s v="Thursday"/>
    <n v="16"/>
    <n v="0.9"/>
    <n v="90"/>
    <x v="0"/>
  </r>
  <r>
    <n v="2326"/>
    <s v="587 Pine St, CityC"/>
    <x v="970"/>
    <x v="1"/>
    <x v="74"/>
    <x v="0"/>
    <x v="1"/>
    <n v="230"/>
    <n v="26"/>
    <x v="1"/>
    <x v="2"/>
    <x v="1"/>
    <x v="2"/>
    <x v="1"/>
    <x v="2"/>
    <s v="Sunday"/>
    <n v="11"/>
    <n v="0.8984375"/>
    <n v="89.84375"/>
    <x v="0"/>
  </r>
  <r>
    <n v="2327"/>
    <s v="851 Cedar St, CityE"/>
    <x v="1140"/>
    <x v="0"/>
    <x v="99"/>
    <x v="2"/>
    <x v="2"/>
    <n v="102"/>
    <n v="21"/>
    <x v="0"/>
    <x v="4"/>
    <x v="0"/>
    <x v="1"/>
    <x v="0"/>
    <x v="4"/>
    <s v="Wednesday"/>
    <n v="15"/>
    <n v="0.82926829268292679"/>
    <n v="82.926829268292678"/>
    <x v="0"/>
  </r>
  <r>
    <n v="2328"/>
    <s v="778 Cedar St, CityD"/>
    <x v="1141"/>
    <x v="0"/>
    <x v="99"/>
    <x v="0"/>
    <x v="0"/>
    <n v="103"/>
    <n v="6"/>
    <x v="2"/>
    <x v="0"/>
    <x v="0"/>
    <x v="0"/>
    <x v="2"/>
    <x v="1"/>
    <s v="Friday"/>
    <n v="8"/>
    <n v="0.94495412844036697"/>
    <n v="94.495412844036693"/>
    <x v="0"/>
  </r>
  <r>
    <n v="2329"/>
    <s v="92 Cedar St, CityC"/>
    <x v="1142"/>
    <x v="0"/>
    <x v="10"/>
    <x v="0"/>
    <x v="2"/>
    <n v="127"/>
    <n v="17"/>
    <x v="1"/>
    <x v="4"/>
    <x v="2"/>
    <x v="2"/>
    <x v="1"/>
    <x v="4"/>
    <s v="Wednesday"/>
    <n v="11"/>
    <n v="0.88194444444444442"/>
    <n v="88.194444444444443"/>
    <x v="0"/>
  </r>
  <r>
    <n v="2330"/>
    <s v="149 Cedar St, CityC"/>
    <x v="1143"/>
    <x v="1"/>
    <x v="27"/>
    <x v="1"/>
    <x v="2"/>
    <n v="108"/>
    <n v="0"/>
    <x v="1"/>
    <x v="0"/>
    <x v="1"/>
    <x v="2"/>
    <x v="1"/>
    <x v="3"/>
    <s v="Thursday"/>
    <n v="14"/>
    <n v="1"/>
    <n v="100"/>
    <x v="1"/>
  </r>
  <r>
    <n v="2331"/>
    <s v="594 Pine St, CityE"/>
    <x v="1144"/>
    <x v="0"/>
    <x v="56"/>
    <x v="2"/>
    <x v="1"/>
    <n v="112"/>
    <n v="17"/>
    <x v="0"/>
    <x v="1"/>
    <x v="2"/>
    <x v="2"/>
    <x v="0"/>
    <x v="4"/>
    <s v="Wednesday"/>
    <n v="9"/>
    <n v="0.86821705426356588"/>
    <n v="86.821705426356587"/>
    <x v="0"/>
  </r>
  <r>
    <n v="2332"/>
    <s v="255 Elm St, CityC"/>
    <x v="1145"/>
    <x v="0"/>
    <x v="36"/>
    <x v="0"/>
    <x v="0"/>
    <n v="213"/>
    <n v="18"/>
    <x v="0"/>
    <x v="2"/>
    <x v="0"/>
    <x v="1"/>
    <x v="0"/>
    <x v="4"/>
    <s v="Wednesday"/>
    <n v="11"/>
    <n v="0.92207792207792205"/>
    <n v="92.20779220779221"/>
    <x v="0"/>
  </r>
  <r>
    <n v="2333"/>
    <s v="579 Main St, CityC"/>
    <x v="1146"/>
    <x v="1"/>
    <x v="66"/>
    <x v="0"/>
    <x v="2"/>
    <n v="160"/>
    <n v="11"/>
    <x v="1"/>
    <x v="0"/>
    <x v="2"/>
    <x v="0"/>
    <x v="1"/>
    <x v="5"/>
    <s v="Saturday"/>
    <n v="14"/>
    <n v="0.93567251461988299"/>
    <n v="93.567251461988292"/>
    <x v="0"/>
  </r>
  <r>
    <n v="2334"/>
    <s v="22 Cedar St, CityC"/>
    <x v="423"/>
    <x v="1"/>
    <x v="67"/>
    <x v="2"/>
    <x v="0"/>
    <n v="73"/>
    <n v="11"/>
    <x v="2"/>
    <x v="3"/>
    <x v="1"/>
    <x v="2"/>
    <x v="2"/>
    <x v="0"/>
    <s v="Monday"/>
    <n v="16"/>
    <n v="0.86904761904761907"/>
    <n v="86.904761904761912"/>
    <x v="0"/>
  </r>
  <r>
    <n v="2335"/>
    <s v="584 Cedar St, CityB"/>
    <x v="659"/>
    <x v="0"/>
    <x v="58"/>
    <x v="2"/>
    <x v="3"/>
    <n v="74"/>
    <n v="6"/>
    <x v="0"/>
    <x v="1"/>
    <x v="0"/>
    <x v="2"/>
    <x v="0"/>
    <x v="7"/>
    <s v="Tuesday"/>
    <n v="15"/>
    <n v="0.92500000000000004"/>
    <n v="92.5"/>
    <x v="0"/>
  </r>
  <r>
    <n v="2336"/>
    <s v="977 Elm St, CityB"/>
    <x v="1147"/>
    <x v="1"/>
    <x v="5"/>
    <x v="1"/>
    <x v="2"/>
    <n v="122"/>
    <n v="1"/>
    <x v="1"/>
    <x v="2"/>
    <x v="2"/>
    <x v="0"/>
    <x v="1"/>
    <x v="1"/>
    <s v="Friday"/>
    <n v="14"/>
    <n v="0.99186991869918695"/>
    <n v="99.1869918699187"/>
    <x v="0"/>
  </r>
  <r>
    <n v="2337"/>
    <s v="111 Elm St, CityB"/>
    <x v="1148"/>
    <x v="0"/>
    <x v="33"/>
    <x v="0"/>
    <x v="4"/>
    <n v="78"/>
    <n v="23"/>
    <x v="0"/>
    <x v="1"/>
    <x v="2"/>
    <x v="0"/>
    <x v="0"/>
    <x v="6"/>
    <s v="Friday"/>
    <n v="16"/>
    <n v="0.7722772277227723"/>
    <n v="77.227722772277232"/>
    <x v="0"/>
  </r>
  <r>
    <n v="2338"/>
    <s v="302 Elm St, CityD"/>
    <x v="1149"/>
    <x v="0"/>
    <x v="6"/>
    <x v="0"/>
    <x v="3"/>
    <n v="218"/>
    <n v="4"/>
    <x v="0"/>
    <x v="0"/>
    <x v="0"/>
    <x v="0"/>
    <x v="0"/>
    <x v="5"/>
    <s v="Saturday"/>
    <n v="8"/>
    <n v="0.98198198198198194"/>
    <n v="98.198198198198199"/>
    <x v="0"/>
  </r>
  <r>
    <n v="2339"/>
    <s v="414 Cedar St, CityE"/>
    <x v="1150"/>
    <x v="1"/>
    <x v="95"/>
    <x v="0"/>
    <x v="1"/>
    <n v="145"/>
    <n v="19"/>
    <x v="2"/>
    <x v="0"/>
    <x v="1"/>
    <x v="1"/>
    <x v="2"/>
    <x v="2"/>
    <s v="Sunday"/>
    <n v="16"/>
    <n v="0.88414634146341464"/>
    <n v="88.41463414634147"/>
    <x v="0"/>
  </r>
  <r>
    <n v="2340"/>
    <s v="984 Main St, CityD"/>
    <x v="1151"/>
    <x v="0"/>
    <x v="41"/>
    <x v="0"/>
    <x v="3"/>
    <n v="191"/>
    <n v="18"/>
    <x v="1"/>
    <x v="3"/>
    <x v="2"/>
    <x v="0"/>
    <x v="1"/>
    <x v="1"/>
    <s v="Friday"/>
    <n v="14"/>
    <n v="0.9138755980861244"/>
    <n v="91.387559808612437"/>
    <x v="0"/>
  </r>
  <r>
    <n v="2341"/>
    <s v="638 Main St, CityE"/>
    <x v="1152"/>
    <x v="1"/>
    <x v="65"/>
    <x v="0"/>
    <x v="4"/>
    <n v="150"/>
    <n v="9"/>
    <x v="0"/>
    <x v="2"/>
    <x v="0"/>
    <x v="2"/>
    <x v="0"/>
    <x v="0"/>
    <s v="Monday"/>
    <n v="8"/>
    <n v="0.94339622641509435"/>
    <n v="94.339622641509436"/>
    <x v="0"/>
  </r>
  <r>
    <n v="2342"/>
    <s v="485 Elm St, CityD"/>
    <x v="1153"/>
    <x v="1"/>
    <x v="52"/>
    <x v="2"/>
    <x v="3"/>
    <n v="148"/>
    <n v="17"/>
    <x v="2"/>
    <x v="2"/>
    <x v="0"/>
    <x v="0"/>
    <x v="2"/>
    <x v="5"/>
    <s v="Saturday"/>
    <n v="14"/>
    <n v="0.89696969696969697"/>
    <n v="89.696969696969703"/>
    <x v="0"/>
  </r>
  <r>
    <n v="2343"/>
    <s v="656 Main St, CityD"/>
    <x v="1154"/>
    <x v="1"/>
    <x v="45"/>
    <x v="1"/>
    <x v="2"/>
    <n v="125"/>
    <n v="22"/>
    <x v="1"/>
    <x v="1"/>
    <x v="2"/>
    <x v="0"/>
    <x v="1"/>
    <x v="7"/>
    <s v="Tuesday"/>
    <n v="8"/>
    <n v="0.85034013605442171"/>
    <n v="85.034013605442169"/>
    <x v="0"/>
  </r>
  <r>
    <n v="2344"/>
    <s v="783 Pine St, CityA"/>
    <x v="1155"/>
    <x v="0"/>
    <x v="36"/>
    <x v="1"/>
    <x v="3"/>
    <n v="144"/>
    <n v="7"/>
    <x v="0"/>
    <x v="3"/>
    <x v="1"/>
    <x v="2"/>
    <x v="0"/>
    <x v="7"/>
    <s v="Tuesday"/>
    <n v="12"/>
    <n v="0.95364238410596025"/>
    <n v="95.36423841059603"/>
    <x v="0"/>
  </r>
  <r>
    <n v="2345"/>
    <s v="658 Pine St, CityB"/>
    <x v="1156"/>
    <x v="0"/>
    <x v="55"/>
    <x v="2"/>
    <x v="1"/>
    <n v="229"/>
    <n v="9"/>
    <x v="0"/>
    <x v="3"/>
    <x v="0"/>
    <x v="2"/>
    <x v="0"/>
    <x v="1"/>
    <s v="Friday"/>
    <n v="10"/>
    <n v="0.96218487394957986"/>
    <n v="96.21848739495799"/>
    <x v="0"/>
  </r>
  <r>
    <n v="2346"/>
    <s v="768 Elm St, CityC"/>
    <x v="1157"/>
    <x v="1"/>
    <x v="79"/>
    <x v="2"/>
    <x v="4"/>
    <n v="133"/>
    <n v="22"/>
    <x v="1"/>
    <x v="4"/>
    <x v="2"/>
    <x v="0"/>
    <x v="1"/>
    <x v="7"/>
    <s v="Tuesday"/>
    <n v="14"/>
    <n v="0.85806451612903223"/>
    <n v="85.806451612903217"/>
    <x v="0"/>
  </r>
  <r>
    <n v="2347"/>
    <s v="576 Elm St, CityE"/>
    <x v="1158"/>
    <x v="0"/>
    <x v="12"/>
    <x v="1"/>
    <x v="3"/>
    <n v="102"/>
    <n v="23"/>
    <x v="1"/>
    <x v="3"/>
    <x v="1"/>
    <x v="2"/>
    <x v="1"/>
    <x v="3"/>
    <s v="Thursday"/>
    <n v="13"/>
    <n v="0.81599999999999995"/>
    <n v="81.599999999999994"/>
    <x v="0"/>
  </r>
  <r>
    <n v="2348"/>
    <s v="622 Elm St, CityC"/>
    <x v="1159"/>
    <x v="1"/>
    <x v="74"/>
    <x v="0"/>
    <x v="4"/>
    <n v="161"/>
    <n v="25"/>
    <x v="1"/>
    <x v="3"/>
    <x v="2"/>
    <x v="2"/>
    <x v="1"/>
    <x v="7"/>
    <s v="Tuesday"/>
    <n v="13"/>
    <n v="0.86559139784946237"/>
    <n v="86.55913978494624"/>
    <x v="0"/>
  </r>
  <r>
    <n v="2349"/>
    <s v="687 Cedar St, CityC"/>
    <x v="1160"/>
    <x v="0"/>
    <x v="11"/>
    <x v="0"/>
    <x v="1"/>
    <n v="61"/>
    <n v="27"/>
    <x v="1"/>
    <x v="3"/>
    <x v="0"/>
    <x v="1"/>
    <x v="1"/>
    <x v="2"/>
    <s v="Sunday"/>
    <n v="8"/>
    <n v="0.69318181818181823"/>
    <n v="69.318181818181827"/>
    <x v="0"/>
  </r>
  <r>
    <n v="2350"/>
    <s v="666 Elm St, CityE"/>
    <x v="1161"/>
    <x v="1"/>
    <x v="27"/>
    <x v="1"/>
    <x v="4"/>
    <n v="107"/>
    <n v="15"/>
    <x v="0"/>
    <x v="3"/>
    <x v="1"/>
    <x v="2"/>
    <x v="0"/>
    <x v="4"/>
    <s v="Wednesday"/>
    <n v="10"/>
    <n v="0.87704918032786883"/>
    <n v="87.704918032786878"/>
    <x v="0"/>
  </r>
  <r>
    <n v="2351"/>
    <s v="142 Cedar St, CityA"/>
    <x v="1162"/>
    <x v="0"/>
    <x v="71"/>
    <x v="1"/>
    <x v="2"/>
    <n v="207"/>
    <n v="28"/>
    <x v="0"/>
    <x v="4"/>
    <x v="2"/>
    <x v="0"/>
    <x v="0"/>
    <x v="3"/>
    <s v="Thursday"/>
    <n v="13"/>
    <n v="0.88085106382978728"/>
    <n v="88.085106382978722"/>
    <x v="0"/>
  </r>
  <r>
    <n v="2352"/>
    <s v="857 Oak St, CityA"/>
    <x v="1163"/>
    <x v="1"/>
    <x v="66"/>
    <x v="0"/>
    <x v="0"/>
    <n v="65"/>
    <n v="13"/>
    <x v="0"/>
    <x v="0"/>
    <x v="2"/>
    <x v="1"/>
    <x v="0"/>
    <x v="4"/>
    <s v="Wednesday"/>
    <n v="15"/>
    <n v="0.83333333333333337"/>
    <n v="83.333333333333343"/>
    <x v="0"/>
  </r>
  <r>
    <n v="2353"/>
    <s v="919 Oak St, CityD"/>
    <x v="1164"/>
    <x v="1"/>
    <x v="49"/>
    <x v="0"/>
    <x v="3"/>
    <n v="162"/>
    <n v="2"/>
    <x v="2"/>
    <x v="0"/>
    <x v="2"/>
    <x v="2"/>
    <x v="2"/>
    <x v="2"/>
    <s v="Sunday"/>
    <n v="14"/>
    <n v="0.98780487804878048"/>
    <n v="98.780487804878049"/>
    <x v="0"/>
  </r>
  <r>
    <n v="2354"/>
    <s v="909 Main St, CityB"/>
    <x v="402"/>
    <x v="0"/>
    <x v="40"/>
    <x v="0"/>
    <x v="2"/>
    <n v="99"/>
    <n v="7"/>
    <x v="2"/>
    <x v="0"/>
    <x v="0"/>
    <x v="1"/>
    <x v="2"/>
    <x v="2"/>
    <s v="Sunday"/>
    <n v="10"/>
    <n v="0.93396226415094341"/>
    <n v="93.396226415094347"/>
    <x v="0"/>
  </r>
  <r>
    <n v="2355"/>
    <s v="924 Cedar St, CityE"/>
    <x v="610"/>
    <x v="1"/>
    <x v="3"/>
    <x v="2"/>
    <x v="1"/>
    <n v="141"/>
    <n v="2"/>
    <x v="0"/>
    <x v="3"/>
    <x v="0"/>
    <x v="0"/>
    <x v="0"/>
    <x v="1"/>
    <s v="Friday"/>
    <n v="9"/>
    <n v="0.98601398601398604"/>
    <n v="98.6013986013986"/>
    <x v="0"/>
  </r>
  <r>
    <n v="2356"/>
    <s v="445 Oak St, CityA"/>
    <x v="1165"/>
    <x v="0"/>
    <x v="6"/>
    <x v="0"/>
    <x v="1"/>
    <n v="180"/>
    <n v="11"/>
    <x v="2"/>
    <x v="1"/>
    <x v="2"/>
    <x v="0"/>
    <x v="2"/>
    <x v="0"/>
    <s v="Monday"/>
    <n v="13"/>
    <n v="0.94240837696335078"/>
    <n v="94.240837696335078"/>
    <x v="0"/>
  </r>
  <r>
    <n v="2357"/>
    <s v="563 Elm St, CityD"/>
    <x v="1021"/>
    <x v="1"/>
    <x v="21"/>
    <x v="0"/>
    <x v="1"/>
    <n v="134"/>
    <n v="17"/>
    <x v="1"/>
    <x v="3"/>
    <x v="0"/>
    <x v="1"/>
    <x v="1"/>
    <x v="1"/>
    <s v="Friday"/>
    <n v="12"/>
    <n v="0.88741721854304634"/>
    <n v="88.741721854304629"/>
    <x v="0"/>
  </r>
  <r>
    <n v="2358"/>
    <s v="605 Oak St, CityE"/>
    <x v="1166"/>
    <x v="0"/>
    <x v="85"/>
    <x v="2"/>
    <x v="2"/>
    <n v="133"/>
    <n v="17"/>
    <x v="1"/>
    <x v="2"/>
    <x v="2"/>
    <x v="1"/>
    <x v="1"/>
    <x v="7"/>
    <s v="Tuesday"/>
    <n v="12"/>
    <n v="0.88666666666666671"/>
    <n v="88.666666666666671"/>
    <x v="0"/>
  </r>
  <r>
    <n v="2359"/>
    <s v="693 Elm St, CityD"/>
    <x v="1167"/>
    <x v="0"/>
    <x v="58"/>
    <x v="2"/>
    <x v="2"/>
    <n v="103"/>
    <n v="15"/>
    <x v="1"/>
    <x v="1"/>
    <x v="2"/>
    <x v="2"/>
    <x v="1"/>
    <x v="3"/>
    <s v="Thursday"/>
    <n v="15"/>
    <n v="0.8728813559322034"/>
    <n v="87.288135593220346"/>
    <x v="0"/>
  </r>
  <r>
    <n v="2360"/>
    <s v="677 Oak St, CityA"/>
    <x v="1133"/>
    <x v="1"/>
    <x v="30"/>
    <x v="1"/>
    <x v="2"/>
    <n v="209"/>
    <n v="19"/>
    <x v="2"/>
    <x v="1"/>
    <x v="0"/>
    <x v="1"/>
    <x v="2"/>
    <x v="7"/>
    <s v="Tuesday"/>
    <n v="12"/>
    <n v="0.91666666666666663"/>
    <n v="91.666666666666657"/>
    <x v="0"/>
  </r>
  <r>
    <n v="2361"/>
    <s v="803 Cedar St, CityD"/>
    <x v="1168"/>
    <x v="0"/>
    <x v="86"/>
    <x v="0"/>
    <x v="4"/>
    <n v="168"/>
    <n v="12"/>
    <x v="0"/>
    <x v="4"/>
    <x v="1"/>
    <x v="2"/>
    <x v="0"/>
    <x v="0"/>
    <s v="Monday"/>
    <n v="13"/>
    <n v="0.93333333333333335"/>
    <n v="93.333333333333329"/>
    <x v="0"/>
  </r>
  <r>
    <n v="2362"/>
    <s v="587 Pine St, CityC"/>
    <x v="1169"/>
    <x v="0"/>
    <x v="40"/>
    <x v="1"/>
    <x v="4"/>
    <n v="195"/>
    <n v="23"/>
    <x v="1"/>
    <x v="0"/>
    <x v="2"/>
    <x v="1"/>
    <x v="1"/>
    <x v="2"/>
    <s v="Sunday"/>
    <n v="14"/>
    <n v="0.89449541284403666"/>
    <n v="89.449541284403665"/>
    <x v="0"/>
  </r>
  <r>
    <n v="2363"/>
    <s v="417 Main St, CityB"/>
    <x v="1170"/>
    <x v="1"/>
    <x v="53"/>
    <x v="1"/>
    <x v="1"/>
    <n v="123"/>
    <n v="25"/>
    <x v="0"/>
    <x v="4"/>
    <x v="0"/>
    <x v="1"/>
    <x v="0"/>
    <x v="0"/>
    <s v="Monday"/>
    <n v="9"/>
    <n v="0.83108108108108103"/>
    <n v="83.108108108108098"/>
    <x v="0"/>
  </r>
  <r>
    <n v="2364"/>
    <s v="16 Cedar St, CityD"/>
    <x v="1171"/>
    <x v="1"/>
    <x v="54"/>
    <x v="0"/>
    <x v="2"/>
    <n v="202"/>
    <n v="6"/>
    <x v="2"/>
    <x v="4"/>
    <x v="2"/>
    <x v="0"/>
    <x v="2"/>
    <x v="4"/>
    <s v="Wednesday"/>
    <n v="16"/>
    <n v="0.97115384615384615"/>
    <n v="97.115384615384613"/>
    <x v="0"/>
  </r>
  <r>
    <n v="2365"/>
    <s v="829 Pine St, CityA"/>
    <x v="1172"/>
    <x v="0"/>
    <x v="35"/>
    <x v="1"/>
    <x v="3"/>
    <n v="128"/>
    <n v="18"/>
    <x v="2"/>
    <x v="4"/>
    <x v="0"/>
    <x v="0"/>
    <x v="2"/>
    <x v="5"/>
    <s v="Saturday"/>
    <n v="8"/>
    <n v="0.87671232876712324"/>
    <n v="87.671232876712324"/>
    <x v="0"/>
  </r>
  <r>
    <n v="2366"/>
    <s v="689 Elm St, CityB"/>
    <x v="1173"/>
    <x v="1"/>
    <x v="66"/>
    <x v="2"/>
    <x v="1"/>
    <n v="134"/>
    <n v="22"/>
    <x v="0"/>
    <x v="1"/>
    <x v="1"/>
    <x v="0"/>
    <x v="0"/>
    <x v="4"/>
    <s v="Wednesday"/>
    <n v="10"/>
    <n v="0.85897435897435892"/>
    <n v="85.897435897435898"/>
    <x v="0"/>
  </r>
  <r>
    <n v="2367"/>
    <s v="827 Cedar St, CityC"/>
    <x v="1174"/>
    <x v="1"/>
    <x v="64"/>
    <x v="1"/>
    <x v="4"/>
    <n v="152"/>
    <n v="22"/>
    <x v="1"/>
    <x v="2"/>
    <x v="2"/>
    <x v="1"/>
    <x v="1"/>
    <x v="5"/>
    <s v="Saturday"/>
    <n v="13"/>
    <n v="0.87356321839080464"/>
    <n v="87.356321839080465"/>
    <x v="0"/>
  </r>
  <r>
    <n v="2368"/>
    <s v="586 Oak St, CityA"/>
    <x v="1175"/>
    <x v="1"/>
    <x v="58"/>
    <x v="2"/>
    <x v="2"/>
    <n v="225"/>
    <n v="19"/>
    <x v="2"/>
    <x v="1"/>
    <x v="1"/>
    <x v="0"/>
    <x v="2"/>
    <x v="1"/>
    <s v="Friday"/>
    <n v="10"/>
    <n v="0.92213114754098358"/>
    <n v="92.213114754098356"/>
    <x v="0"/>
  </r>
  <r>
    <n v="2369"/>
    <s v="258 Elm St, CityC"/>
    <x v="1176"/>
    <x v="1"/>
    <x v="65"/>
    <x v="0"/>
    <x v="1"/>
    <n v="207"/>
    <n v="2"/>
    <x v="1"/>
    <x v="3"/>
    <x v="1"/>
    <x v="2"/>
    <x v="1"/>
    <x v="0"/>
    <s v="Monday"/>
    <n v="8"/>
    <n v="0.99043062200956933"/>
    <n v="99.043062200956939"/>
    <x v="0"/>
  </r>
  <r>
    <n v="2370"/>
    <s v="409 Cedar St, CityB"/>
    <x v="1177"/>
    <x v="1"/>
    <x v="86"/>
    <x v="2"/>
    <x v="0"/>
    <n v="230"/>
    <n v="12"/>
    <x v="2"/>
    <x v="0"/>
    <x v="0"/>
    <x v="2"/>
    <x v="2"/>
    <x v="2"/>
    <s v="Sunday"/>
    <n v="14"/>
    <n v="0.95041322314049592"/>
    <n v="95.041322314049594"/>
    <x v="0"/>
  </r>
  <r>
    <n v="2371"/>
    <s v="247 Cedar St, CityC"/>
    <x v="1178"/>
    <x v="0"/>
    <x v="11"/>
    <x v="0"/>
    <x v="4"/>
    <n v="107"/>
    <n v="24"/>
    <x v="2"/>
    <x v="4"/>
    <x v="0"/>
    <x v="1"/>
    <x v="2"/>
    <x v="5"/>
    <s v="Saturday"/>
    <n v="9"/>
    <n v="0.81679389312977102"/>
    <n v="81.679389312977108"/>
    <x v="0"/>
  </r>
  <r>
    <n v="2372"/>
    <s v="871 Cedar St, CityC"/>
    <x v="1179"/>
    <x v="1"/>
    <x v="98"/>
    <x v="0"/>
    <x v="1"/>
    <n v="210"/>
    <n v="21"/>
    <x v="1"/>
    <x v="3"/>
    <x v="0"/>
    <x v="0"/>
    <x v="1"/>
    <x v="2"/>
    <s v="Sunday"/>
    <n v="15"/>
    <n v="0.90909090909090906"/>
    <n v="90.909090909090907"/>
    <x v="0"/>
  </r>
  <r>
    <n v="2373"/>
    <s v="642 Main St, CityA"/>
    <x v="1180"/>
    <x v="1"/>
    <x v="33"/>
    <x v="1"/>
    <x v="4"/>
    <n v="207"/>
    <n v="22"/>
    <x v="0"/>
    <x v="2"/>
    <x v="2"/>
    <x v="0"/>
    <x v="0"/>
    <x v="2"/>
    <s v="Sunday"/>
    <n v="15"/>
    <n v="0.90393013100436681"/>
    <n v="90.393013100436676"/>
    <x v="0"/>
  </r>
  <r>
    <n v="2374"/>
    <s v="853 Elm St, CityD"/>
    <x v="1181"/>
    <x v="1"/>
    <x v="95"/>
    <x v="0"/>
    <x v="3"/>
    <n v="167"/>
    <n v="7"/>
    <x v="0"/>
    <x v="3"/>
    <x v="1"/>
    <x v="1"/>
    <x v="0"/>
    <x v="7"/>
    <s v="Tuesday"/>
    <n v="14"/>
    <n v="0.95977011494252873"/>
    <n v="95.977011494252878"/>
    <x v="0"/>
  </r>
  <r>
    <n v="2375"/>
    <s v="771 Elm St, CityA"/>
    <x v="319"/>
    <x v="0"/>
    <x v="8"/>
    <x v="2"/>
    <x v="0"/>
    <n v="176"/>
    <n v="15"/>
    <x v="2"/>
    <x v="0"/>
    <x v="1"/>
    <x v="1"/>
    <x v="2"/>
    <x v="0"/>
    <s v="Monday"/>
    <n v="16"/>
    <n v="0.92146596858638741"/>
    <n v="92.146596858638745"/>
    <x v="0"/>
  </r>
  <r>
    <n v="2376"/>
    <s v="7 Cedar St, CityD"/>
    <x v="1182"/>
    <x v="0"/>
    <x v="28"/>
    <x v="0"/>
    <x v="0"/>
    <n v="229"/>
    <n v="2"/>
    <x v="2"/>
    <x v="1"/>
    <x v="0"/>
    <x v="0"/>
    <x v="2"/>
    <x v="4"/>
    <s v="Wednesday"/>
    <n v="13"/>
    <n v="0.9913419913419913"/>
    <n v="99.134199134199136"/>
    <x v="0"/>
  </r>
  <r>
    <n v="2377"/>
    <s v="615 Pine St, CityD"/>
    <x v="1182"/>
    <x v="1"/>
    <x v="34"/>
    <x v="1"/>
    <x v="0"/>
    <n v="197"/>
    <n v="20"/>
    <x v="1"/>
    <x v="3"/>
    <x v="0"/>
    <x v="1"/>
    <x v="1"/>
    <x v="4"/>
    <s v="Wednesday"/>
    <n v="13"/>
    <n v="0.90783410138248843"/>
    <n v="90.78341013824884"/>
    <x v="0"/>
  </r>
  <r>
    <n v="2378"/>
    <s v="65 Main St, CityA"/>
    <x v="1183"/>
    <x v="0"/>
    <x v="66"/>
    <x v="0"/>
    <x v="1"/>
    <n v="237"/>
    <n v="9"/>
    <x v="2"/>
    <x v="3"/>
    <x v="2"/>
    <x v="0"/>
    <x v="2"/>
    <x v="7"/>
    <s v="Tuesday"/>
    <n v="10"/>
    <n v="0.96341463414634143"/>
    <n v="96.341463414634148"/>
    <x v="0"/>
  </r>
  <r>
    <n v="2379"/>
    <s v="854 Pine St, CityE"/>
    <x v="1184"/>
    <x v="0"/>
    <x v="38"/>
    <x v="2"/>
    <x v="0"/>
    <n v="227"/>
    <n v="25"/>
    <x v="2"/>
    <x v="2"/>
    <x v="0"/>
    <x v="0"/>
    <x v="2"/>
    <x v="4"/>
    <s v="Wednesday"/>
    <n v="10"/>
    <n v="0.90079365079365081"/>
    <n v="90.079365079365076"/>
    <x v="0"/>
  </r>
  <r>
    <n v="2380"/>
    <s v="207 Main St, CityA"/>
    <x v="1185"/>
    <x v="1"/>
    <x v="4"/>
    <x v="1"/>
    <x v="4"/>
    <n v="117"/>
    <n v="2"/>
    <x v="2"/>
    <x v="2"/>
    <x v="2"/>
    <x v="0"/>
    <x v="2"/>
    <x v="4"/>
    <s v="Wednesday"/>
    <n v="10"/>
    <n v="0.98319327731092432"/>
    <n v="98.319327731092429"/>
    <x v="0"/>
  </r>
  <r>
    <n v="2381"/>
    <s v="685 Elm St, CityE"/>
    <x v="1186"/>
    <x v="0"/>
    <x v="26"/>
    <x v="2"/>
    <x v="0"/>
    <n v="145"/>
    <n v="11"/>
    <x v="0"/>
    <x v="0"/>
    <x v="1"/>
    <x v="1"/>
    <x v="0"/>
    <x v="5"/>
    <s v="Saturday"/>
    <n v="9"/>
    <n v="0.92948717948717952"/>
    <n v="92.948717948717956"/>
    <x v="0"/>
  </r>
  <r>
    <n v="2382"/>
    <s v="343 Main St, CityA"/>
    <x v="1187"/>
    <x v="1"/>
    <x v="2"/>
    <x v="0"/>
    <x v="2"/>
    <n v="136"/>
    <n v="12"/>
    <x v="2"/>
    <x v="1"/>
    <x v="0"/>
    <x v="2"/>
    <x v="2"/>
    <x v="6"/>
    <s v="Friday"/>
    <n v="16"/>
    <n v="0.91891891891891897"/>
    <n v="91.891891891891902"/>
    <x v="0"/>
  </r>
  <r>
    <n v="2383"/>
    <s v="969 Main St, CityD"/>
    <x v="1188"/>
    <x v="0"/>
    <x v="53"/>
    <x v="1"/>
    <x v="4"/>
    <n v="228"/>
    <n v="20"/>
    <x v="1"/>
    <x v="3"/>
    <x v="1"/>
    <x v="2"/>
    <x v="1"/>
    <x v="5"/>
    <s v="Saturday"/>
    <n v="13"/>
    <n v="0.91935483870967738"/>
    <n v="91.935483870967744"/>
    <x v="0"/>
  </r>
  <r>
    <n v="2384"/>
    <s v="541 Main St, CityE"/>
    <x v="1189"/>
    <x v="0"/>
    <x v="83"/>
    <x v="2"/>
    <x v="4"/>
    <n v="206"/>
    <n v="13"/>
    <x v="0"/>
    <x v="0"/>
    <x v="2"/>
    <x v="0"/>
    <x v="0"/>
    <x v="1"/>
    <s v="Friday"/>
    <n v="15"/>
    <n v="0.94063926940639264"/>
    <n v="94.063926940639263"/>
    <x v="0"/>
  </r>
  <r>
    <n v="2385"/>
    <s v="664 Oak St, CityA"/>
    <x v="1190"/>
    <x v="1"/>
    <x v="75"/>
    <x v="2"/>
    <x v="2"/>
    <n v="114"/>
    <n v="8"/>
    <x v="2"/>
    <x v="1"/>
    <x v="2"/>
    <x v="1"/>
    <x v="2"/>
    <x v="1"/>
    <s v="Friday"/>
    <n v="13"/>
    <n v="0.93442622950819676"/>
    <n v="93.442622950819683"/>
    <x v="0"/>
  </r>
  <r>
    <n v="2386"/>
    <s v="301 Cedar St, CityA"/>
    <x v="1191"/>
    <x v="1"/>
    <x v="56"/>
    <x v="2"/>
    <x v="1"/>
    <n v="72"/>
    <n v="25"/>
    <x v="0"/>
    <x v="1"/>
    <x v="2"/>
    <x v="0"/>
    <x v="0"/>
    <x v="1"/>
    <s v="Friday"/>
    <n v="16"/>
    <n v="0.74226804123711343"/>
    <n v="74.226804123711347"/>
    <x v="0"/>
  </r>
  <r>
    <n v="2387"/>
    <s v="879 Oak St, CityA"/>
    <x v="505"/>
    <x v="1"/>
    <x v="95"/>
    <x v="1"/>
    <x v="4"/>
    <n v="151"/>
    <n v="8"/>
    <x v="0"/>
    <x v="1"/>
    <x v="0"/>
    <x v="1"/>
    <x v="0"/>
    <x v="5"/>
    <s v="Saturday"/>
    <n v="13"/>
    <n v="0.94968553459119498"/>
    <n v="94.968553459119505"/>
    <x v="0"/>
  </r>
  <r>
    <n v="2388"/>
    <s v="465 Pine St, CityB"/>
    <x v="1192"/>
    <x v="0"/>
    <x v="13"/>
    <x v="2"/>
    <x v="3"/>
    <n v="201"/>
    <n v="15"/>
    <x v="0"/>
    <x v="0"/>
    <x v="1"/>
    <x v="0"/>
    <x v="0"/>
    <x v="6"/>
    <s v="Friday"/>
    <n v="12"/>
    <n v="0.93055555555555558"/>
    <n v="93.055555555555557"/>
    <x v="0"/>
  </r>
  <r>
    <n v="2389"/>
    <s v="884 Cedar St, CityB"/>
    <x v="574"/>
    <x v="1"/>
    <x v="13"/>
    <x v="2"/>
    <x v="4"/>
    <n v="97"/>
    <n v="20"/>
    <x v="0"/>
    <x v="0"/>
    <x v="2"/>
    <x v="2"/>
    <x v="0"/>
    <x v="6"/>
    <s v="Friday"/>
    <n v="12"/>
    <n v="0.82905982905982911"/>
    <n v="82.90598290598291"/>
    <x v="0"/>
  </r>
  <r>
    <n v="2390"/>
    <s v="893 Cedar St, CityD"/>
    <x v="1193"/>
    <x v="1"/>
    <x v="97"/>
    <x v="0"/>
    <x v="3"/>
    <n v="166"/>
    <n v="1"/>
    <x v="0"/>
    <x v="1"/>
    <x v="0"/>
    <x v="0"/>
    <x v="0"/>
    <x v="4"/>
    <s v="Wednesday"/>
    <n v="11"/>
    <n v="0.99401197604790414"/>
    <n v="99.401197604790411"/>
    <x v="0"/>
  </r>
  <r>
    <n v="2391"/>
    <s v="658 Pine St, CityB"/>
    <x v="342"/>
    <x v="1"/>
    <x v="66"/>
    <x v="2"/>
    <x v="3"/>
    <n v="99"/>
    <n v="15"/>
    <x v="1"/>
    <x v="3"/>
    <x v="1"/>
    <x v="0"/>
    <x v="1"/>
    <x v="2"/>
    <s v="Sunday"/>
    <n v="11"/>
    <n v="0.86842105263157898"/>
    <n v="86.842105263157904"/>
    <x v="0"/>
  </r>
  <r>
    <n v="2392"/>
    <s v="52 Oak St, CityB"/>
    <x v="1194"/>
    <x v="1"/>
    <x v="94"/>
    <x v="2"/>
    <x v="3"/>
    <n v="133"/>
    <n v="3"/>
    <x v="0"/>
    <x v="1"/>
    <x v="0"/>
    <x v="1"/>
    <x v="0"/>
    <x v="7"/>
    <s v="Tuesday"/>
    <n v="12"/>
    <n v="0.9779411764705882"/>
    <n v="97.794117647058826"/>
    <x v="0"/>
  </r>
  <r>
    <n v="2393"/>
    <s v="653 Oak St, CityC"/>
    <x v="991"/>
    <x v="1"/>
    <x v="35"/>
    <x v="0"/>
    <x v="2"/>
    <n v="81"/>
    <n v="20"/>
    <x v="2"/>
    <x v="2"/>
    <x v="0"/>
    <x v="2"/>
    <x v="2"/>
    <x v="6"/>
    <s v="Friday"/>
    <n v="9"/>
    <n v="0.80198019801980203"/>
    <n v="80.198019801980209"/>
    <x v="0"/>
  </r>
  <r>
    <n v="2394"/>
    <s v="18 Pine St, CityD"/>
    <x v="1195"/>
    <x v="0"/>
    <x v="6"/>
    <x v="1"/>
    <x v="3"/>
    <n v="119"/>
    <n v="3"/>
    <x v="1"/>
    <x v="0"/>
    <x v="2"/>
    <x v="0"/>
    <x v="1"/>
    <x v="7"/>
    <s v="Tuesday"/>
    <n v="9"/>
    <n v="0.97540983606557374"/>
    <n v="97.540983606557376"/>
    <x v="0"/>
  </r>
  <r>
    <n v="2395"/>
    <s v="454 Cedar St, CityC"/>
    <x v="577"/>
    <x v="0"/>
    <x v="67"/>
    <x v="2"/>
    <x v="0"/>
    <n v="157"/>
    <n v="9"/>
    <x v="1"/>
    <x v="1"/>
    <x v="1"/>
    <x v="2"/>
    <x v="1"/>
    <x v="7"/>
    <s v="Tuesday"/>
    <n v="15"/>
    <n v="0.94578313253012047"/>
    <n v="94.578313253012041"/>
    <x v="0"/>
  </r>
  <r>
    <n v="2396"/>
    <s v="401 Elm St, CityA"/>
    <x v="1196"/>
    <x v="1"/>
    <x v="45"/>
    <x v="1"/>
    <x v="0"/>
    <n v="75"/>
    <n v="4"/>
    <x v="2"/>
    <x v="3"/>
    <x v="0"/>
    <x v="0"/>
    <x v="2"/>
    <x v="0"/>
    <s v="Monday"/>
    <n v="12"/>
    <n v="0.94936708860759489"/>
    <n v="94.936708860759495"/>
    <x v="0"/>
  </r>
  <r>
    <n v="2397"/>
    <s v="732 Pine St, CityB"/>
    <x v="1197"/>
    <x v="0"/>
    <x v="6"/>
    <x v="0"/>
    <x v="1"/>
    <n v="101"/>
    <n v="5"/>
    <x v="2"/>
    <x v="2"/>
    <x v="0"/>
    <x v="2"/>
    <x v="2"/>
    <x v="0"/>
    <s v="Monday"/>
    <n v="8"/>
    <n v="0.95283018867924529"/>
    <n v="95.283018867924525"/>
    <x v="0"/>
  </r>
  <r>
    <n v="2398"/>
    <s v="744 Pine St, CityD"/>
    <x v="1198"/>
    <x v="1"/>
    <x v="26"/>
    <x v="0"/>
    <x v="3"/>
    <n v="77"/>
    <n v="27"/>
    <x v="1"/>
    <x v="0"/>
    <x v="0"/>
    <x v="1"/>
    <x v="1"/>
    <x v="1"/>
    <s v="Friday"/>
    <n v="15"/>
    <n v="0.74038461538461542"/>
    <n v="74.038461538461547"/>
    <x v="0"/>
  </r>
  <r>
    <n v="2399"/>
    <s v="688 Elm St, CityE"/>
    <x v="1199"/>
    <x v="1"/>
    <x v="26"/>
    <x v="0"/>
    <x v="2"/>
    <n v="178"/>
    <n v="6"/>
    <x v="2"/>
    <x v="0"/>
    <x v="0"/>
    <x v="0"/>
    <x v="2"/>
    <x v="5"/>
    <s v="Saturday"/>
    <n v="11"/>
    <n v="0.96739130434782605"/>
    <n v="96.739130434782609"/>
    <x v="0"/>
  </r>
  <r>
    <n v="2400"/>
    <s v="141 Oak St, CityA"/>
    <x v="1200"/>
    <x v="0"/>
    <x v="44"/>
    <x v="2"/>
    <x v="2"/>
    <n v="218"/>
    <n v="8"/>
    <x v="1"/>
    <x v="1"/>
    <x v="0"/>
    <x v="2"/>
    <x v="1"/>
    <x v="3"/>
    <s v="Thursday"/>
    <n v="16"/>
    <n v="0.96460176991150437"/>
    <n v="96.460176991150433"/>
    <x v="0"/>
  </r>
  <r>
    <n v="2401"/>
    <s v="569 Main St, CityD"/>
    <x v="1201"/>
    <x v="1"/>
    <x v="22"/>
    <x v="2"/>
    <x v="1"/>
    <n v="124"/>
    <n v="27"/>
    <x v="2"/>
    <x v="4"/>
    <x v="0"/>
    <x v="0"/>
    <x v="2"/>
    <x v="5"/>
    <s v="Saturday"/>
    <n v="9"/>
    <n v="0.82119205298013243"/>
    <n v="82.119205298013242"/>
    <x v="0"/>
  </r>
  <r>
    <n v="2402"/>
    <s v="743 Pine St, CityD"/>
    <x v="1202"/>
    <x v="1"/>
    <x v="81"/>
    <x v="2"/>
    <x v="2"/>
    <n v="149"/>
    <n v="18"/>
    <x v="2"/>
    <x v="3"/>
    <x v="1"/>
    <x v="2"/>
    <x v="2"/>
    <x v="2"/>
    <s v="Sunday"/>
    <n v="11"/>
    <n v="0.89221556886227549"/>
    <n v="89.221556886227546"/>
    <x v="0"/>
  </r>
  <r>
    <n v="2403"/>
    <s v="946 Main St, CityB"/>
    <x v="1203"/>
    <x v="0"/>
    <x v="18"/>
    <x v="2"/>
    <x v="0"/>
    <n v="130"/>
    <n v="6"/>
    <x v="0"/>
    <x v="1"/>
    <x v="1"/>
    <x v="1"/>
    <x v="0"/>
    <x v="1"/>
    <s v="Friday"/>
    <n v="14"/>
    <n v="0.95588235294117652"/>
    <n v="95.588235294117652"/>
    <x v="0"/>
  </r>
  <r>
    <n v="2404"/>
    <s v="579 Cedar St, CityA"/>
    <x v="1150"/>
    <x v="0"/>
    <x v="80"/>
    <x v="0"/>
    <x v="2"/>
    <n v="187"/>
    <n v="6"/>
    <x v="1"/>
    <x v="2"/>
    <x v="1"/>
    <x v="2"/>
    <x v="1"/>
    <x v="2"/>
    <s v="Sunday"/>
    <n v="16"/>
    <n v="0.9689119170984456"/>
    <n v="96.891191709844563"/>
    <x v="0"/>
  </r>
  <r>
    <n v="2405"/>
    <s v="788 Oak St, CityA"/>
    <x v="1204"/>
    <x v="0"/>
    <x v="23"/>
    <x v="0"/>
    <x v="4"/>
    <n v="238"/>
    <n v="16"/>
    <x v="2"/>
    <x v="4"/>
    <x v="1"/>
    <x v="2"/>
    <x v="2"/>
    <x v="4"/>
    <s v="Wednesday"/>
    <n v="16"/>
    <n v="0.93700787401574803"/>
    <n v="93.7007874015748"/>
    <x v="0"/>
  </r>
  <r>
    <n v="2406"/>
    <s v="407 Cedar St, CityE"/>
    <x v="1205"/>
    <x v="0"/>
    <x v="1"/>
    <x v="0"/>
    <x v="4"/>
    <n v="212"/>
    <n v="0"/>
    <x v="2"/>
    <x v="0"/>
    <x v="1"/>
    <x v="2"/>
    <x v="2"/>
    <x v="6"/>
    <s v="Friday"/>
    <n v="10"/>
    <n v="1"/>
    <n v="100"/>
    <x v="1"/>
  </r>
  <r>
    <n v="2407"/>
    <s v="270 Main St, CityB"/>
    <x v="1206"/>
    <x v="0"/>
    <x v="0"/>
    <x v="0"/>
    <x v="3"/>
    <n v="177"/>
    <n v="3"/>
    <x v="2"/>
    <x v="4"/>
    <x v="1"/>
    <x v="0"/>
    <x v="2"/>
    <x v="7"/>
    <s v="Tuesday"/>
    <n v="11"/>
    <n v="0.98333333333333328"/>
    <n v="98.333333333333329"/>
    <x v="0"/>
  </r>
  <r>
    <n v="2408"/>
    <s v="204 Elm St, CityD"/>
    <x v="1207"/>
    <x v="0"/>
    <x v="29"/>
    <x v="0"/>
    <x v="1"/>
    <n v="175"/>
    <n v="13"/>
    <x v="1"/>
    <x v="2"/>
    <x v="0"/>
    <x v="1"/>
    <x v="1"/>
    <x v="2"/>
    <s v="Sunday"/>
    <n v="16"/>
    <n v="0.93085106382978722"/>
    <n v="93.085106382978722"/>
    <x v="0"/>
  </r>
  <r>
    <n v="2409"/>
    <s v="238 Main St, CityB"/>
    <x v="1208"/>
    <x v="1"/>
    <x v="92"/>
    <x v="0"/>
    <x v="1"/>
    <n v="195"/>
    <n v="21"/>
    <x v="1"/>
    <x v="2"/>
    <x v="1"/>
    <x v="0"/>
    <x v="1"/>
    <x v="5"/>
    <s v="Saturday"/>
    <n v="13"/>
    <n v="0.90277777777777779"/>
    <n v="90.277777777777786"/>
    <x v="0"/>
  </r>
  <r>
    <n v="2410"/>
    <s v="978 Oak St, CityC"/>
    <x v="1209"/>
    <x v="1"/>
    <x v="65"/>
    <x v="0"/>
    <x v="2"/>
    <n v="156"/>
    <n v="16"/>
    <x v="0"/>
    <x v="3"/>
    <x v="2"/>
    <x v="0"/>
    <x v="0"/>
    <x v="5"/>
    <s v="Saturday"/>
    <n v="13"/>
    <n v="0.90697674418604646"/>
    <n v="90.697674418604649"/>
    <x v="0"/>
  </r>
  <r>
    <n v="2411"/>
    <s v="733 Elm St, CityB"/>
    <x v="1210"/>
    <x v="1"/>
    <x v="26"/>
    <x v="0"/>
    <x v="2"/>
    <n v="195"/>
    <n v="0"/>
    <x v="2"/>
    <x v="4"/>
    <x v="0"/>
    <x v="0"/>
    <x v="2"/>
    <x v="7"/>
    <s v="Tuesday"/>
    <n v="15"/>
    <n v="1"/>
    <n v="100"/>
    <x v="1"/>
  </r>
  <r>
    <n v="2412"/>
    <s v="354 Pine St, CityA"/>
    <x v="1211"/>
    <x v="1"/>
    <x v="36"/>
    <x v="1"/>
    <x v="3"/>
    <n v="104"/>
    <n v="20"/>
    <x v="1"/>
    <x v="2"/>
    <x v="2"/>
    <x v="0"/>
    <x v="1"/>
    <x v="0"/>
    <s v="Monday"/>
    <n v="14"/>
    <n v="0.83870967741935487"/>
    <n v="83.870967741935488"/>
    <x v="0"/>
  </r>
  <r>
    <n v="2413"/>
    <s v="479 Cedar St, CityA"/>
    <x v="1212"/>
    <x v="1"/>
    <x v="98"/>
    <x v="1"/>
    <x v="1"/>
    <n v="68"/>
    <n v="16"/>
    <x v="2"/>
    <x v="4"/>
    <x v="0"/>
    <x v="0"/>
    <x v="2"/>
    <x v="0"/>
    <s v="Monday"/>
    <n v="13"/>
    <n v="0.80952380952380953"/>
    <n v="80.952380952380949"/>
    <x v="0"/>
  </r>
  <r>
    <n v="2414"/>
    <s v="476 Main St, CityB"/>
    <x v="1213"/>
    <x v="0"/>
    <x v="75"/>
    <x v="0"/>
    <x v="0"/>
    <n v="126"/>
    <n v="12"/>
    <x v="1"/>
    <x v="3"/>
    <x v="1"/>
    <x v="0"/>
    <x v="1"/>
    <x v="1"/>
    <s v="Friday"/>
    <n v="15"/>
    <n v="0.91304347826086951"/>
    <n v="91.304347826086953"/>
    <x v="0"/>
  </r>
  <r>
    <n v="2415"/>
    <s v="870 Elm St, CityA"/>
    <x v="454"/>
    <x v="1"/>
    <x v="33"/>
    <x v="0"/>
    <x v="1"/>
    <n v="198"/>
    <n v="20"/>
    <x v="0"/>
    <x v="2"/>
    <x v="0"/>
    <x v="1"/>
    <x v="0"/>
    <x v="5"/>
    <s v="Saturday"/>
    <n v="9"/>
    <n v="0.90825688073394495"/>
    <n v="90.825688073394488"/>
    <x v="0"/>
  </r>
  <r>
    <n v="2416"/>
    <s v="81 Cedar St, CityB"/>
    <x v="1214"/>
    <x v="0"/>
    <x v="51"/>
    <x v="0"/>
    <x v="2"/>
    <n v="150"/>
    <n v="14"/>
    <x v="2"/>
    <x v="3"/>
    <x v="2"/>
    <x v="0"/>
    <x v="2"/>
    <x v="6"/>
    <s v="Friday"/>
    <n v="13"/>
    <n v="0.91463414634146345"/>
    <n v="91.463414634146346"/>
    <x v="0"/>
  </r>
  <r>
    <n v="2417"/>
    <s v="1 Pine St, CityA"/>
    <x v="1020"/>
    <x v="0"/>
    <x v="7"/>
    <x v="1"/>
    <x v="1"/>
    <n v="230"/>
    <n v="9"/>
    <x v="1"/>
    <x v="1"/>
    <x v="0"/>
    <x v="0"/>
    <x v="1"/>
    <x v="7"/>
    <s v="Tuesday"/>
    <n v="11"/>
    <n v="0.96234309623430958"/>
    <n v="96.23430962343096"/>
    <x v="0"/>
  </r>
  <r>
    <n v="2418"/>
    <s v="225 Pine St, CityB"/>
    <x v="1215"/>
    <x v="1"/>
    <x v="93"/>
    <x v="0"/>
    <x v="0"/>
    <n v="115"/>
    <n v="12"/>
    <x v="0"/>
    <x v="1"/>
    <x v="0"/>
    <x v="0"/>
    <x v="0"/>
    <x v="5"/>
    <s v="Saturday"/>
    <n v="14"/>
    <n v="0.90551181102362199"/>
    <n v="90.551181102362193"/>
    <x v="0"/>
  </r>
  <r>
    <n v="2419"/>
    <s v="845 Cedar St, CityC"/>
    <x v="1216"/>
    <x v="0"/>
    <x v="31"/>
    <x v="2"/>
    <x v="3"/>
    <n v="108"/>
    <n v="9"/>
    <x v="0"/>
    <x v="4"/>
    <x v="2"/>
    <x v="0"/>
    <x v="0"/>
    <x v="3"/>
    <s v="Thursday"/>
    <n v="15"/>
    <n v="0.92307692307692313"/>
    <n v="92.307692307692307"/>
    <x v="0"/>
  </r>
  <r>
    <n v="2420"/>
    <s v="136 Pine St, CityD"/>
    <x v="1217"/>
    <x v="1"/>
    <x v="73"/>
    <x v="1"/>
    <x v="1"/>
    <n v="65"/>
    <n v="7"/>
    <x v="2"/>
    <x v="1"/>
    <x v="0"/>
    <x v="0"/>
    <x v="2"/>
    <x v="3"/>
    <s v="Thursday"/>
    <n v="10"/>
    <n v="0.90277777777777779"/>
    <n v="90.277777777777786"/>
    <x v="0"/>
  </r>
  <r>
    <n v="2421"/>
    <s v="560 Cedar St, CityC"/>
    <x v="1218"/>
    <x v="1"/>
    <x v="51"/>
    <x v="2"/>
    <x v="2"/>
    <n v="115"/>
    <n v="17"/>
    <x v="1"/>
    <x v="2"/>
    <x v="2"/>
    <x v="2"/>
    <x v="1"/>
    <x v="0"/>
    <s v="Monday"/>
    <n v="9"/>
    <n v="0.87121212121212122"/>
    <n v="87.121212121212125"/>
    <x v="0"/>
  </r>
  <r>
    <n v="2422"/>
    <s v="386 Main St, CityB"/>
    <x v="332"/>
    <x v="0"/>
    <x v="53"/>
    <x v="2"/>
    <x v="4"/>
    <n v="97"/>
    <n v="0"/>
    <x v="0"/>
    <x v="0"/>
    <x v="2"/>
    <x v="2"/>
    <x v="0"/>
    <x v="3"/>
    <s v="Thursday"/>
    <n v="11"/>
    <n v="1"/>
    <n v="100"/>
    <x v="1"/>
  </r>
  <r>
    <n v="2423"/>
    <s v="224 Pine St, CityA"/>
    <x v="1219"/>
    <x v="0"/>
    <x v="93"/>
    <x v="1"/>
    <x v="4"/>
    <n v="80"/>
    <n v="22"/>
    <x v="1"/>
    <x v="2"/>
    <x v="1"/>
    <x v="1"/>
    <x v="1"/>
    <x v="7"/>
    <s v="Tuesday"/>
    <n v="10"/>
    <n v="0.78431372549019607"/>
    <n v="78.431372549019613"/>
    <x v="0"/>
  </r>
  <r>
    <n v="2424"/>
    <s v="913 Cedar St, CityC"/>
    <x v="1220"/>
    <x v="0"/>
    <x v="38"/>
    <x v="2"/>
    <x v="0"/>
    <n v="231"/>
    <n v="24"/>
    <x v="0"/>
    <x v="0"/>
    <x v="2"/>
    <x v="1"/>
    <x v="0"/>
    <x v="3"/>
    <s v="Thursday"/>
    <n v="14"/>
    <n v="0.90588235294117647"/>
    <n v="90.588235294117652"/>
    <x v="0"/>
  </r>
  <r>
    <n v="2425"/>
    <s v="315 Oak St, CityE"/>
    <x v="931"/>
    <x v="1"/>
    <x v="77"/>
    <x v="1"/>
    <x v="0"/>
    <n v="99"/>
    <n v="17"/>
    <x v="0"/>
    <x v="3"/>
    <x v="2"/>
    <x v="1"/>
    <x v="0"/>
    <x v="4"/>
    <s v="Wednesday"/>
    <n v="12"/>
    <n v="0.85344827586206895"/>
    <n v="85.34482758620689"/>
    <x v="0"/>
  </r>
  <r>
    <n v="2426"/>
    <s v="51 Elm St, CityE"/>
    <x v="1221"/>
    <x v="1"/>
    <x v="92"/>
    <x v="0"/>
    <x v="3"/>
    <n v="194"/>
    <n v="23"/>
    <x v="1"/>
    <x v="2"/>
    <x v="2"/>
    <x v="2"/>
    <x v="1"/>
    <x v="1"/>
    <s v="Friday"/>
    <n v="8"/>
    <n v="0.89400921658986177"/>
    <n v="89.400921658986178"/>
    <x v="0"/>
  </r>
  <r>
    <n v="2427"/>
    <s v="331 Main St, CityB"/>
    <x v="1222"/>
    <x v="0"/>
    <x v="42"/>
    <x v="0"/>
    <x v="1"/>
    <n v="166"/>
    <n v="26"/>
    <x v="0"/>
    <x v="2"/>
    <x v="0"/>
    <x v="1"/>
    <x v="0"/>
    <x v="1"/>
    <s v="Friday"/>
    <n v="8"/>
    <n v="0.86458333333333337"/>
    <n v="86.458333333333343"/>
    <x v="0"/>
  </r>
  <r>
    <n v="2428"/>
    <s v="885 Pine St, CityC"/>
    <x v="1023"/>
    <x v="1"/>
    <x v="86"/>
    <x v="2"/>
    <x v="3"/>
    <n v="109"/>
    <n v="27"/>
    <x v="0"/>
    <x v="0"/>
    <x v="1"/>
    <x v="2"/>
    <x v="0"/>
    <x v="4"/>
    <s v="Wednesday"/>
    <n v="16"/>
    <n v="0.80147058823529416"/>
    <n v="80.14705882352942"/>
    <x v="0"/>
  </r>
  <r>
    <n v="2429"/>
    <s v="523 Main St, CityA"/>
    <x v="1223"/>
    <x v="1"/>
    <x v="41"/>
    <x v="2"/>
    <x v="3"/>
    <n v="63"/>
    <n v="17"/>
    <x v="0"/>
    <x v="3"/>
    <x v="1"/>
    <x v="0"/>
    <x v="0"/>
    <x v="1"/>
    <s v="Friday"/>
    <n v="15"/>
    <n v="0.78749999999999998"/>
    <n v="78.75"/>
    <x v="0"/>
  </r>
  <r>
    <n v="2430"/>
    <s v="442 Oak St, CityC"/>
    <x v="1224"/>
    <x v="1"/>
    <x v="55"/>
    <x v="2"/>
    <x v="2"/>
    <n v="149"/>
    <n v="28"/>
    <x v="0"/>
    <x v="4"/>
    <x v="1"/>
    <x v="2"/>
    <x v="0"/>
    <x v="0"/>
    <s v="Monday"/>
    <n v="16"/>
    <n v="0.84180790960451979"/>
    <n v="84.180790960451972"/>
    <x v="0"/>
  </r>
  <r>
    <n v="2431"/>
    <s v="55 Elm St, CityD"/>
    <x v="1225"/>
    <x v="1"/>
    <x v="78"/>
    <x v="0"/>
    <x v="4"/>
    <n v="137"/>
    <n v="8"/>
    <x v="2"/>
    <x v="4"/>
    <x v="0"/>
    <x v="2"/>
    <x v="2"/>
    <x v="5"/>
    <s v="Saturday"/>
    <n v="13"/>
    <n v="0.94482758620689655"/>
    <n v="94.482758620689651"/>
    <x v="0"/>
  </r>
  <r>
    <n v="2432"/>
    <s v="210 Oak St, CityA"/>
    <x v="1226"/>
    <x v="0"/>
    <x v="53"/>
    <x v="1"/>
    <x v="3"/>
    <n v="151"/>
    <n v="3"/>
    <x v="0"/>
    <x v="2"/>
    <x v="1"/>
    <x v="1"/>
    <x v="0"/>
    <x v="3"/>
    <s v="Thursday"/>
    <n v="9"/>
    <n v="0.98051948051948057"/>
    <n v="98.05194805194806"/>
    <x v="0"/>
  </r>
  <r>
    <n v="2433"/>
    <s v="408 Pine St, CityE"/>
    <x v="1227"/>
    <x v="0"/>
    <x v="50"/>
    <x v="2"/>
    <x v="1"/>
    <n v="195"/>
    <n v="25"/>
    <x v="1"/>
    <x v="1"/>
    <x v="1"/>
    <x v="1"/>
    <x v="1"/>
    <x v="7"/>
    <s v="Tuesday"/>
    <n v="16"/>
    <n v="0.88636363636363635"/>
    <n v="88.63636363636364"/>
    <x v="0"/>
  </r>
  <r>
    <n v="2434"/>
    <s v="111 Elm St, CityD"/>
    <x v="1228"/>
    <x v="0"/>
    <x v="56"/>
    <x v="0"/>
    <x v="0"/>
    <n v="171"/>
    <n v="12"/>
    <x v="2"/>
    <x v="3"/>
    <x v="1"/>
    <x v="1"/>
    <x v="2"/>
    <x v="7"/>
    <s v="Tuesday"/>
    <n v="10"/>
    <n v="0.93442622950819676"/>
    <n v="93.442622950819683"/>
    <x v="0"/>
  </r>
  <r>
    <n v="2435"/>
    <s v="759 Pine St, CityE"/>
    <x v="1229"/>
    <x v="0"/>
    <x v="76"/>
    <x v="2"/>
    <x v="1"/>
    <n v="107"/>
    <n v="11"/>
    <x v="1"/>
    <x v="4"/>
    <x v="0"/>
    <x v="0"/>
    <x v="1"/>
    <x v="7"/>
    <s v="Tuesday"/>
    <n v="14"/>
    <n v="0.90677966101694918"/>
    <n v="90.677966101694921"/>
    <x v="0"/>
  </r>
  <r>
    <n v="2436"/>
    <s v="175 Elm St, CityA"/>
    <x v="1230"/>
    <x v="1"/>
    <x v="88"/>
    <x v="0"/>
    <x v="0"/>
    <n v="185"/>
    <n v="7"/>
    <x v="0"/>
    <x v="2"/>
    <x v="1"/>
    <x v="0"/>
    <x v="0"/>
    <x v="4"/>
    <s v="Wednesday"/>
    <n v="15"/>
    <n v="0.96354166666666663"/>
    <n v="96.354166666666657"/>
    <x v="0"/>
  </r>
  <r>
    <n v="2437"/>
    <s v="15 Elm St, CityA"/>
    <x v="1231"/>
    <x v="0"/>
    <x v="80"/>
    <x v="0"/>
    <x v="3"/>
    <n v="101"/>
    <n v="17"/>
    <x v="0"/>
    <x v="0"/>
    <x v="0"/>
    <x v="2"/>
    <x v="0"/>
    <x v="4"/>
    <s v="Wednesday"/>
    <n v="15"/>
    <n v="0.85593220338983056"/>
    <n v="85.593220338983059"/>
    <x v="0"/>
  </r>
  <r>
    <n v="2438"/>
    <s v="900 Pine St, CityE"/>
    <x v="1232"/>
    <x v="0"/>
    <x v="13"/>
    <x v="1"/>
    <x v="0"/>
    <n v="72"/>
    <n v="17"/>
    <x v="1"/>
    <x v="2"/>
    <x v="1"/>
    <x v="2"/>
    <x v="1"/>
    <x v="4"/>
    <s v="Wednesday"/>
    <n v="15"/>
    <n v="0.8089887640449438"/>
    <n v="80.898876404494374"/>
    <x v="0"/>
  </r>
  <r>
    <n v="2439"/>
    <s v="550 Elm St, CityA"/>
    <x v="1233"/>
    <x v="0"/>
    <x v="21"/>
    <x v="1"/>
    <x v="1"/>
    <n v="217"/>
    <n v="4"/>
    <x v="0"/>
    <x v="0"/>
    <x v="1"/>
    <x v="0"/>
    <x v="0"/>
    <x v="5"/>
    <s v="Saturday"/>
    <n v="16"/>
    <n v="0.98190045248868774"/>
    <n v="98.19004524886877"/>
    <x v="0"/>
  </r>
  <r>
    <n v="2440"/>
    <s v="644 Elm St, CityC"/>
    <x v="1234"/>
    <x v="1"/>
    <x v="32"/>
    <x v="1"/>
    <x v="3"/>
    <n v="233"/>
    <n v="18"/>
    <x v="1"/>
    <x v="3"/>
    <x v="0"/>
    <x v="1"/>
    <x v="1"/>
    <x v="2"/>
    <s v="Sunday"/>
    <n v="8"/>
    <n v="0.92828685258964139"/>
    <n v="92.828685258964143"/>
    <x v="0"/>
  </r>
  <r>
    <n v="2441"/>
    <s v="532 Pine St, CityB"/>
    <x v="439"/>
    <x v="0"/>
    <x v="65"/>
    <x v="2"/>
    <x v="3"/>
    <n v="90"/>
    <n v="10"/>
    <x v="1"/>
    <x v="4"/>
    <x v="1"/>
    <x v="0"/>
    <x v="1"/>
    <x v="6"/>
    <s v="Friday"/>
    <n v="9"/>
    <n v="0.9"/>
    <n v="90"/>
    <x v="0"/>
  </r>
  <r>
    <n v="2442"/>
    <s v="587 Cedar St, CityC"/>
    <x v="1235"/>
    <x v="1"/>
    <x v="27"/>
    <x v="0"/>
    <x v="0"/>
    <n v="79"/>
    <n v="6"/>
    <x v="2"/>
    <x v="2"/>
    <x v="2"/>
    <x v="0"/>
    <x v="2"/>
    <x v="5"/>
    <s v="Saturday"/>
    <n v="16"/>
    <n v="0.92941176470588238"/>
    <n v="92.941176470588232"/>
    <x v="0"/>
  </r>
  <r>
    <n v="2443"/>
    <s v="753 Pine St, CityE"/>
    <x v="1236"/>
    <x v="1"/>
    <x v="19"/>
    <x v="0"/>
    <x v="1"/>
    <n v="80"/>
    <n v="7"/>
    <x v="0"/>
    <x v="2"/>
    <x v="0"/>
    <x v="0"/>
    <x v="0"/>
    <x v="0"/>
    <s v="Monday"/>
    <n v="10"/>
    <n v="0.91954022988505746"/>
    <n v="91.954022988505741"/>
    <x v="0"/>
  </r>
  <r>
    <n v="2444"/>
    <s v="449 Elm St, CityD"/>
    <x v="1237"/>
    <x v="1"/>
    <x v="0"/>
    <x v="0"/>
    <x v="1"/>
    <n v="133"/>
    <n v="15"/>
    <x v="0"/>
    <x v="2"/>
    <x v="2"/>
    <x v="1"/>
    <x v="0"/>
    <x v="5"/>
    <s v="Saturday"/>
    <n v="15"/>
    <n v="0.89864864864864868"/>
    <n v="89.86486486486487"/>
    <x v="0"/>
  </r>
  <r>
    <n v="2445"/>
    <s v="888 Elm St, CityE"/>
    <x v="1238"/>
    <x v="1"/>
    <x v="38"/>
    <x v="1"/>
    <x v="3"/>
    <n v="62"/>
    <n v="28"/>
    <x v="1"/>
    <x v="3"/>
    <x v="0"/>
    <x v="2"/>
    <x v="1"/>
    <x v="4"/>
    <s v="Wednesday"/>
    <n v="15"/>
    <n v="0.68888888888888888"/>
    <n v="68.888888888888886"/>
    <x v="0"/>
  </r>
  <r>
    <n v="2446"/>
    <s v="249 Main St, CityE"/>
    <x v="1239"/>
    <x v="1"/>
    <x v="88"/>
    <x v="0"/>
    <x v="2"/>
    <n v="215"/>
    <n v="23"/>
    <x v="1"/>
    <x v="3"/>
    <x v="2"/>
    <x v="0"/>
    <x v="1"/>
    <x v="7"/>
    <s v="Tuesday"/>
    <n v="16"/>
    <n v="0.90336134453781514"/>
    <n v="90.336134453781511"/>
    <x v="0"/>
  </r>
  <r>
    <n v="2447"/>
    <s v="182 Cedar St, CityC"/>
    <x v="1240"/>
    <x v="0"/>
    <x v="75"/>
    <x v="1"/>
    <x v="3"/>
    <n v="228"/>
    <n v="19"/>
    <x v="2"/>
    <x v="3"/>
    <x v="2"/>
    <x v="1"/>
    <x v="2"/>
    <x v="5"/>
    <s v="Saturday"/>
    <n v="13"/>
    <n v="0.92307692307692313"/>
    <n v="92.307692307692307"/>
    <x v="0"/>
  </r>
  <r>
    <n v="2448"/>
    <s v="419 Main St, CityC"/>
    <x v="1241"/>
    <x v="1"/>
    <x v="96"/>
    <x v="0"/>
    <x v="3"/>
    <n v="232"/>
    <n v="5"/>
    <x v="0"/>
    <x v="3"/>
    <x v="0"/>
    <x v="2"/>
    <x v="0"/>
    <x v="0"/>
    <s v="Monday"/>
    <n v="12"/>
    <n v="0.97890295358649793"/>
    <n v="97.890295358649794"/>
    <x v="0"/>
  </r>
  <r>
    <n v="2449"/>
    <s v="235 Cedar St, CityD"/>
    <x v="1242"/>
    <x v="0"/>
    <x v="2"/>
    <x v="2"/>
    <x v="0"/>
    <n v="73"/>
    <n v="5"/>
    <x v="1"/>
    <x v="4"/>
    <x v="2"/>
    <x v="2"/>
    <x v="1"/>
    <x v="2"/>
    <s v="Sunday"/>
    <n v="14"/>
    <n v="0.9358974358974359"/>
    <n v="93.589743589743591"/>
    <x v="0"/>
  </r>
  <r>
    <n v="2450"/>
    <s v="983 Main St, CityD"/>
    <x v="1243"/>
    <x v="1"/>
    <x v="64"/>
    <x v="0"/>
    <x v="2"/>
    <n v="199"/>
    <n v="5"/>
    <x v="1"/>
    <x v="2"/>
    <x v="0"/>
    <x v="2"/>
    <x v="1"/>
    <x v="5"/>
    <s v="Saturday"/>
    <n v="16"/>
    <n v="0.97549019607843135"/>
    <n v="97.549019607843135"/>
    <x v="0"/>
  </r>
  <r>
    <n v="2451"/>
    <s v="805 Cedar St, CityE"/>
    <x v="1244"/>
    <x v="1"/>
    <x v="14"/>
    <x v="1"/>
    <x v="3"/>
    <n v="236"/>
    <n v="25"/>
    <x v="1"/>
    <x v="0"/>
    <x v="1"/>
    <x v="2"/>
    <x v="1"/>
    <x v="0"/>
    <s v="Monday"/>
    <n v="9"/>
    <n v="0.90421455938697315"/>
    <n v="90.421455938697321"/>
    <x v="0"/>
  </r>
  <r>
    <n v="2452"/>
    <s v="737 Pine St, CityD"/>
    <x v="1245"/>
    <x v="1"/>
    <x v="30"/>
    <x v="0"/>
    <x v="4"/>
    <n v="204"/>
    <n v="24"/>
    <x v="0"/>
    <x v="0"/>
    <x v="2"/>
    <x v="0"/>
    <x v="0"/>
    <x v="4"/>
    <s v="Wednesday"/>
    <n v="8"/>
    <n v="0.89473684210526316"/>
    <n v="89.473684210526315"/>
    <x v="0"/>
  </r>
  <r>
    <n v="2453"/>
    <s v="698 Main St, CityD"/>
    <x v="353"/>
    <x v="1"/>
    <x v="33"/>
    <x v="2"/>
    <x v="0"/>
    <n v="77"/>
    <n v="12"/>
    <x v="2"/>
    <x v="2"/>
    <x v="1"/>
    <x v="0"/>
    <x v="2"/>
    <x v="5"/>
    <s v="Saturday"/>
    <n v="14"/>
    <n v="0.8651685393258427"/>
    <n v="86.516853932584269"/>
    <x v="0"/>
  </r>
  <r>
    <n v="2454"/>
    <s v="490 Main St, CityD"/>
    <x v="1246"/>
    <x v="1"/>
    <x v="6"/>
    <x v="1"/>
    <x v="1"/>
    <n v="183"/>
    <n v="8"/>
    <x v="1"/>
    <x v="0"/>
    <x v="1"/>
    <x v="2"/>
    <x v="1"/>
    <x v="0"/>
    <s v="Monday"/>
    <n v="9"/>
    <n v="0.95811518324607325"/>
    <n v="95.81151832460732"/>
    <x v="0"/>
  </r>
  <r>
    <n v="2455"/>
    <s v="882 Pine St, CityB"/>
    <x v="500"/>
    <x v="1"/>
    <x v="51"/>
    <x v="2"/>
    <x v="2"/>
    <n v="190"/>
    <n v="11"/>
    <x v="2"/>
    <x v="1"/>
    <x v="0"/>
    <x v="0"/>
    <x v="2"/>
    <x v="5"/>
    <s v="Saturday"/>
    <n v="15"/>
    <n v="0.94527363184079605"/>
    <n v="94.527363184079604"/>
    <x v="0"/>
  </r>
  <r>
    <n v="2456"/>
    <s v="922 Pine St, CityE"/>
    <x v="914"/>
    <x v="0"/>
    <x v="90"/>
    <x v="0"/>
    <x v="1"/>
    <n v="147"/>
    <n v="5"/>
    <x v="0"/>
    <x v="4"/>
    <x v="2"/>
    <x v="0"/>
    <x v="0"/>
    <x v="4"/>
    <s v="Wednesday"/>
    <n v="12"/>
    <n v="0.96710526315789469"/>
    <n v="96.710526315789465"/>
    <x v="0"/>
  </r>
  <r>
    <n v="2457"/>
    <s v="799 Elm St, CityA"/>
    <x v="74"/>
    <x v="1"/>
    <x v="20"/>
    <x v="0"/>
    <x v="2"/>
    <n v="189"/>
    <n v="24"/>
    <x v="1"/>
    <x v="2"/>
    <x v="2"/>
    <x v="0"/>
    <x v="1"/>
    <x v="1"/>
    <s v="Friday"/>
    <n v="8"/>
    <n v="0.88732394366197187"/>
    <n v="88.732394366197184"/>
    <x v="0"/>
  </r>
  <r>
    <n v="2458"/>
    <s v="374 Main St, CityD"/>
    <x v="1247"/>
    <x v="0"/>
    <x v="50"/>
    <x v="1"/>
    <x v="2"/>
    <n v="221"/>
    <n v="0"/>
    <x v="1"/>
    <x v="3"/>
    <x v="2"/>
    <x v="0"/>
    <x v="1"/>
    <x v="5"/>
    <s v="Saturday"/>
    <n v="10"/>
    <n v="1"/>
    <n v="100"/>
    <x v="1"/>
  </r>
  <r>
    <n v="2459"/>
    <s v="554 Elm St, CityA"/>
    <x v="1248"/>
    <x v="1"/>
    <x v="59"/>
    <x v="1"/>
    <x v="1"/>
    <n v="194"/>
    <n v="24"/>
    <x v="1"/>
    <x v="3"/>
    <x v="1"/>
    <x v="0"/>
    <x v="1"/>
    <x v="1"/>
    <s v="Friday"/>
    <n v="15"/>
    <n v="0.88990825688073394"/>
    <n v="88.9908256880734"/>
    <x v="0"/>
  </r>
  <r>
    <n v="2460"/>
    <s v="675 Elm St, CityB"/>
    <x v="1249"/>
    <x v="1"/>
    <x v="44"/>
    <x v="1"/>
    <x v="1"/>
    <n v="122"/>
    <n v="13"/>
    <x v="1"/>
    <x v="4"/>
    <x v="1"/>
    <x v="0"/>
    <x v="1"/>
    <x v="2"/>
    <s v="Sunday"/>
    <n v="13"/>
    <n v="0.90370370370370368"/>
    <n v="90.370370370370367"/>
    <x v="0"/>
  </r>
  <r>
    <n v="2461"/>
    <s v="230 Oak St, CityC"/>
    <x v="1250"/>
    <x v="1"/>
    <x v="85"/>
    <x v="0"/>
    <x v="3"/>
    <n v="136"/>
    <n v="18"/>
    <x v="0"/>
    <x v="2"/>
    <x v="0"/>
    <x v="1"/>
    <x v="0"/>
    <x v="3"/>
    <s v="Thursday"/>
    <n v="16"/>
    <n v="0.88311688311688308"/>
    <n v="88.311688311688314"/>
    <x v="0"/>
  </r>
  <r>
    <n v="2462"/>
    <s v="691 Elm St, CityA"/>
    <x v="25"/>
    <x v="1"/>
    <x v="88"/>
    <x v="0"/>
    <x v="1"/>
    <n v="72"/>
    <n v="17"/>
    <x v="2"/>
    <x v="4"/>
    <x v="1"/>
    <x v="2"/>
    <x v="2"/>
    <x v="0"/>
    <s v="Monday"/>
    <n v="14"/>
    <n v="0.8089887640449438"/>
    <n v="80.898876404494374"/>
    <x v="0"/>
  </r>
  <r>
    <n v="2463"/>
    <s v="403 Oak St, CityA"/>
    <x v="1251"/>
    <x v="1"/>
    <x v="39"/>
    <x v="0"/>
    <x v="0"/>
    <n v="189"/>
    <n v="27"/>
    <x v="0"/>
    <x v="3"/>
    <x v="2"/>
    <x v="0"/>
    <x v="0"/>
    <x v="4"/>
    <s v="Wednesday"/>
    <n v="11"/>
    <n v="0.875"/>
    <n v="87.5"/>
    <x v="0"/>
  </r>
  <r>
    <n v="2464"/>
    <s v="796 Oak St, CityE"/>
    <x v="1252"/>
    <x v="1"/>
    <x v="15"/>
    <x v="2"/>
    <x v="4"/>
    <n v="227"/>
    <n v="0"/>
    <x v="2"/>
    <x v="4"/>
    <x v="1"/>
    <x v="1"/>
    <x v="2"/>
    <x v="4"/>
    <s v="Wednesday"/>
    <n v="9"/>
    <n v="1"/>
    <n v="100"/>
    <x v="1"/>
  </r>
  <r>
    <n v="2465"/>
    <s v="459 Main St, CityC"/>
    <x v="357"/>
    <x v="1"/>
    <x v="32"/>
    <x v="1"/>
    <x v="1"/>
    <n v="152"/>
    <n v="23"/>
    <x v="0"/>
    <x v="1"/>
    <x v="0"/>
    <x v="2"/>
    <x v="0"/>
    <x v="1"/>
    <s v="Friday"/>
    <n v="16"/>
    <n v="0.86857142857142855"/>
    <n v="86.857142857142861"/>
    <x v="0"/>
  </r>
  <r>
    <n v="2466"/>
    <s v="415 Cedar St, CityB"/>
    <x v="1"/>
    <x v="0"/>
    <x v="34"/>
    <x v="2"/>
    <x v="3"/>
    <n v="170"/>
    <n v="21"/>
    <x v="0"/>
    <x v="4"/>
    <x v="1"/>
    <x v="0"/>
    <x v="0"/>
    <x v="1"/>
    <s v="Friday"/>
    <n v="15"/>
    <n v="0.89005235602094246"/>
    <n v="89.005235602094245"/>
    <x v="0"/>
  </r>
  <r>
    <n v="2467"/>
    <s v="751 Main St, CityE"/>
    <x v="1253"/>
    <x v="0"/>
    <x v="85"/>
    <x v="0"/>
    <x v="3"/>
    <n v="162"/>
    <n v="16"/>
    <x v="2"/>
    <x v="0"/>
    <x v="0"/>
    <x v="0"/>
    <x v="2"/>
    <x v="2"/>
    <s v="Sunday"/>
    <n v="13"/>
    <n v="0.9101123595505618"/>
    <n v="91.011235955056179"/>
    <x v="0"/>
  </r>
  <r>
    <n v="2468"/>
    <s v="667 Elm St, CityA"/>
    <x v="1254"/>
    <x v="1"/>
    <x v="5"/>
    <x v="2"/>
    <x v="3"/>
    <n v="144"/>
    <n v="0"/>
    <x v="2"/>
    <x v="0"/>
    <x v="0"/>
    <x v="2"/>
    <x v="2"/>
    <x v="5"/>
    <s v="Saturday"/>
    <n v="14"/>
    <n v="1"/>
    <n v="100"/>
    <x v="1"/>
  </r>
  <r>
    <n v="2469"/>
    <s v="585 Elm St, CityC"/>
    <x v="1246"/>
    <x v="1"/>
    <x v="45"/>
    <x v="0"/>
    <x v="1"/>
    <n v="130"/>
    <n v="24"/>
    <x v="0"/>
    <x v="1"/>
    <x v="1"/>
    <x v="2"/>
    <x v="0"/>
    <x v="0"/>
    <s v="Monday"/>
    <n v="9"/>
    <n v="0.8441558441558441"/>
    <n v="84.415584415584405"/>
    <x v="0"/>
  </r>
  <r>
    <n v="2470"/>
    <s v="582 Pine St, CityD"/>
    <x v="1255"/>
    <x v="1"/>
    <x v="17"/>
    <x v="2"/>
    <x v="0"/>
    <n v="128"/>
    <n v="2"/>
    <x v="2"/>
    <x v="0"/>
    <x v="1"/>
    <x v="2"/>
    <x v="2"/>
    <x v="0"/>
    <s v="Monday"/>
    <n v="9"/>
    <n v="0.98461538461538467"/>
    <n v="98.461538461538467"/>
    <x v="0"/>
  </r>
  <r>
    <n v="2471"/>
    <s v="774 Cedar St, CityA"/>
    <x v="1256"/>
    <x v="1"/>
    <x v="40"/>
    <x v="2"/>
    <x v="3"/>
    <n v="75"/>
    <n v="15"/>
    <x v="1"/>
    <x v="1"/>
    <x v="0"/>
    <x v="0"/>
    <x v="1"/>
    <x v="6"/>
    <s v="Friday"/>
    <n v="16"/>
    <n v="0.83333333333333337"/>
    <n v="83.333333333333343"/>
    <x v="0"/>
  </r>
  <r>
    <n v="2472"/>
    <s v="571 Cedar St, CityE"/>
    <x v="1257"/>
    <x v="0"/>
    <x v="43"/>
    <x v="0"/>
    <x v="1"/>
    <n v="169"/>
    <n v="26"/>
    <x v="0"/>
    <x v="2"/>
    <x v="0"/>
    <x v="1"/>
    <x v="0"/>
    <x v="4"/>
    <s v="Wednesday"/>
    <n v="12"/>
    <n v="0.8666666666666667"/>
    <n v="86.666666666666671"/>
    <x v="0"/>
  </r>
  <r>
    <n v="2473"/>
    <s v="792 Oak St, CityB"/>
    <x v="1258"/>
    <x v="1"/>
    <x v="85"/>
    <x v="0"/>
    <x v="4"/>
    <n v="228"/>
    <n v="19"/>
    <x v="1"/>
    <x v="1"/>
    <x v="1"/>
    <x v="0"/>
    <x v="1"/>
    <x v="0"/>
    <s v="Monday"/>
    <n v="13"/>
    <n v="0.92307692307692313"/>
    <n v="92.307692307692307"/>
    <x v="0"/>
  </r>
  <r>
    <n v="2474"/>
    <s v="441 Cedar St, CityE"/>
    <x v="1259"/>
    <x v="0"/>
    <x v="7"/>
    <x v="2"/>
    <x v="0"/>
    <n v="106"/>
    <n v="10"/>
    <x v="1"/>
    <x v="3"/>
    <x v="2"/>
    <x v="0"/>
    <x v="1"/>
    <x v="1"/>
    <s v="Friday"/>
    <n v="14"/>
    <n v="0.91379310344827591"/>
    <n v="91.379310344827587"/>
    <x v="0"/>
  </r>
  <r>
    <n v="2475"/>
    <s v="555 Oak St, CityE"/>
    <x v="508"/>
    <x v="0"/>
    <x v="8"/>
    <x v="2"/>
    <x v="0"/>
    <n v="216"/>
    <n v="24"/>
    <x v="2"/>
    <x v="0"/>
    <x v="2"/>
    <x v="2"/>
    <x v="2"/>
    <x v="5"/>
    <s v="Saturday"/>
    <n v="16"/>
    <n v="0.9"/>
    <n v="90"/>
    <x v="0"/>
  </r>
  <r>
    <n v="2476"/>
    <s v="889 Main St, CityB"/>
    <x v="1260"/>
    <x v="1"/>
    <x v="20"/>
    <x v="0"/>
    <x v="4"/>
    <n v="197"/>
    <n v="15"/>
    <x v="2"/>
    <x v="0"/>
    <x v="1"/>
    <x v="2"/>
    <x v="2"/>
    <x v="5"/>
    <s v="Saturday"/>
    <n v="16"/>
    <n v="0.92924528301886788"/>
    <n v="92.924528301886795"/>
    <x v="0"/>
  </r>
  <r>
    <n v="2477"/>
    <s v="130 Main St, CityC"/>
    <x v="669"/>
    <x v="1"/>
    <x v="29"/>
    <x v="1"/>
    <x v="4"/>
    <n v="235"/>
    <n v="13"/>
    <x v="2"/>
    <x v="4"/>
    <x v="2"/>
    <x v="2"/>
    <x v="2"/>
    <x v="4"/>
    <s v="Wednesday"/>
    <n v="8"/>
    <n v="0.94758064516129037"/>
    <n v="94.758064516129039"/>
    <x v="0"/>
  </r>
  <r>
    <n v="2478"/>
    <s v="818 Main St, CityE"/>
    <x v="676"/>
    <x v="0"/>
    <x v="44"/>
    <x v="2"/>
    <x v="1"/>
    <n v="158"/>
    <n v="23"/>
    <x v="2"/>
    <x v="3"/>
    <x v="1"/>
    <x v="1"/>
    <x v="2"/>
    <x v="2"/>
    <s v="Sunday"/>
    <n v="8"/>
    <n v="0.8729281767955801"/>
    <n v="87.292817679558013"/>
    <x v="0"/>
  </r>
  <r>
    <n v="2479"/>
    <s v="709 Elm St, CityE"/>
    <x v="1261"/>
    <x v="0"/>
    <x v="93"/>
    <x v="2"/>
    <x v="0"/>
    <n v="129"/>
    <n v="6"/>
    <x v="2"/>
    <x v="0"/>
    <x v="2"/>
    <x v="1"/>
    <x v="2"/>
    <x v="6"/>
    <s v="Friday"/>
    <n v="12"/>
    <n v="0.9555555555555556"/>
    <n v="95.555555555555557"/>
    <x v="0"/>
  </r>
  <r>
    <n v="2480"/>
    <s v="444 Cedar St, CityC"/>
    <x v="1126"/>
    <x v="0"/>
    <x v="18"/>
    <x v="1"/>
    <x v="1"/>
    <n v="155"/>
    <n v="9"/>
    <x v="2"/>
    <x v="0"/>
    <x v="2"/>
    <x v="0"/>
    <x v="2"/>
    <x v="5"/>
    <s v="Saturday"/>
    <n v="11"/>
    <n v="0.94512195121951215"/>
    <n v="94.512195121951208"/>
    <x v="0"/>
  </r>
  <r>
    <n v="2481"/>
    <s v="520 Oak St, CityB"/>
    <x v="1262"/>
    <x v="1"/>
    <x v="19"/>
    <x v="1"/>
    <x v="4"/>
    <n v="224"/>
    <n v="14"/>
    <x v="0"/>
    <x v="3"/>
    <x v="0"/>
    <x v="2"/>
    <x v="0"/>
    <x v="6"/>
    <s v="Friday"/>
    <n v="13"/>
    <n v="0.94117647058823528"/>
    <n v="94.117647058823522"/>
    <x v="0"/>
  </r>
  <r>
    <n v="2482"/>
    <s v="306 Cedar St, CityC"/>
    <x v="1263"/>
    <x v="0"/>
    <x v="29"/>
    <x v="2"/>
    <x v="0"/>
    <n v="176"/>
    <n v="12"/>
    <x v="2"/>
    <x v="1"/>
    <x v="2"/>
    <x v="1"/>
    <x v="2"/>
    <x v="3"/>
    <s v="Thursday"/>
    <n v="11"/>
    <n v="0.93617021276595747"/>
    <n v="93.61702127659575"/>
    <x v="0"/>
  </r>
  <r>
    <n v="2483"/>
    <s v="867 Cedar St, CityE"/>
    <x v="1264"/>
    <x v="1"/>
    <x v="11"/>
    <x v="2"/>
    <x v="2"/>
    <n v="122"/>
    <n v="7"/>
    <x v="2"/>
    <x v="4"/>
    <x v="1"/>
    <x v="2"/>
    <x v="2"/>
    <x v="6"/>
    <s v="Friday"/>
    <n v="10"/>
    <n v="0.94573643410852715"/>
    <n v="94.573643410852711"/>
    <x v="0"/>
  </r>
  <r>
    <n v="2484"/>
    <s v="567 Main St, CityA"/>
    <x v="1265"/>
    <x v="0"/>
    <x v="29"/>
    <x v="0"/>
    <x v="2"/>
    <n v="115"/>
    <n v="1"/>
    <x v="1"/>
    <x v="2"/>
    <x v="0"/>
    <x v="1"/>
    <x v="1"/>
    <x v="4"/>
    <s v="Wednesday"/>
    <n v="9"/>
    <n v="0.99137931034482762"/>
    <n v="99.137931034482762"/>
    <x v="0"/>
  </r>
  <r>
    <n v="2485"/>
    <s v="291 Oak St, CityD"/>
    <x v="1266"/>
    <x v="1"/>
    <x v="83"/>
    <x v="1"/>
    <x v="4"/>
    <n v="222"/>
    <n v="4"/>
    <x v="0"/>
    <x v="3"/>
    <x v="0"/>
    <x v="2"/>
    <x v="0"/>
    <x v="3"/>
    <s v="Thursday"/>
    <n v="16"/>
    <n v="0.98230088495575218"/>
    <n v="98.230088495575217"/>
    <x v="0"/>
  </r>
  <r>
    <n v="2486"/>
    <s v="642 Cedar St, CityE"/>
    <x v="1267"/>
    <x v="1"/>
    <x v="74"/>
    <x v="1"/>
    <x v="1"/>
    <n v="159"/>
    <n v="6"/>
    <x v="2"/>
    <x v="2"/>
    <x v="0"/>
    <x v="0"/>
    <x v="2"/>
    <x v="4"/>
    <s v="Wednesday"/>
    <n v="11"/>
    <n v="0.96363636363636362"/>
    <n v="96.36363636363636"/>
    <x v="0"/>
  </r>
  <r>
    <n v="2487"/>
    <s v="469 Main St, CityD"/>
    <x v="1268"/>
    <x v="0"/>
    <x v="59"/>
    <x v="0"/>
    <x v="4"/>
    <n v="211"/>
    <n v="26"/>
    <x v="1"/>
    <x v="2"/>
    <x v="1"/>
    <x v="2"/>
    <x v="1"/>
    <x v="1"/>
    <s v="Friday"/>
    <n v="11"/>
    <n v="0.89029535864978904"/>
    <n v="89.029535864978897"/>
    <x v="0"/>
  </r>
  <r>
    <n v="2488"/>
    <s v="94 Oak St, CityB"/>
    <x v="1269"/>
    <x v="1"/>
    <x v="79"/>
    <x v="1"/>
    <x v="0"/>
    <n v="172"/>
    <n v="11"/>
    <x v="0"/>
    <x v="2"/>
    <x v="1"/>
    <x v="0"/>
    <x v="0"/>
    <x v="4"/>
    <s v="Wednesday"/>
    <n v="8"/>
    <n v="0.93989071038251371"/>
    <n v="93.989071038251367"/>
    <x v="0"/>
  </r>
  <r>
    <n v="2489"/>
    <s v="241 Cedar St, CityD"/>
    <x v="1061"/>
    <x v="0"/>
    <x v="5"/>
    <x v="1"/>
    <x v="3"/>
    <n v="92"/>
    <n v="29"/>
    <x v="1"/>
    <x v="0"/>
    <x v="2"/>
    <x v="1"/>
    <x v="1"/>
    <x v="3"/>
    <s v="Thursday"/>
    <n v="16"/>
    <n v="0.76033057851239672"/>
    <n v="76.033057851239676"/>
    <x v="0"/>
  </r>
  <r>
    <n v="2490"/>
    <s v="459 Pine St, CityD"/>
    <x v="411"/>
    <x v="0"/>
    <x v="60"/>
    <x v="0"/>
    <x v="0"/>
    <n v="103"/>
    <n v="4"/>
    <x v="2"/>
    <x v="1"/>
    <x v="2"/>
    <x v="1"/>
    <x v="2"/>
    <x v="7"/>
    <s v="Tuesday"/>
    <n v="9"/>
    <n v="0.96261682242990654"/>
    <n v="96.261682242990659"/>
    <x v="0"/>
  </r>
  <r>
    <n v="2491"/>
    <s v="201 Cedar St, CityB"/>
    <x v="1270"/>
    <x v="0"/>
    <x v="40"/>
    <x v="2"/>
    <x v="0"/>
    <n v="119"/>
    <n v="17"/>
    <x v="1"/>
    <x v="1"/>
    <x v="1"/>
    <x v="0"/>
    <x v="1"/>
    <x v="0"/>
    <s v="Monday"/>
    <n v="15"/>
    <n v="0.875"/>
    <n v="87.5"/>
    <x v="0"/>
  </r>
  <r>
    <n v="2492"/>
    <s v="27 Cedar St, CityD"/>
    <x v="850"/>
    <x v="1"/>
    <x v="81"/>
    <x v="0"/>
    <x v="2"/>
    <n v="202"/>
    <n v="0"/>
    <x v="1"/>
    <x v="2"/>
    <x v="2"/>
    <x v="2"/>
    <x v="1"/>
    <x v="4"/>
    <s v="Wednesday"/>
    <n v="9"/>
    <n v="1"/>
    <n v="100"/>
    <x v="1"/>
  </r>
  <r>
    <n v="2493"/>
    <s v="282 Pine St, CityA"/>
    <x v="1271"/>
    <x v="1"/>
    <x v="62"/>
    <x v="2"/>
    <x v="3"/>
    <n v="104"/>
    <n v="2"/>
    <x v="1"/>
    <x v="4"/>
    <x v="2"/>
    <x v="0"/>
    <x v="1"/>
    <x v="3"/>
    <s v="Thursday"/>
    <n v="14"/>
    <n v="0.98113207547169812"/>
    <n v="98.113207547169807"/>
    <x v="0"/>
  </r>
  <r>
    <n v="2494"/>
    <s v="987 Cedar St, CityA"/>
    <x v="1272"/>
    <x v="0"/>
    <x v="89"/>
    <x v="1"/>
    <x v="1"/>
    <n v="71"/>
    <n v="3"/>
    <x v="0"/>
    <x v="4"/>
    <x v="2"/>
    <x v="2"/>
    <x v="0"/>
    <x v="6"/>
    <s v="Friday"/>
    <n v="11"/>
    <n v="0.95945945945945943"/>
    <n v="95.945945945945937"/>
    <x v="0"/>
  </r>
  <r>
    <n v="2495"/>
    <s v="737 Pine St, CityD"/>
    <x v="1273"/>
    <x v="0"/>
    <x v="42"/>
    <x v="0"/>
    <x v="2"/>
    <n v="226"/>
    <n v="8"/>
    <x v="1"/>
    <x v="4"/>
    <x v="1"/>
    <x v="0"/>
    <x v="1"/>
    <x v="4"/>
    <s v="Wednesday"/>
    <n v="10"/>
    <n v="0.96581196581196582"/>
    <n v="96.581196581196579"/>
    <x v="0"/>
  </r>
  <r>
    <n v="2496"/>
    <s v="626 Cedar St, CityD"/>
    <x v="1274"/>
    <x v="1"/>
    <x v="50"/>
    <x v="1"/>
    <x v="0"/>
    <n v="213"/>
    <n v="18"/>
    <x v="1"/>
    <x v="0"/>
    <x v="2"/>
    <x v="1"/>
    <x v="1"/>
    <x v="3"/>
    <s v="Thursday"/>
    <n v="9"/>
    <n v="0.92207792207792205"/>
    <n v="92.20779220779221"/>
    <x v="0"/>
  </r>
  <r>
    <n v="2497"/>
    <s v="394 Cedar St, CityB"/>
    <x v="154"/>
    <x v="1"/>
    <x v="97"/>
    <x v="0"/>
    <x v="0"/>
    <n v="142"/>
    <n v="21"/>
    <x v="2"/>
    <x v="0"/>
    <x v="2"/>
    <x v="0"/>
    <x v="2"/>
    <x v="3"/>
    <s v="Thursday"/>
    <n v="12"/>
    <n v="0.87116564417177911"/>
    <n v="87.116564417177912"/>
    <x v="0"/>
  </r>
  <r>
    <n v="2498"/>
    <s v="878 Cedar St, CityE"/>
    <x v="1275"/>
    <x v="1"/>
    <x v="77"/>
    <x v="2"/>
    <x v="1"/>
    <n v="82"/>
    <n v="16"/>
    <x v="1"/>
    <x v="1"/>
    <x v="1"/>
    <x v="2"/>
    <x v="1"/>
    <x v="2"/>
    <s v="Sunday"/>
    <n v="8"/>
    <n v="0.83673469387755106"/>
    <n v="83.673469387755105"/>
    <x v="0"/>
  </r>
  <r>
    <n v="2499"/>
    <s v="938 Pine St, CityE"/>
    <x v="1276"/>
    <x v="1"/>
    <x v="65"/>
    <x v="1"/>
    <x v="4"/>
    <n v="141"/>
    <n v="7"/>
    <x v="2"/>
    <x v="0"/>
    <x v="1"/>
    <x v="2"/>
    <x v="2"/>
    <x v="0"/>
    <s v="Monday"/>
    <n v="16"/>
    <n v="0.95270270270270274"/>
    <n v="95.270270270270274"/>
    <x v="0"/>
  </r>
  <r>
    <n v="2500"/>
    <s v="510 Elm St, CityB"/>
    <x v="1180"/>
    <x v="0"/>
    <x v="79"/>
    <x v="1"/>
    <x v="2"/>
    <n v="134"/>
    <n v="23"/>
    <x v="2"/>
    <x v="3"/>
    <x v="0"/>
    <x v="2"/>
    <x v="2"/>
    <x v="2"/>
    <s v="Sunday"/>
    <n v="15"/>
    <n v="0.85350318471337583"/>
    <n v="85.35031847133758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C0C43A-D916-4CBC-8024-D0308FB1FF50}"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9:Y36" firstHeaderRow="1" firstDataRow="1" firstDataCol="0"/>
  <pivotFields count="24">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pivotField showAll="0"/>
    <pivotField showAll="0"/>
    <pivotField showAll="0"/>
    <pivotField showAll="0"/>
    <pivotField showAll="0"/>
    <pivotField showAll="0"/>
    <pivotField showAll="0"/>
    <pivotField showAll="0"/>
    <pivotField numFmtId="3" showAll="0"/>
    <pivotField numFmtId="165" showAll="0">
      <items count="9">
        <item x="1"/>
        <item x="5"/>
        <item x="2"/>
        <item x="0"/>
        <item x="7"/>
        <item x="4"/>
        <item x="3"/>
        <item x="6"/>
        <item t="default"/>
      </items>
    </pivotField>
    <pivotField showAll="0"/>
    <pivotField showAll="0"/>
    <pivotField numFmtId="2" showAll="0"/>
    <pivotField numFmtId="43" showAll="0"/>
    <pivotField showAl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7ED883-3E46-4032-831C-5CCF2BABE1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24">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pivotField showAll="0"/>
    <pivotField showAll="0"/>
    <pivotField showAll="0"/>
    <pivotField dataField="1" showAll="0"/>
    <pivotField showAll="0"/>
    <pivotField showAll="0"/>
    <pivotField showAll="0"/>
    <pivotField showAll="0"/>
    <pivotField numFmtId="3" showAll="0"/>
    <pivotField numFmtId="22" showAll="0">
      <items count="9">
        <item x="1"/>
        <item x="5"/>
        <item x="2"/>
        <item x="0"/>
        <item x="7"/>
        <item x="4"/>
        <item x="3"/>
        <item x="6"/>
        <item t="default"/>
      </items>
    </pivotField>
    <pivotField showAll="0"/>
    <pivotField showAll="0"/>
    <pivotField numFmtId="2" showAll="0"/>
    <pivotField numFmtId="43"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Average of Delays (min)" fld="8" subtotal="average"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E93288-ECA0-4435-B7FC-D53515EAE5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Q4" firstHeaderRow="1" firstDataRow="1" firstDataCol="1"/>
  <pivotFields count="24">
    <pivotField dataField="1"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pivotField showAll="0"/>
    <pivotField showAll="0"/>
    <pivotField showAll="0"/>
    <pivotField showAll="0"/>
    <pivotField showAll="0"/>
    <pivotField showAll="0"/>
    <pivotField showAll="0"/>
    <pivotField showAll="0"/>
    <pivotField numFmtId="3" showAll="0"/>
    <pivotField numFmtId="22" showAll="0">
      <items count="9">
        <item x="1"/>
        <item x="5"/>
        <item x="2"/>
        <item x="0"/>
        <item x="7"/>
        <item x="4"/>
        <item x="3"/>
        <item x="6"/>
        <item t="default"/>
      </items>
    </pivotField>
    <pivotField showAll="0"/>
    <pivotField showAll="0"/>
    <pivotField numFmtId="2" showAll="0"/>
    <pivotField numFmtId="43" showAll="0"/>
    <pivotField axis="axisRow" showAll="0">
      <items count="3">
        <item x="0"/>
        <item x="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9"/>
  </rowFields>
  <rowItems count="3">
    <i>
      <x/>
    </i>
    <i>
      <x v="1"/>
    </i>
    <i t="grand">
      <x/>
    </i>
  </rowItems>
  <colItems count="1">
    <i/>
  </colItems>
  <dataFields count="1">
    <dataField name="On-Time %" fld="0" showDataAs="percentOfTotal" baseField="0" baseItem="0" numFmtId="9"/>
  </dataFields>
  <formats count="2">
    <format dxfId="18">
      <pivotArea outline="0" fieldPosition="0">
        <references count="1">
          <reference field="4294967294" count="1">
            <x v="0"/>
          </reference>
        </references>
      </pivotArea>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10F7DE-09C2-483E-9F4B-E2AB4AE639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S2" firstHeaderRow="1" firstDataRow="1" firstDataCol="0"/>
  <pivotFields count="24">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pivotField showAll="0"/>
    <pivotField showAll="0"/>
    <pivotField showAll="0"/>
    <pivotField dataField="1" showAll="0"/>
    <pivotField showAll="0"/>
    <pivotField showAll="0"/>
    <pivotField showAll="0"/>
    <pivotField showAll="0"/>
    <pivotField numFmtId="3" showAll="0"/>
    <pivotField numFmtId="22" showAll="0">
      <items count="9">
        <item x="1"/>
        <item x="5"/>
        <item x="2"/>
        <item x="0"/>
        <item x="7"/>
        <item x="4"/>
        <item x="3"/>
        <item x="6"/>
        <item t="default"/>
      </items>
    </pivotField>
    <pivotField showAll="0"/>
    <pivotField showAll="0"/>
    <pivotField numFmtId="2" showAll="0"/>
    <pivotField numFmtId="43"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Count of Delays " fld="8" subtotal="count" baseField="0" baseItem="0" numFmtId="16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038380-6982-4855-AA77-D95C26A4B824}" name="Delivery_Data"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1:B35" firstHeaderRow="1" firstDataRow="1" firstDataCol="1"/>
  <pivotFields count="24">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numFmtId="3" showAll="0"/>
    <pivotField numFmtId="22" showAll="0">
      <items count="9">
        <item x="1"/>
        <item x="5"/>
        <item x="2"/>
        <item x="0"/>
        <item x="7"/>
        <item x="4"/>
        <item x="3"/>
        <item x="6"/>
        <item t="default"/>
      </items>
    </pivotField>
    <pivotField showAll="0"/>
    <pivotField showAll="0"/>
    <pivotField numFmtId="2" showAll="0"/>
    <pivotField numFmtId="43"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9"/>
  </rowFields>
  <rowItems count="4">
    <i>
      <x/>
    </i>
    <i>
      <x v="1"/>
    </i>
    <i>
      <x v="2"/>
    </i>
    <i t="grand">
      <x/>
    </i>
  </rowItems>
  <colItems count="1">
    <i/>
  </colItems>
  <dataFields count="1">
    <dataField name="Count of Sentiment Scores" fld="13" subtotal="count" showDataAs="percentOfTotal" baseField="0" baseItem="1" numFmtId="10"/>
  </dataFields>
  <formats count="3">
    <format dxfId="22">
      <pivotArea outline="0" collapsedLevelsAreSubtotals="1" fieldPosition="0"/>
    </format>
    <format dxfId="21">
      <pivotArea outline="0" fieldPosition="0">
        <references count="1">
          <reference field="4294967294" count="1">
            <x v="0"/>
          </reference>
        </references>
      </pivotArea>
    </format>
    <format dxfId="20">
      <pivotArea collapsedLevelsAreSubtotals="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52CCE5-D6F5-4748-932A-ECB0B95EC5D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24">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pivotField showAll="0"/>
    <pivotField showAll="0"/>
    <pivotField showAll="0"/>
    <pivotField showAll="0"/>
    <pivotField showAll="0"/>
    <pivotField showAll="0"/>
    <pivotField showAll="0"/>
    <pivotField showAll="0"/>
    <pivotField numFmtId="3" showAll="0"/>
    <pivotField numFmtId="22" showAll="0">
      <items count="9">
        <item x="1"/>
        <item x="5"/>
        <item x="2"/>
        <item x="0"/>
        <item x="7"/>
        <item x="4"/>
        <item x="3"/>
        <item x="6"/>
        <item t="default"/>
      </items>
    </pivotField>
    <pivotField showAll="0"/>
    <pivotField showAll="0"/>
    <pivotField dataField="1" numFmtId="2" showAll="0"/>
    <pivotField numFmtId="43"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Average of Delivery Efficiency (%)" fld="17" subtotal="average" baseField="0" baseItem="0" numFmtId="166"/>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D39490-971C-447A-B08B-3DB809B3521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24">
    <pivotField dataField="1"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pivotField showAll="0"/>
    <pivotField showAll="0"/>
    <pivotField showAll="0"/>
    <pivotField showAll="0"/>
    <pivotField showAll="0"/>
    <pivotField showAll="0">
      <items count="6">
        <item x="1"/>
        <item h="1" x="0"/>
        <item h="1" x="2"/>
        <item h="1" x="4"/>
        <item h="1" x="3"/>
        <item t="default"/>
      </items>
    </pivotField>
    <pivotField showAll="0"/>
    <pivotField showAll="0"/>
    <pivotField numFmtId="3" showAll="0"/>
    <pivotField numFmtId="22" showAll="0">
      <items count="9">
        <item x="1"/>
        <item x="5"/>
        <item x="2"/>
        <item x="0"/>
        <item x="7"/>
        <item x="4"/>
        <item x="3"/>
        <item x="6"/>
        <item t="default"/>
      </items>
    </pivotField>
    <pivotField showAll="0"/>
    <pivotField showAll="0"/>
    <pivotField numFmtId="2" showAll="0"/>
    <pivotField numFmtId="43"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Count of Order ID" fld="0" subtotal="count" baseField="0" baseItem="0" numFmtId="1"/>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2FEF4D-7F9E-4A89-8CCC-087FBA4B2E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4">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pivotField showAll="0"/>
    <pivotField showAll="0"/>
    <pivotField dataField="1" showAll="0"/>
    <pivotField showAll="0"/>
    <pivotField showAll="0"/>
    <pivotField showAll="0"/>
    <pivotField showAll="0"/>
    <pivotField showAll="0"/>
    <pivotField numFmtId="3" showAll="0"/>
    <pivotField numFmtId="22" showAll="0">
      <items count="9">
        <item x="1"/>
        <item x="5"/>
        <item x="2"/>
        <item x="0"/>
        <item x="7"/>
        <item x="4"/>
        <item x="3"/>
        <item x="6"/>
        <item t="default"/>
      </items>
    </pivotField>
    <pivotField showAll="0"/>
    <pivotField showAll="0"/>
    <pivotField numFmtId="2" showAll="0"/>
    <pivotField numFmtId="43"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Average of Delivery Time (min)" fld="7" subtotal="average" baseField="0" baseItem="0" numFmtId="164"/>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2F2844-BE0F-46A3-A001-0BE1E4A4AAD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M4" firstHeaderRow="1" firstDataRow="1" firstDataCol="1"/>
  <pivotFields count="24">
    <pivotField dataField="1"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pivotField showAll="0"/>
    <pivotField showAll="0"/>
    <pivotField showAll="0"/>
    <pivotField showAll="0"/>
    <pivotField showAll="0"/>
    <pivotField showAll="0"/>
    <pivotField showAll="0"/>
    <pivotField showAll="0"/>
    <pivotField numFmtId="3" showAll="0"/>
    <pivotField numFmtId="22" showAll="0">
      <items count="9">
        <item x="1"/>
        <item x="5"/>
        <item x="2"/>
        <item x="0"/>
        <item x="7"/>
        <item x="4"/>
        <item x="3"/>
        <item x="6"/>
        <item t="default"/>
      </items>
    </pivotField>
    <pivotField showAll="0"/>
    <pivotField showAll="0"/>
    <pivotField numFmtId="2" showAll="0"/>
    <pivotField numFmtId="43" showAll="0"/>
    <pivotField axis="axisRow" showAll="0">
      <items count="3">
        <item x="0"/>
        <item x="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9"/>
  </rowFields>
  <rowItems count="3">
    <i>
      <x/>
    </i>
    <i>
      <x v="1"/>
    </i>
    <i t="grand">
      <x/>
    </i>
  </rowItems>
  <colItems count="1">
    <i/>
  </colItems>
  <dataFields count="1">
    <dataField name="On-Time %" fld="0" showDataAs="percentOfTotal" baseField="0" baseItem="0" numFmtId="10"/>
  </dataFields>
  <formats count="3">
    <format dxfId="28">
      <pivotArea outline="0" collapsedLevelsAreSubtotals="1" fieldPosition="0"/>
    </format>
    <format dxfId="27">
      <pivotArea outline="0" fieldPosition="0">
        <references count="1">
          <reference field="4294967294" count="1">
            <x v="0"/>
          </reference>
        </references>
      </pivotArea>
    </format>
    <format dxfId="26">
      <pivotArea collapsedLevelsAreSubtotals="1"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79F9F0-3C76-4FC2-BD9F-177FB484E34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V1:X5" firstHeaderRow="0" firstDataRow="1" firstDataCol="1"/>
  <pivotFields count="24">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items count="3">
        <item x="0"/>
        <item x="1"/>
        <item t="default"/>
      </items>
    </pivotField>
    <pivotField showAll="0">
      <items count="101">
        <item x="6"/>
        <item x="66"/>
        <item x="51"/>
        <item x="71"/>
        <item x="94"/>
        <item x="83"/>
        <item x="77"/>
        <item x="87"/>
        <item x="19"/>
        <item x="25"/>
        <item x="18"/>
        <item x="60"/>
        <item x="20"/>
        <item x="47"/>
        <item x="38"/>
        <item x="61"/>
        <item x="7"/>
        <item x="73"/>
        <item x="28"/>
        <item x="63"/>
        <item x="24"/>
        <item x="92"/>
        <item x="68"/>
        <item x="62"/>
        <item x="4"/>
        <item x="54"/>
        <item x="52"/>
        <item x="57"/>
        <item x="64"/>
        <item x="39"/>
        <item x="74"/>
        <item x="3"/>
        <item x="96"/>
        <item x="31"/>
        <item x="50"/>
        <item x="15"/>
        <item x="46"/>
        <item x="65"/>
        <item x="58"/>
        <item x="41"/>
        <item x="93"/>
        <item x="79"/>
        <item x="26"/>
        <item x="34"/>
        <item x="0"/>
        <item x="85"/>
        <item x="80"/>
        <item x="97"/>
        <item x="45"/>
        <item x="5"/>
        <item x="9"/>
        <item x="59"/>
        <item x="90"/>
        <item x="75"/>
        <item x="22"/>
        <item x="8"/>
        <item x="35"/>
        <item x="98"/>
        <item x="81"/>
        <item x="69"/>
        <item x="11"/>
        <item x="30"/>
        <item x="27"/>
        <item x="55"/>
        <item x="78"/>
        <item x="1"/>
        <item x="32"/>
        <item x="13"/>
        <item x="84"/>
        <item x="67"/>
        <item x="48"/>
        <item x="33"/>
        <item x="17"/>
        <item x="12"/>
        <item x="70"/>
        <item x="53"/>
        <item x="56"/>
        <item x="82"/>
        <item x="42"/>
        <item x="29"/>
        <item x="72"/>
        <item x="37"/>
        <item x="88"/>
        <item x="14"/>
        <item x="91"/>
        <item x="2"/>
        <item x="95"/>
        <item x="43"/>
        <item x="44"/>
        <item x="40"/>
        <item x="89"/>
        <item x="36"/>
        <item x="49"/>
        <item x="23"/>
        <item x="86"/>
        <item x="99"/>
        <item x="16"/>
        <item x="76"/>
        <item x="21"/>
        <item x="10"/>
        <item t="default"/>
      </items>
    </pivotField>
    <pivotField axis="axisRow" showAll="0">
      <items count="4">
        <item x="2"/>
        <item x="1"/>
        <item x="0"/>
        <item t="default"/>
      </items>
    </pivotField>
    <pivotField showAll="0"/>
    <pivotField dataField="1" showAll="0"/>
    <pivotField dataField="1" showAll="0"/>
    <pivotField showAll="0">
      <items count="4">
        <item x="2"/>
        <item x="0"/>
        <item x="1"/>
        <item t="default"/>
      </items>
    </pivotField>
    <pivotField showAll="0">
      <items count="6">
        <item x="1"/>
        <item x="0"/>
        <item x="2"/>
        <item x="4"/>
        <item x="3"/>
        <item t="default"/>
      </items>
    </pivotField>
    <pivotField showAll="0"/>
    <pivotField showAll="0"/>
    <pivotField numFmtId="3" showAll="0">
      <items count="4">
        <item x="2"/>
        <item x="0"/>
        <item h="1" x="1"/>
        <item t="default"/>
      </items>
    </pivotField>
    <pivotField numFmtId="22" showAll="0">
      <items count="9">
        <item x="1"/>
        <item x="5"/>
        <item x="2"/>
        <item x="0"/>
        <item x="7"/>
        <item x="4"/>
        <item x="3"/>
        <item x="6"/>
        <item t="default"/>
      </items>
    </pivotField>
    <pivotField showAll="0"/>
    <pivotField showAll="0"/>
    <pivotField numFmtId="2" showAll="0"/>
    <pivotField numFmtId="43"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5"/>
  </rowFields>
  <rowItems count="4">
    <i>
      <x/>
    </i>
    <i>
      <x v="1"/>
    </i>
    <i>
      <x v="2"/>
    </i>
    <i t="grand">
      <x/>
    </i>
  </rowItems>
  <colFields count="1">
    <field x="-2"/>
  </colFields>
  <colItems count="2">
    <i>
      <x/>
    </i>
    <i i="1">
      <x v="1"/>
    </i>
  </colItems>
  <dataFields count="2">
    <dataField name="Average of Delays (min)" fld="8" subtotal="average" baseField="5" baseItem="0"/>
    <dataField name="Average of Delivery Time (min)" fld="7" subtotal="average" baseField="5" baseItem="0"/>
  </dataFields>
  <formats count="3">
    <format dxfId="2">
      <pivotArea field="5" grandRow="1" outline="0" collapsedLevelsAreSubtotals="1" axis="axisRow" fieldPosition="0">
        <references count="1">
          <reference field="4294967294" count="1" selected="0">
            <x v="0"/>
          </reference>
        </references>
      </pivotArea>
    </format>
    <format dxfId="1">
      <pivotArea collapsedLevelsAreSubtotals="1" fieldPosition="0">
        <references count="1">
          <reference field="5" count="0"/>
        </references>
      </pivotArea>
    </format>
    <format dxfId="0">
      <pivotArea outline="0" collapsedLevelsAreSubtotals="1" fieldPosition="0"/>
    </format>
  </formats>
  <chartFormats count="2">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6AA359-01DB-4DA2-B372-7EF45F7B82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R3:T12" firstHeaderRow="0" firstDataRow="1" firstDataCol="1" rowPageCount="1" colPageCount="1"/>
  <pivotFields count="24">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measureFilter="1" sortType="descending">
      <items count="101">
        <item x="6"/>
        <item x="66"/>
        <item x="51"/>
        <item x="71"/>
        <item x="94"/>
        <item x="83"/>
        <item x="77"/>
        <item x="87"/>
        <item x="19"/>
        <item x="25"/>
        <item x="18"/>
        <item x="60"/>
        <item x="20"/>
        <item x="47"/>
        <item x="38"/>
        <item x="61"/>
        <item x="7"/>
        <item x="73"/>
        <item x="28"/>
        <item x="63"/>
        <item x="24"/>
        <item x="92"/>
        <item x="68"/>
        <item x="62"/>
        <item x="4"/>
        <item x="54"/>
        <item x="52"/>
        <item x="57"/>
        <item x="64"/>
        <item x="39"/>
        <item x="74"/>
        <item x="3"/>
        <item x="96"/>
        <item x="31"/>
        <item x="50"/>
        <item x="15"/>
        <item x="46"/>
        <item x="65"/>
        <item x="58"/>
        <item x="41"/>
        <item x="93"/>
        <item x="79"/>
        <item x="26"/>
        <item x="34"/>
        <item x="0"/>
        <item x="85"/>
        <item x="80"/>
        <item x="97"/>
        <item x="45"/>
        <item x="5"/>
        <item x="9"/>
        <item x="59"/>
        <item x="90"/>
        <item x="75"/>
        <item x="22"/>
        <item x="8"/>
        <item x="35"/>
        <item x="98"/>
        <item x="81"/>
        <item x="69"/>
        <item x="11"/>
        <item x="30"/>
        <item x="27"/>
        <item x="55"/>
        <item x="78"/>
        <item x="1"/>
        <item x="32"/>
        <item x="13"/>
        <item x="84"/>
        <item x="67"/>
        <item x="48"/>
        <item x="33"/>
        <item x="17"/>
        <item x="12"/>
        <item x="70"/>
        <item x="53"/>
        <item x="56"/>
        <item x="82"/>
        <item x="42"/>
        <item x="29"/>
        <item x="72"/>
        <item x="37"/>
        <item x="88"/>
        <item x="14"/>
        <item x="91"/>
        <item x="2"/>
        <item x="95"/>
        <item x="43"/>
        <item x="44"/>
        <item x="40"/>
        <item x="89"/>
        <item x="36"/>
        <item x="49"/>
        <item x="23"/>
        <item x="86"/>
        <item x="99"/>
        <item x="16"/>
        <item x="76"/>
        <item x="2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axis="axisPage" dataField="1" multipleItemSelectionAllowed="1" showAll="0">
      <items count="4">
        <item x="2"/>
        <item h="1" x="0"/>
        <item h="1" x="1"/>
        <item t="default"/>
      </items>
    </pivotField>
    <pivotField showAll="0"/>
    <pivotField showAll="0"/>
    <pivotField showAll="0"/>
    <pivotField numFmtId="3" showAll="0"/>
    <pivotField axis="axisRow" numFmtId="22" showAll="0">
      <items count="9">
        <item x="1"/>
        <item x="5"/>
        <item x="2"/>
        <item x="0"/>
        <item x="7"/>
        <item x="4"/>
        <item x="3"/>
        <item x="6"/>
        <item t="default"/>
      </items>
    </pivotField>
    <pivotField showAll="0"/>
    <pivotField showAll="0"/>
    <pivotField numFmtId="2" showAll="0"/>
    <pivotField numFmtId="43"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4"/>
  </rowFields>
  <rowItems count="9">
    <i>
      <x/>
    </i>
    <i>
      <x v="1"/>
    </i>
    <i>
      <x v="2"/>
    </i>
    <i>
      <x v="3"/>
    </i>
    <i>
      <x v="4"/>
    </i>
    <i>
      <x v="5"/>
    </i>
    <i>
      <x v="6"/>
    </i>
    <i>
      <x v="7"/>
    </i>
    <i t="grand">
      <x/>
    </i>
  </rowItems>
  <colFields count="1">
    <field x="-2"/>
  </colFields>
  <colItems count="2">
    <i>
      <x/>
    </i>
    <i i="1">
      <x v="1"/>
    </i>
  </colItems>
  <pageFields count="1">
    <pageField fld="9" hier="-1"/>
  </pageFields>
  <dataFields count="2">
    <dataField name="Average of Delays (min)" fld="8" subtotal="average" baseField="14" baseItem="0" numFmtId="1"/>
    <dataField name="Customer Sentiment (Negavitive)" fld="9" subtotal="count" baseField="0" baseItem="0" numFmtId="1"/>
  </dataFields>
  <formats count="3">
    <format dxfId="5">
      <pivotArea outline="0" collapsedLevelsAreSubtotals="1" fieldPosition="0"/>
    </format>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0"/>
          </reference>
        </references>
      </pivotArea>
    </format>
  </formats>
  <chartFormats count="4">
    <chartFormat chart="19" format="6"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34874F-2A7E-44D6-8D09-81212C4485A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2" firstHeaderRow="1" firstDataRow="1" firstDataCol="1" rowPageCount="1" colPageCount="1"/>
  <pivotFields count="24">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axis="axisPage" dataField="1" showAll="0">
      <items count="3">
        <item x="0"/>
        <item x="1"/>
        <item t="default"/>
      </items>
    </pivotField>
    <pivotField showAll="0"/>
    <pivotField showAll="0"/>
    <pivotField showAll="0">
      <items count="6">
        <item x="1"/>
        <item x="4"/>
        <item x="3"/>
        <item x="2"/>
        <item x="0"/>
        <item t="default"/>
      </items>
    </pivotField>
    <pivotField showAll="0"/>
    <pivotField showAll="0"/>
    <pivotField showAll="0">
      <items count="4">
        <item x="2"/>
        <item x="0"/>
        <item x="1"/>
        <item t="default"/>
      </items>
    </pivotField>
    <pivotField showAll="0"/>
    <pivotField showAll="0"/>
    <pivotField showAll="0"/>
    <pivotField numFmtId="3" showAll="0"/>
    <pivotField axis="axisRow" numFmtId="22" showAll="0">
      <items count="9">
        <item x="1"/>
        <item x="5"/>
        <item x="2"/>
        <item x="0"/>
        <item x="7"/>
        <item x="4"/>
        <item x="3"/>
        <item x="6"/>
        <item t="default"/>
      </items>
    </pivotField>
    <pivotField showAll="0"/>
    <pivotField showAll="0"/>
    <pivotField numFmtId="2" showAll="0"/>
    <pivotField numFmtId="43" showAll="0"/>
    <pivotField showAll="0"/>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4">
    <field x="22"/>
    <field x="14"/>
    <field x="21"/>
    <field x="20"/>
  </rowFields>
  <rowItems count="9">
    <i>
      <x v="245"/>
    </i>
    <i>
      <x v="246"/>
    </i>
    <i>
      <x v="247"/>
    </i>
    <i>
      <x v="248"/>
    </i>
    <i>
      <x v="249"/>
    </i>
    <i>
      <x v="250"/>
    </i>
    <i>
      <x v="251"/>
    </i>
    <i>
      <x v="252"/>
    </i>
    <i t="grand">
      <x/>
    </i>
  </rowItems>
  <colItems count="1">
    <i/>
  </colItems>
  <pageFields count="1">
    <pageField fld="3" item="1" hier="-1"/>
  </pageFields>
  <dataFields count="1">
    <dataField name="Count of Order Status" fld="3" subtotal="count" baseField="0" baseItem="0"/>
  </dataFields>
  <formats count="10">
    <format dxfId="15">
      <pivotArea collapsedLevelsAreSubtotals="1" fieldPosition="0">
        <references count="1">
          <reference field="22" count="1">
            <x v="245"/>
          </reference>
        </references>
      </pivotArea>
    </format>
    <format dxfId="14">
      <pivotArea collapsedLevelsAreSubtotals="1" fieldPosition="0">
        <references count="1">
          <reference field="22" count="1">
            <x v="246"/>
          </reference>
        </references>
      </pivotArea>
    </format>
    <format dxfId="13">
      <pivotArea collapsedLevelsAreSubtotals="1" fieldPosition="0">
        <references count="1">
          <reference field="22" count="1">
            <x v="247"/>
          </reference>
        </references>
      </pivotArea>
    </format>
    <format dxfId="12">
      <pivotArea collapsedLevelsAreSubtotals="1" fieldPosition="0">
        <references count="1">
          <reference field="22" count="1">
            <x v="248"/>
          </reference>
        </references>
      </pivotArea>
    </format>
    <format dxfId="11">
      <pivotArea collapsedLevelsAreSubtotals="1" fieldPosition="0">
        <references count="1">
          <reference field="22" count="1">
            <x v="249"/>
          </reference>
        </references>
      </pivotArea>
    </format>
    <format dxfId="10">
      <pivotArea collapsedLevelsAreSubtotals="1" fieldPosition="0">
        <references count="1">
          <reference field="22" count="1">
            <x v="250"/>
          </reference>
        </references>
      </pivotArea>
    </format>
    <format dxfId="9">
      <pivotArea collapsedLevelsAreSubtotals="1" fieldPosition="0">
        <references count="1">
          <reference field="22" count="1">
            <x v="251"/>
          </reference>
        </references>
      </pivotArea>
    </format>
    <format dxfId="8">
      <pivotArea collapsedLevelsAreSubtotals="1" fieldPosition="0">
        <references count="1">
          <reference field="22" count="1">
            <x v="252"/>
          </reference>
        </references>
      </pivotArea>
    </format>
    <format dxfId="7">
      <pivotArea grandRow="1" outline="0" collapsedLevelsAreSubtotals="1" fieldPosition="0"/>
    </format>
    <format dxfId="6">
      <pivotArea outline="0" collapsedLevelsAreSubtotals="1" fieldPosition="0"/>
    </format>
  </formats>
  <chartFormats count="1">
    <chartFormat chart="2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DCE3E36-98EB-4BC9-BBBF-A500B91646F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H1:I4" firstHeaderRow="1" firstDataRow="1" firstDataCol="1"/>
  <pivotFields count="24">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numFmtId="3" showAll="0"/>
    <pivotField numFmtId="22" showAll="0">
      <items count="9">
        <item x="1"/>
        <item x="5"/>
        <item x="2"/>
        <item x="0"/>
        <item x="7"/>
        <item x="4"/>
        <item x="3"/>
        <item x="6"/>
        <item t="default"/>
      </items>
    </pivotField>
    <pivotField showAll="0"/>
    <pivotField showAll="0"/>
    <pivotField numFmtId="2" showAll="0"/>
    <pivotField numFmtId="43"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3"/>
  </rowFields>
  <rowItems count="3">
    <i>
      <x/>
    </i>
    <i>
      <x v="1"/>
    </i>
    <i t="grand">
      <x/>
    </i>
  </rowItems>
  <colItems count="1">
    <i/>
  </colItems>
  <dataFields count="1">
    <dataField name="Count of Route" fld="10" subtotal="count" baseField="0" baseItem="0"/>
  </dataFields>
  <chartFormats count="1">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E981312-B4A8-486A-9D43-5B76ACE875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0:O37" firstHeaderRow="1" firstDataRow="1" firstDataCol="0"/>
  <pivotFields count="24">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pivotField showAll="0"/>
    <pivotField showAll="0"/>
    <pivotField showAll="0"/>
    <pivotField showAll="0"/>
    <pivotField showAll="0"/>
    <pivotField showAll="0"/>
    <pivotField showAll="0"/>
    <pivotField showAll="0"/>
    <pivotField numFmtId="3" showAll="0"/>
    <pivotField numFmtId="165" showAll="0">
      <items count="9">
        <item x="1"/>
        <item x="5"/>
        <item x="2"/>
        <item x="0"/>
        <item x="7"/>
        <item x="4"/>
        <item x="3"/>
        <item x="6"/>
        <item t="default"/>
      </items>
    </pivotField>
    <pivotField showAll="0"/>
    <pivotField showAll="0"/>
    <pivotField numFmtId="2" showAll="0"/>
    <pivotField numFmtId="43" showAll="0"/>
    <pivotField showAll="0"/>
    <pivotField showAll="0" defaultSubtotal="0"/>
    <pivotField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53CA1FB-0AB8-4D85-9114-04F815A5976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1:M5" firstHeaderRow="1" firstDataRow="1" firstDataCol="1"/>
  <pivotFields count="24">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pivotField axis="axisRow" showAll="0">
      <items count="4">
        <item x="2"/>
        <item x="1"/>
        <item x="0"/>
        <item t="default"/>
      </items>
    </pivotField>
    <pivotField showAll="0"/>
    <pivotField showAll="0"/>
    <pivotField dataField="1" showAll="0"/>
    <pivotField showAll="0"/>
    <pivotField showAll="0"/>
    <pivotField showAll="0"/>
    <pivotField showAll="0"/>
    <pivotField numFmtId="3" showAll="0"/>
    <pivotField numFmtId="22" showAll="0">
      <items count="9">
        <item x="1"/>
        <item x="5"/>
        <item x="2"/>
        <item x="0"/>
        <item x="7"/>
        <item x="4"/>
        <item x="3"/>
        <item x="6"/>
        <item t="default"/>
      </items>
    </pivotField>
    <pivotField showAll="0"/>
    <pivotField showAll="0"/>
    <pivotField numFmtId="2" showAll="0"/>
    <pivotField numFmtId="43"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5"/>
  </rowFields>
  <rowItems count="4">
    <i>
      <x/>
    </i>
    <i>
      <x v="1"/>
    </i>
    <i>
      <x v="2"/>
    </i>
    <i t="grand">
      <x/>
    </i>
  </rowItems>
  <colItems count="1">
    <i/>
  </colItems>
  <dataFields count="1">
    <dataField name="Average of Delays (min)" fld="8"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5792D78-9ED5-4AB9-A0EA-213C0FC5BAC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1:E4" firstHeaderRow="1" firstDataRow="1" firstDataCol="1"/>
  <pivotFields count="24">
    <pivotField dataField="1"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pivotField showAll="0"/>
    <pivotField showAll="0"/>
    <pivotField showAll="0"/>
    <pivotField showAll="0"/>
    <pivotField showAll="0"/>
    <pivotField showAll="0"/>
    <pivotField showAll="0"/>
    <pivotField showAll="0"/>
    <pivotField numFmtId="3" showAll="0"/>
    <pivotField numFmtId="22" showAll="0">
      <items count="9">
        <item x="1"/>
        <item x="5"/>
        <item x="2"/>
        <item x="0"/>
        <item x="7"/>
        <item x="4"/>
        <item x="3"/>
        <item x="6"/>
        <item t="default"/>
      </items>
    </pivotField>
    <pivotField showAll="0"/>
    <pivotField showAll="0"/>
    <pivotField numFmtId="2" showAll="0"/>
    <pivotField numFmtId="43" showAll="0"/>
    <pivotField axis="axisRow" showAll="0">
      <items count="3">
        <item x="0"/>
        <item x="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9"/>
  </rowFields>
  <rowItems count="3">
    <i>
      <x/>
    </i>
    <i>
      <x v="1"/>
    </i>
    <i t="grand">
      <x/>
    </i>
  </rowItems>
  <colItems count="1">
    <i/>
  </colItems>
  <dataFields count="1">
    <dataField name="Count of Order ID" fld="0"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2BD75A9-FF4B-4B32-B1B6-DC71D033A5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O1:P5" firstHeaderRow="1" firstDataRow="1" firstDataCol="1"/>
  <pivotFields count="24">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showAll="0"/>
    <pivotField showAll="0">
      <items count="101">
        <item x="6"/>
        <item x="66"/>
        <item x="51"/>
        <item x="71"/>
        <item x="94"/>
        <item x="83"/>
        <item x="77"/>
        <item x="87"/>
        <item x="19"/>
        <item x="25"/>
        <item x="18"/>
        <item x="60"/>
        <item x="20"/>
        <item x="47"/>
        <item x="38"/>
        <item x="61"/>
        <item x="7"/>
        <item x="73"/>
        <item x="28"/>
        <item x="63"/>
        <item x="24"/>
        <item x="92"/>
        <item x="68"/>
        <item x="62"/>
        <item x="4"/>
        <item x="54"/>
        <item x="52"/>
        <item x="57"/>
        <item x="64"/>
        <item x="39"/>
        <item x="74"/>
        <item x="3"/>
        <item x="96"/>
        <item x="31"/>
        <item x="50"/>
        <item x="15"/>
        <item x="46"/>
        <item x="65"/>
        <item x="58"/>
        <item x="41"/>
        <item x="93"/>
        <item x="79"/>
        <item x="26"/>
        <item x="34"/>
        <item x="0"/>
        <item x="85"/>
        <item x="80"/>
        <item x="97"/>
        <item x="45"/>
        <item x="5"/>
        <item x="9"/>
        <item x="59"/>
        <item x="90"/>
        <item x="75"/>
        <item x="22"/>
        <item x="8"/>
        <item x="35"/>
        <item x="98"/>
        <item x="81"/>
        <item x="69"/>
        <item x="11"/>
        <item x="30"/>
        <item x="27"/>
        <item x="55"/>
        <item x="78"/>
        <item x="1"/>
        <item x="32"/>
        <item x="13"/>
        <item x="84"/>
        <item x="67"/>
        <item x="48"/>
        <item x="33"/>
        <item x="17"/>
        <item x="12"/>
        <item x="70"/>
        <item x="53"/>
        <item x="56"/>
        <item x="82"/>
        <item x="42"/>
        <item x="29"/>
        <item x="72"/>
        <item x="37"/>
        <item x="88"/>
        <item x="14"/>
        <item x="91"/>
        <item x="2"/>
        <item x="95"/>
        <item x="43"/>
        <item x="44"/>
        <item x="40"/>
        <item x="89"/>
        <item x="36"/>
        <item x="49"/>
        <item x="23"/>
        <item x="86"/>
        <item x="99"/>
        <item x="16"/>
        <item x="76"/>
        <item x="21"/>
        <item x="10"/>
        <item t="default"/>
      </items>
    </pivotField>
    <pivotField showAll="0"/>
    <pivotField showAll="0"/>
    <pivotField showAll="0"/>
    <pivotField showAll="0"/>
    <pivotField axis="axisRow" showAll="0">
      <items count="4">
        <item x="2"/>
        <item x="0"/>
        <item x="1"/>
        <item t="default"/>
      </items>
    </pivotField>
    <pivotField showAll="0"/>
    <pivotField dataField="1" showAll="0">
      <items count="4">
        <item x="2"/>
        <item x="0"/>
        <item x="1"/>
        <item t="default"/>
      </items>
    </pivotField>
    <pivotField showAll="0"/>
    <pivotField numFmtId="3" showAll="0"/>
    <pivotField numFmtId="22" showAll="0">
      <items count="9">
        <item x="1"/>
        <item x="5"/>
        <item x="2"/>
        <item x="0"/>
        <item x="7"/>
        <item x="4"/>
        <item x="3"/>
        <item x="6"/>
        <item t="default"/>
      </items>
    </pivotField>
    <pivotField showAll="0"/>
    <pivotField showAll="0"/>
    <pivotField numFmtId="2" showAll="0"/>
    <pivotField numFmtId="43"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9"/>
  </rowFields>
  <rowItems count="4">
    <i>
      <x/>
    </i>
    <i>
      <x v="1"/>
    </i>
    <i>
      <x v="2"/>
    </i>
    <i t="grand">
      <x/>
    </i>
  </rowItems>
  <colItems count="1">
    <i/>
  </colItems>
  <dataFields count="1">
    <dataField name="Count of Delivery Zone" fld="11" subtotal="count" baseField="0" baseItem="0"/>
  </dataFields>
  <chartFormats count="12">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9" count="1" selected="0">
            <x v="0"/>
          </reference>
        </references>
      </pivotArea>
    </chartFormat>
    <chartFormat chart="25" format="6">
      <pivotArea type="data" outline="0" fieldPosition="0">
        <references count="2">
          <reference field="4294967294" count="1" selected="0">
            <x v="0"/>
          </reference>
          <reference field="9" count="1" selected="0">
            <x v="1"/>
          </reference>
        </references>
      </pivotArea>
    </chartFormat>
    <chartFormat chart="25" format="7">
      <pivotArea type="data" outline="0" fieldPosition="0">
        <references count="2">
          <reference field="4294967294" count="1" selected="0">
            <x v="0"/>
          </reference>
          <reference field="9" count="1" selected="0">
            <x v="2"/>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9" count="1" selected="0">
            <x v="0"/>
          </reference>
        </references>
      </pivotArea>
    </chartFormat>
    <chartFormat chart="26" format="10">
      <pivotArea type="data" outline="0" fieldPosition="0">
        <references count="2">
          <reference field="4294967294" count="1" selected="0">
            <x v="0"/>
          </reference>
          <reference field="9" count="1" selected="0">
            <x v="1"/>
          </reference>
        </references>
      </pivotArea>
    </chartFormat>
    <chartFormat chart="26" format="11">
      <pivotArea type="data" outline="0" fieldPosition="0">
        <references count="2">
          <reference field="4294967294" count="1" selected="0">
            <x v="0"/>
          </reference>
          <reference field="9" count="1" selected="0">
            <x v="2"/>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9" count="1" selected="0">
            <x v="0"/>
          </reference>
        </references>
      </pivotArea>
    </chartFormat>
    <chartFormat chart="27" format="10">
      <pivotArea type="data" outline="0" fieldPosition="0">
        <references count="2">
          <reference field="4294967294" count="1" selected="0">
            <x v="0"/>
          </reference>
          <reference field="9" count="1" selected="0">
            <x v="1"/>
          </reference>
        </references>
      </pivotArea>
    </chartFormat>
    <chartFormat chart="27"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FBB3670F-F1F7-4181-94A2-962C65458CC6}" sourceName="Order Status">
  <data>
    <tabular pivotCacheId="335748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date" xr10:uid="{D37A3DD0-7CD1-4462-ACFE-B789CFD19BFA}" sourceName="Delivery date">
  <data>
    <tabular pivotCacheId="3357480">
      <items count="8">
        <i x="1" s="1"/>
        <i x="5"/>
        <i x="2"/>
        <i x="0"/>
        <i x="7"/>
        <i x="4"/>
        <i x="3"/>
        <i x="6"/>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Info" xr10:uid="{AFB9DDD4-DEBE-4ECD-B67B-CEC7E4D5E834}" sourceName="Vehicle Info">
  <pivotTables>
    <pivotTable tabId="3" name="PivotTable6"/>
  </pivotTables>
  <data>
    <tabular pivotCacheId="335748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Feedback" xr10:uid="{C45556A5-7283-48A8-AA75-D949D4A2F0D9}" sourceName="Customer Feedback">
  <pivotTables>
    <pivotTable tabId="3" name="PivotTable6"/>
  </pivotTables>
  <data>
    <tabular pivotCacheId="335748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1" xr10:uid="{7E873F11-7C40-4D29-9F60-82594F2D0A52}" cache="Slicer_Order_Status" caption="Order Status" style="Slicer Style 1" rowHeight="182880"/>
  <slicer name="Delivery date 1" xr10:uid="{6DC4B6DA-474E-4E0D-81CF-EC864EF1FCA9}" cache="Slicer_Delivery_date" caption="Delivery date" columnCount="4" style="Slicer Style 1" rowHeight="241300"/>
  <slicer name="Vehicle Info" xr10:uid="{E6B28DB4-AA62-47C2-9894-243040AB4C42}" cache="Slicer_Vehicle_Info" caption="Vehicle Info" columnCount="2" rowHeight="241300"/>
  <slicer name="Customer Feedback" xr10:uid="{3A7C9192-EA78-4FBE-BFA5-073833B5B878}" cache="Slicer_Customer_Feedback" caption="Customer Feedback"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815168-94E7-4A18-B0A1-24960B7C77FB}" name="Delivery_Data" displayName="Delivery_Data" ref="A1:T1501" totalsRowShown="0" headerRowDxfId="81" dataDxfId="79" headerRowBorderDxfId="80" tableBorderDxfId="78" totalsRowBorderDxfId="77">
  <autoFilter ref="A1:T1501" xr:uid="{C2815168-94E7-4A18-B0A1-24960B7C77FB}"/>
  <tableColumns count="20">
    <tableColumn id="1" xr3:uid="{444501DD-7736-4825-B453-A39F021F39BE}" name="Order ID" dataDxfId="76"/>
    <tableColumn id="2" xr3:uid="{BB878693-327A-44CB-8416-B958147DF80D}" name="Delivery Address" dataDxfId="75"/>
    <tableColumn id="3" xr3:uid="{6E5707F4-1DA0-41F8-BF23-188571BBE3D0}" name="Order Timestamp" dataDxfId="74"/>
    <tableColumn id="4" xr3:uid="{0B7BC98F-E13C-480F-8CCF-E636706A61CD}" name="Order Status" dataDxfId="73"/>
    <tableColumn id="5" xr3:uid="{70293C9D-4D26-4645-BA10-6E0CA9AE344C}" name="Driver ID" dataDxfId="72"/>
    <tableColumn id="6" xr3:uid="{EF51FBEC-C6A8-4FDD-8095-057EC23B6CE9}" name="Vehicle Info" dataDxfId="71"/>
    <tableColumn id="7" xr3:uid="{1888A3B1-15E8-4DD6-B583-989C6CE5664A}" name="Current Location" dataDxfId="70"/>
    <tableColumn id="8" xr3:uid="{91EB2768-134F-426A-8880-3FA50D38B6D0}" name="Delivery Time (min)" dataDxfId="69"/>
    <tableColumn id="9" xr3:uid="{49EB111A-EFE2-45E3-BFCA-9BFA9F8A1766}" name="Delays (min)" dataDxfId="68"/>
    <tableColumn id="10" xr3:uid="{FC198693-215A-4DD4-9BC3-CA21F2AC9DE7}" name="Customer Feedback" dataDxfId="67"/>
    <tableColumn id="11" xr3:uid="{ED239825-442E-435B-8E57-218298BA3ECF}" name="Route" dataDxfId="66"/>
    <tableColumn id="12" xr3:uid="{C5F95D56-896E-47A1-9A42-725D932074DC}" name="Delivery Zone" dataDxfId="65"/>
    <tableColumn id="13" xr3:uid="{9E468D8D-0EFC-4AEE-B322-FDDB8FD8518B}" name="Allocation Rules" dataDxfId="64"/>
    <tableColumn id="14" xr3:uid="{24F31C37-8933-4623-AE7A-099B940B63CD}" name="Sentiment Scores" dataDxfId="63">
      <calculatedColumnFormula>IF(J2="Positive",1,IF(J2="Neutral",0,IF(J2="Negative",-1,"")))</calculatedColumnFormula>
    </tableColumn>
    <tableColumn id="15" xr3:uid="{43CFDD25-E7CC-464A-B0A7-52D1EA8ABC6B}" name="Delivery date" dataDxfId="62">
      <calculatedColumnFormula>INT(C2)</calculatedColumnFormula>
    </tableColumn>
    <tableColumn id="16" xr3:uid="{D2C210AF-89E0-431A-9540-6DF57F2E9620}" name="Day of Week" dataDxfId="61">
      <calculatedColumnFormula>TEXT(C2,"dddd")</calculatedColumnFormula>
    </tableColumn>
    <tableColumn id="17" xr3:uid="{64235830-5433-4B80-A1EF-2C1ED290CFD5}" name="Hour od Day" dataDxfId="60">
      <calculatedColumnFormula>HOUR(C2)</calculatedColumnFormula>
    </tableColumn>
    <tableColumn id="18" xr3:uid="{FDF4C3BE-A534-45BA-901F-3D1547B98834}" name="Delivery Efficiency (%)" dataDxfId="59">
      <calculatedColumnFormula>H2/(H2+I2)</calculatedColumnFormula>
    </tableColumn>
    <tableColumn id="19" xr3:uid="{1BF46C04-32C5-426F-859B-CA81DF375912}" name="Driver Performance Score " dataDxfId="58">
      <calculatedColumnFormula>IF(H2+I2=0,0,(H2/(H2+I2))*100) + (IFERROR(--J2,0)*10)</calculatedColumnFormula>
    </tableColumn>
    <tableColumn id="20" xr3:uid="{1A2DE6D2-4E4C-44D6-BA9F-53C01F3D9AEF}" name="On Time %" dataDxfId="57">
      <calculatedColumnFormula>IF(Delivery_Data[[#This Row],[Delays (min)]]&gt;0,"No","Yes")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6389E6-EDF7-4F1B-B39B-C8BD981FF305}" name="Table3" displayName="Table3" ref="A1:E13" totalsRowShown="0">
  <autoFilter ref="A1:E13" xr:uid="{E66389E6-EDF7-4F1B-B39B-C8BD981FF305}"/>
  <tableColumns count="5">
    <tableColumn id="1" xr3:uid="{EEC0B3F2-959D-4D06-AF97-967388663FCE}" name="Timeline" dataDxfId="56"/>
    <tableColumn id="2" xr3:uid="{728755D1-6FC2-4D8B-ABD4-1E0ADA669057}" name="Values"/>
    <tableColumn id="3" xr3:uid="{45EBAB3B-FB0C-483E-B6E8-44F55538E67D}" name="Forecast">
      <calculatedColumnFormula>_xlfn.FORECAST.ETS(A2,$B$2:$B$9,$A$2:$A$9,1,1)</calculatedColumnFormula>
    </tableColumn>
    <tableColumn id="4" xr3:uid="{56367F34-2734-4622-A2B6-A209A8521ABC}" name="Lower Confidence Bound" dataDxfId="55">
      <calculatedColumnFormula>C2-_xlfn.FORECAST.ETS.CONFINT(A2,$B$2:$B$9,$A$2:$A$9,0.95,1,1)</calculatedColumnFormula>
    </tableColumn>
    <tableColumn id="5" xr3:uid="{9C76F939-72EF-4D63-A6BB-C3579BA81DA9}" name="Upper Confidence Bound" dataDxfId="54">
      <calculatedColumnFormula>C2+_xlfn.FORECAST.ETS.CONFINT(A2,$B$2:$B$9,$A$2:$A$9,0.95,1,1)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C9C6D0-084C-4845-BFA3-C2272AC89BD3}" name="Delivery_Data3" displayName="Delivery_Data3" ref="A1:T1501" totalsRowShown="0" headerRowDxfId="53" dataDxfId="51" headerRowBorderDxfId="52" tableBorderDxfId="50" totalsRowBorderDxfId="49">
  <autoFilter ref="A1:T1501" xr:uid="{76C9C6D0-084C-4845-BFA3-C2272AC89BD3}"/>
  <tableColumns count="20">
    <tableColumn id="1" xr3:uid="{F3126062-C437-4291-B842-A63E6E279009}" name="Order ID" dataDxfId="48"/>
    <tableColumn id="2" xr3:uid="{82363EDB-180F-440F-80E8-D4D819C64AA9}" name="Delivery Address" dataDxfId="47"/>
    <tableColumn id="3" xr3:uid="{113DD646-BE6A-4016-96E1-7E9356162F75}" name="Order Timestamp" dataDxfId="46"/>
    <tableColumn id="4" xr3:uid="{BE274645-481D-4E49-BEBC-276FDEBB2B5F}" name="Order Status" dataDxfId="45"/>
    <tableColumn id="5" xr3:uid="{B374D92A-8825-42AC-9BB1-3AE8741B41B2}" name="Driver ID" dataDxfId="44"/>
    <tableColumn id="6" xr3:uid="{87993A17-68BA-43FD-9603-A3452FD3731B}" name="Vehicle Info" dataDxfId="43"/>
    <tableColumn id="7" xr3:uid="{A89B7066-8067-44E4-AAA2-829FDEAB961B}" name="Current Location" dataDxfId="42"/>
    <tableColumn id="8" xr3:uid="{62D0A9E2-40DD-4FD7-B4B2-2124A5FA7B95}" name="Delivery Time (min)" dataDxfId="41"/>
    <tableColumn id="9" xr3:uid="{E77549B7-3A47-4CC8-A9D6-158239F3AC85}" name="Delays (min)" dataDxfId="40"/>
    <tableColumn id="10" xr3:uid="{64B61ACD-D45F-44F4-AC30-77F73AE05F53}" name="Customer Feedback" dataDxfId="39"/>
    <tableColumn id="11" xr3:uid="{FC6DF532-91A6-408C-BF82-FD72DD808FAA}" name="Route" dataDxfId="38"/>
    <tableColumn id="12" xr3:uid="{F4A743DE-E785-487C-9203-E8345C101522}" name="Delivery Zone" dataDxfId="37"/>
    <tableColumn id="13" xr3:uid="{216A8D3A-1CDE-4A90-A6BF-A3FF3BB643F4}" name="Allocation Rules" dataDxfId="36"/>
    <tableColumn id="14" xr3:uid="{4F837C24-BAE5-45B6-B3E4-A76032E5CFA2}" name="Sentiment Scores" dataDxfId="35">
      <calculatedColumnFormula>IF(J2="Positive",1,IF(J2="Neutral",0,IF(J2="Negative",-1,"")))</calculatedColumnFormula>
    </tableColumn>
    <tableColumn id="15" xr3:uid="{CF02DFE9-23CE-4121-8CC9-BF511FC180CD}" name="Delivery date" dataDxfId="34">
      <calculatedColumnFormula>INT(C2)</calculatedColumnFormula>
    </tableColumn>
    <tableColumn id="16" xr3:uid="{F6919837-8BC2-40D9-A6CB-621378DD8A1D}" name="Day of Week" dataDxfId="33">
      <calculatedColumnFormula>TEXT(C2,"dddd")</calculatedColumnFormula>
    </tableColumn>
    <tableColumn id="17" xr3:uid="{B5C8208E-64D2-4780-B02C-D377638264FD}" name="Hour od Day" dataDxfId="32">
      <calculatedColumnFormula>HOUR(C2)</calculatedColumnFormula>
    </tableColumn>
    <tableColumn id="18" xr3:uid="{66927DD1-9515-44F9-8DDC-C25DDB212738}" name="Delivery Efficiency (%)" dataDxfId="31">
      <calculatedColumnFormula>H2/(H2+I2)</calculatedColumnFormula>
    </tableColumn>
    <tableColumn id="19" xr3:uid="{438B66C2-2865-4F63-A711-1E977C7FC4EB}" name="Driver Performance Score " dataDxfId="30">
      <calculatedColumnFormula>IF(H2+I2=0,0,(H2/(H2+I2))*100) + (IFERROR(--J2,0)*10)</calculatedColumnFormula>
    </tableColumn>
    <tableColumn id="20" xr3:uid="{D36646D4-2559-47F6-B4F7-533D908887D5}" name="On Time %" dataDxfId="29">
      <calculatedColumnFormula>IF(Delivery_Data3[[#This Row],[Delays (min)]]&gt;0,"No","Yes")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01"/>
  <sheetViews>
    <sheetView workbookViewId="0">
      <selection sqref="A1:XFD1048576"/>
    </sheetView>
  </sheetViews>
  <sheetFormatPr defaultColWidth="14.44140625" defaultRowHeight="15" customHeight="1" x14ac:dyDescent="0.3"/>
  <cols>
    <col min="1" max="1" width="10.5546875" customWidth="1"/>
    <col min="2" max="2" width="18.109375" customWidth="1"/>
    <col min="3" max="3" width="18.5546875" customWidth="1"/>
    <col min="4" max="4" width="14.109375" customWidth="1"/>
    <col min="5" max="5" width="10.88671875" customWidth="1"/>
    <col min="6" max="6" width="13.88671875" customWidth="1"/>
    <col min="7" max="7" width="11.109375" customWidth="1"/>
    <col min="8" max="8" width="11" customWidth="1"/>
    <col min="9" max="9" width="10.109375" customWidth="1"/>
    <col min="10" max="10" width="13.33203125" customWidth="1"/>
    <col min="11" max="11" width="8.44140625" customWidth="1"/>
    <col min="12" max="12" width="10.44140625" customWidth="1"/>
    <col min="13" max="13" width="17.44140625" customWidth="1"/>
    <col min="14" max="14" width="12" customWidth="1"/>
    <col min="15" max="15" width="15.44140625" style="44" customWidth="1"/>
    <col min="16" max="16" width="15.44140625" customWidth="1"/>
    <col min="17" max="17" width="9.109375" customWidth="1"/>
    <col min="18" max="18" width="13.5546875" customWidth="1"/>
    <col min="19" max="19" width="13.6640625" customWidth="1"/>
    <col min="20" max="26" width="8.6640625" customWidth="1"/>
  </cols>
  <sheetData>
    <row r="1" spans="1:20" s="37" customFormat="1" ht="53.25" customHeight="1" x14ac:dyDescent="0.3">
      <c r="A1" s="34" t="s">
        <v>0</v>
      </c>
      <c r="B1" s="35" t="s">
        <v>1</v>
      </c>
      <c r="C1" s="35" t="s">
        <v>2</v>
      </c>
      <c r="D1" s="35" t="s">
        <v>3</v>
      </c>
      <c r="E1" s="35" t="s">
        <v>4</v>
      </c>
      <c r="F1" s="35" t="s">
        <v>5</v>
      </c>
      <c r="G1" s="35" t="s">
        <v>6</v>
      </c>
      <c r="H1" s="35" t="s">
        <v>7</v>
      </c>
      <c r="I1" s="35" t="s">
        <v>8</v>
      </c>
      <c r="J1" s="35" t="s">
        <v>9</v>
      </c>
      <c r="K1" s="35" t="s">
        <v>10</v>
      </c>
      <c r="L1" s="35" t="s">
        <v>11</v>
      </c>
      <c r="M1" s="36" t="s">
        <v>12</v>
      </c>
      <c r="N1" s="35" t="s">
        <v>1612</v>
      </c>
      <c r="O1" s="40" t="s">
        <v>1613</v>
      </c>
      <c r="P1" s="35" t="s">
        <v>1614</v>
      </c>
      <c r="Q1" s="35" t="s">
        <v>1615</v>
      </c>
      <c r="R1" s="35" t="s">
        <v>1616</v>
      </c>
      <c r="S1" s="35" t="s">
        <v>1617</v>
      </c>
      <c r="T1" s="35" t="s">
        <v>1618</v>
      </c>
    </row>
    <row r="2" spans="1:20" ht="14.4" x14ac:dyDescent="0.3">
      <c r="A2" s="4">
        <v>1001</v>
      </c>
      <c r="B2" s="5" t="s">
        <v>13</v>
      </c>
      <c r="C2" s="6">
        <v>45173.564583333333</v>
      </c>
      <c r="D2" s="5" t="s">
        <v>14</v>
      </c>
      <c r="E2" s="5" t="s">
        <v>15</v>
      </c>
      <c r="F2" s="5" t="s">
        <v>16</v>
      </c>
      <c r="G2" s="5" t="s">
        <v>17</v>
      </c>
      <c r="H2" s="5">
        <v>92</v>
      </c>
      <c r="I2" s="5">
        <v>13</v>
      </c>
      <c r="J2" s="5" t="s">
        <v>18</v>
      </c>
      <c r="K2" s="5" t="s">
        <v>19</v>
      </c>
      <c r="L2" s="5" t="s">
        <v>20</v>
      </c>
      <c r="M2" s="7" t="s">
        <v>21</v>
      </c>
      <c r="N2" s="25">
        <f t="shared" ref="N2:N65" si="0">IF(J2="Positive",1,IF(J2="Neutral",0,IF(J2="Negative",-1,"")))</f>
        <v>0</v>
      </c>
      <c r="O2" s="41">
        <f t="shared" ref="O2:O65" si="1">INT(C2)</f>
        <v>45173</v>
      </c>
      <c r="P2" s="3" t="str">
        <f t="shared" ref="P2:P65" si="2">TEXT(C2,"dddd")</f>
        <v>Monday</v>
      </c>
      <c r="Q2" s="3">
        <f t="shared" ref="Q2:Q65" si="3">HOUR(C2)</f>
        <v>13</v>
      </c>
      <c r="R2" s="30">
        <f t="shared" ref="R2:R65" si="4">H2/(H2+I2)</f>
        <v>0.87619047619047619</v>
      </c>
      <c r="S2" s="31">
        <f>IF(H2+I2=0,0,(H2/(H2+I2))*100) + (IFERROR(--J2,0)*10)</f>
        <v>87.61904761904762</v>
      </c>
      <c r="T2" s="3" t="str">
        <f>IF(Delivery_Data[[#This Row],[Delays (min)]]&gt;0,"No","Yes")</f>
        <v>No</v>
      </c>
    </row>
    <row r="3" spans="1:20" ht="14.4" x14ac:dyDescent="0.3">
      <c r="A3" s="4">
        <v>1002</v>
      </c>
      <c r="B3" s="5" t="s">
        <v>22</v>
      </c>
      <c r="C3" s="6">
        <v>45170.657638888886</v>
      </c>
      <c r="D3" s="5" t="s">
        <v>14</v>
      </c>
      <c r="E3" s="5" t="s">
        <v>23</v>
      </c>
      <c r="F3" s="5" t="s">
        <v>24</v>
      </c>
      <c r="G3" s="5" t="s">
        <v>25</v>
      </c>
      <c r="H3" s="5">
        <v>163</v>
      </c>
      <c r="I3" s="5">
        <v>19</v>
      </c>
      <c r="J3" s="5" t="s">
        <v>26</v>
      </c>
      <c r="K3" s="5" t="s">
        <v>27</v>
      </c>
      <c r="L3" s="5" t="s">
        <v>28</v>
      </c>
      <c r="M3" s="7" t="s">
        <v>21</v>
      </c>
      <c r="N3" s="26">
        <f t="shared" si="0"/>
        <v>1</v>
      </c>
      <c r="O3" s="42">
        <f t="shared" si="1"/>
        <v>45170</v>
      </c>
      <c r="P3" s="5" t="str">
        <f t="shared" si="2"/>
        <v>Friday</v>
      </c>
      <c r="Q3" s="5">
        <f t="shared" si="3"/>
        <v>15</v>
      </c>
      <c r="R3" s="28">
        <f t="shared" si="4"/>
        <v>0.89560439560439564</v>
      </c>
      <c r="S3" s="29">
        <f t="shared" ref="S3:S66" si="5">IF(H3+I3=0,0,(H3/(H3+I3))*100) + (IFERROR(--J3,0)*10)</f>
        <v>89.560439560439562</v>
      </c>
      <c r="T3" s="5" t="str">
        <f>IF(Delivery_Data[[#This Row],[Delays (min)]]&gt;0,"No","Yes")</f>
        <v>No</v>
      </c>
    </row>
    <row r="4" spans="1:20" ht="14.4" x14ac:dyDescent="0.3">
      <c r="A4" s="4">
        <v>1003</v>
      </c>
      <c r="B4" s="5" t="s">
        <v>29</v>
      </c>
      <c r="C4" s="6">
        <v>45170.680555555555</v>
      </c>
      <c r="D4" s="5" t="s">
        <v>14</v>
      </c>
      <c r="E4" s="5" t="s">
        <v>30</v>
      </c>
      <c r="F4" s="5" t="s">
        <v>24</v>
      </c>
      <c r="G4" s="5" t="s">
        <v>31</v>
      </c>
      <c r="H4" s="5">
        <v>192</v>
      </c>
      <c r="I4" s="5">
        <v>0</v>
      </c>
      <c r="J4" s="5" t="s">
        <v>32</v>
      </c>
      <c r="K4" s="5" t="s">
        <v>27</v>
      </c>
      <c r="L4" s="5" t="s">
        <v>20</v>
      </c>
      <c r="M4" s="7" t="s">
        <v>21</v>
      </c>
      <c r="N4" s="26">
        <f t="shared" si="0"/>
        <v>-1</v>
      </c>
      <c r="O4" s="42">
        <f t="shared" si="1"/>
        <v>45170</v>
      </c>
      <c r="P4" s="5" t="str">
        <f t="shared" si="2"/>
        <v>Friday</v>
      </c>
      <c r="Q4" s="5">
        <f t="shared" si="3"/>
        <v>16</v>
      </c>
      <c r="R4" s="28">
        <f t="shared" si="4"/>
        <v>1</v>
      </c>
      <c r="S4" s="29">
        <f t="shared" si="5"/>
        <v>100</v>
      </c>
      <c r="T4" s="5" t="str">
        <f>IF(Delivery_Data[[#This Row],[Delays (min)]]&gt;0,"No","Yes")</f>
        <v>Yes</v>
      </c>
    </row>
    <row r="5" spans="1:20" ht="14.4" x14ac:dyDescent="0.3">
      <c r="A5" s="4">
        <v>1004</v>
      </c>
      <c r="B5" s="5" t="s">
        <v>33</v>
      </c>
      <c r="C5" s="6">
        <v>45172.611805555556</v>
      </c>
      <c r="D5" s="5" t="s">
        <v>14</v>
      </c>
      <c r="E5" s="5" t="s">
        <v>34</v>
      </c>
      <c r="F5" s="5" t="s">
        <v>24</v>
      </c>
      <c r="G5" s="5" t="s">
        <v>25</v>
      </c>
      <c r="H5" s="5">
        <v>143</v>
      </c>
      <c r="I5" s="5">
        <v>17</v>
      </c>
      <c r="J5" s="5" t="s">
        <v>18</v>
      </c>
      <c r="K5" s="5" t="s">
        <v>35</v>
      </c>
      <c r="L5" s="5" t="s">
        <v>28</v>
      </c>
      <c r="M5" s="7" t="s">
        <v>21</v>
      </c>
      <c r="N5" s="26">
        <f t="shared" si="0"/>
        <v>0</v>
      </c>
      <c r="O5" s="42">
        <f t="shared" si="1"/>
        <v>45172</v>
      </c>
      <c r="P5" s="5" t="str">
        <f t="shared" si="2"/>
        <v>Sunday</v>
      </c>
      <c r="Q5" s="5">
        <f t="shared" si="3"/>
        <v>14</v>
      </c>
      <c r="R5" s="28">
        <f t="shared" si="4"/>
        <v>0.89375000000000004</v>
      </c>
      <c r="S5" s="29">
        <f t="shared" si="5"/>
        <v>89.375</v>
      </c>
      <c r="T5" s="5" t="str">
        <f>IF(Delivery_Data[[#This Row],[Delays (min)]]&gt;0,"No","Yes")</f>
        <v>No</v>
      </c>
    </row>
    <row r="6" spans="1:20" ht="14.4" x14ac:dyDescent="0.3">
      <c r="A6" s="4">
        <v>1005</v>
      </c>
      <c r="B6" s="5" t="s">
        <v>36</v>
      </c>
      <c r="C6" s="6">
        <v>45170.474305555559</v>
      </c>
      <c r="D6" s="5" t="s">
        <v>14</v>
      </c>
      <c r="E6" s="5" t="s">
        <v>37</v>
      </c>
      <c r="F6" s="5" t="s">
        <v>38</v>
      </c>
      <c r="G6" s="5" t="s">
        <v>39</v>
      </c>
      <c r="H6" s="5">
        <v>103</v>
      </c>
      <c r="I6" s="5">
        <v>17</v>
      </c>
      <c r="J6" s="5" t="s">
        <v>32</v>
      </c>
      <c r="K6" s="5" t="s">
        <v>19</v>
      </c>
      <c r="L6" s="5" t="s">
        <v>40</v>
      </c>
      <c r="M6" s="7" t="s">
        <v>41</v>
      </c>
      <c r="N6" s="26">
        <f t="shared" si="0"/>
        <v>-1</v>
      </c>
      <c r="O6" s="42">
        <f t="shared" si="1"/>
        <v>45170</v>
      </c>
      <c r="P6" s="5" t="str">
        <f t="shared" si="2"/>
        <v>Friday</v>
      </c>
      <c r="Q6" s="5">
        <f t="shared" si="3"/>
        <v>11</v>
      </c>
      <c r="R6" s="28">
        <f t="shared" si="4"/>
        <v>0.85833333333333328</v>
      </c>
      <c r="S6" s="29">
        <f t="shared" si="5"/>
        <v>85.833333333333329</v>
      </c>
      <c r="T6" s="5" t="str">
        <f>IF(Delivery_Data[[#This Row],[Delays (min)]]&gt;0,"No","Yes")</f>
        <v>No</v>
      </c>
    </row>
    <row r="7" spans="1:20" ht="14.4" x14ac:dyDescent="0.3">
      <c r="A7" s="4">
        <v>1006</v>
      </c>
      <c r="B7" s="5" t="s">
        <v>42</v>
      </c>
      <c r="C7" s="6">
        <v>45170.538888888892</v>
      </c>
      <c r="D7" s="5" t="s">
        <v>43</v>
      </c>
      <c r="E7" s="5" t="s">
        <v>44</v>
      </c>
      <c r="F7" s="5" t="s">
        <v>16</v>
      </c>
      <c r="G7" s="5" t="s">
        <v>17</v>
      </c>
      <c r="H7" s="5">
        <v>153</v>
      </c>
      <c r="I7" s="5">
        <v>22</v>
      </c>
      <c r="J7" s="5" t="s">
        <v>18</v>
      </c>
      <c r="K7" s="5" t="s">
        <v>45</v>
      </c>
      <c r="L7" s="5" t="s">
        <v>40</v>
      </c>
      <c r="M7" s="7" t="s">
        <v>46</v>
      </c>
      <c r="N7" s="26">
        <f t="shared" si="0"/>
        <v>0</v>
      </c>
      <c r="O7" s="42">
        <f t="shared" si="1"/>
        <v>45170</v>
      </c>
      <c r="P7" s="5" t="str">
        <f t="shared" si="2"/>
        <v>Friday</v>
      </c>
      <c r="Q7" s="5">
        <f t="shared" si="3"/>
        <v>12</v>
      </c>
      <c r="R7" s="28">
        <f t="shared" si="4"/>
        <v>0.87428571428571433</v>
      </c>
      <c r="S7" s="29">
        <f t="shared" si="5"/>
        <v>87.428571428571431</v>
      </c>
      <c r="T7" s="5" t="str">
        <f>IF(Delivery_Data[[#This Row],[Delays (min)]]&gt;0,"No","Yes")</f>
        <v>No</v>
      </c>
    </row>
    <row r="8" spans="1:20" ht="14.4" x14ac:dyDescent="0.3">
      <c r="A8" s="4">
        <v>1007</v>
      </c>
      <c r="B8" s="5" t="s">
        <v>47</v>
      </c>
      <c r="C8" s="6">
        <v>45176.574999999997</v>
      </c>
      <c r="D8" s="5" t="s">
        <v>43</v>
      </c>
      <c r="E8" s="5" t="s">
        <v>48</v>
      </c>
      <c r="F8" s="5" t="s">
        <v>24</v>
      </c>
      <c r="G8" s="5" t="s">
        <v>17</v>
      </c>
      <c r="H8" s="5">
        <v>161</v>
      </c>
      <c r="I8" s="5">
        <v>8</v>
      </c>
      <c r="J8" s="5" t="s">
        <v>26</v>
      </c>
      <c r="K8" s="5" t="s">
        <v>49</v>
      </c>
      <c r="L8" s="5" t="s">
        <v>40</v>
      </c>
      <c r="M8" s="7" t="s">
        <v>41</v>
      </c>
      <c r="N8" s="26">
        <f t="shared" si="0"/>
        <v>1</v>
      </c>
      <c r="O8" s="42">
        <f t="shared" si="1"/>
        <v>45176</v>
      </c>
      <c r="P8" s="5" t="str">
        <f t="shared" si="2"/>
        <v>Thursday</v>
      </c>
      <c r="Q8" s="5">
        <f t="shared" si="3"/>
        <v>13</v>
      </c>
      <c r="R8" s="28">
        <f t="shared" si="4"/>
        <v>0.9526627218934911</v>
      </c>
      <c r="S8" s="29">
        <f t="shared" si="5"/>
        <v>95.26627218934911</v>
      </c>
      <c r="T8" s="5" t="str">
        <f>IF(Delivery_Data[[#This Row],[Delays (min)]]&gt;0,"No","Yes")</f>
        <v>No</v>
      </c>
    </row>
    <row r="9" spans="1:20" ht="14.4" x14ac:dyDescent="0.3">
      <c r="A9" s="4">
        <v>1008</v>
      </c>
      <c r="B9" s="5" t="s">
        <v>50</v>
      </c>
      <c r="C9" s="6">
        <v>45175.615277777775</v>
      </c>
      <c r="D9" s="5" t="s">
        <v>43</v>
      </c>
      <c r="E9" s="5" t="s">
        <v>51</v>
      </c>
      <c r="F9" s="5" t="s">
        <v>24</v>
      </c>
      <c r="G9" s="5" t="s">
        <v>31</v>
      </c>
      <c r="H9" s="5">
        <v>96</v>
      </c>
      <c r="I9" s="5">
        <v>17</v>
      </c>
      <c r="J9" s="5" t="s">
        <v>26</v>
      </c>
      <c r="K9" s="5" t="s">
        <v>19</v>
      </c>
      <c r="L9" s="5" t="s">
        <v>20</v>
      </c>
      <c r="M9" s="7" t="s">
        <v>41</v>
      </c>
      <c r="N9" s="26">
        <f t="shared" si="0"/>
        <v>1</v>
      </c>
      <c r="O9" s="42">
        <f t="shared" si="1"/>
        <v>45175</v>
      </c>
      <c r="P9" s="5" t="str">
        <f t="shared" si="2"/>
        <v>Wednesday</v>
      </c>
      <c r="Q9" s="5">
        <f t="shared" si="3"/>
        <v>14</v>
      </c>
      <c r="R9" s="28">
        <f t="shared" si="4"/>
        <v>0.84955752212389379</v>
      </c>
      <c r="S9" s="29">
        <f t="shared" si="5"/>
        <v>84.955752212389385</v>
      </c>
      <c r="T9" s="5" t="str">
        <f>IF(Delivery_Data[[#This Row],[Delays (min)]]&gt;0,"No","Yes")</f>
        <v>No</v>
      </c>
    </row>
    <row r="10" spans="1:20" ht="14.4" x14ac:dyDescent="0.3">
      <c r="A10" s="4">
        <v>1009</v>
      </c>
      <c r="B10" s="5" t="s">
        <v>52</v>
      </c>
      <c r="C10" s="6">
        <v>45170.65</v>
      </c>
      <c r="D10" s="5" t="s">
        <v>43</v>
      </c>
      <c r="E10" s="5" t="s">
        <v>53</v>
      </c>
      <c r="F10" s="5" t="s">
        <v>38</v>
      </c>
      <c r="G10" s="5" t="s">
        <v>17</v>
      </c>
      <c r="H10" s="5">
        <v>135</v>
      </c>
      <c r="I10" s="5">
        <v>5</v>
      </c>
      <c r="J10" s="5" t="s">
        <v>26</v>
      </c>
      <c r="K10" s="5" t="s">
        <v>27</v>
      </c>
      <c r="L10" s="5" t="s">
        <v>40</v>
      </c>
      <c r="M10" s="7" t="s">
        <v>46</v>
      </c>
      <c r="N10" s="26">
        <f t="shared" si="0"/>
        <v>1</v>
      </c>
      <c r="O10" s="42">
        <f t="shared" si="1"/>
        <v>45170</v>
      </c>
      <c r="P10" s="5" t="str">
        <f t="shared" si="2"/>
        <v>Friday</v>
      </c>
      <c r="Q10" s="5">
        <f t="shared" si="3"/>
        <v>15</v>
      </c>
      <c r="R10" s="28">
        <f t="shared" si="4"/>
        <v>0.9642857142857143</v>
      </c>
      <c r="S10" s="29">
        <f t="shared" si="5"/>
        <v>96.428571428571431</v>
      </c>
      <c r="T10" s="5" t="str">
        <f>IF(Delivery_Data[[#This Row],[Delays (min)]]&gt;0,"No","Yes")</f>
        <v>No</v>
      </c>
    </row>
    <row r="11" spans="1:20" ht="14.4" x14ac:dyDescent="0.3">
      <c r="A11" s="4">
        <v>1010</v>
      </c>
      <c r="B11" s="5" t="s">
        <v>54</v>
      </c>
      <c r="C11" s="6">
        <v>45171.363194444442</v>
      </c>
      <c r="D11" s="5" t="s">
        <v>14</v>
      </c>
      <c r="E11" s="5" t="s">
        <v>55</v>
      </c>
      <c r="F11" s="5" t="s">
        <v>38</v>
      </c>
      <c r="G11" s="5" t="s">
        <v>56</v>
      </c>
      <c r="H11" s="5">
        <v>233</v>
      </c>
      <c r="I11" s="5">
        <v>19</v>
      </c>
      <c r="J11" s="5" t="s">
        <v>18</v>
      </c>
      <c r="K11" s="5" t="s">
        <v>27</v>
      </c>
      <c r="L11" s="5" t="s">
        <v>40</v>
      </c>
      <c r="M11" s="7" t="s">
        <v>46</v>
      </c>
      <c r="N11" s="26">
        <f t="shared" si="0"/>
        <v>0</v>
      </c>
      <c r="O11" s="42">
        <f t="shared" si="1"/>
        <v>45171</v>
      </c>
      <c r="P11" s="5" t="str">
        <f t="shared" si="2"/>
        <v>Saturday</v>
      </c>
      <c r="Q11" s="5">
        <f t="shared" si="3"/>
        <v>8</v>
      </c>
      <c r="R11" s="28">
        <f t="shared" si="4"/>
        <v>0.92460317460317465</v>
      </c>
      <c r="S11" s="29">
        <f t="shared" si="5"/>
        <v>92.460317460317469</v>
      </c>
      <c r="T11" s="5" t="str">
        <f>IF(Delivery_Data[[#This Row],[Delays (min)]]&gt;0,"No","Yes")</f>
        <v>No</v>
      </c>
    </row>
    <row r="12" spans="1:20" ht="14.4" x14ac:dyDescent="0.3">
      <c r="A12" s="4">
        <v>1011</v>
      </c>
      <c r="B12" s="5" t="s">
        <v>57</v>
      </c>
      <c r="C12" s="6">
        <v>45172.428472222222</v>
      </c>
      <c r="D12" s="5" t="s">
        <v>43</v>
      </c>
      <c r="E12" s="5" t="s">
        <v>58</v>
      </c>
      <c r="F12" s="5" t="s">
        <v>16</v>
      </c>
      <c r="G12" s="5" t="s">
        <v>56</v>
      </c>
      <c r="H12" s="5">
        <v>203</v>
      </c>
      <c r="I12" s="5">
        <v>24</v>
      </c>
      <c r="J12" s="5" t="s">
        <v>18</v>
      </c>
      <c r="K12" s="5" t="s">
        <v>45</v>
      </c>
      <c r="L12" s="5" t="s">
        <v>28</v>
      </c>
      <c r="M12" s="7" t="s">
        <v>21</v>
      </c>
      <c r="N12" s="26">
        <f t="shared" si="0"/>
        <v>0</v>
      </c>
      <c r="O12" s="42">
        <f t="shared" si="1"/>
        <v>45172</v>
      </c>
      <c r="P12" s="5" t="str">
        <f t="shared" si="2"/>
        <v>Sunday</v>
      </c>
      <c r="Q12" s="5">
        <f t="shared" si="3"/>
        <v>10</v>
      </c>
      <c r="R12" s="28">
        <f t="shared" si="4"/>
        <v>0.89427312775330392</v>
      </c>
      <c r="S12" s="29">
        <f t="shared" si="5"/>
        <v>89.427312775330392</v>
      </c>
      <c r="T12" s="5" t="str">
        <f>IF(Delivery_Data[[#This Row],[Delays (min)]]&gt;0,"No","Yes")</f>
        <v>No</v>
      </c>
    </row>
    <row r="13" spans="1:20" ht="14.4" x14ac:dyDescent="0.3">
      <c r="A13" s="4">
        <v>1012</v>
      </c>
      <c r="B13" s="5" t="s">
        <v>59</v>
      </c>
      <c r="C13" s="6">
        <v>45175.57916666667</v>
      </c>
      <c r="D13" s="5" t="s">
        <v>43</v>
      </c>
      <c r="E13" s="5" t="s">
        <v>60</v>
      </c>
      <c r="F13" s="5" t="s">
        <v>24</v>
      </c>
      <c r="G13" s="5" t="s">
        <v>25</v>
      </c>
      <c r="H13" s="5">
        <v>150</v>
      </c>
      <c r="I13" s="5">
        <v>18</v>
      </c>
      <c r="J13" s="5" t="s">
        <v>32</v>
      </c>
      <c r="K13" s="5" t="s">
        <v>27</v>
      </c>
      <c r="L13" s="5" t="s">
        <v>40</v>
      </c>
      <c r="M13" s="7" t="s">
        <v>46</v>
      </c>
      <c r="N13" s="26">
        <f t="shared" si="0"/>
        <v>-1</v>
      </c>
      <c r="O13" s="42">
        <f t="shared" si="1"/>
        <v>45175</v>
      </c>
      <c r="P13" s="5" t="str">
        <f t="shared" si="2"/>
        <v>Wednesday</v>
      </c>
      <c r="Q13" s="5">
        <f t="shared" si="3"/>
        <v>13</v>
      </c>
      <c r="R13" s="28">
        <f t="shared" si="4"/>
        <v>0.8928571428571429</v>
      </c>
      <c r="S13" s="29">
        <f t="shared" si="5"/>
        <v>89.285714285714292</v>
      </c>
      <c r="T13" s="5" t="str">
        <f>IF(Delivery_Data[[#This Row],[Delays (min)]]&gt;0,"No","Yes")</f>
        <v>No</v>
      </c>
    </row>
    <row r="14" spans="1:20" ht="14.4" x14ac:dyDescent="0.3">
      <c r="A14" s="4">
        <v>1013</v>
      </c>
      <c r="B14" s="5" t="s">
        <v>61</v>
      </c>
      <c r="C14" s="6">
        <v>45172.511111111111</v>
      </c>
      <c r="D14" s="5" t="s">
        <v>14</v>
      </c>
      <c r="E14" s="5" t="s">
        <v>62</v>
      </c>
      <c r="F14" s="5" t="s">
        <v>16</v>
      </c>
      <c r="G14" s="5" t="s">
        <v>39</v>
      </c>
      <c r="H14" s="5">
        <v>127</v>
      </c>
      <c r="I14" s="5">
        <v>17</v>
      </c>
      <c r="J14" s="5" t="s">
        <v>32</v>
      </c>
      <c r="K14" s="5" t="s">
        <v>49</v>
      </c>
      <c r="L14" s="5" t="s">
        <v>40</v>
      </c>
      <c r="M14" s="7" t="s">
        <v>41</v>
      </c>
      <c r="N14" s="26">
        <f t="shared" si="0"/>
        <v>-1</v>
      </c>
      <c r="O14" s="42">
        <f t="shared" si="1"/>
        <v>45172</v>
      </c>
      <c r="P14" s="5" t="str">
        <f t="shared" si="2"/>
        <v>Sunday</v>
      </c>
      <c r="Q14" s="5">
        <f t="shared" si="3"/>
        <v>12</v>
      </c>
      <c r="R14" s="28">
        <f t="shared" si="4"/>
        <v>0.88194444444444442</v>
      </c>
      <c r="S14" s="29">
        <f t="shared" si="5"/>
        <v>88.194444444444443</v>
      </c>
      <c r="T14" s="5" t="str">
        <f>IF(Delivery_Data[[#This Row],[Delays (min)]]&gt;0,"No","Yes")</f>
        <v>No</v>
      </c>
    </row>
    <row r="15" spans="1:20" ht="14.4" x14ac:dyDescent="0.3">
      <c r="A15" s="4">
        <v>1014</v>
      </c>
      <c r="B15" s="5" t="s">
        <v>63</v>
      </c>
      <c r="C15" s="6">
        <v>45177.684027777781</v>
      </c>
      <c r="D15" s="5" t="s">
        <v>14</v>
      </c>
      <c r="E15" s="5" t="s">
        <v>64</v>
      </c>
      <c r="F15" s="5" t="s">
        <v>24</v>
      </c>
      <c r="G15" s="5" t="s">
        <v>39</v>
      </c>
      <c r="H15" s="5">
        <v>66</v>
      </c>
      <c r="I15" s="5">
        <v>11</v>
      </c>
      <c r="J15" s="5" t="s">
        <v>18</v>
      </c>
      <c r="K15" s="5" t="s">
        <v>45</v>
      </c>
      <c r="L15" s="5" t="s">
        <v>40</v>
      </c>
      <c r="M15" s="7" t="s">
        <v>41</v>
      </c>
      <c r="N15" s="26">
        <f t="shared" si="0"/>
        <v>0</v>
      </c>
      <c r="O15" s="42">
        <f t="shared" si="1"/>
        <v>45177</v>
      </c>
      <c r="P15" s="5" t="str">
        <f t="shared" si="2"/>
        <v>Friday</v>
      </c>
      <c r="Q15" s="5">
        <f t="shared" si="3"/>
        <v>16</v>
      </c>
      <c r="R15" s="28">
        <f t="shared" si="4"/>
        <v>0.8571428571428571</v>
      </c>
      <c r="S15" s="29">
        <f t="shared" si="5"/>
        <v>85.714285714285708</v>
      </c>
      <c r="T15" s="5" t="str">
        <f>IF(Delivery_Data[[#This Row],[Delays (min)]]&gt;0,"No","Yes")</f>
        <v>No</v>
      </c>
    </row>
    <row r="16" spans="1:20" ht="14.4" x14ac:dyDescent="0.3">
      <c r="A16" s="4">
        <v>1015</v>
      </c>
      <c r="B16" s="5" t="s">
        <v>65</v>
      </c>
      <c r="C16" s="6">
        <v>45172.591666666667</v>
      </c>
      <c r="D16" s="5" t="s">
        <v>43</v>
      </c>
      <c r="E16" s="5" t="s">
        <v>66</v>
      </c>
      <c r="F16" s="5" t="s">
        <v>38</v>
      </c>
      <c r="G16" s="5" t="s">
        <v>56</v>
      </c>
      <c r="H16" s="5">
        <v>75</v>
      </c>
      <c r="I16" s="5">
        <v>26</v>
      </c>
      <c r="J16" s="5" t="s">
        <v>26</v>
      </c>
      <c r="K16" s="5" t="s">
        <v>49</v>
      </c>
      <c r="L16" s="5" t="s">
        <v>40</v>
      </c>
      <c r="M16" s="7" t="s">
        <v>46</v>
      </c>
      <c r="N16" s="26">
        <f t="shared" si="0"/>
        <v>1</v>
      </c>
      <c r="O16" s="42">
        <f t="shared" si="1"/>
        <v>45172</v>
      </c>
      <c r="P16" s="5" t="str">
        <f t="shared" si="2"/>
        <v>Sunday</v>
      </c>
      <c r="Q16" s="5">
        <f t="shared" si="3"/>
        <v>14</v>
      </c>
      <c r="R16" s="28">
        <f t="shared" si="4"/>
        <v>0.74257425742574257</v>
      </c>
      <c r="S16" s="29">
        <f t="shared" si="5"/>
        <v>74.257425742574256</v>
      </c>
      <c r="T16" s="5" t="str">
        <f>IF(Delivery_Data[[#This Row],[Delays (min)]]&gt;0,"No","Yes")</f>
        <v>No</v>
      </c>
    </row>
    <row r="17" spans="1:20" ht="14.4" x14ac:dyDescent="0.3">
      <c r="A17" s="4">
        <v>1016</v>
      </c>
      <c r="B17" s="5" t="s">
        <v>67</v>
      </c>
      <c r="C17" s="6">
        <v>45174.577777777777</v>
      </c>
      <c r="D17" s="5" t="s">
        <v>43</v>
      </c>
      <c r="E17" s="5" t="s">
        <v>68</v>
      </c>
      <c r="F17" s="5" t="s">
        <v>16</v>
      </c>
      <c r="G17" s="5" t="s">
        <v>39</v>
      </c>
      <c r="H17" s="5">
        <v>163</v>
      </c>
      <c r="I17" s="5">
        <v>6</v>
      </c>
      <c r="J17" s="5" t="s">
        <v>18</v>
      </c>
      <c r="K17" s="5" t="s">
        <v>45</v>
      </c>
      <c r="L17" s="5" t="s">
        <v>40</v>
      </c>
      <c r="M17" s="7" t="s">
        <v>46</v>
      </c>
      <c r="N17" s="26">
        <f t="shared" si="0"/>
        <v>0</v>
      </c>
      <c r="O17" s="42">
        <f t="shared" si="1"/>
        <v>45174</v>
      </c>
      <c r="P17" s="5" t="str">
        <f t="shared" si="2"/>
        <v>Tuesday</v>
      </c>
      <c r="Q17" s="5">
        <f t="shared" si="3"/>
        <v>13</v>
      </c>
      <c r="R17" s="28">
        <f t="shared" si="4"/>
        <v>0.96449704142011838</v>
      </c>
      <c r="S17" s="29">
        <f t="shared" si="5"/>
        <v>96.449704142011839</v>
      </c>
      <c r="T17" s="5" t="str">
        <f>IF(Delivery_Data[[#This Row],[Delays (min)]]&gt;0,"No","Yes")</f>
        <v>No</v>
      </c>
    </row>
    <row r="18" spans="1:20" ht="14.4" x14ac:dyDescent="0.3">
      <c r="A18" s="4">
        <v>1017</v>
      </c>
      <c r="B18" s="5" t="s">
        <v>69</v>
      </c>
      <c r="C18" s="6">
        <v>45173.444444444445</v>
      </c>
      <c r="D18" s="5" t="s">
        <v>43</v>
      </c>
      <c r="E18" s="5" t="s">
        <v>70</v>
      </c>
      <c r="F18" s="5" t="s">
        <v>16</v>
      </c>
      <c r="G18" s="5" t="s">
        <v>25</v>
      </c>
      <c r="H18" s="5">
        <v>174</v>
      </c>
      <c r="I18" s="5">
        <v>16</v>
      </c>
      <c r="J18" s="5" t="s">
        <v>26</v>
      </c>
      <c r="K18" s="5" t="s">
        <v>49</v>
      </c>
      <c r="L18" s="5" t="s">
        <v>28</v>
      </c>
      <c r="M18" s="7" t="s">
        <v>41</v>
      </c>
      <c r="N18" s="26">
        <f t="shared" si="0"/>
        <v>1</v>
      </c>
      <c r="O18" s="42">
        <f t="shared" si="1"/>
        <v>45173</v>
      </c>
      <c r="P18" s="5" t="str">
        <f t="shared" si="2"/>
        <v>Monday</v>
      </c>
      <c r="Q18" s="5">
        <f t="shared" si="3"/>
        <v>10</v>
      </c>
      <c r="R18" s="28">
        <f t="shared" si="4"/>
        <v>0.91578947368421049</v>
      </c>
      <c r="S18" s="29">
        <f t="shared" si="5"/>
        <v>91.578947368421055</v>
      </c>
      <c r="T18" s="5" t="str">
        <f>IF(Delivery_Data[[#This Row],[Delays (min)]]&gt;0,"No","Yes")</f>
        <v>No</v>
      </c>
    </row>
    <row r="19" spans="1:20" ht="14.4" x14ac:dyDescent="0.3">
      <c r="A19" s="4">
        <v>1018</v>
      </c>
      <c r="B19" s="5" t="s">
        <v>71</v>
      </c>
      <c r="C19" s="6">
        <v>45174.446527777778</v>
      </c>
      <c r="D19" s="5" t="s">
        <v>14</v>
      </c>
      <c r="E19" s="5" t="s">
        <v>53</v>
      </c>
      <c r="F19" s="5" t="s">
        <v>24</v>
      </c>
      <c r="G19" s="5" t="s">
        <v>39</v>
      </c>
      <c r="H19" s="5">
        <v>167</v>
      </c>
      <c r="I19" s="5">
        <v>1</v>
      </c>
      <c r="J19" s="5" t="s">
        <v>32</v>
      </c>
      <c r="K19" s="5" t="s">
        <v>19</v>
      </c>
      <c r="L19" s="5" t="s">
        <v>40</v>
      </c>
      <c r="M19" s="7" t="s">
        <v>21</v>
      </c>
      <c r="N19" s="26">
        <f t="shared" si="0"/>
        <v>-1</v>
      </c>
      <c r="O19" s="42">
        <f t="shared" si="1"/>
        <v>45174</v>
      </c>
      <c r="P19" s="5" t="str">
        <f t="shared" si="2"/>
        <v>Tuesday</v>
      </c>
      <c r="Q19" s="5">
        <f t="shared" si="3"/>
        <v>10</v>
      </c>
      <c r="R19" s="28">
        <f t="shared" si="4"/>
        <v>0.99404761904761907</v>
      </c>
      <c r="S19" s="29">
        <f t="shared" si="5"/>
        <v>99.404761904761912</v>
      </c>
      <c r="T19" s="5" t="str">
        <f>IF(Delivery_Data[[#This Row],[Delays (min)]]&gt;0,"No","Yes")</f>
        <v>No</v>
      </c>
    </row>
    <row r="20" spans="1:20" ht="14.4" x14ac:dyDescent="0.3">
      <c r="A20" s="4">
        <v>1019</v>
      </c>
      <c r="B20" s="5" t="s">
        <v>72</v>
      </c>
      <c r="C20" s="6">
        <v>45173.620138888888</v>
      </c>
      <c r="D20" s="5" t="s">
        <v>43</v>
      </c>
      <c r="E20" s="5" t="s">
        <v>73</v>
      </c>
      <c r="F20" s="5" t="s">
        <v>16</v>
      </c>
      <c r="G20" s="5" t="s">
        <v>25</v>
      </c>
      <c r="H20" s="5">
        <v>219</v>
      </c>
      <c r="I20" s="5">
        <v>13</v>
      </c>
      <c r="J20" s="5" t="s">
        <v>26</v>
      </c>
      <c r="K20" s="5" t="s">
        <v>27</v>
      </c>
      <c r="L20" s="5" t="s">
        <v>28</v>
      </c>
      <c r="M20" s="7" t="s">
        <v>41</v>
      </c>
      <c r="N20" s="26">
        <f t="shared" si="0"/>
        <v>1</v>
      </c>
      <c r="O20" s="42">
        <f t="shared" si="1"/>
        <v>45173</v>
      </c>
      <c r="P20" s="5" t="str">
        <f t="shared" si="2"/>
        <v>Monday</v>
      </c>
      <c r="Q20" s="5">
        <f t="shared" si="3"/>
        <v>14</v>
      </c>
      <c r="R20" s="28">
        <f t="shared" si="4"/>
        <v>0.94396551724137934</v>
      </c>
      <c r="S20" s="29">
        <f t="shared" si="5"/>
        <v>94.396551724137936</v>
      </c>
      <c r="T20" s="5" t="str">
        <f>IF(Delivery_Data[[#This Row],[Delays (min)]]&gt;0,"No","Yes")</f>
        <v>No</v>
      </c>
    </row>
    <row r="21" spans="1:20" ht="15.75" customHeight="1" x14ac:dyDescent="0.3">
      <c r="A21" s="4">
        <v>1020</v>
      </c>
      <c r="B21" s="5" t="s">
        <v>74</v>
      </c>
      <c r="C21" s="6">
        <v>45171.481944444444</v>
      </c>
      <c r="D21" s="5" t="s">
        <v>43</v>
      </c>
      <c r="E21" s="5" t="s">
        <v>73</v>
      </c>
      <c r="F21" s="5" t="s">
        <v>16</v>
      </c>
      <c r="G21" s="5" t="s">
        <v>17</v>
      </c>
      <c r="H21" s="5">
        <v>213</v>
      </c>
      <c r="I21" s="5">
        <v>24</v>
      </c>
      <c r="J21" s="5" t="s">
        <v>18</v>
      </c>
      <c r="K21" s="5" t="s">
        <v>45</v>
      </c>
      <c r="L21" s="5" t="s">
        <v>28</v>
      </c>
      <c r="M21" s="7" t="s">
        <v>21</v>
      </c>
      <c r="N21" s="26">
        <f t="shared" si="0"/>
        <v>0</v>
      </c>
      <c r="O21" s="42">
        <f t="shared" si="1"/>
        <v>45171</v>
      </c>
      <c r="P21" s="5" t="str">
        <f t="shared" si="2"/>
        <v>Saturday</v>
      </c>
      <c r="Q21" s="5">
        <f t="shared" si="3"/>
        <v>11</v>
      </c>
      <c r="R21" s="28">
        <f t="shared" si="4"/>
        <v>0.89873417721518989</v>
      </c>
      <c r="S21" s="29">
        <f t="shared" si="5"/>
        <v>89.87341772151899</v>
      </c>
      <c r="T21" s="5" t="str">
        <f>IF(Delivery_Data[[#This Row],[Delays (min)]]&gt;0,"No","Yes")</f>
        <v>No</v>
      </c>
    </row>
    <row r="22" spans="1:20" ht="15.75" customHeight="1" x14ac:dyDescent="0.3">
      <c r="A22" s="4">
        <v>1021</v>
      </c>
      <c r="B22" s="5" t="s">
        <v>75</v>
      </c>
      <c r="C22" s="6">
        <v>45172.559027777781</v>
      </c>
      <c r="D22" s="5" t="s">
        <v>43</v>
      </c>
      <c r="E22" s="5" t="s">
        <v>76</v>
      </c>
      <c r="F22" s="5" t="s">
        <v>16</v>
      </c>
      <c r="G22" s="5" t="s">
        <v>17</v>
      </c>
      <c r="H22" s="5">
        <v>94</v>
      </c>
      <c r="I22" s="5">
        <v>24</v>
      </c>
      <c r="J22" s="5" t="s">
        <v>32</v>
      </c>
      <c r="K22" s="5" t="s">
        <v>35</v>
      </c>
      <c r="L22" s="5" t="s">
        <v>40</v>
      </c>
      <c r="M22" s="7" t="s">
        <v>21</v>
      </c>
      <c r="N22" s="26">
        <f t="shared" si="0"/>
        <v>-1</v>
      </c>
      <c r="O22" s="42">
        <f t="shared" si="1"/>
        <v>45172</v>
      </c>
      <c r="P22" s="5" t="str">
        <f t="shared" si="2"/>
        <v>Sunday</v>
      </c>
      <c r="Q22" s="5">
        <f t="shared" si="3"/>
        <v>13</v>
      </c>
      <c r="R22" s="28">
        <f t="shared" si="4"/>
        <v>0.79661016949152541</v>
      </c>
      <c r="S22" s="29">
        <f t="shared" si="5"/>
        <v>79.66101694915254</v>
      </c>
      <c r="T22" s="5" t="str">
        <f>IF(Delivery_Data[[#This Row],[Delays (min)]]&gt;0,"No","Yes")</f>
        <v>No</v>
      </c>
    </row>
    <row r="23" spans="1:20" ht="15.75" customHeight="1" x14ac:dyDescent="0.3">
      <c r="A23" s="4">
        <v>1022</v>
      </c>
      <c r="B23" s="5" t="s">
        <v>77</v>
      </c>
      <c r="C23" s="6">
        <v>45175.503472222219</v>
      </c>
      <c r="D23" s="5" t="s">
        <v>14</v>
      </c>
      <c r="E23" s="5" t="s">
        <v>78</v>
      </c>
      <c r="F23" s="5" t="s">
        <v>16</v>
      </c>
      <c r="G23" s="5" t="s">
        <v>56</v>
      </c>
      <c r="H23" s="5">
        <v>232</v>
      </c>
      <c r="I23" s="5">
        <v>21</v>
      </c>
      <c r="J23" s="5" t="s">
        <v>32</v>
      </c>
      <c r="K23" s="5" t="s">
        <v>49</v>
      </c>
      <c r="L23" s="5" t="s">
        <v>20</v>
      </c>
      <c r="M23" s="7" t="s">
        <v>41</v>
      </c>
      <c r="N23" s="26">
        <f t="shared" si="0"/>
        <v>-1</v>
      </c>
      <c r="O23" s="42">
        <f t="shared" si="1"/>
        <v>45175</v>
      </c>
      <c r="P23" s="5" t="str">
        <f t="shared" si="2"/>
        <v>Wednesday</v>
      </c>
      <c r="Q23" s="5">
        <f t="shared" si="3"/>
        <v>12</v>
      </c>
      <c r="R23" s="28">
        <f t="shared" si="4"/>
        <v>0.91699604743083007</v>
      </c>
      <c r="S23" s="29">
        <f t="shared" si="5"/>
        <v>91.699604743083</v>
      </c>
      <c r="T23" s="5" t="str">
        <f>IF(Delivery_Data[[#This Row],[Delays (min)]]&gt;0,"No","Yes")</f>
        <v>No</v>
      </c>
    </row>
    <row r="24" spans="1:20" ht="15.75" customHeight="1" x14ac:dyDescent="0.3">
      <c r="A24" s="4">
        <v>1023</v>
      </c>
      <c r="B24" s="5" t="s">
        <v>79</v>
      </c>
      <c r="C24" s="6">
        <v>45175.44027777778</v>
      </c>
      <c r="D24" s="5" t="s">
        <v>14</v>
      </c>
      <c r="E24" s="5" t="s">
        <v>80</v>
      </c>
      <c r="F24" s="5" t="s">
        <v>24</v>
      </c>
      <c r="G24" s="5" t="s">
        <v>31</v>
      </c>
      <c r="H24" s="5">
        <v>151</v>
      </c>
      <c r="I24" s="5">
        <v>6</v>
      </c>
      <c r="J24" s="5" t="s">
        <v>18</v>
      </c>
      <c r="K24" s="5" t="s">
        <v>45</v>
      </c>
      <c r="L24" s="5" t="s">
        <v>28</v>
      </c>
      <c r="M24" s="7" t="s">
        <v>46</v>
      </c>
      <c r="N24" s="26">
        <f t="shared" si="0"/>
        <v>0</v>
      </c>
      <c r="O24" s="42">
        <f t="shared" si="1"/>
        <v>45175</v>
      </c>
      <c r="P24" s="5" t="str">
        <f t="shared" si="2"/>
        <v>Wednesday</v>
      </c>
      <c r="Q24" s="5">
        <f t="shared" si="3"/>
        <v>10</v>
      </c>
      <c r="R24" s="28">
        <f t="shared" si="4"/>
        <v>0.96178343949044587</v>
      </c>
      <c r="S24" s="29">
        <f t="shared" si="5"/>
        <v>96.178343949044589</v>
      </c>
      <c r="T24" s="5" t="str">
        <f>IF(Delivery_Data[[#This Row],[Delays (min)]]&gt;0,"No","Yes")</f>
        <v>No</v>
      </c>
    </row>
    <row r="25" spans="1:20" ht="15.75" customHeight="1" x14ac:dyDescent="0.3">
      <c r="A25" s="4">
        <v>1024</v>
      </c>
      <c r="B25" s="5" t="s">
        <v>81</v>
      </c>
      <c r="C25" s="6">
        <v>45175.632638888892</v>
      </c>
      <c r="D25" s="5" t="s">
        <v>14</v>
      </c>
      <c r="E25" s="5" t="s">
        <v>55</v>
      </c>
      <c r="F25" s="5" t="s">
        <v>16</v>
      </c>
      <c r="G25" s="5" t="s">
        <v>56</v>
      </c>
      <c r="H25" s="5">
        <v>78</v>
      </c>
      <c r="I25" s="5">
        <v>29</v>
      </c>
      <c r="J25" s="5" t="s">
        <v>18</v>
      </c>
      <c r="K25" s="5" t="s">
        <v>27</v>
      </c>
      <c r="L25" s="5" t="s">
        <v>20</v>
      </c>
      <c r="M25" s="7" t="s">
        <v>21</v>
      </c>
      <c r="N25" s="26">
        <f t="shared" si="0"/>
        <v>0</v>
      </c>
      <c r="O25" s="42">
        <f t="shared" si="1"/>
        <v>45175</v>
      </c>
      <c r="P25" s="5" t="str">
        <f t="shared" si="2"/>
        <v>Wednesday</v>
      </c>
      <c r="Q25" s="5">
        <f t="shared" si="3"/>
        <v>15</v>
      </c>
      <c r="R25" s="28">
        <f t="shared" si="4"/>
        <v>0.7289719626168224</v>
      </c>
      <c r="S25" s="29">
        <f t="shared" si="5"/>
        <v>72.89719626168224</v>
      </c>
      <c r="T25" s="5" t="str">
        <f>IF(Delivery_Data[[#This Row],[Delays (min)]]&gt;0,"No","Yes")</f>
        <v>No</v>
      </c>
    </row>
    <row r="26" spans="1:20" ht="15.75" customHeight="1" x14ac:dyDescent="0.3">
      <c r="A26" s="4">
        <v>1025</v>
      </c>
      <c r="B26" s="5" t="s">
        <v>82</v>
      </c>
      <c r="C26" s="6">
        <v>45172.590277777781</v>
      </c>
      <c r="D26" s="5" t="s">
        <v>43</v>
      </c>
      <c r="E26" s="5" t="s">
        <v>83</v>
      </c>
      <c r="F26" s="5" t="s">
        <v>38</v>
      </c>
      <c r="G26" s="5" t="s">
        <v>17</v>
      </c>
      <c r="H26" s="5">
        <v>150</v>
      </c>
      <c r="I26" s="5">
        <v>0</v>
      </c>
      <c r="J26" s="5" t="s">
        <v>32</v>
      </c>
      <c r="K26" s="5" t="s">
        <v>19</v>
      </c>
      <c r="L26" s="5" t="s">
        <v>28</v>
      </c>
      <c r="M26" s="7" t="s">
        <v>21</v>
      </c>
      <c r="N26" s="26">
        <f t="shared" si="0"/>
        <v>-1</v>
      </c>
      <c r="O26" s="42">
        <f t="shared" si="1"/>
        <v>45172</v>
      </c>
      <c r="P26" s="5" t="str">
        <f t="shared" si="2"/>
        <v>Sunday</v>
      </c>
      <c r="Q26" s="5">
        <f t="shared" si="3"/>
        <v>14</v>
      </c>
      <c r="R26" s="28">
        <f t="shared" si="4"/>
        <v>1</v>
      </c>
      <c r="S26" s="29">
        <f t="shared" si="5"/>
        <v>100</v>
      </c>
      <c r="T26" s="5" t="str">
        <f>IF(Delivery_Data[[#This Row],[Delays (min)]]&gt;0,"No","Yes")</f>
        <v>Yes</v>
      </c>
    </row>
    <row r="27" spans="1:20" ht="15.75" customHeight="1" x14ac:dyDescent="0.3">
      <c r="A27" s="4">
        <v>1026</v>
      </c>
      <c r="B27" s="5" t="s">
        <v>84</v>
      </c>
      <c r="C27" s="6">
        <v>45173.609027777777</v>
      </c>
      <c r="D27" s="5" t="s">
        <v>43</v>
      </c>
      <c r="E27" s="5" t="s">
        <v>85</v>
      </c>
      <c r="F27" s="5" t="s">
        <v>16</v>
      </c>
      <c r="G27" s="5" t="s">
        <v>31</v>
      </c>
      <c r="H27" s="5">
        <v>154</v>
      </c>
      <c r="I27" s="5">
        <v>7</v>
      </c>
      <c r="J27" s="5" t="s">
        <v>32</v>
      </c>
      <c r="K27" s="5" t="s">
        <v>27</v>
      </c>
      <c r="L27" s="5" t="s">
        <v>20</v>
      </c>
      <c r="M27" s="7" t="s">
        <v>46</v>
      </c>
      <c r="N27" s="26">
        <f t="shared" si="0"/>
        <v>-1</v>
      </c>
      <c r="O27" s="42">
        <f t="shared" si="1"/>
        <v>45173</v>
      </c>
      <c r="P27" s="5" t="str">
        <f t="shared" si="2"/>
        <v>Monday</v>
      </c>
      <c r="Q27" s="5">
        <f t="shared" si="3"/>
        <v>14</v>
      </c>
      <c r="R27" s="28">
        <f t="shared" si="4"/>
        <v>0.95652173913043481</v>
      </c>
      <c r="S27" s="29">
        <f t="shared" si="5"/>
        <v>95.652173913043484</v>
      </c>
      <c r="T27" s="5" t="str">
        <f>IF(Delivery_Data[[#This Row],[Delays (min)]]&gt;0,"No","Yes")</f>
        <v>No</v>
      </c>
    </row>
    <row r="28" spans="1:20" ht="15.75" customHeight="1" x14ac:dyDescent="0.3">
      <c r="A28" s="4">
        <v>1027</v>
      </c>
      <c r="B28" s="5" t="s">
        <v>86</v>
      </c>
      <c r="C28" s="6">
        <v>45175.472916666666</v>
      </c>
      <c r="D28" s="5" t="s">
        <v>14</v>
      </c>
      <c r="E28" s="5" t="s">
        <v>87</v>
      </c>
      <c r="F28" s="5" t="s">
        <v>16</v>
      </c>
      <c r="G28" s="5" t="s">
        <v>25</v>
      </c>
      <c r="H28" s="5">
        <v>153</v>
      </c>
      <c r="I28" s="5">
        <v>22</v>
      </c>
      <c r="J28" s="5" t="s">
        <v>18</v>
      </c>
      <c r="K28" s="5" t="s">
        <v>19</v>
      </c>
      <c r="L28" s="5" t="s">
        <v>28</v>
      </c>
      <c r="M28" s="7" t="s">
        <v>21</v>
      </c>
      <c r="N28" s="26">
        <f t="shared" si="0"/>
        <v>0</v>
      </c>
      <c r="O28" s="42">
        <f t="shared" si="1"/>
        <v>45175</v>
      </c>
      <c r="P28" s="5" t="str">
        <f t="shared" si="2"/>
        <v>Wednesday</v>
      </c>
      <c r="Q28" s="5">
        <f t="shared" si="3"/>
        <v>11</v>
      </c>
      <c r="R28" s="28">
        <f t="shared" si="4"/>
        <v>0.87428571428571433</v>
      </c>
      <c r="S28" s="29">
        <f t="shared" si="5"/>
        <v>87.428571428571431</v>
      </c>
      <c r="T28" s="5" t="str">
        <f>IF(Delivery_Data[[#This Row],[Delays (min)]]&gt;0,"No","Yes")</f>
        <v>No</v>
      </c>
    </row>
    <row r="29" spans="1:20" ht="15.75" customHeight="1" x14ac:dyDescent="0.3">
      <c r="A29" s="4">
        <v>1028</v>
      </c>
      <c r="B29" s="5" t="s">
        <v>88</v>
      </c>
      <c r="C29" s="6">
        <v>45171.384722222225</v>
      </c>
      <c r="D29" s="5" t="s">
        <v>14</v>
      </c>
      <c r="E29" s="5" t="s">
        <v>89</v>
      </c>
      <c r="F29" s="5" t="s">
        <v>24</v>
      </c>
      <c r="G29" s="5" t="s">
        <v>39</v>
      </c>
      <c r="H29" s="5">
        <v>165</v>
      </c>
      <c r="I29" s="5">
        <v>17</v>
      </c>
      <c r="J29" s="5" t="s">
        <v>18</v>
      </c>
      <c r="K29" s="5" t="s">
        <v>35</v>
      </c>
      <c r="L29" s="5" t="s">
        <v>40</v>
      </c>
      <c r="M29" s="7" t="s">
        <v>41</v>
      </c>
      <c r="N29" s="26">
        <f t="shared" si="0"/>
        <v>0</v>
      </c>
      <c r="O29" s="42">
        <f t="shared" si="1"/>
        <v>45171</v>
      </c>
      <c r="P29" s="5" t="str">
        <f t="shared" si="2"/>
        <v>Saturday</v>
      </c>
      <c r="Q29" s="5">
        <f t="shared" si="3"/>
        <v>9</v>
      </c>
      <c r="R29" s="28">
        <f t="shared" si="4"/>
        <v>0.90659340659340659</v>
      </c>
      <c r="S29" s="29">
        <f t="shared" si="5"/>
        <v>90.659340659340657</v>
      </c>
      <c r="T29" s="5" t="str">
        <f>IF(Delivery_Data[[#This Row],[Delays (min)]]&gt;0,"No","Yes")</f>
        <v>No</v>
      </c>
    </row>
    <row r="30" spans="1:20" ht="15.75" customHeight="1" x14ac:dyDescent="0.3">
      <c r="A30" s="4">
        <v>1029</v>
      </c>
      <c r="B30" s="5" t="s">
        <v>90</v>
      </c>
      <c r="C30" s="6">
        <v>45176.697916666664</v>
      </c>
      <c r="D30" s="5" t="s">
        <v>43</v>
      </c>
      <c r="E30" s="5" t="s">
        <v>91</v>
      </c>
      <c r="F30" s="5" t="s">
        <v>38</v>
      </c>
      <c r="G30" s="5" t="s">
        <v>17</v>
      </c>
      <c r="H30" s="5">
        <v>196</v>
      </c>
      <c r="I30" s="5">
        <v>13</v>
      </c>
      <c r="J30" s="5" t="s">
        <v>32</v>
      </c>
      <c r="K30" s="5" t="s">
        <v>19</v>
      </c>
      <c r="L30" s="5" t="s">
        <v>28</v>
      </c>
      <c r="M30" s="7" t="s">
        <v>41</v>
      </c>
      <c r="N30" s="26">
        <f t="shared" si="0"/>
        <v>-1</v>
      </c>
      <c r="O30" s="42">
        <f t="shared" si="1"/>
        <v>45176</v>
      </c>
      <c r="P30" s="5" t="str">
        <f t="shared" si="2"/>
        <v>Thursday</v>
      </c>
      <c r="Q30" s="5">
        <f t="shared" si="3"/>
        <v>16</v>
      </c>
      <c r="R30" s="28">
        <f t="shared" si="4"/>
        <v>0.93779904306220097</v>
      </c>
      <c r="S30" s="29">
        <f t="shared" si="5"/>
        <v>93.779904306220089</v>
      </c>
      <c r="T30" s="5" t="str">
        <f>IF(Delivery_Data[[#This Row],[Delays (min)]]&gt;0,"No","Yes")</f>
        <v>No</v>
      </c>
    </row>
    <row r="31" spans="1:20" ht="15.75" customHeight="1" x14ac:dyDescent="0.3">
      <c r="A31" s="4">
        <v>1030</v>
      </c>
      <c r="B31" s="5" t="s">
        <v>92</v>
      </c>
      <c r="C31" s="6">
        <v>45170.557638888888</v>
      </c>
      <c r="D31" s="5" t="s">
        <v>43</v>
      </c>
      <c r="E31" s="5" t="s">
        <v>93</v>
      </c>
      <c r="F31" s="5" t="s">
        <v>16</v>
      </c>
      <c r="G31" s="5" t="s">
        <v>31</v>
      </c>
      <c r="H31" s="5">
        <v>80</v>
      </c>
      <c r="I31" s="5">
        <v>28</v>
      </c>
      <c r="J31" s="5" t="s">
        <v>32</v>
      </c>
      <c r="K31" s="5" t="s">
        <v>45</v>
      </c>
      <c r="L31" s="5" t="s">
        <v>20</v>
      </c>
      <c r="M31" s="7" t="s">
        <v>41</v>
      </c>
      <c r="N31" s="26">
        <f t="shared" si="0"/>
        <v>-1</v>
      </c>
      <c r="O31" s="42">
        <f t="shared" si="1"/>
        <v>45170</v>
      </c>
      <c r="P31" s="5" t="str">
        <f t="shared" si="2"/>
        <v>Friday</v>
      </c>
      <c r="Q31" s="5">
        <f t="shared" si="3"/>
        <v>13</v>
      </c>
      <c r="R31" s="28">
        <f t="shared" si="4"/>
        <v>0.7407407407407407</v>
      </c>
      <c r="S31" s="29">
        <f t="shared" si="5"/>
        <v>74.074074074074076</v>
      </c>
      <c r="T31" s="5" t="str">
        <f>IF(Delivery_Data[[#This Row],[Delays (min)]]&gt;0,"No","Yes")</f>
        <v>No</v>
      </c>
    </row>
    <row r="32" spans="1:20" ht="15.75" customHeight="1" x14ac:dyDescent="0.3">
      <c r="A32" s="4">
        <v>1031</v>
      </c>
      <c r="B32" s="5" t="s">
        <v>94</v>
      </c>
      <c r="C32" s="6">
        <v>45174.647916666669</v>
      </c>
      <c r="D32" s="5" t="s">
        <v>43</v>
      </c>
      <c r="E32" s="5" t="s">
        <v>95</v>
      </c>
      <c r="F32" s="5" t="s">
        <v>38</v>
      </c>
      <c r="G32" s="5" t="s">
        <v>31</v>
      </c>
      <c r="H32" s="5">
        <v>126</v>
      </c>
      <c r="I32" s="5">
        <v>2</v>
      </c>
      <c r="J32" s="5" t="s">
        <v>26</v>
      </c>
      <c r="K32" s="5" t="s">
        <v>45</v>
      </c>
      <c r="L32" s="5" t="s">
        <v>40</v>
      </c>
      <c r="M32" s="7" t="s">
        <v>41</v>
      </c>
      <c r="N32" s="26">
        <f t="shared" si="0"/>
        <v>1</v>
      </c>
      <c r="O32" s="42">
        <f t="shared" si="1"/>
        <v>45174</v>
      </c>
      <c r="P32" s="5" t="str">
        <f t="shared" si="2"/>
        <v>Tuesday</v>
      </c>
      <c r="Q32" s="5">
        <f t="shared" si="3"/>
        <v>15</v>
      </c>
      <c r="R32" s="28">
        <f t="shared" si="4"/>
        <v>0.984375</v>
      </c>
      <c r="S32" s="29">
        <f t="shared" si="5"/>
        <v>98.4375</v>
      </c>
      <c r="T32" s="5" t="str">
        <f>IF(Delivery_Data[[#This Row],[Delays (min)]]&gt;0,"No","Yes")</f>
        <v>No</v>
      </c>
    </row>
    <row r="33" spans="1:20" ht="15.75" customHeight="1" x14ac:dyDescent="0.3">
      <c r="A33" s="4">
        <v>1032</v>
      </c>
      <c r="B33" s="5" t="s">
        <v>96</v>
      </c>
      <c r="C33" s="6">
        <v>45175.620833333334</v>
      </c>
      <c r="D33" s="5" t="s">
        <v>14</v>
      </c>
      <c r="E33" s="5" t="s">
        <v>97</v>
      </c>
      <c r="F33" s="5" t="s">
        <v>38</v>
      </c>
      <c r="G33" s="5" t="s">
        <v>39</v>
      </c>
      <c r="H33" s="5">
        <v>162</v>
      </c>
      <c r="I33" s="5">
        <v>28</v>
      </c>
      <c r="J33" s="5" t="s">
        <v>26</v>
      </c>
      <c r="K33" s="5" t="s">
        <v>49</v>
      </c>
      <c r="L33" s="5" t="s">
        <v>20</v>
      </c>
      <c r="M33" s="7" t="s">
        <v>21</v>
      </c>
      <c r="N33" s="26">
        <f t="shared" si="0"/>
        <v>1</v>
      </c>
      <c r="O33" s="42">
        <f t="shared" si="1"/>
        <v>45175</v>
      </c>
      <c r="P33" s="5" t="str">
        <f t="shared" si="2"/>
        <v>Wednesday</v>
      </c>
      <c r="Q33" s="5">
        <f t="shared" si="3"/>
        <v>14</v>
      </c>
      <c r="R33" s="28">
        <f t="shared" si="4"/>
        <v>0.85263157894736841</v>
      </c>
      <c r="S33" s="29">
        <f t="shared" si="5"/>
        <v>85.263157894736835</v>
      </c>
      <c r="T33" s="5" t="str">
        <f>IF(Delivery_Data[[#This Row],[Delays (min)]]&gt;0,"No","Yes")</f>
        <v>No</v>
      </c>
    </row>
    <row r="34" spans="1:20" ht="15.75" customHeight="1" x14ac:dyDescent="0.3">
      <c r="A34" s="4">
        <v>1033</v>
      </c>
      <c r="B34" s="5" t="s">
        <v>98</v>
      </c>
      <c r="C34" s="6">
        <v>45175.36041666667</v>
      </c>
      <c r="D34" s="5" t="s">
        <v>43</v>
      </c>
      <c r="E34" s="5" t="s">
        <v>99</v>
      </c>
      <c r="F34" s="5" t="s">
        <v>16</v>
      </c>
      <c r="G34" s="5" t="s">
        <v>25</v>
      </c>
      <c r="H34" s="5">
        <v>172</v>
      </c>
      <c r="I34" s="5">
        <v>20</v>
      </c>
      <c r="J34" s="5" t="s">
        <v>18</v>
      </c>
      <c r="K34" s="5" t="s">
        <v>35</v>
      </c>
      <c r="L34" s="5" t="s">
        <v>20</v>
      </c>
      <c r="M34" s="7" t="s">
        <v>46</v>
      </c>
      <c r="N34" s="26">
        <f t="shared" si="0"/>
        <v>0</v>
      </c>
      <c r="O34" s="42">
        <f t="shared" si="1"/>
        <v>45175</v>
      </c>
      <c r="P34" s="5" t="str">
        <f t="shared" si="2"/>
        <v>Wednesday</v>
      </c>
      <c r="Q34" s="5">
        <f t="shared" si="3"/>
        <v>8</v>
      </c>
      <c r="R34" s="28">
        <f t="shared" si="4"/>
        <v>0.89583333333333337</v>
      </c>
      <c r="S34" s="29">
        <f t="shared" si="5"/>
        <v>89.583333333333343</v>
      </c>
      <c r="T34" s="5" t="str">
        <f>IF(Delivery_Data[[#This Row],[Delays (min)]]&gt;0,"No","Yes")</f>
        <v>No</v>
      </c>
    </row>
    <row r="35" spans="1:20" ht="15.75" customHeight="1" x14ac:dyDescent="0.3">
      <c r="A35" s="4">
        <v>1034</v>
      </c>
      <c r="B35" s="5" t="s">
        <v>100</v>
      </c>
      <c r="C35" s="6">
        <v>45174.65902777778</v>
      </c>
      <c r="D35" s="5" t="s">
        <v>43</v>
      </c>
      <c r="E35" s="5" t="s">
        <v>101</v>
      </c>
      <c r="F35" s="5" t="s">
        <v>38</v>
      </c>
      <c r="G35" s="5" t="s">
        <v>39</v>
      </c>
      <c r="H35" s="5">
        <v>215</v>
      </c>
      <c r="I35" s="5">
        <v>26</v>
      </c>
      <c r="J35" s="5" t="s">
        <v>26</v>
      </c>
      <c r="K35" s="5" t="s">
        <v>35</v>
      </c>
      <c r="L35" s="5" t="s">
        <v>28</v>
      </c>
      <c r="M35" s="7" t="s">
        <v>41</v>
      </c>
      <c r="N35" s="26">
        <f t="shared" si="0"/>
        <v>1</v>
      </c>
      <c r="O35" s="42">
        <f t="shared" si="1"/>
        <v>45174</v>
      </c>
      <c r="P35" s="5" t="str">
        <f t="shared" si="2"/>
        <v>Tuesday</v>
      </c>
      <c r="Q35" s="5">
        <f t="shared" si="3"/>
        <v>15</v>
      </c>
      <c r="R35" s="28">
        <f t="shared" si="4"/>
        <v>0.89211618257261416</v>
      </c>
      <c r="S35" s="29">
        <f t="shared" si="5"/>
        <v>89.211618257261421</v>
      </c>
      <c r="T35" s="5" t="str">
        <f>IF(Delivery_Data[[#This Row],[Delays (min)]]&gt;0,"No","Yes")</f>
        <v>No</v>
      </c>
    </row>
    <row r="36" spans="1:20" ht="15.75" customHeight="1" x14ac:dyDescent="0.3">
      <c r="A36" s="4">
        <v>1035</v>
      </c>
      <c r="B36" s="5" t="s">
        <v>102</v>
      </c>
      <c r="C36" s="6">
        <v>45170.509722222225</v>
      </c>
      <c r="D36" s="5" t="s">
        <v>14</v>
      </c>
      <c r="E36" s="5" t="s">
        <v>103</v>
      </c>
      <c r="F36" s="5" t="s">
        <v>38</v>
      </c>
      <c r="G36" s="5" t="s">
        <v>56</v>
      </c>
      <c r="H36" s="5">
        <v>64</v>
      </c>
      <c r="I36" s="5">
        <v>6</v>
      </c>
      <c r="J36" s="5" t="s">
        <v>18</v>
      </c>
      <c r="K36" s="5" t="s">
        <v>49</v>
      </c>
      <c r="L36" s="5" t="s">
        <v>20</v>
      </c>
      <c r="M36" s="7" t="s">
        <v>46</v>
      </c>
      <c r="N36" s="26">
        <f t="shared" si="0"/>
        <v>0</v>
      </c>
      <c r="O36" s="42">
        <f t="shared" si="1"/>
        <v>45170</v>
      </c>
      <c r="P36" s="5" t="str">
        <f t="shared" si="2"/>
        <v>Friday</v>
      </c>
      <c r="Q36" s="5">
        <f t="shared" si="3"/>
        <v>12</v>
      </c>
      <c r="R36" s="28">
        <f t="shared" si="4"/>
        <v>0.91428571428571426</v>
      </c>
      <c r="S36" s="29">
        <f t="shared" si="5"/>
        <v>91.428571428571431</v>
      </c>
      <c r="T36" s="5" t="str">
        <f>IF(Delivery_Data[[#This Row],[Delays (min)]]&gt;0,"No","Yes")</f>
        <v>No</v>
      </c>
    </row>
    <row r="37" spans="1:20" ht="15.75" customHeight="1" x14ac:dyDescent="0.3">
      <c r="A37" s="4">
        <v>1036</v>
      </c>
      <c r="B37" s="5" t="s">
        <v>104</v>
      </c>
      <c r="C37" s="6">
        <v>45171.47152777778</v>
      </c>
      <c r="D37" s="5" t="s">
        <v>14</v>
      </c>
      <c r="E37" s="5" t="s">
        <v>97</v>
      </c>
      <c r="F37" s="5" t="s">
        <v>38</v>
      </c>
      <c r="G37" s="5" t="s">
        <v>39</v>
      </c>
      <c r="H37" s="5">
        <v>182</v>
      </c>
      <c r="I37" s="5">
        <v>15</v>
      </c>
      <c r="J37" s="5" t="s">
        <v>18</v>
      </c>
      <c r="K37" s="5" t="s">
        <v>45</v>
      </c>
      <c r="L37" s="5" t="s">
        <v>20</v>
      </c>
      <c r="M37" s="7" t="s">
        <v>21</v>
      </c>
      <c r="N37" s="26">
        <f t="shared" si="0"/>
        <v>0</v>
      </c>
      <c r="O37" s="42">
        <f t="shared" si="1"/>
        <v>45171</v>
      </c>
      <c r="P37" s="5" t="str">
        <f t="shared" si="2"/>
        <v>Saturday</v>
      </c>
      <c r="Q37" s="5">
        <f t="shared" si="3"/>
        <v>11</v>
      </c>
      <c r="R37" s="28">
        <f t="shared" si="4"/>
        <v>0.92385786802030456</v>
      </c>
      <c r="S37" s="29">
        <f t="shared" si="5"/>
        <v>92.385786802030452</v>
      </c>
      <c r="T37" s="5" t="str">
        <f>IF(Delivery_Data[[#This Row],[Delays (min)]]&gt;0,"No","Yes")</f>
        <v>No</v>
      </c>
    </row>
    <row r="38" spans="1:20" ht="15.75" customHeight="1" x14ac:dyDescent="0.3">
      <c r="A38" s="4">
        <v>1037</v>
      </c>
      <c r="B38" s="5" t="s">
        <v>105</v>
      </c>
      <c r="C38" s="6">
        <v>45171.702777777777</v>
      </c>
      <c r="D38" s="5" t="s">
        <v>43</v>
      </c>
      <c r="E38" s="5" t="s">
        <v>106</v>
      </c>
      <c r="F38" s="5" t="s">
        <v>24</v>
      </c>
      <c r="G38" s="5" t="s">
        <v>31</v>
      </c>
      <c r="H38" s="5">
        <v>134</v>
      </c>
      <c r="I38" s="5">
        <v>18</v>
      </c>
      <c r="J38" s="5" t="s">
        <v>32</v>
      </c>
      <c r="K38" s="5" t="s">
        <v>45</v>
      </c>
      <c r="L38" s="5" t="s">
        <v>40</v>
      </c>
      <c r="M38" s="7" t="s">
        <v>21</v>
      </c>
      <c r="N38" s="26">
        <f t="shared" si="0"/>
        <v>-1</v>
      </c>
      <c r="O38" s="42">
        <f t="shared" si="1"/>
        <v>45171</v>
      </c>
      <c r="P38" s="5" t="str">
        <f t="shared" si="2"/>
        <v>Saturday</v>
      </c>
      <c r="Q38" s="5">
        <f t="shared" si="3"/>
        <v>16</v>
      </c>
      <c r="R38" s="28">
        <f t="shared" si="4"/>
        <v>0.88157894736842102</v>
      </c>
      <c r="S38" s="29">
        <f t="shared" si="5"/>
        <v>88.157894736842096</v>
      </c>
      <c r="T38" s="5" t="str">
        <f>IF(Delivery_Data[[#This Row],[Delays (min)]]&gt;0,"No","Yes")</f>
        <v>No</v>
      </c>
    </row>
    <row r="39" spans="1:20" ht="15.75" customHeight="1" x14ac:dyDescent="0.3">
      <c r="A39" s="4">
        <v>1038</v>
      </c>
      <c r="B39" s="5" t="s">
        <v>107</v>
      </c>
      <c r="C39" s="6">
        <v>45177.415277777778</v>
      </c>
      <c r="D39" s="5" t="s">
        <v>43</v>
      </c>
      <c r="E39" s="5" t="s">
        <v>55</v>
      </c>
      <c r="F39" s="5" t="s">
        <v>16</v>
      </c>
      <c r="G39" s="5" t="s">
        <v>31</v>
      </c>
      <c r="H39" s="5">
        <v>95</v>
      </c>
      <c r="I39" s="5">
        <v>22</v>
      </c>
      <c r="J39" s="5" t="s">
        <v>32</v>
      </c>
      <c r="K39" s="5" t="s">
        <v>35</v>
      </c>
      <c r="L39" s="5" t="s">
        <v>28</v>
      </c>
      <c r="M39" s="7" t="s">
        <v>21</v>
      </c>
      <c r="N39" s="26">
        <f t="shared" si="0"/>
        <v>-1</v>
      </c>
      <c r="O39" s="42">
        <f t="shared" si="1"/>
        <v>45177</v>
      </c>
      <c r="P39" s="5" t="str">
        <f t="shared" si="2"/>
        <v>Friday</v>
      </c>
      <c r="Q39" s="5">
        <f t="shared" si="3"/>
        <v>9</v>
      </c>
      <c r="R39" s="28">
        <f t="shared" si="4"/>
        <v>0.81196581196581197</v>
      </c>
      <c r="S39" s="29">
        <f t="shared" si="5"/>
        <v>81.196581196581192</v>
      </c>
      <c r="T39" s="5" t="str">
        <f>IF(Delivery_Data[[#This Row],[Delays (min)]]&gt;0,"No","Yes")</f>
        <v>No</v>
      </c>
    </row>
    <row r="40" spans="1:20" ht="15.75" customHeight="1" x14ac:dyDescent="0.3">
      <c r="A40" s="4">
        <v>1039</v>
      </c>
      <c r="B40" s="5" t="s">
        <v>108</v>
      </c>
      <c r="C40" s="6">
        <v>45170.631944444445</v>
      </c>
      <c r="D40" s="5" t="s">
        <v>14</v>
      </c>
      <c r="E40" s="5" t="s">
        <v>109</v>
      </c>
      <c r="F40" s="5" t="s">
        <v>16</v>
      </c>
      <c r="G40" s="5" t="s">
        <v>25</v>
      </c>
      <c r="H40" s="5">
        <v>110</v>
      </c>
      <c r="I40" s="5">
        <v>7</v>
      </c>
      <c r="J40" s="5" t="s">
        <v>18</v>
      </c>
      <c r="K40" s="5" t="s">
        <v>45</v>
      </c>
      <c r="L40" s="5" t="s">
        <v>40</v>
      </c>
      <c r="M40" s="7" t="s">
        <v>46</v>
      </c>
      <c r="N40" s="26">
        <f t="shared" si="0"/>
        <v>0</v>
      </c>
      <c r="O40" s="42">
        <f t="shared" si="1"/>
        <v>45170</v>
      </c>
      <c r="P40" s="5" t="str">
        <f t="shared" si="2"/>
        <v>Friday</v>
      </c>
      <c r="Q40" s="5">
        <f t="shared" si="3"/>
        <v>15</v>
      </c>
      <c r="R40" s="28">
        <f t="shared" si="4"/>
        <v>0.94017094017094016</v>
      </c>
      <c r="S40" s="29">
        <f t="shared" si="5"/>
        <v>94.01709401709401</v>
      </c>
      <c r="T40" s="5" t="str">
        <f>IF(Delivery_Data[[#This Row],[Delays (min)]]&gt;0,"No","Yes")</f>
        <v>No</v>
      </c>
    </row>
    <row r="41" spans="1:20" ht="15.75" customHeight="1" x14ac:dyDescent="0.3">
      <c r="A41" s="4">
        <v>1040</v>
      </c>
      <c r="B41" s="5" t="s">
        <v>110</v>
      </c>
      <c r="C41" s="6">
        <v>45175.481249999997</v>
      </c>
      <c r="D41" s="5" t="s">
        <v>14</v>
      </c>
      <c r="E41" s="5" t="s">
        <v>111</v>
      </c>
      <c r="F41" s="5" t="s">
        <v>24</v>
      </c>
      <c r="G41" s="5" t="s">
        <v>31</v>
      </c>
      <c r="H41" s="5">
        <v>103</v>
      </c>
      <c r="I41" s="5">
        <v>9</v>
      </c>
      <c r="J41" s="5" t="s">
        <v>18</v>
      </c>
      <c r="K41" s="5" t="s">
        <v>45</v>
      </c>
      <c r="L41" s="5" t="s">
        <v>40</v>
      </c>
      <c r="M41" s="7" t="s">
        <v>41</v>
      </c>
      <c r="N41" s="26">
        <f t="shared" si="0"/>
        <v>0</v>
      </c>
      <c r="O41" s="42">
        <f t="shared" si="1"/>
        <v>45175</v>
      </c>
      <c r="P41" s="5" t="str">
        <f t="shared" si="2"/>
        <v>Wednesday</v>
      </c>
      <c r="Q41" s="5">
        <f t="shared" si="3"/>
        <v>11</v>
      </c>
      <c r="R41" s="28">
        <f t="shared" si="4"/>
        <v>0.9196428571428571</v>
      </c>
      <c r="S41" s="29">
        <f t="shared" si="5"/>
        <v>91.964285714285708</v>
      </c>
      <c r="T41" s="5" t="str">
        <f>IF(Delivery_Data[[#This Row],[Delays (min)]]&gt;0,"No","Yes")</f>
        <v>No</v>
      </c>
    </row>
    <row r="42" spans="1:20" ht="15.75" customHeight="1" x14ac:dyDescent="0.3">
      <c r="A42" s="4">
        <v>1041</v>
      </c>
      <c r="B42" s="5" t="s">
        <v>112</v>
      </c>
      <c r="C42" s="6">
        <v>45170.470138888886</v>
      </c>
      <c r="D42" s="5" t="s">
        <v>14</v>
      </c>
      <c r="E42" s="5" t="s">
        <v>113</v>
      </c>
      <c r="F42" s="5" t="s">
        <v>38</v>
      </c>
      <c r="G42" s="5" t="s">
        <v>17</v>
      </c>
      <c r="H42" s="5">
        <v>166</v>
      </c>
      <c r="I42" s="5">
        <v>5</v>
      </c>
      <c r="J42" s="5" t="s">
        <v>18</v>
      </c>
      <c r="K42" s="5" t="s">
        <v>49</v>
      </c>
      <c r="L42" s="5" t="s">
        <v>40</v>
      </c>
      <c r="M42" s="7" t="s">
        <v>21</v>
      </c>
      <c r="N42" s="26">
        <f t="shared" si="0"/>
        <v>0</v>
      </c>
      <c r="O42" s="42">
        <f t="shared" si="1"/>
        <v>45170</v>
      </c>
      <c r="P42" s="5" t="str">
        <f t="shared" si="2"/>
        <v>Friday</v>
      </c>
      <c r="Q42" s="5">
        <f t="shared" si="3"/>
        <v>11</v>
      </c>
      <c r="R42" s="28">
        <f t="shared" si="4"/>
        <v>0.9707602339181286</v>
      </c>
      <c r="S42" s="29">
        <f t="shared" si="5"/>
        <v>97.076023391812853</v>
      </c>
      <c r="T42" s="5" t="str">
        <f>IF(Delivery_Data[[#This Row],[Delays (min)]]&gt;0,"No","Yes")</f>
        <v>No</v>
      </c>
    </row>
    <row r="43" spans="1:20" ht="15.75" customHeight="1" x14ac:dyDescent="0.3">
      <c r="A43" s="4">
        <v>1042</v>
      </c>
      <c r="B43" s="5" t="s">
        <v>114</v>
      </c>
      <c r="C43" s="6">
        <v>45175.411805555559</v>
      </c>
      <c r="D43" s="5" t="s">
        <v>14</v>
      </c>
      <c r="E43" s="5" t="s">
        <v>115</v>
      </c>
      <c r="F43" s="5" t="s">
        <v>16</v>
      </c>
      <c r="G43" s="5" t="s">
        <v>17</v>
      </c>
      <c r="H43" s="5">
        <v>168</v>
      </c>
      <c r="I43" s="5">
        <v>20</v>
      </c>
      <c r="J43" s="5" t="s">
        <v>18</v>
      </c>
      <c r="K43" s="5" t="s">
        <v>35</v>
      </c>
      <c r="L43" s="5" t="s">
        <v>20</v>
      </c>
      <c r="M43" s="7" t="s">
        <v>21</v>
      </c>
      <c r="N43" s="26">
        <f t="shared" si="0"/>
        <v>0</v>
      </c>
      <c r="O43" s="42">
        <f t="shared" si="1"/>
        <v>45175</v>
      </c>
      <c r="P43" s="5" t="str">
        <f t="shared" si="2"/>
        <v>Wednesday</v>
      </c>
      <c r="Q43" s="5">
        <f t="shared" si="3"/>
        <v>9</v>
      </c>
      <c r="R43" s="28">
        <f t="shared" si="4"/>
        <v>0.8936170212765957</v>
      </c>
      <c r="S43" s="29">
        <f t="shared" si="5"/>
        <v>89.361702127659569</v>
      </c>
      <c r="T43" s="5" t="str">
        <f>IF(Delivery_Data[[#This Row],[Delays (min)]]&gt;0,"No","Yes")</f>
        <v>No</v>
      </c>
    </row>
    <row r="44" spans="1:20" ht="15.75" customHeight="1" x14ac:dyDescent="0.3">
      <c r="A44" s="4">
        <v>1043</v>
      </c>
      <c r="B44" s="5" t="s">
        <v>116</v>
      </c>
      <c r="C44" s="6">
        <v>45174.475694444445</v>
      </c>
      <c r="D44" s="5" t="s">
        <v>14</v>
      </c>
      <c r="E44" s="5" t="s">
        <v>85</v>
      </c>
      <c r="F44" s="5" t="s">
        <v>38</v>
      </c>
      <c r="G44" s="5" t="s">
        <v>31</v>
      </c>
      <c r="H44" s="5">
        <v>235</v>
      </c>
      <c r="I44" s="5">
        <v>0</v>
      </c>
      <c r="J44" s="5" t="s">
        <v>18</v>
      </c>
      <c r="K44" s="5" t="s">
        <v>45</v>
      </c>
      <c r="L44" s="5" t="s">
        <v>40</v>
      </c>
      <c r="M44" s="7" t="s">
        <v>21</v>
      </c>
      <c r="N44" s="26">
        <f t="shared" si="0"/>
        <v>0</v>
      </c>
      <c r="O44" s="42">
        <f t="shared" si="1"/>
        <v>45174</v>
      </c>
      <c r="P44" s="5" t="str">
        <f t="shared" si="2"/>
        <v>Tuesday</v>
      </c>
      <c r="Q44" s="5">
        <f t="shared" si="3"/>
        <v>11</v>
      </c>
      <c r="R44" s="28">
        <f t="shared" si="4"/>
        <v>1</v>
      </c>
      <c r="S44" s="29">
        <f t="shared" si="5"/>
        <v>100</v>
      </c>
      <c r="T44" s="5" t="str">
        <f>IF(Delivery_Data[[#This Row],[Delays (min)]]&gt;0,"No","Yes")</f>
        <v>Yes</v>
      </c>
    </row>
    <row r="45" spans="1:20" ht="15.75" customHeight="1" x14ac:dyDescent="0.3">
      <c r="A45" s="4">
        <v>1044</v>
      </c>
      <c r="B45" s="5" t="s">
        <v>117</v>
      </c>
      <c r="C45" s="6">
        <v>45174.388888888891</v>
      </c>
      <c r="D45" s="5" t="s">
        <v>14</v>
      </c>
      <c r="E45" s="5" t="s">
        <v>118</v>
      </c>
      <c r="F45" s="5" t="s">
        <v>38</v>
      </c>
      <c r="G45" s="5" t="s">
        <v>31</v>
      </c>
      <c r="H45" s="5">
        <v>114</v>
      </c>
      <c r="I45" s="5">
        <v>1</v>
      </c>
      <c r="J45" s="5" t="s">
        <v>32</v>
      </c>
      <c r="K45" s="5" t="s">
        <v>19</v>
      </c>
      <c r="L45" s="5" t="s">
        <v>40</v>
      </c>
      <c r="M45" s="7" t="s">
        <v>21</v>
      </c>
      <c r="N45" s="26">
        <f t="shared" si="0"/>
        <v>-1</v>
      </c>
      <c r="O45" s="42">
        <f t="shared" si="1"/>
        <v>45174</v>
      </c>
      <c r="P45" s="5" t="str">
        <f t="shared" si="2"/>
        <v>Tuesday</v>
      </c>
      <c r="Q45" s="5">
        <f t="shared" si="3"/>
        <v>9</v>
      </c>
      <c r="R45" s="28">
        <f t="shared" si="4"/>
        <v>0.99130434782608701</v>
      </c>
      <c r="S45" s="29">
        <f t="shared" si="5"/>
        <v>99.130434782608702</v>
      </c>
      <c r="T45" s="5" t="str">
        <f>IF(Delivery_Data[[#This Row],[Delays (min)]]&gt;0,"No","Yes")</f>
        <v>No</v>
      </c>
    </row>
    <row r="46" spans="1:20" ht="15.75" customHeight="1" x14ac:dyDescent="0.3">
      <c r="A46" s="4">
        <v>1045</v>
      </c>
      <c r="B46" s="5" t="s">
        <v>119</v>
      </c>
      <c r="C46" s="6">
        <v>45175.629166666666</v>
      </c>
      <c r="D46" s="5" t="s">
        <v>43</v>
      </c>
      <c r="E46" s="5" t="s">
        <v>120</v>
      </c>
      <c r="F46" s="5" t="s">
        <v>38</v>
      </c>
      <c r="G46" s="5" t="s">
        <v>39</v>
      </c>
      <c r="H46" s="5">
        <v>162</v>
      </c>
      <c r="I46" s="5">
        <v>22</v>
      </c>
      <c r="J46" s="5" t="s">
        <v>18</v>
      </c>
      <c r="K46" s="5" t="s">
        <v>45</v>
      </c>
      <c r="L46" s="5" t="s">
        <v>20</v>
      </c>
      <c r="M46" s="7" t="s">
        <v>21</v>
      </c>
      <c r="N46" s="26">
        <f t="shared" si="0"/>
        <v>0</v>
      </c>
      <c r="O46" s="42">
        <f t="shared" si="1"/>
        <v>45175</v>
      </c>
      <c r="P46" s="5" t="str">
        <f t="shared" si="2"/>
        <v>Wednesday</v>
      </c>
      <c r="Q46" s="5">
        <f t="shared" si="3"/>
        <v>15</v>
      </c>
      <c r="R46" s="28">
        <f t="shared" si="4"/>
        <v>0.88043478260869568</v>
      </c>
      <c r="S46" s="29">
        <f t="shared" si="5"/>
        <v>88.043478260869563</v>
      </c>
      <c r="T46" s="5" t="str">
        <f>IF(Delivery_Data[[#This Row],[Delays (min)]]&gt;0,"No","Yes")</f>
        <v>No</v>
      </c>
    </row>
    <row r="47" spans="1:20" ht="15.75" customHeight="1" x14ac:dyDescent="0.3">
      <c r="A47" s="4">
        <v>1046</v>
      </c>
      <c r="B47" s="5" t="s">
        <v>121</v>
      </c>
      <c r="C47" s="6">
        <v>45171.55</v>
      </c>
      <c r="D47" s="5" t="s">
        <v>14</v>
      </c>
      <c r="E47" s="5" t="s">
        <v>122</v>
      </c>
      <c r="F47" s="5" t="s">
        <v>16</v>
      </c>
      <c r="G47" s="5" t="s">
        <v>39</v>
      </c>
      <c r="H47" s="5">
        <v>94</v>
      </c>
      <c r="I47" s="5">
        <v>4</v>
      </c>
      <c r="J47" s="5" t="s">
        <v>32</v>
      </c>
      <c r="K47" s="5" t="s">
        <v>19</v>
      </c>
      <c r="L47" s="5" t="s">
        <v>20</v>
      </c>
      <c r="M47" s="7" t="s">
        <v>41</v>
      </c>
      <c r="N47" s="26">
        <f t="shared" si="0"/>
        <v>-1</v>
      </c>
      <c r="O47" s="42">
        <f t="shared" si="1"/>
        <v>45171</v>
      </c>
      <c r="P47" s="5" t="str">
        <f t="shared" si="2"/>
        <v>Saturday</v>
      </c>
      <c r="Q47" s="5">
        <f t="shared" si="3"/>
        <v>13</v>
      </c>
      <c r="R47" s="28">
        <f t="shared" si="4"/>
        <v>0.95918367346938771</v>
      </c>
      <c r="S47" s="29">
        <f t="shared" si="5"/>
        <v>95.918367346938766</v>
      </c>
      <c r="T47" s="5" t="str">
        <f>IF(Delivery_Data[[#This Row],[Delays (min)]]&gt;0,"No","Yes")</f>
        <v>No</v>
      </c>
    </row>
    <row r="48" spans="1:20" ht="15.75" customHeight="1" x14ac:dyDescent="0.3">
      <c r="A48" s="4">
        <v>1047</v>
      </c>
      <c r="B48" s="5" t="s">
        <v>123</v>
      </c>
      <c r="C48" s="6">
        <v>45172.490277777775</v>
      </c>
      <c r="D48" s="5" t="s">
        <v>14</v>
      </c>
      <c r="E48" s="5" t="s">
        <v>34</v>
      </c>
      <c r="F48" s="5" t="s">
        <v>16</v>
      </c>
      <c r="G48" s="5" t="s">
        <v>39</v>
      </c>
      <c r="H48" s="5">
        <v>123</v>
      </c>
      <c r="I48" s="5">
        <v>14</v>
      </c>
      <c r="J48" s="5" t="s">
        <v>18</v>
      </c>
      <c r="K48" s="5" t="s">
        <v>19</v>
      </c>
      <c r="L48" s="5" t="s">
        <v>40</v>
      </c>
      <c r="M48" s="7" t="s">
        <v>21</v>
      </c>
      <c r="N48" s="26">
        <f t="shared" si="0"/>
        <v>0</v>
      </c>
      <c r="O48" s="42">
        <f t="shared" si="1"/>
        <v>45172</v>
      </c>
      <c r="P48" s="5" t="str">
        <f t="shared" si="2"/>
        <v>Sunday</v>
      </c>
      <c r="Q48" s="5">
        <f t="shared" si="3"/>
        <v>11</v>
      </c>
      <c r="R48" s="28">
        <f t="shared" si="4"/>
        <v>0.8978102189781022</v>
      </c>
      <c r="S48" s="29">
        <f t="shared" si="5"/>
        <v>89.78102189781022</v>
      </c>
      <c r="T48" s="5" t="str">
        <f>IF(Delivery_Data[[#This Row],[Delays (min)]]&gt;0,"No","Yes")</f>
        <v>No</v>
      </c>
    </row>
    <row r="49" spans="1:20" ht="15.75" customHeight="1" x14ac:dyDescent="0.3">
      <c r="A49" s="4">
        <v>1048</v>
      </c>
      <c r="B49" s="5" t="s">
        <v>124</v>
      </c>
      <c r="C49" s="6">
        <v>45173.568749999999</v>
      </c>
      <c r="D49" s="5" t="s">
        <v>43</v>
      </c>
      <c r="E49" s="5" t="s">
        <v>58</v>
      </c>
      <c r="F49" s="5" t="s">
        <v>16</v>
      </c>
      <c r="G49" s="5" t="s">
        <v>56</v>
      </c>
      <c r="H49" s="5">
        <v>173</v>
      </c>
      <c r="I49" s="5">
        <v>8</v>
      </c>
      <c r="J49" s="5" t="s">
        <v>26</v>
      </c>
      <c r="K49" s="5" t="s">
        <v>49</v>
      </c>
      <c r="L49" s="5" t="s">
        <v>28</v>
      </c>
      <c r="M49" s="7" t="s">
        <v>21</v>
      </c>
      <c r="N49" s="26">
        <f t="shared" si="0"/>
        <v>1</v>
      </c>
      <c r="O49" s="42">
        <f t="shared" si="1"/>
        <v>45173</v>
      </c>
      <c r="P49" s="5" t="str">
        <f t="shared" si="2"/>
        <v>Monday</v>
      </c>
      <c r="Q49" s="5">
        <f t="shared" si="3"/>
        <v>13</v>
      </c>
      <c r="R49" s="28">
        <f t="shared" si="4"/>
        <v>0.95580110497237569</v>
      </c>
      <c r="S49" s="29">
        <f t="shared" si="5"/>
        <v>95.58011049723757</v>
      </c>
      <c r="T49" s="5" t="str">
        <f>IF(Delivery_Data[[#This Row],[Delays (min)]]&gt;0,"No","Yes")</f>
        <v>No</v>
      </c>
    </row>
    <row r="50" spans="1:20" ht="15.75" customHeight="1" x14ac:dyDescent="0.3">
      <c r="A50" s="4">
        <v>1049</v>
      </c>
      <c r="B50" s="5" t="s">
        <v>125</v>
      </c>
      <c r="C50" s="6">
        <v>45171.604166666664</v>
      </c>
      <c r="D50" s="5" t="s">
        <v>43</v>
      </c>
      <c r="E50" s="5" t="s">
        <v>126</v>
      </c>
      <c r="F50" s="5" t="s">
        <v>38</v>
      </c>
      <c r="G50" s="5" t="s">
        <v>31</v>
      </c>
      <c r="H50" s="5">
        <v>67</v>
      </c>
      <c r="I50" s="5">
        <v>14</v>
      </c>
      <c r="J50" s="5" t="s">
        <v>32</v>
      </c>
      <c r="K50" s="5" t="s">
        <v>27</v>
      </c>
      <c r="L50" s="5" t="s">
        <v>28</v>
      </c>
      <c r="M50" s="7" t="s">
        <v>46</v>
      </c>
      <c r="N50" s="26">
        <f t="shared" si="0"/>
        <v>-1</v>
      </c>
      <c r="O50" s="42">
        <f t="shared" si="1"/>
        <v>45171</v>
      </c>
      <c r="P50" s="5" t="str">
        <f t="shared" si="2"/>
        <v>Saturday</v>
      </c>
      <c r="Q50" s="5">
        <f t="shared" si="3"/>
        <v>14</v>
      </c>
      <c r="R50" s="28">
        <f t="shared" si="4"/>
        <v>0.8271604938271605</v>
      </c>
      <c r="S50" s="29">
        <f t="shared" si="5"/>
        <v>82.716049382716051</v>
      </c>
      <c r="T50" s="5" t="str">
        <f>IF(Delivery_Data[[#This Row],[Delays (min)]]&gt;0,"No","Yes")</f>
        <v>No</v>
      </c>
    </row>
    <row r="51" spans="1:20" ht="15.75" customHeight="1" x14ac:dyDescent="0.3">
      <c r="A51" s="4">
        <v>1050</v>
      </c>
      <c r="B51" s="5" t="s">
        <v>127</v>
      </c>
      <c r="C51" s="6">
        <v>45176.493750000001</v>
      </c>
      <c r="D51" s="5" t="s">
        <v>43</v>
      </c>
      <c r="E51" s="5" t="s">
        <v>128</v>
      </c>
      <c r="F51" s="5" t="s">
        <v>16</v>
      </c>
      <c r="G51" s="5" t="s">
        <v>25</v>
      </c>
      <c r="H51" s="5">
        <v>94</v>
      </c>
      <c r="I51" s="5">
        <v>15</v>
      </c>
      <c r="J51" s="5" t="s">
        <v>32</v>
      </c>
      <c r="K51" s="5" t="s">
        <v>19</v>
      </c>
      <c r="L51" s="5" t="s">
        <v>20</v>
      </c>
      <c r="M51" s="7" t="s">
        <v>21</v>
      </c>
      <c r="N51" s="26">
        <f t="shared" si="0"/>
        <v>-1</v>
      </c>
      <c r="O51" s="42">
        <f t="shared" si="1"/>
        <v>45176</v>
      </c>
      <c r="P51" s="5" t="str">
        <f t="shared" si="2"/>
        <v>Thursday</v>
      </c>
      <c r="Q51" s="5">
        <f t="shared" si="3"/>
        <v>11</v>
      </c>
      <c r="R51" s="28">
        <f t="shared" si="4"/>
        <v>0.86238532110091748</v>
      </c>
      <c r="S51" s="29">
        <f t="shared" si="5"/>
        <v>86.238532110091754</v>
      </c>
      <c r="T51" s="5" t="str">
        <f>IF(Delivery_Data[[#This Row],[Delays (min)]]&gt;0,"No","Yes")</f>
        <v>No</v>
      </c>
    </row>
    <row r="52" spans="1:20" ht="15.75" customHeight="1" x14ac:dyDescent="0.3">
      <c r="A52" s="4">
        <v>1051</v>
      </c>
      <c r="B52" s="5" t="s">
        <v>129</v>
      </c>
      <c r="C52" s="6">
        <v>45175.662499999999</v>
      </c>
      <c r="D52" s="5" t="s">
        <v>14</v>
      </c>
      <c r="E52" s="5" t="s">
        <v>130</v>
      </c>
      <c r="F52" s="5" t="s">
        <v>24</v>
      </c>
      <c r="G52" s="5" t="s">
        <v>17</v>
      </c>
      <c r="H52" s="5">
        <v>104</v>
      </c>
      <c r="I52" s="5">
        <v>19</v>
      </c>
      <c r="J52" s="5" t="s">
        <v>32</v>
      </c>
      <c r="K52" s="5" t="s">
        <v>45</v>
      </c>
      <c r="L52" s="5" t="s">
        <v>28</v>
      </c>
      <c r="M52" s="7" t="s">
        <v>21</v>
      </c>
      <c r="N52" s="26">
        <f t="shared" si="0"/>
        <v>-1</v>
      </c>
      <c r="O52" s="42">
        <f t="shared" si="1"/>
        <v>45175</v>
      </c>
      <c r="P52" s="5" t="str">
        <f t="shared" si="2"/>
        <v>Wednesday</v>
      </c>
      <c r="Q52" s="5">
        <f t="shared" si="3"/>
        <v>15</v>
      </c>
      <c r="R52" s="28">
        <f t="shared" si="4"/>
        <v>0.84552845528455289</v>
      </c>
      <c r="S52" s="29">
        <f t="shared" si="5"/>
        <v>84.552845528455293</v>
      </c>
      <c r="T52" s="5" t="str">
        <f>IF(Delivery_Data[[#This Row],[Delays (min)]]&gt;0,"No","Yes")</f>
        <v>No</v>
      </c>
    </row>
    <row r="53" spans="1:20" ht="15.75" customHeight="1" x14ac:dyDescent="0.3">
      <c r="A53" s="4">
        <v>1052</v>
      </c>
      <c r="B53" s="5" t="s">
        <v>131</v>
      </c>
      <c r="C53" s="6">
        <v>45174.334027777775</v>
      </c>
      <c r="D53" s="5" t="s">
        <v>43</v>
      </c>
      <c r="E53" s="5" t="s">
        <v>132</v>
      </c>
      <c r="F53" s="5" t="s">
        <v>38</v>
      </c>
      <c r="G53" s="5" t="s">
        <v>25</v>
      </c>
      <c r="H53" s="5">
        <v>204</v>
      </c>
      <c r="I53" s="5">
        <v>14</v>
      </c>
      <c r="J53" s="5" t="s">
        <v>26</v>
      </c>
      <c r="K53" s="5" t="s">
        <v>45</v>
      </c>
      <c r="L53" s="5" t="s">
        <v>28</v>
      </c>
      <c r="M53" s="7" t="s">
        <v>46</v>
      </c>
      <c r="N53" s="26">
        <f t="shared" si="0"/>
        <v>1</v>
      </c>
      <c r="O53" s="42">
        <f t="shared" si="1"/>
        <v>45174</v>
      </c>
      <c r="P53" s="5" t="str">
        <f t="shared" si="2"/>
        <v>Tuesday</v>
      </c>
      <c r="Q53" s="5">
        <f t="shared" si="3"/>
        <v>8</v>
      </c>
      <c r="R53" s="28">
        <f t="shared" si="4"/>
        <v>0.93577981651376152</v>
      </c>
      <c r="S53" s="29">
        <f t="shared" si="5"/>
        <v>93.577981651376149</v>
      </c>
      <c r="T53" s="5" t="str">
        <f>IF(Delivery_Data[[#This Row],[Delays (min)]]&gt;0,"No","Yes")</f>
        <v>No</v>
      </c>
    </row>
    <row r="54" spans="1:20" ht="15.75" customHeight="1" x14ac:dyDescent="0.3">
      <c r="A54" s="4">
        <v>1053</v>
      </c>
      <c r="B54" s="5" t="s">
        <v>133</v>
      </c>
      <c r="C54" s="6">
        <v>45171.447222222225</v>
      </c>
      <c r="D54" s="5" t="s">
        <v>43</v>
      </c>
      <c r="E54" s="5" t="s">
        <v>109</v>
      </c>
      <c r="F54" s="5" t="s">
        <v>24</v>
      </c>
      <c r="G54" s="5" t="s">
        <v>56</v>
      </c>
      <c r="H54" s="5">
        <v>66</v>
      </c>
      <c r="I54" s="5">
        <v>13</v>
      </c>
      <c r="J54" s="5" t="s">
        <v>18</v>
      </c>
      <c r="K54" s="5" t="s">
        <v>45</v>
      </c>
      <c r="L54" s="5" t="s">
        <v>20</v>
      </c>
      <c r="M54" s="7" t="s">
        <v>41</v>
      </c>
      <c r="N54" s="26">
        <f t="shared" si="0"/>
        <v>0</v>
      </c>
      <c r="O54" s="42">
        <f t="shared" si="1"/>
        <v>45171</v>
      </c>
      <c r="P54" s="5" t="str">
        <f t="shared" si="2"/>
        <v>Saturday</v>
      </c>
      <c r="Q54" s="5">
        <f t="shared" si="3"/>
        <v>10</v>
      </c>
      <c r="R54" s="28">
        <f t="shared" si="4"/>
        <v>0.83544303797468356</v>
      </c>
      <c r="S54" s="29">
        <f t="shared" si="5"/>
        <v>83.544303797468359</v>
      </c>
      <c r="T54" s="5" t="str">
        <f>IF(Delivery_Data[[#This Row],[Delays (min)]]&gt;0,"No","Yes")</f>
        <v>No</v>
      </c>
    </row>
    <row r="55" spans="1:20" ht="15.75" customHeight="1" x14ac:dyDescent="0.3">
      <c r="A55" s="4">
        <v>1054</v>
      </c>
      <c r="B55" s="5" t="s">
        <v>134</v>
      </c>
      <c r="C55" s="6">
        <v>45171.53402777778</v>
      </c>
      <c r="D55" s="5" t="s">
        <v>43</v>
      </c>
      <c r="E55" s="5" t="s">
        <v>135</v>
      </c>
      <c r="F55" s="5" t="s">
        <v>16</v>
      </c>
      <c r="G55" s="5" t="s">
        <v>17</v>
      </c>
      <c r="H55" s="5">
        <v>162</v>
      </c>
      <c r="I55" s="5">
        <v>12</v>
      </c>
      <c r="J55" s="5" t="s">
        <v>26</v>
      </c>
      <c r="K55" s="5" t="s">
        <v>45</v>
      </c>
      <c r="L55" s="5" t="s">
        <v>20</v>
      </c>
      <c r="M55" s="7" t="s">
        <v>41</v>
      </c>
      <c r="N55" s="26">
        <f t="shared" si="0"/>
        <v>1</v>
      </c>
      <c r="O55" s="42">
        <f t="shared" si="1"/>
        <v>45171</v>
      </c>
      <c r="P55" s="5" t="str">
        <f t="shared" si="2"/>
        <v>Saturday</v>
      </c>
      <c r="Q55" s="5">
        <f t="shared" si="3"/>
        <v>12</v>
      </c>
      <c r="R55" s="28">
        <f t="shared" si="4"/>
        <v>0.93103448275862066</v>
      </c>
      <c r="S55" s="29">
        <f t="shared" si="5"/>
        <v>93.103448275862064</v>
      </c>
      <c r="T55" s="5" t="str">
        <f>IF(Delivery_Data[[#This Row],[Delays (min)]]&gt;0,"No","Yes")</f>
        <v>No</v>
      </c>
    </row>
    <row r="56" spans="1:20" ht="15.75" customHeight="1" x14ac:dyDescent="0.3">
      <c r="A56" s="4">
        <v>1055</v>
      </c>
      <c r="B56" s="5" t="s">
        <v>136</v>
      </c>
      <c r="C56" s="6">
        <v>45175.367361111108</v>
      </c>
      <c r="D56" s="5" t="s">
        <v>43</v>
      </c>
      <c r="E56" s="5" t="s">
        <v>128</v>
      </c>
      <c r="F56" s="5" t="s">
        <v>24</v>
      </c>
      <c r="G56" s="5" t="s">
        <v>39</v>
      </c>
      <c r="H56" s="5">
        <v>239</v>
      </c>
      <c r="I56" s="5">
        <v>24</v>
      </c>
      <c r="J56" s="5" t="s">
        <v>26</v>
      </c>
      <c r="K56" s="5" t="s">
        <v>27</v>
      </c>
      <c r="L56" s="5" t="s">
        <v>40</v>
      </c>
      <c r="M56" s="7" t="s">
        <v>21</v>
      </c>
      <c r="N56" s="26">
        <f t="shared" si="0"/>
        <v>1</v>
      </c>
      <c r="O56" s="42">
        <f t="shared" si="1"/>
        <v>45175</v>
      </c>
      <c r="P56" s="5" t="str">
        <f t="shared" si="2"/>
        <v>Wednesday</v>
      </c>
      <c r="Q56" s="5">
        <f t="shared" si="3"/>
        <v>8</v>
      </c>
      <c r="R56" s="28">
        <f t="shared" si="4"/>
        <v>0.90874524714828897</v>
      </c>
      <c r="S56" s="29">
        <f t="shared" si="5"/>
        <v>90.874524714828894</v>
      </c>
      <c r="T56" s="5" t="str">
        <f>IF(Delivery_Data[[#This Row],[Delays (min)]]&gt;0,"No","Yes")</f>
        <v>No</v>
      </c>
    </row>
    <row r="57" spans="1:20" ht="15.75" customHeight="1" x14ac:dyDescent="0.3">
      <c r="A57" s="4">
        <v>1056</v>
      </c>
      <c r="B57" s="5" t="s">
        <v>137</v>
      </c>
      <c r="C57" s="6">
        <v>45176.436805555553</v>
      </c>
      <c r="D57" s="5" t="s">
        <v>43</v>
      </c>
      <c r="E57" s="5" t="s">
        <v>44</v>
      </c>
      <c r="F57" s="5" t="s">
        <v>16</v>
      </c>
      <c r="G57" s="5" t="s">
        <v>56</v>
      </c>
      <c r="H57" s="5">
        <v>235</v>
      </c>
      <c r="I57" s="5">
        <v>23</v>
      </c>
      <c r="J57" s="5" t="s">
        <v>32</v>
      </c>
      <c r="K57" s="5" t="s">
        <v>19</v>
      </c>
      <c r="L57" s="5" t="s">
        <v>28</v>
      </c>
      <c r="M57" s="7" t="s">
        <v>46</v>
      </c>
      <c r="N57" s="26">
        <f t="shared" si="0"/>
        <v>-1</v>
      </c>
      <c r="O57" s="42">
        <f t="shared" si="1"/>
        <v>45176</v>
      </c>
      <c r="P57" s="5" t="str">
        <f t="shared" si="2"/>
        <v>Thursday</v>
      </c>
      <c r="Q57" s="5">
        <f t="shared" si="3"/>
        <v>10</v>
      </c>
      <c r="R57" s="28">
        <f t="shared" si="4"/>
        <v>0.91085271317829453</v>
      </c>
      <c r="S57" s="29">
        <f t="shared" si="5"/>
        <v>91.085271317829452</v>
      </c>
      <c r="T57" s="5" t="str">
        <f>IF(Delivery_Data[[#This Row],[Delays (min)]]&gt;0,"No","Yes")</f>
        <v>No</v>
      </c>
    </row>
    <row r="58" spans="1:20" ht="15.75" customHeight="1" x14ac:dyDescent="0.3">
      <c r="A58" s="4">
        <v>1057</v>
      </c>
      <c r="B58" s="5" t="s">
        <v>138</v>
      </c>
      <c r="C58" s="6">
        <v>45177.671527777777</v>
      </c>
      <c r="D58" s="5" t="s">
        <v>14</v>
      </c>
      <c r="E58" s="5" t="s">
        <v>99</v>
      </c>
      <c r="F58" s="5" t="s">
        <v>24</v>
      </c>
      <c r="G58" s="5" t="s">
        <v>56</v>
      </c>
      <c r="H58" s="5">
        <v>87</v>
      </c>
      <c r="I58" s="5">
        <v>5</v>
      </c>
      <c r="J58" s="5" t="s">
        <v>32</v>
      </c>
      <c r="K58" s="5" t="s">
        <v>19</v>
      </c>
      <c r="L58" s="5" t="s">
        <v>40</v>
      </c>
      <c r="M58" s="7" t="s">
        <v>46</v>
      </c>
      <c r="N58" s="26">
        <f t="shared" si="0"/>
        <v>-1</v>
      </c>
      <c r="O58" s="42">
        <f t="shared" si="1"/>
        <v>45177</v>
      </c>
      <c r="P58" s="5" t="str">
        <f t="shared" si="2"/>
        <v>Friday</v>
      </c>
      <c r="Q58" s="5">
        <f t="shared" si="3"/>
        <v>16</v>
      </c>
      <c r="R58" s="28">
        <f t="shared" si="4"/>
        <v>0.94565217391304346</v>
      </c>
      <c r="S58" s="29">
        <f t="shared" si="5"/>
        <v>94.565217391304344</v>
      </c>
      <c r="T58" s="5" t="str">
        <f>IF(Delivery_Data[[#This Row],[Delays (min)]]&gt;0,"No","Yes")</f>
        <v>No</v>
      </c>
    </row>
    <row r="59" spans="1:20" ht="15.75" customHeight="1" x14ac:dyDescent="0.3">
      <c r="A59" s="4">
        <v>1058</v>
      </c>
      <c r="B59" s="5" t="s">
        <v>139</v>
      </c>
      <c r="C59" s="6">
        <v>45172.668749999997</v>
      </c>
      <c r="D59" s="5" t="s">
        <v>43</v>
      </c>
      <c r="E59" s="5" t="s">
        <v>140</v>
      </c>
      <c r="F59" s="5" t="s">
        <v>24</v>
      </c>
      <c r="G59" s="5" t="s">
        <v>31</v>
      </c>
      <c r="H59" s="5">
        <v>214</v>
      </c>
      <c r="I59" s="5">
        <v>0</v>
      </c>
      <c r="J59" s="5" t="s">
        <v>26</v>
      </c>
      <c r="K59" s="5" t="s">
        <v>45</v>
      </c>
      <c r="L59" s="5" t="s">
        <v>20</v>
      </c>
      <c r="M59" s="7" t="s">
        <v>46</v>
      </c>
      <c r="N59" s="26">
        <f t="shared" si="0"/>
        <v>1</v>
      </c>
      <c r="O59" s="42">
        <f t="shared" si="1"/>
        <v>45172</v>
      </c>
      <c r="P59" s="5" t="str">
        <f t="shared" si="2"/>
        <v>Sunday</v>
      </c>
      <c r="Q59" s="5">
        <f t="shared" si="3"/>
        <v>16</v>
      </c>
      <c r="R59" s="28">
        <f t="shared" si="4"/>
        <v>1</v>
      </c>
      <c r="S59" s="29">
        <f t="shared" si="5"/>
        <v>100</v>
      </c>
      <c r="T59" s="5" t="str">
        <f>IF(Delivery_Data[[#This Row],[Delays (min)]]&gt;0,"No","Yes")</f>
        <v>Yes</v>
      </c>
    </row>
    <row r="60" spans="1:20" ht="15.75" customHeight="1" x14ac:dyDescent="0.3">
      <c r="A60" s="4">
        <v>1059</v>
      </c>
      <c r="B60" s="5" t="s">
        <v>141</v>
      </c>
      <c r="C60" s="6">
        <v>45174.625</v>
      </c>
      <c r="D60" s="5" t="s">
        <v>14</v>
      </c>
      <c r="E60" s="5" t="s">
        <v>126</v>
      </c>
      <c r="F60" s="5" t="s">
        <v>38</v>
      </c>
      <c r="G60" s="5" t="s">
        <v>56</v>
      </c>
      <c r="H60" s="5">
        <v>151</v>
      </c>
      <c r="I60" s="5">
        <v>23</v>
      </c>
      <c r="J60" s="5" t="s">
        <v>26</v>
      </c>
      <c r="K60" s="5" t="s">
        <v>19</v>
      </c>
      <c r="L60" s="5" t="s">
        <v>20</v>
      </c>
      <c r="M60" s="7" t="s">
        <v>46</v>
      </c>
      <c r="N60" s="26">
        <f t="shared" si="0"/>
        <v>1</v>
      </c>
      <c r="O60" s="42">
        <f t="shared" si="1"/>
        <v>45174</v>
      </c>
      <c r="P60" s="5" t="str">
        <f t="shared" si="2"/>
        <v>Tuesday</v>
      </c>
      <c r="Q60" s="5">
        <f t="shared" si="3"/>
        <v>15</v>
      </c>
      <c r="R60" s="28">
        <f t="shared" si="4"/>
        <v>0.86781609195402298</v>
      </c>
      <c r="S60" s="29">
        <f t="shared" si="5"/>
        <v>86.781609195402297</v>
      </c>
      <c r="T60" s="5" t="str">
        <f>IF(Delivery_Data[[#This Row],[Delays (min)]]&gt;0,"No","Yes")</f>
        <v>No</v>
      </c>
    </row>
    <row r="61" spans="1:20" ht="15.75" customHeight="1" x14ac:dyDescent="0.3">
      <c r="A61" s="4">
        <v>1060</v>
      </c>
      <c r="B61" s="5" t="s">
        <v>142</v>
      </c>
      <c r="C61" s="6">
        <v>45173.547222222223</v>
      </c>
      <c r="D61" s="5" t="s">
        <v>43</v>
      </c>
      <c r="E61" s="5" t="s">
        <v>143</v>
      </c>
      <c r="F61" s="5" t="s">
        <v>16</v>
      </c>
      <c r="G61" s="5" t="s">
        <v>31</v>
      </c>
      <c r="H61" s="5">
        <v>132</v>
      </c>
      <c r="I61" s="5">
        <v>11</v>
      </c>
      <c r="J61" s="5" t="s">
        <v>32</v>
      </c>
      <c r="K61" s="5" t="s">
        <v>45</v>
      </c>
      <c r="L61" s="5" t="s">
        <v>20</v>
      </c>
      <c r="M61" s="7" t="s">
        <v>21</v>
      </c>
      <c r="N61" s="26">
        <f t="shared" si="0"/>
        <v>-1</v>
      </c>
      <c r="O61" s="42">
        <f t="shared" si="1"/>
        <v>45173</v>
      </c>
      <c r="P61" s="5" t="str">
        <f t="shared" si="2"/>
        <v>Monday</v>
      </c>
      <c r="Q61" s="5">
        <f t="shared" si="3"/>
        <v>13</v>
      </c>
      <c r="R61" s="28">
        <f t="shared" si="4"/>
        <v>0.92307692307692313</v>
      </c>
      <c r="S61" s="29">
        <f t="shared" si="5"/>
        <v>92.307692307692307</v>
      </c>
      <c r="T61" s="5" t="str">
        <f>IF(Delivery_Data[[#This Row],[Delays (min)]]&gt;0,"No","Yes")</f>
        <v>No</v>
      </c>
    </row>
    <row r="62" spans="1:20" ht="15.75" customHeight="1" x14ac:dyDescent="0.3">
      <c r="A62" s="4">
        <v>1061</v>
      </c>
      <c r="B62" s="5" t="s">
        <v>144</v>
      </c>
      <c r="C62" s="6">
        <v>45175.689583333333</v>
      </c>
      <c r="D62" s="5" t="s">
        <v>14</v>
      </c>
      <c r="E62" s="5" t="s">
        <v>87</v>
      </c>
      <c r="F62" s="5" t="s">
        <v>16</v>
      </c>
      <c r="G62" s="5" t="s">
        <v>56</v>
      </c>
      <c r="H62" s="5">
        <v>163</v>
      </c>
      <c r="I62" s="5">
        <v>25</v>
      </c>
      <c r="J62" s="5" t="s">
        <v>18</v>
      </c>
      <c r="K62" s="5" t="s">
        <v>27</v>
      </c>
      <c r="L62" s="5" t="s">
        <v>40</v>
      </c>
      <c r="M62" s="7" t="s">
        <v>21</v>
      </c>
      <c r="N62" s="26">
        <f t="shared" si="0"/>
        <v>0</v>
      </c>
      <c r="O62" s="42">
        <f t="shared" si="1"/>
        <v>45175</v>
      </c>
      <c r="P62" s="5" t="str">
        <f t="shared" si="2"/>
        <v>Wednesday</v>
      </c>
      <c r="Q62" s="5">
        <f t="shared" si="3"/>
        <v>16</v>
      </c>
      <c r="R62" s="28">
        <f t="shared" si="4"/>
        <v>0.86702127659574468</v>
      </c>
      <c r="S62" s="29">
        <f t="shared" si="5"/>
        <v>86.702127659574472</v>
      </c>
      <c r="T62" s="5" t="str">
        <f>IF(Delivery_Data[[#This Row],[Delays (min)]]&gt;0,"No","Yes")</f>
        <v>No</v>
      </c>
    </row>
    <row r="63" spans="1:20" ht="15.75" customHeight="1" x14ac:dyDescent="0.3">
      <c r="A63" s="4">
        <v>1062</v>
      </c>
      <c r="B63" s="5" t="s">
        <v>145</v>
      </c>
      <c r="C63" s="6">
        <v>45172.590277777781</v>
      </c>
      <c r="D63" s="5" t="s">
        <v>43</v>
      </c>
      <c r="E63" s="5" t="s">
        <v>109</v>
      </c>
      <c r="F63" s="5" t="s">
        <v>38</v>
      </c>
      <c r="G63" s="5" t="s">
        <v>31</v>
      </c>
      <c r="H63" s="5">
        <v>76</v>
      </c>
      <c r="I63" s="5">
        <v>4</v>
      </c>
      <c r="J63" s="5" t="s">
        <v>18</v>
      </c>
      <c r="K63" s="5" t="s">
        <v>49</v>
      </c>
      <c r="L63" s="5" t="s">
        <v>28</v>
      </c>
      <c r="M63" s="7" t="s">
        <v>46</v>
      </c>
      <c r="N63" s="26">
        <f t="shared" si="0"/>
        <v>0</v>
      </c>
      <c r="O63" s="42">
        <f t="shared" si="1"/>
        <v>45172</v>
      </c>
      <c r="P63" s="5" t="str">
        <f t="shared" si="2"/>
        <v>Sunday</v>
      </c>
      <c r="Q63" s="5">
        <f t="shared" si="3"/>
        <v>14</v>
      </c>
      <c r="R63" s="28">
        <f t="shared" si="4"/>
        <v>0.95</v>
      </c>
      <c r="S63" s="29">
        <f t="shared" si="5"/>
        <v>95</v>
      </c>
      <c r="T63" s="5" t="str">
        <f>IF(Delivery_Data[[#This Row],[Delays (min)]]&gt;0,"No","Yes")</f>
        <v>No</v>
      </c>
    </row>
    <row r="64" spans="1:20" ht="15.75" customHeight="1" x14ac:dyDescent="0.3">
      <c r="A64" s="4">
        <v>1063</v>
      </c>
      <c r="B64" s="5" t="s">
        <v>146</v>
      </c>
      <c r="C64" s="6">
        <v>45176.565972222219</v>
      </c>
      <c r="D64" s="5" t="s">
        <v>43</v>
      </c>
      <c r="E64" s="5" t="s">
        <v>97</v>
      </c>
      <c r="F64" s="5" t="s">
        <v>38</v>
      </c>
      <c r="G64" s="5" t="s">
        <v>56</v>
      </c>
      <c r="H64" s="5">
        <v>64</v>
      </c>
      <c r="I64" s="5">
        <v>20</v>
      </c>
      <c r="J64" s="5" t="s">
        <v>18</v>
      </c>
      <c r="K64" s="5" t="s">
        <v>49</v>
      </c>
      <c r="L64" s="5" t="s">
        <v>40</v>
      </c>
      <c r="M64" s="7" t="s">
        <v>46</v>
      </c>
      <c r="N64" s="26">
        <f t="shared" si="0"/>
        <v>0</v>
      </c>
      <c r="O64" s="42">
        <f t="shared" si="1"/>
        <v>45176</v>
      </c>
      <c r="P64" s="5" t="str">
        <f t="shared" si="2"/>
        <v>Thursday</v>
      </c>
      <c r="Q64" s="5">
        <f t="shared" si="3"/>
        <v>13</v>
      </c>
      <c r="R64" s="28">
        <f t="shared" si="4"/>
        <v>0.76190476190476186</v>
      </c>
      <c r="S64" s="29">
        <f t="shared" si="5"/>
        <v>76.19047619047619</v>
      </c>
      <c r="T64" s="5" t="str">
        <f>IF(Delivery_Data[[#This Row],[Delays (min)]]&gt;0,"No","Yes")</f>
        <v>No</v>
      </c>
    </row>
    <row r="65" spans="1:20" ht="15.75" customHeight="1" x14ac:dyDescent="0.3">
      <c r="A65" s="4">
        <v>1064</v>
      </c>
      <c r="B65" s="5" t="s">
        <v>147</v>
      </c>
      <c r="C65" s="6">
        <v>45175.585416666669</v>
      </c>
      <c r="D65" s="5" t="s">
        <v>14</v>
      </c>
      <c r="E65" s="5" t="s">
        <v>109</v>
      </c>
      <c r="F65" s="5" t="s">
        <v>38</v>
      </c>
      <c r="G65" s="5" t="s">
        <v>56</v>
      </c>
      <c r="H65" s="5">
        <v>129</v>
      </c>
      <c r="I65" s="5">
        <v>2</v>
      </c>
      <c r="J65" s="5" t="s">
        <v>18</v>
      </c>
      <c r="K65" s="5" t="s">
        <v>19</v>
      </c>
      <c r="L65" s="5" t="s">
        <v>20</v>
      </c>
      <c r="M65" s="7" t="s">
        <v>21</v>
      </c>
      <c r="N65" s="26">
        <f t="shared" si="0"/>
        <v>0</v>
      </c>
      <c r="O65" s="42">
        <f t="shared" si="1"/>
        <v>45175</v>
      </c>
      <c r="P65" s="5" t="str">
        <f t="shared" si="2"/>
        <v>Wednesday</v>
      </c>
      <c r="Q65" s="5">
        <f t="shared" si="3"/>
        <v>14</v>
      </c>
      <c r="R65" s="28">
        <f t="shared" si="4"/>
        <v>0.98473282442748089</v>
      </c>
      <c r="S65" s="29">
        <f t="shared" si="5"/>
        <v>98.473282442748086</v>
      </c>
      <c r="T65" s="5" t="str">
        <f>IF(Delivery_Data[[#This Row],[Delays (min)]]&gt;0,"No","Yes")</f>
        <v>No</v>
      </c>
    </row>
    <row r="66" spans="1:20" ht="15.75" customHeight="1" x14ac:dyDescent="0.3">
      <c r="A66" s="4">
        <v>1065</v>
      </c>
      <c r="B66" s="5" t="s">
        <v>148</v>
      </c>
      <c r="C66" s="6">
        <v>45177.68472222222</v>
      </c>
      <c r="D66" s="5" t="s">
        <v>43</v>
      </c>
      <c r="E66" s="5" t="s">
        <v>149</v>
      </c>
      <c r="F66" s="5" t="s">
        <v>24</v>
      </c>
      <c r="G66" s="5" t="s">
        <v>25</v>
      </c>
      <c r="H66" s="5">
        <v>238</v>
      </c>
      <c r="I66" s="5">
        <v>7</v>
      </c>
      <c r="J66" s="5" t="s">
        <v>18</v>
      </c>
      <c r="K66" s="5" t="s">
        <v>35</v>
      </c>
      <c r="L66" s="5" t="s">
        <v>20</v>
      </c>
      <c r="M66" s="7" t="s">
        <v>46</v>
      </c>
      <c r="N66" s="26">
        <f t="shared" ref="N66:N129" si="6">IF(J66="Positive",1,IF(J66="Neutral",0,IF(J66="Negative",-1,"")))</f>
        <v>0</v>
      </c>
      <c r="O66" s="42">
        <f t="shared" ref="O66:O129" si="7">INT(C66)</f>
        <v>45177</v>
      </c>
      <c r="P66" s="5" t="str">
        <f t="shared" ref="P66:P129" si="8">TEXT(C66,"dddd")</f>
        <v>Friday</v>
      </c>
      <c r="Q66" s="5">
        <f t="shared" ref="Q66:Q129" si="9">HOUR(C66)</f>
        <v>16</v>
      </c>
      <c r="R66" s="28">
        <f t="shared" ref="R66:R129" si="10">H66/(H66+I66)</f>
        <v>0.97142857142857142</v>
      </c>
      <c r="S66" s="29">
        <f t="shared" si="5"/>
        <v>97.142857142857139</v>
      </c>
      <c r="T66" s="5" t="str">
        <f>IF(Delivery_Data[[#This Row],[Delays (min)]]&gt;0,"No","Yes")</f>
        <v>No</v>
      </c>
    </row>
    <row r="67" spans="1:20" ht="15.75" customHeight="1" x14ac:dyDescent="0.3">
      <c r="A67" s="4">
        <v>1066</v>
      </c>
      <c r="B67" s="5" t="s">
        <v>150</v>
      </c>
      <c r="C67" s="6">
        <v>45174.686111111114</v>
      </c>
      <c r="D67" s="5" t="s">
        <v>43</v>
      </c>
      <c r="E67" s="5" t="s">
        <v>151</v>
      </c>
      <c r="F67" s="5" t="s">
        <v>38</v>
      </c>
      <c r="G67" s="5" t="s">
        <v>56</v>
      </c>
      <c r="H67" s="5">
        <v>203</v>
      </c>
      <c r="I67" s="5">
        <v>20</v>
      </c>
      <c r="J67" s="5" t="s">
        <v>26</v>
      </c>
      <c r="K67" s="5" t="s">
        <v>45</v>
      </c>
      <c r="L67" s="5" t="s">
        <v>20</v>
      </c>
      <c r="M67" s="7" t="s">
        <v>21</v>
      </c>
      <c r="N67" s="26">
        <f t="shared" si="6"/>
        <v>1</v>
      </c>
      <c r="O67" s="42">
        <f t="shared" si="7"/>
        <v>45174</v>
      </c>
      <c r="P67" s="5" t="str">
        <f t="shared" si="8"/>
        <v>Tuesday</v>
      </c>
      <c r="Q67" s="5">
        <f t="shared" si="9"/>
        <v>16</v>
      </c>
      <c r="R67" s="28">
        <f t="shared" si="10"/>
        <v>0.91031390134529144</v>
      </c>
      <c r="S67" s="29">
        <f t="shared" ref="S67:S130" si="11">IF(H67+I67=0,0,(H67/(H67+I67))*100) + (IFERROR(--J67,0)*10)</f>
        <v>91.031390134529147</v>
      </c>
      <c r="T67" s="5" t="str">
        <f>IF(Delivery_Data[[#This Row],[Delays (min)]]&gt;0,"No","Yes")</f>
        <v>No</v>
      </c>
    </row>
    <row r="68" spans="1:20" ht="15.75" customHeight="1" x14ac:dyDescent="0.3">
      <c r="A68" s="4">
        <v>1067</v>
      </c>
      <c r="B68" s="5" t="s">
        <v>152</v>
      </c>
      <c r="C68" s="6">
        <v>45172.538194444445</v>
      </c>
      <c r="D68" s="5" t="s">
        <v>14</v>
      </c>
      <c r="E68" s="5" t="s">
        <v>15</v>
      </c>
      <c r="F68" s="5" t="s">
        <v>16</v>
      </c>
      <c r="G68" s="5" t="s">
        <v>56</v>
      </c>
      <c r="H68" s="5">
        <v>230</v>
      </c>
      <c r="I68" s="5">
        <v>8</v>
      </c>
      <c r="J68" s="5" t="s">
        <v>32</v>
      </c>
      <c r="K68" s="5" t="s">
        <v>19</v>
      </c>
      <c r="L68" s="5" t="s">
        <v>40</v>
      </c>
      <c r="M68" s="7" t="s">
        <v>21</v>
      </c>
      <c r="N68" s="26">
        <f t="shared" si="6"/>
        <v>-1</v>
      </c>
      <c r="O68" s="42">
        <f t="shared" si="7"/>
        <v>45172</v>
      </c>
      <c r="P68" s="5" t="str">
        <f t="shared" si="8"/>
        <v>Sunday</v>
      </c>
      <c r="Q68" s="5">
        <f t="shared" si="9"/>
        <v>12</v>
      </c>
      <c r="R68" s="28">
        <f t="shared" si="10"/>
        <v>0.96638655462184875</v>
      </c>
      <c r="S68" s="29">
        <f t="shared" si="11"/>
        <v>96.638655462184872</v>
      </c>
      <c r="T68" s="5" t="str">
        <f>IF(Delivery_Data[[#This Row],[Delays (min)]]&gt;0,"No","Yes")</f>
        <v>No</v>
      </c>
    </row>
    <row r="69" spans="1:20" ht="15.75" customHeight="1" x14ac:dyDescent="0.3">
      <c r="A69" s="4">
        <v>1068</v>
      </c>
      <c r="B69" s="5" t="s">
        <v>153</v>
      </c>
      <c r="C69" s="6">
        <v>45175.438194444447</v>
      </c>
      <c r="D69" s="5" t="s">
        <v>14</v>
      </c>
      <c r="E69" s="5" t="s">
        <v>154</v>
      </c>
      <c r="F69" s="5" t="s">
        <v>16</v>
      </c>
      <c r="G69" s="5" t="s">
        <v>56</v>
      </c>
      <c r="H69" s="5">
        <v>231</v>
      </c>
      <c r="I69" s="5">
        <v>12</v>
      </c>
      <c r="J69" s="5" t="s">
        <v>32</v>
      </c>
      <c r="K69" s="5" t="s">
        <v>27</v>
      </c>
      <c r="L69" s="5" t="s">
        <v>20</v>
      </c>
      <c r="M69" s="7" t="s">
        <v>46</v>
      </c>
      <c r="N69" s="26">
        <f t="shared" si="6"/>
        <v>-1</v>
      </c>
      <c r="O69" s="42">
        <f t="shared" si="7"/>
        <v>45175</v>
      </c>
      <c r="P69" s="5" t="str">
        <f t="shared" si="8"/>
        <v>Wednesday</v>
      </c>
      <c r="Q69" s="5">
        <f t="shared" si="9"/>
        <v>10</v>
      </c>
      <c r="R69" s="28">
        <f t="shared" si="10"/>
        <v>0.95061728395061729</v>
      </c>
      <c r="S69" s="29">
        <f t="shared" si="11"/>
        <v>95.061728395061735</v>
      </c>
      <c r="T69" s="5" t="str">
        <f>IF(Delivery_Data[[#This Row],[Delays (min)]]&gt;0,"No","Yes")</f>
        <v>No</v>
      </c>
    </row>
    <row r="70" spans="1:20" ht="15.75" customHeight="1" x14ac:dyDescent="0.3">
      <c r="A70" s="4">
        <v>1069</v>
      </c>
      <c r="B70" s="5" t="s">
        <v>155</v>
      </c>
      <c r="C70" s="6">
        <v>45174.681250000001</v>
      </c>
      <c r="D70" s="5" t="s">
        <v>43</v>
      </c>
      <c r="E70" s="5" t="s">
        <v>156</v>
      </c>
      <c r="F70" s="5" t="s">
        <v>38</v>
      </c>
      <c r="G70" s="5" t="s">
        <v>31</v>
      </c>
      <c r="H70" s="5">
        <v>72</v>
      </c>
      <c r="I70" s="5">
        <v>0</v>
      </c>
      <c r="J70" s="5" t="s">
        <v>18</v>
      </c>
      <c r="K70" s="5" t="s">
        <v>49</v>
      </c>
      <c r="L70" s="5" t="s">
        <v>20</v>
      </c>
      <c r="M70" s="7" t="s">
        <v>46</v>
      </c>
      <c r="N70" s="26">
        <f t="shared" si="6"/>
        <v>0</v>
      </c>
      <c r="O70" s="42">
        <f t="shared" si="7"/>
        <v>45174</v>
      </c>
      <c r="P70" s="5" t="str">
        <f t="shared" si="8"/>
        <v>Tuesday</v>
      </c>
      <c r="Q70" s="5">
        <f t="shared" si="9"/>
        <v>16</v>
      </c>
      <c r="R70" s="28">
        <f t="shared" si="10"/>
        <v>1</v>
      </c>
      <c r="S70" s="29">
        <f t="shared" si="11"/>
        <v>100</v>
      </c>
      <c r="T70" s="5" t="str">
        <f>IF(Delivery_Data[[#This Row],[Delays (min)]]&gt;0,"No","Yes")</f>
        <v>Yes</v>
      </c>
    </row>
    <row r="71" spans="1:20" ht="15.75" customHeight="1" x14ac:dyDescent="0.3">
      <c r="A71" s="4">
        <v>1070</v>
      </c>
      <c r="B71" s="5" t="s">
        <v>157</v>
      </c>
      <c r="C71" s="6">
        <v>45175.694444444445</v>
      </c>
      <c r="D71" s="5" t="s">
        <v>14</v>
      </c>
      <c r="E71" s="5" t="s">
        <v>158</v>
      </c>
      <c r="F71" s="5" t="s">
        <v>16</v>
      </c>
      <c r="G71" s="5" t="s">
        <v>25</v>
      </c>
      <c r="H71" s="5">
        <v>172</v>
      </c>
      <c r="I71" s="5">
        <v>6</v>
      </c>
      <c r="J71" s="5" t="s">
        <v>32</v>
      </c>
      <c r="K71" s="5" t="s">
        <v>27</v>
      </c>
      <c r="L71" s="5" t="s">
        <v>28</v>
      </c>
      <c r="M71" s="7" t="s">
        <v>41</v>
      </c>
      <c r="N71" s="26">
        <f t="shared" si="6"/>
        <v>-1</v>
      </c>
      <c r="O71" s="42">
        <f t="shared" si="7"/>
        <v>45175</v>
      </c>
      <c r="P71" s="5" t="str">
        <f t="shared" si="8"/>
        <v>Wednesday</v>
      </c>
      <c r="Q71" s="5">
        <f t="shared" si="9"/>
        <v>16</v>
      </c>
      <c r="R71" s="28">
        <f t="shared" si="10"/>
        <v>0.9662921348314607</v>
      </c>
      <c r="S71" s="29">
        <f t="shared" si="11"/>
        <v>96.629213483146074</v>
      </c>
      <c r="T71" s="5" t="str">
        <f>IF(Delivery_Data[[#This Row],[Delays (min)]]&gt;0,"No","Yes")</f>
        <v>No</v>
      </c>
    </row>
    <row r="72" spans="1:20" ht="15.75" customHeight="1" x14ac:dyDescent="0.3">
      <c r="A72" s="4">
        <v>1071</v>
      </c>
      <c r="B72" s="5" t="s">
        <v>159</v>
      </c>
      <c r="C72" s="6">
        <v>45175.599305555559</v>
      </c>
      <c r="D72" s="5" t="s">
        <v>43</v>
      </c>
      <c r="E72" s="5" t="s">
        <v>160</v>
      </c>
      <c r="F72" s="5" t="s">
        <v>38</v>
      </c>
      <c r="G72" s="5" t="s">
        <v>25</v>
      </c>
      <c r="H72" s="5">
        <v>188</v>
      </c>
      <c r="I72" s="5">
        <v>21</v>
      </c>
      <c r="J72" s="5" t="s">
        <v>32</v>
      </c>
      <c r="K72" s="5" t="s">
        <v>45</v>
      </c>
      <c r="L72" s="5" t="s">
        <v>20</v>
      </c>
      <c r="M72" s="7" t="s">
        <v>21</v>
      </c>
      <c r="N72" s="26">
        <f t="shared" si="6"/>
        <v>-1</v>
      </c>
      <c r="O72" s="42">
        <f t="shared" si="7"/>
        <v>45175</v>
      </c>
      <c r="P72" s="5" t="str">
        <f t="shared" si="8"/>
        <v>Wednesday</v>
      </c>
      <c r="Q72" s="5">
        <f t="shared" si="9"/>
        <v>14</v>
      </c>
      <c r="R72" s="28">
        <f t="shared" si="10"/>
        <v>0.8995215311004785</v>
      </c>
      <c r="S72" s="29">
        <f t="shared" si="11"/>
        <v>89.952153110047846</v>
      </c>
      <c r="T72" s="5" t="str">
        <f>IF(Delivery_Data[[#This Row],[Delays (min)]]&gt;0,"No","Yes")</f>
        <v>No</v>
      </c>
    </row>
    <row r="73" spans="1:20" ht="15.75" customHeight="1" x14ac:dyDescent="0.3">
      <c r="A73" s="4">
        <v>1072</v>
      </c>
      <c r="B73" s="5" t="s">
        <v>161</v>
      </c>
      <c r="C73" s="6">
        <v>45172.507638888892</v>
      </c>
      <c r="D73" s="5" t="s">
        <v>14</v>
      </c>
      <c r="E73" s="5" t="s">
        <v>162</v>
      </c>
      <c r="F73" s="5" t="s">
        <v>24</v>
      </c>
      <c r="G73" s="5" t="s">
        <v>25</v>
      </c>
      <c r="H73" s="5">
        <v>67</v>
      </c>
      <c r="I73" s="5">
        <v>23</v>
      </c>
      <c r="J73" s="5" t="s">
        <v>26</v>
      </c>
      <c r="K73" s="5" t="s">
        <v>19</v>
      </c>
      <c r="L73" s="5" t="s">
        <v>20</v>
      </c>
      <c r="M73" s="7" t="s">
        <v>41</v>
      </c>
      <c r="N73" s="26">
        <f t="shared" si="6"/>
        <v>1</v>
      </c>
      <c r="O73" s="42">
        <f t="shared" si="7"/>
        <v>45172</v>
      </c>
      <c r="P73" s="5" t="str">
        <f t="shared" si="8"/>
        <v>Sunday</v>
      </c>
      <c r="Q73" s="5">
        <f t="shared" si="9"/>
        <v>12</v>
      </c>
      <c r="R73" s="28">
        <f t="shared" si="10"/>
        <v>0.74444444444444446</v>
      </c>
      <c r="S73" s="29">
        <f t="shared" si="11"/>
        <v>74.444444444444443</v>
      </c>
      <c r="T73" s="5" t="str">
        <f>IF(Delivery_Data[[#This Row],[Delays (min)]]&gt;0,"No","Yes")</f>
        <v>No</v>
      </c>
    </row>
    <row r="74" spans="1:20" ht="15.75" customHeight="1" x14ac:dyDescent="0.3">
      <c r="A74" s="4">
        <v>1073</v>
      </c>
      <c r="B74" s="5" t="s">
        <v>163</v>
      </c>
      <c r="C74" s="6">
        <v>45171.527083333334</v>
      </c>
      <c r="D74" s="5" t="s">
        <v>43</v>
      </c>
      <c r="E74" s="5" t="s">
        <v>164</v>
      </c>
      <c r="F74" s="5" t="s">
        <v>16</v>
      </c>
      <c r="G74" s="5" t="s">
        <v>31</v>
      </c>
      <c r="H74" s="5">
        <v>220</v>
      </c>
      <c r="I74" s="5">
        <v>17</v>
      </c>
      <c r="J74" s="5" t="s">
        <v>32</v>
      </c>
      <c r="K74" s="5" t="s">
        <v>49</v>
      </c>
      <c r="L74" s="5" t="s">
        <v>28</v>
      </c>
      <c r="M74" s="7" t="s">
        <v>41</v>
      </c>
      <c r="N74" s="26">
        <f t="shared" si="6"/>
        <v>-1</v>
      </c>
      <c r="O74" s="42">
        <f t="shared" si="7"/>
        <v>45171</v>
      </c>
      <c r="P74" s="5" t="str">
        <f t="shared" si="8"/>
        <v>Saturday</v>
      </c>
      <c r="Q74" s="5">
        <f t="shared" si="9"/>
        <v>12</v>
      </c>
      <c r="R74" s="28">
        <f t="shared" si="10"/>
        <v>0.92827004219409281</v>
      </c>
      <c r="S74" s="29">
        <f t="shared" si="11"/>
        <v>92.827004219409275</v>
      </c>
      <c r="T74" s="5" t="str">
        <f>IF(Delivery_Data[[#This Row],[Delays (min)]]&gt;0,"No","Yes")</f>
        <v>No</v>
      </c>
    </row>
    <row r="75" spans="1:20" ht="15.75" customHeight="1" x14ac:dyDescent="0.3">
      <c r="A75" s="4">
        <v>1074</v>
      </c>
      <c r="B75" s="5" t="s">
        <v>165</v>
      </c>
      <c r="C75" s="6">
        <v>45176.410416666666</v>
      </c>
      <c r="D75" s="5" t="s">
        <v>43</v>
      </c>
      <c r="E75" s="5" t="s">
        <v>166</v>
      </c>
      <c r="F75" s="5" t="s">
        <v>24</v>
      </c>
      <c r="G75" s="5" t="s">
        <v>39</v>
      </c>
      <c r="H75" s="5">
        <v>144</v>
      </c>
      <c r="I75" s="5">
        <v>8</v>
      </c>
      <c r="J75" s="5" t="s">
        <v>18</v>
      </c>
      <c r="K75" s="5" t="s">
        <v>19</v>
      </c>
      <c r="L75" s="5" t="s">
        <v>20</v>
      </c>
      <c r="M75" s="7" t="s">
        <v>41</v>
      </c>
      <c r="N75" s="26">
        <f t="shared" si="6"/>
        <v>0</v>
      </c>
      <c r="O75" s="42">
        <f t="shared" si="7"/>
        <v>45176</v>
      </c>
      <c r="P75" s="5" t="str">
        <f t="shared" si="8"/>
        <v>Thursday</v>
      </c>
      <c r="Q75" s="5">
        <f t="shared" si="9"/>
        <v>9</v>
      </c>
      <c r="R75" s="28">
        <f t="shared" si="10"/>
        <v>0.94736842105263153</v>
      </c>
      <c r="S75" s="29">
        <f t="shared" si="11"/>
        <v>94.73684210526315</v>
      </c>
      <c r="T75" s="5" t="str">
        <f>IF(Delivery_Data[[#This Row],[Delays (min)]]&gt;0,"No","Yes")</f>
        <v>No</v>
      </c>
    </row>
    <row r="76" spans="1:20" ht="15.75" customHeight="1" x14ac:dyDescent="0.3">
      <c r="A76" s="4">
        <v>1075</v>
      </c>
      <c r="B76" s="5" t="s">
        <v>167</v>
      </c>
      <c r="C76" s="6">
        <v>45172.542361111111</v>
      </c>
      <c r="D76" s="5" t="s">
        <v>43</v>
      </c>
      <c r="E76" s="5" t="s">
        <v>130</v>
      </c>
      <c r="F76" s="5" t="s">
        <v>24</v>
      </c>
      <c r="G76" s="5" t="s">
        <v>31</v>
      </c>
      <c r="H76" s="5">
        <v>200</v>
      </c>
      <c r="I76" s="5">
        <v>26</v>
      </c>
      <c r="J76" s="5" t="s">
        <v>26</v>
      </c>
      <c r="K76" s="5" t="s">
        <v>27</v>
      </c>
      <c r="L76" s="5" t="s">
        <v>20</v>
      </c>
      <c r="M76" s="7" t="s">
        <v>21</v>
      </c>
      <c r="N76" s="26">
        <f t="shared" si="6"/>
        <v>1</v>
      </c>
      <c r="O76" s="42">
        <f t="shared" si="7"/>
        <v>45172</v>
      </c>
      <c r="P76" s="5" t="str">
        <f t="shared" si="8"/>
        <v>Sunday</v>
      </c>
      <c r="Q76" s="5">
        <f t="shared" si="9"/>
        <v>13</v>
      </c>
      <c r="R76" s="28">
        <f t="shared" si="10"/>
        <v>0.88495575221238942</v>
      </c>
      <c r="S76" s="29">
        <f t="shared" si="11"/>
        <v>88.495575221238937</v>
      </c>
      <c r="T76" s="5" t="str">
        <f>IF(Delivery_Data[[#This Row],[Delays (min)]]&gt;0,"No","Yes")</f>
        <v>No</v>
      </c>
    </row>
    <row r="77" spans="1:20" ht="15.75" customHeight="1" x14ac:dyDescent="0.3">
      <c r="A77" s="4">
        <v>1076</v>
      </c>
      <c r="B77" s="5" t="s">
        <v>168</v>
      </c>
      <c r="C77" s="6">
        <v>45170.37222222222</v>
      </c>
      <c r="D77" s="5" t="s">
        <v>14</v>
      </c>
      <c r="E77" s="5" t="s">
        <v>169</v>
      </c>
      <c r="F77" s="5" t="s">
        <v>38</v>
      </c>
      <c r="G77" s="5" t="s">
        <v>31</v>
      </c>
      <c r="H77" s="5">
        <v>126</v>
      </c>
      <c r="I77" s="5">
        <v>7</v>
      </c>
      <c r="J77" s="5" t="s">
        <v>18</v>
      </c>
      <c r="K77" s="5" t="s">
        <v>35</v>
      </c>
      <c r="L77" s="5" t="s">
        <v>28</v>
      </c>
      <c r="M77" s="7" t="s">
        <v>41</v>
      </c>
      <c r="N77" s="26">
        <f t="shared" si="6"/>
        <v>0</v>
      </c>
      <c r="O77" s="42">
        <f t="shared" si="7"/>
        <v>45170</v>
      </c>
      <c r="P77" s="5" t="str">
        <f t="shared" si="8"/>
        <v>Friday</v>
      </c>
      <c r="Q77" s="5">
        <f t="shared" si="9"/>
        <v>8</v>
      </c>
      <c r="R77" s="28">
        <f t="shared" si="10"/>
        <v>0.94736842105263153</v>
      </c>
      <c r="S77" s="29">
        <f t="shared" si="11"/>
        <v>94.73684210526315</v>
      </c>
      <c r="T77" s="5" t="str">
        <f>IF(Delivery_Data[[#This Row],[Delays (min)]]&gt;0,"No","Yes")</f>
        <v>No</v>
      </c>
    </row>
    <row r="78" spans="1:20" ht="15.75" customHeight="1" x14ac:dyDescent="0.3">
      <c r="A78" s="4">
        <v>1077</v>
      </c>
      <c r="B78" s="5" t="s">
        <v>170</v>
      </c>
      <c r="C78" s="6">
        <v>45174.339583333334</v>
      </c>
      <c r="D78" s="5" t="s">
        <v>43</v>
      </c>
      <c r="E78" s="5" t="s">
        <v>171</v>
      </c>
      <c r="F78" s="5" t="s">
        <v>24</v>
      </c>
      <c r="G78" s="5" t="s">
        <v>17</v>
      </c>
      <c r="H78" s="5">
        <v>187</v>
      </c>
      <c r="I78" s="5">
        <v>21</v>
      </c>
      <c r="J78" s="5" t="s">
        <v>32</v>
      </c>
      <c r="K78" s="5" t="s">
        <v>19</v>
      </c>
      <c r="L78" s="5" t="s">
        <v>28</v>
      </c>
      <c r="M78" s="7" t="s">
        <v>41</v>
      </c>
      <c r="N78" s="26">
        <f t="shared" si="6"/>
        <v>-1</v>
      </c>
      <c r="O78" s="42">
        <f t="shared" si="7"/>
        <v>45174</v>
      </c>
      <c r="P78" s="5" t="str">
        <f t="shared" si="8"/>
        <v>Tuesday</v>
      </c>
      <c r="Q78" s="5">
        <f t="shared" si="9"/>
        <v>8</v>
      </c>
      <c r="R78" s="28">
        <f t="shared" si="10"/>
        <v>0.89903846153846156</v>
      </c>
      <c r="S78" s="29">
        <f t="shared" si="11"/>
        <v>89.90384615384616</v>
      </c>
      <c r="T78" s="5" t="str">
        <f>IF(Delivery_Data[[#This Row],[Delays (min)]]&gt;0,"No","Yes")</f>
        <v>No</v>
      </c>
    </row>
    <row r="79" spans="1:20" ht="15.75" customHeight="1" x14ac:dyDescent="0.3">
      <c r="A79" s="4">
        <v>1078</v>
      </c>
      <c r="B79" s="5" t="s">
        <v>172</v>
      </c>
      <c r="C79" s="6">
        <v>45173.569444444445</v>
      </c>
      <c r="D79" s="5" t="s">
        <v>43</v>
      </c>
      <c r="E79" s="5" t="s">
        <v>55</v>
      </c>
      <c r="F79" s="5" t="s">
        <v>16</v>
      </c>
      <c r="G79" s="5" t="s">
        <v>25</v>
      </c>
      <c r="H79" s="5">
        <v>232</v>
      </c>
      <c r="I79" s="5">
        <v>21</v>
      </c>
      <c r="J79" s="5" t="s">
        <v>26</v>
      </c>
      <c r="K79" s="5" t="s">
        <v>19</v>
      </c>
      <c r="L79" s="5" t="s">
        <v>28</v>
      </c>
      <c r="M79" s="7" t="s">
        <v>46</v>
      </c>
      <c r="N79" s="26">
        <f t="shared" si="6"/>
        <v>1</v>
      </c>
      <c r="O79" s="42">
        <f t="shared" si="7"/>
        <v>45173</v>
      </c>
      <c r="P79" s="5" t="str">
        <f t="shared" si="8"/>
        <v>Monday</v>
      </c>
      <c r="Q79" s="5">
        <f t="shared" si="9"/>
        <v>13</v>
      </c>
      <c r="R79" s="28">
        <f t="shared" si="10"/>
        <v>0.91699604743083007</v>
      </c>
      <c r="S79" s="29">
        <f t="shared" si="11"/>
        <v>91.699604743083</v>
      </c>
      <c r="T79" s="5" t="str">
        <f>IF(Delivery_Data[[#This Row],[Delays (min)]]&gt;0,"No","Yes")</f>
        <v>No</v>
      </c>
    </row>
    <row r="80" spans="1:20" ht="15.75" customHeight="1" x14ac:dyDescent="0.3">
      <c r="A80" s="4">
        <v>1079</v>
      </c>
      <c r="B80" s="5" t="s">
        <v>173</v>
      </c>
      <c r="C80" s="6">
        <v>45173.461111111108</v>
      </c>
      <c r="D80" s="5" t="s">
        <v>14</v>
      </c>
      <c r="E80" s="5" t="s">
        <v>171</v>
      </c>
      <c r="F80" s="5" t="s">
        <v>16</v>
      </c>
      <c r="G80" s="5" t="s">
        <v>31</v>
      </c>
      <c r="H80" s="5">
        <v>141</v>
      </c>
      <c r="I80" s="5">
        <v>22</v>
      </c>
      <c r="J80" s="5" t="s">
        <v>32</v>
      </c>
      <c r="K80" s="5" t="s">
        <v>19</v>
      </c>
      <c r="L80" s="5" t="s">
        <v>28</v>
      </c>
      <c r="M80" s="7" t="s">
        <v>46</v>
      </c>
      <c r="N80" s="26">
        <f t="shared" si="6"/>
        <v>-1</v>
      </c>
      <c r="O80" s="42">
        <f t="shared" si="7"/>
        <v>45173</v>
      </c>
      <c r="P80" s="5" t="str">
        <f t="shared" si="8"/>
        <v>Monday</v>
      </c>
      <c r="Q80" s="5">
        <f t="shared" si="9"/>
        <v>11</v>
      </c>
      <c r="R80" s="28">
        <f t="shared" si="10"/>
        <v>0.86503067484662577</v>
      </c>
      <c r="S80" s="29">
        <f t="shared" si="11"/>
        <v>86.50306748466258</v>
      </c>
      <c r="T80" s="5" t="str">
        <f>IF(Delivery_Data[[#This Row],[Delays (min)]]&gt;0,"No","Yes")</f>
        <v>No</v>
      </c>
    </row>
    <row r="81" spans="1:20" ht="15.75" customHeight="1" x14ac:dyDescent="0.3">
      <c r="A81" s="4">
        <v>1080</v>
      </c>
      <c r="B81" s="5" t="s">
        <v>174</v>
      </c>
      <c r="C81" s="6">
        <v>45171.445138888892</v>
      </c>
      <c r="D81" s="5" t="s">
        <v>14</v>
      </c>
      <c r="E81" s="5" t="s">
        <v>111</v>
      </c>
      <c r="F81" s="5" t="s">
        <v>38</v>
      </c>
      <c r="G81" s="5" t="s">
        <v>25</v>
      </c>
      <c r="H81" s="5">
        <v>85</v>
      </c>
      <c r="I81" s="5">
        <v>10</v>
      </c>
      <c r="J81" s="5" t="s">
        <v>32</v>
      </c>
      <c r="K81" s="5" t="s">
        <v>19</v>
      </c>
      <c r="L81" s="5" t="s">
        <v>28</v>
      </c>
      <c r="M81" s="7" t="s">
        <v>46</v>
      </c>
      <c r="N81" s="26">
        <f t="shared" si="6"/>
        <v>-1</v>
      </c>
      <c r="O81" s="42">
        <f t="shared" si="7"/>
        <v>45171</v>
      </c>
      <c r="P81" s="5" t="str">
        <f t="shared" si="8"/>
        <v>Saturday</v>
      </c>
      <c r="Q81" s="5">
        <f t="shared" si="9"/>
        <v>10</v>
      </c>
      <c r="R81" s="28">
        <f t="shared" si="10"/>
        <v>0.89473684210526316</v>
      </c>
      <c r="S81" s="29">
        <f t="shared" si="11"/>
        <v>89.473684210526315</v>
      </c>
      <c r="T81" s="5" t="str">
        <f>IF(Delivery_Data[[#This Row],[Delays (min)]]&gt;0,"No","Yes")</f>
        <v>No</v>
      </c>
    </row>
    <row r="82" spans="1:20" ht="15.75" customHeight="1" x14ac:dyDescent="0.3">
      <c r="A82" s="4">
        <v>1081</v>
      </c>
      <c r="B82" s="5" t="s">
        <v>175</v>
      </c>
      <c r="C82" s="6">
        <v>45175.579861111109</v>
      </c>
      <c r="D82" s="5" t="s">
        <v>43</v>
      </c>
      <c r="E82" s="5" t="s">
        <v>44</v>
      </c>
      <c r="F82" s="5" t="s">
        <v>16</v>
      </c>
      <c r="G82" s="5" t="s">
        <v>31</v>
      </c>
      <c r="H82" s="5">
        <v>157</v>
      </c>
      <c r="I82" s="5">
        <v>4</v>
      </c>
      <c r="J82" s="5" t="s">
        <v>32</v>
      </c>
      <c r="K82" s="5" t="s">
        <v>27</v>
      </c>
      <c r="L82" s="5" t="s">
        <v>40</v>
      </c>
      <c r="M82" s="7" t="s">
        <v>46</v>
      </c>
      <c r="N82" s="26">
        <f t="shared" si="6"/>
        <v>-1</v>
      </c>
      <c r="O82" s="42">
        <f t="shared" si="7"/>
        <v>45175</v>
      </c>
      <c r="P82" s="5" t="str">
        <f t="shared" si="8"/>
        <v>Wednesday</v>
      </c>
      <c r="Q82" s="5">
        <f t="shared" si="9"/>
        <v>13</v>
      </c>
      <c r="R82" s="28">
        <f t="shared" si="10"/>
        <v>0.97515527950310554</v>
      </c>
      <c r="S82" s="29">
        <f t="shared" si="11"/>
        <v>97.515527950310556</v>
      </c>
      <c r="T82" s="5" t="str">
        <f>IF(Delivery_Data[[#This Row],[Delays (min)]]&gt;0,"No","Yes")</f>
        <v>No</v>
      </c>
    </row>
    <row r="83" spans="1:20" ht="15.75" customHeight="1" x14ac:dyDescent="0.3">
      <c r="A83" s="4">
        <v>1082</v>
      </c>
      <c r="B83" s="5" t="s">
        <v>176</v>
      </c>
      <c r="C83" s="6">
        <v>45170.384027777778</v>
      </c>
      <c r="D83" s="5" t="s">
        <v>43</v>
      </c>
      <c r="E83" s="5" t="s">
        <v>177</v>
      </c>
      <c r="F83" s="5" t="s">
        <v>24</v>
      </c>
      <c r="G83" s="5" t="s">
        <v>56</v>
      </c>
      <c r="H83" s="5">
        <v>180</v>
      </c>
      <c r="I83" s="5">
        <v>24</v>
      </c>
      <c r="J83" s="5" t="s">
        <v>32</v>
      </c>
      <c r="K83" s="5" t="s">
        <v>27</v>
      </c>
      <c r="L83" s="5" t="s">
        <v>20</v>
      </c>
      <c r="M83" s="7" t="s">
        <v>41</v>
      </c>
      <c r="N83" s="26">
        <f t="shared" si="6"/>
        <v>-1</v>
      </c>
      <c r="O83" s="42">
        <f t="shared" si="7"/>
        <v>45170</v>
      </c>
      <c r="P83" s="5" t="str">
        <f t="shared" si="8"/>
        <v>Friday</v>
      </c>
      <c r="Q83" s="5">
        <f t="shared" si="9"/>
        <v>9</v>
      </c>
      <c r="R83" s="28">
        <f t="shared" si="10"/>
        <v>0.88235294117647056</v>
      </c>
      <c r="S83" s="29">
        <f t="shared" si="11"/>
        <v>88.235294117647058</v>
      </c>
      <c r="T83" s="5" t="str">
        <f>IF(Delivery_Data[[#This Row],[Delays (min)]]&gt;0,"No","Yes")</f>
        <v>No</v>
      </c>
    </row>
    <row r="84" spans="1:20" ht="15.75" customHeight="1" x14ac:dyDescent="0.3">
      <c r="A84" s="4">
        <v>1083</v>
      </c>
      <c r="B84" s="5" t="s">
        <v>178</v>
      </c>
      <c r="C84" s="6">
        <v>45177.556250000001</v>
      </c>
      <c r="D84" s="5" t="s">
        <v>43</v>
      </c>
      <c r="E84" s="5" t="s">
        <v>179</v>
      </c>
      <c r="F84" s="5" t="s">
        <v>38</v>
      </c>
      <c r="G84" s="5" t="s">
        <v>25</v>
      </c>
      <c r="H84" s="5">
        <v>63</v>
      </c>
      <c r="I84" s="5">
        <v>19</v>
      </c>
      <c r="J84" s="5" t="s">
        <v>32</v>
      </c>
      <c r="K84" s="5" t="s">
        <v>45</v>
      </c>
      <c r="L84" s="5" t="s">
        <v>40</v>
      </c>
      <c r="M84" s="7" t="s">
        <v>41</v>
      </c>
      <c r="N84" s="26">
        <f t="shared" si="6"/>
        <v>-1</v>
      </c>
      <c r="O84" s="42">
        <f t="shared" si="7"/>
        <v>45177</v>
      </c>
      <c r="P84" s="5" t="str">
        <f t="shared" si="8"/>
        <v>Friday</v>
      </c>
      <c r="Q84" s="5">
        <f t="shared" si="9"/>
        <v>13</v>
      </c>
      <c r="R84" s="28">
        <f t="shared" si="10"/>
        <v>0.76829268292682928</v>
      </c>
      <c r="S84" s="29">
        <f t="shared" si="11"/>
        <v>76.829268292682926</v>
      </c>
      <c r="T84" s="5" t="str">
        <f>IF(Delivery_Data[[#This Row],[Delays (min)]]&gt;0,"No","Yes")</f>
        <v>No</v>
      </c>
    </row>
    <row r="85" spans="1:20" ht="15.75" customHeight="1" x14ac:dyDescent="0.3">
      <c r="A85" s="4">
        <v>1084</v>
      </c>
      <c r="B85" s="5" t="s">
        <v>180</v>
      </c>
      <c r="C85" s="6">
        <v>45173.356249999997</v>
      </c>
      <c r="D85" s="5" t="s">
        <v>43</v>
      </c>
      <c r="E85" s="5" t="s">
        <v>109</v>
      </c>
      <c r="F85" s="5" t="s">
        <v>38</v>
      </c>
      <c r="G85" s="5" t="s">
        <v>39</v>
      </c>
      <c r="H85" s="5">
        <v>179</v>
      </c>
      <c r="I85" s="5">
        <v>23</v>
      </c>
      <c r="J85" s="5" t="s">
        <v>18</v>
      </c>
      <c r="K85" s="5" t="s">
        <v>45</v>
      </c>
      <c r="L85" s="5" t="s">
        <v>20</v>
      </c>
      <c r="M85" s="7" t="s">
        <v>41</v>
      </c>
      <c r="N85" s="26">
        <f t="shared" si="6"/>
        <v>0</v>
      </c>
      <c r="O85" s="42">
        <f t="shared" si="7"/>
        <v>45173</v>
      </c>
      <c r="P85" s="5" t="str">
        <f t="shared" si="8"/>
        <v>Monday</v>
      </c>
      <c r="Q85" s="5">
        <f t="shared" si="9"/>
        <v>8</v>
      </c>
      <c r="R85" s="28">
        <f t="shared" si="10"/>
        <v>0.88613861386138615</v>
      </c>
      <c r="S85" s="29">
        <f t="shared" si="11"/>
        <v>88.613861386138609</v>
      </c>
      <c r="T85" s="5" t="str">
        <f>IF(Delivery_Data[[#This Row],[Delays (min)]]&gt;0,"No","Yes")</f>
        <v>No</v>
      </c>
    </row>
    <row r="86" spans="1:20" ht="15.75" customHeight="1" x14ac:dyDescent="0.3">
      <c r="A86" s="4">
        <v>1085</v>
      </c>
      <c r="B86" s="5" t="s">
        <v>181</v>
      </c>
      <c r="C86" s="6">
        <v>45172.607638888891</v>
      </c>
      <c r="D86" s="5" t="s">
        <v>43</v>
      </c>
      <c r="E86" s="5" t="s">
        <v>182</v>
      </c>
      <c r="F86" s="5" t="s">
        <v>16</v>
      </c>
      <c r="G86" s="5" t="s">
        <v>56</v>
      </c>
      <c r="H86" s="5">
        <v>111</v>
      </c>
      <c r="I86" s="5">
        <v>6</v>
      </c>
      <c r="J86" s="5" t="s">
        <v>18</v>
      </c>
      <c r="K86" s="5" t="s">
        <v>45</v>
      </c>
      <c r="L86" s="5" t="s">
        <v>28</v>
      </c>
      <c r="M86" s="7" t="s">
        <v>21</v>
      </c>
      <c r="N86" s="26">
        <f t="shared" si="6"/>
        <v>0</v>
      </c>
      <c r="O86" s="42">
        <f t="shared" si="7"/>
        <v>45172</v>
      </c>
      <c r="P86" s="5" t="str">
        <f t="shared" si="8"/>
        <v>Sunday</v>
      </c>
      <c r="Q86" s="5">
        <f t="shared" si="9"/>
        <v>14</v>
      </c>
      <c r="R86" s="28">
        <f t="shared" si="10"/>
        <v>0.94871794871794868</v>
      </c>
      <c r="S86" s="29">
        <f t="shared" si="11"/>
        <v>94.871794871794862</v>
      </c>
      <c r="T86" s="5" t="str">
        <f>IF(Delivery_Data[[#This Row],[Delays (min)]]&gt;0,"No","Yes")</f>
        <v>No</v>
      </c>
    </row>
    <row r="87" spans="1:20" ht="15.75" customHeight="1" x14ac:dyDescent="0.3">
      <c r="A87" s="4">
        <v>1086</v>
      </c>
      <c r="B87" s="5" t="s">
        <v>183</v>
      </c>
      <c r="C87" s="6">
        <v>45174.387499999997</v>
      </c>
      <c r="D87" s="5" t="s">
        <v>14</v>
      </c>
      <c r="E87" s="5" t="s">
        <v>158</v>
      </c>
      <c r="F87" s="5" t="s">
        <v>24</v>
      </c>
      <c r="G87" s="5" t="s">
        <v>17</v>
      </c>
      <c r="H87" s="5">
        <v>133</v>
      </c>
      <c r="I87" s="5">
        <v>21</v>
      </c>
      <c r="J87" s="5" t="s">
        <v>32</v>
      </c>
      <c r="K87" s="5" t="s">
        <v>35</v>
      </c>
      <c r="L87" s="5" t="s">
        <v>20</v>
      </c>
      <c r="M87" s="7" t="s">
        <v>46</v>
      </c>
      <c r="N87" s="26">
        <f t="shared" si="6"/>
        <v>-1</v>
      </c>
      <c r="O87" s="42">
        <f t="shared" si="7"/>
        <v>45174</v>
      </c>
      <c r="P87" s="5" t="str">
        <f t="shared" si="8"/>
        <v>Tuesday</v>
      </c>
      <c r="Q87" s="5">
        <f t="shared" si="9"/>
        <v>9</v>
      </c>
      <c r="R87" s="28">
        <f t="shared" si="10"/>
        <v>0.86363636363636365</v>
      </c>
      <c r="S87" s="29">
        <f t="shared" si="11"/>
        <v>86.36363636363636</v>
      </c>
      <c r="T87" s="5" t="str">
        <f>IF(Delivery_Data[[#This Row],[Delays (min)]]&gt;0,"No","Yes")</f>
        <v>No</v>
      </c>
    </row>
    <row r="88" spans="1:20" ht="15.75" customHeight="1" x14ac:dyDescent="0.3">
      <c r="A88" s="4">
        <v>1087</v>
      </c>
      <c r="B88" s="5" t="s">
        <v>184</v>
      </c>
      <c r="C88" s="6">
        <v>45176.537499999999</v>
      </c>
      <c r="D88" s="5" t="s">
        <v>14</v>
      </c>
      <c r="E88" s="5" t="s">
        <v>185</v>
      </c>
      <c r="F88" s="5" t="s">
        <v>16</v>
      </c>
      <c r="G88" s="5" t="s">
        <v>17</v>
      </c>
      <c r="H88" s="5">
        <v>88</v>
      </c>
      <c r="I88" s="5">
        <v>14</v>
      </c>
      <c r="J88" s="5" t="s">
        <v>26</v>
      </c>
      <c r="K88" s="5" t="s">
        <v>19</v>
      </c>
      <c r="L88" s="5" t="s">
        <v>40</v>
      </c>
      <c r="M88" s="7" t="s">
        <v>21</v>
      </c>
      <c r="N88" s="26">
        <f t="shared" si="6"/>
        <v>1</v>
      </c>
      <c r="O88" s="42">
        <f t="shared" si="7"/>
        <v>45176</v>
      </c>
      <c r="P88" s="5" t="str">
        <f t="shared" si="8"/>
        <v>Thursday</v>
      </c>
      <c r="Q88" s="5">
        <f t="shared" si="9"/>
        <v>12</v>
      </c>
      <c r="R88" s="28">
        <f t="shared" si="10"/>
        <v>0.86274509803921573</v>
      </c>
      <c r="S88" s="29">
        <f t="shared" si="11"/>
        <v>86.274509803921575</v>
      </c>
      <c r="T88" s="5" t="str">
        <f>IF(Delivery_Data[[#This Row],[Delays (min)]]&gt;0,"No","Yes")</f>
        <v>No</v>
      </c>
    </row>
    <row r="89" spans="1:20" ht="15.75" customHeight="1" x14ac:dyDescent="0.3">
      <c r="A89" s="4">
        <v>1088</v>
      </c>
      <c r="B89" s="5" t="s">
        <v>186</v>
      </c>
      <c r="C89" s="6">
        <v>45177.609027777777</v>
      </c>
      <c r="D89" s="5" t="s">
        <v>43</v>
      </c>
      <c r="E89" s="5" t="s">
        <v>187</v>
      </c>
      <c r="F89" s="5" t="s">
        <v>24</v>
      </c>
      <c r="G89" s="5" t="s">
        <v>39</v>
      </c>
      <c r="H89" s="5">
        <v>199</v>
      </c>
      <c r="I89" s="5">
        <v>18</v>
      </c>
      <c r="J89" s="5" t="s">
        <v>26</v>
      </c>
      <c r="K89" s="5" t="s">
        <v>27</v>
      </c>
      <c r="L89" s="5" t="s">
        <v>20</v>
      </c>
      <c r="M89" s="7" t="s">
        <v>41</v>
      </c>
      <c r="N89" s="26">
        <f t="shared" si="6"/>
        <v>1</v>
      </c>
      <c r="O89" s="42">
        <f t="shared" si="7"/>
        <v>45177</v>
      </c>
      <c r="P89" s="5" t="str">
        <f t="shared" si="8"/>
        <v>Friday</v>
      </c>
      <c r="Q89" s="5">
        <f t="shared" si="9"/>
        <v>14</v>
      </c>
      <c r="R89" s="28">
        <f t="shared" si="10"/>
        <v>0.91705069124423966</v>
      </c>
      <c r="S89" s="29">
        <f t="shared" si="11"/>
        <v>91.705069124423972</v>
      </c>
      <c r="T89" s="5" t="str">
        <f>IF(Delivery_Data[[#This Row],[Delays (min)]]&gt;0,"No","Yes")</f>
        <v>No</v>
      </c>
    </row>
    <row r="90" spans="1:20" ht="15.75" customHeight="1" x14ac:dyDescent="0.3">
      <c r="A90" s="4">
        <v>1089</v>
      </c>
      <c r="B90" s="5" t="s">
        <v>188</v>
      </c>
      <c r="C90" s="6">
        <v>45173.438194444447</v>
      </c>
      <c r="D90" s="5" t="s">
        <v>43</v>
      </c>
      <c r="E90" s="5" t="s">
        <v>189</v>
      </c>
      <c r="F90" s="5" t="s">
        <v>16</v>
      </c>
      <c r="G90" s="5" t="s">
        <v>25</v>
      </c>
      <c r="H90" s="5">
        <v>78</v>
      </c>
      <c r="I90" s="5">
        <v>6</v>
      </c>
      <c r="J90" s="5" t="s">
        <v>32</v>
      </c>
      <c r="K90" s="5" t="s">
        <v>45</v>
      </c>
      <c r="L90" s="5" t="s">
        <v>40</v>
      </c>
      <c r="M90" s="7" t="s">
        <v>41</v>
      </c>
      <c r="N90" s="26">
        <f t="shared" si="6"/>
        <v>-1</v>
      </c>
      <c r="O90" s="42">
        <f t="shared" si="7"/>
        <v>45173</v>
      </c>
      <c r="P90" s="5" t="str">
        <f t="shared" si="8"/>
        <v>Monday</v>
      </c>
      <c r="Q90" s="5">
        <f t="shared" si="9"/>
        <v>10</v>
      </c>
      <c r="R90" s="28">
        <f t="shared" si="10"/>
        <v>0.9285714285714286</v>
      </c>
      <c r="S90" s="29">
        <f t="shared" si="11"/>
        <v>92.857142857142861</v>
      </c>
      <c r="T90" s="5" t="str">
        <f>IF(Delivery_Data[[#This Row],[Delays (min)]]&gt;0,"No","Yes")</f>
        <v>No</v>
      </c>
    </row>
    <row r="91" spans="1:20" ht="15.75" customHeight="1" x14ac:dyDescent="0.3">
      <c r="A91" s="4">
        <v>1090</v>
      </c>
      <c r="B91" s="5" t="s">
        <v>190</v>
      </c>
      <c r="C91" s="6">
        <v>45177.602777777778</v>
      </c>
      <c r="D91" s="5" t="s">
        <v>14</v>
      </c>
      <c r="E91" s="5" t="s">
        <v>182</v>
      </c>
      <c r="F91" s="5" t="s">
        <v>16</v>
      </c>
      <c r="G91" s="5" t="s">
        <v>39</v>
      </c>
      <c r="H91" s="5">
        <v>185</v>
      </c>
      <c r="I91" s="5">
        <v>27</v>
      </c>
      <c r="J91" s="5" t="s">
        <v>26</v>
      </c>
      <c r="K91" s="5" t="s">
        <v>27</v>
      </c>
      <c r="L91" s="5" t="s">
        <v>28</v>
      </c>
      <c r="M91" s="7" t="s">
        <v>46</v>
      </c>
      <c r="N91" s="26">
        <f t="shared" si="6"/>
        <v>1</v>
      </c>
      <c r="O91" s="42">
        <f t="shared" si="7"/>
        <v>45177</v>
      </c>
      <c r="P91" s="5" t="str">
        <f t="shared" si="8"/>
        <v>Friday</v>
      </c>
      <c r="Q91" s="5">
        <f t="shared" si="9"/>
        <v>14</v>
      </c>
      <c r="R91" s="28">
        <f t="shared" si="10"/>
        <v>0.87264150943396224</v>
      </c>
      <c r="S91" s="29">
        <f t="shared" si="11"/>
        <v>87.264150943396217</v>
      </c>
      <c r="T91" s="5" t="str">
        <f>IF(Delivery_Data[[#This Row],[Delays (min)]]&gt;0,"No","Yes")</f>
        <v>No</v>
      </c>
    </row>
    <row r="92" spans="1:20" ht="15.75" customHeight="1" x14ac:dyDescent="0.3">
      <c r="A92" s="4">
        <v>1091</v>
      </c>
      <c r="B92" s="5" t="s">
        <v>191</v>
      </c>
      <c r="C92" s="6">
        <v>45176.52847222222</v>
      </c>
      <c r="D92" s="5" t="s">
        <v>43</v>
      </c>
      <c r="E92" s="5" t="s">
        <v>58</v>
      </c>
      <c r="F92" s="5" t="s">
        <v>16</v>
      </c>
      <c r="G92" s="5" t="s">
        <v>39</v>
      </c>
      <c r="H92" s="5">
        <v>125</v>
      </c>
      <c r="I92" s="5">
        <v>4</v>
      </c>
      <c r="J92" s="5" t="s">
        <v>18</v>
      </c>
      <c r="K92" s="5" t="s">
        <v>35</v>
      </c>
      <c r="L92" s="5" t="s">
        <v>28</v>
      </c>
      <c r="M92" s="7" t="s">
        <v>21</v>
      </c>
      <c r="N92" s="26">
        <f t="shared" si="6"/>
        <v>0</v>
      </c>
      <c r="O92" s="42">
        <f t="shared" si="7"/>
        <v>45176</v>
      </c>
      <c r="P92" s="5" t="str">
        <f t="shared" si="8"/>
        <v>Thursday</v>
      </c>
      <c r="Q92" s="5">
        <f t="shared" si="9"/>
        <v>12</v>
      </c>
      <c r="R92" s="28">
        <f t="shared" si="10"/>
        <v>0.96899224806201545</v>
      </c>
      <c r="S92" s="29">
        <f t="shared" si="11"/>
        <v>96.899224806201545</v>
      </c>
      <c r="T92" s="5" t="str">
        <f>IF(Delivery_Data[[#This Row],[Delays (min)]]&gt;0,"No","Yes")</f>
        <v>No</v>
      </c>
    </row>
    <row r="93" spans="1:20" ht="15.75" customHeight="1" x14ac:dyDescent="0.3">
      <c r="A93" s="4">
        <v>1092</v>
      </c>
      <c r="B93" s="5" t="s">
        <v>192</v>
      </c>
      <c r="C93" s="6">
        <v>45170.449305555558</v>
      </c>
      <c r="D93" s="5" t="s">
        <v>14</v>
      </c>
      <c r="E93" s="5" t="s">
        <v>193</v>
      </c>
      <c r="F93" s="5" t="s">
        <v>24</v>
      </c>
      <c r="G93" s="5" t="s">
        <v>17</v>
      </c>
      <c r="H93" s="5">
        <v>198</v>
      </c>
      <c r="I93" s="5">
        <v>23</v>
      </c>
      <c r="J93" s="5" t="s">
        <v>26</v>
      </c>
      <c r="K93" s="5" t="s">
        <v>19</v>
      </c>
      <c r="L93" s="5" t="s">
        <v>28</v>
      </c>
      <c r="M93" s="7" t="s">
        <v>46</v>
      </c>
      <c r="N93" s="26">
        <f t="shared" si="6"/>
        <v>1</v>
      </c>
      <c r="O93" s="42">
        <f t="shared" si="7"/>
        <v>45170</v>
      </c>
      <c r="P93" s="5" t="str">
        <f t="shared" si="8"/>
        <v>Friday</v>
      </c>
      <c r="Q93" s="5">
        <f t="shared" si="9"/>
        <v>10</v>
      </c>
      <c r="R93" s="28">
        <f t="shared" si="10"/>
        <v>0.89592760180995479</v>
      </c>
      <c r="S93" s="29">
        <f t="shared" si="11"/>
        <v>89.592760180995484</v>
      </c>
      <c r="T93" s="5" t="str">
        <f>IF(Delivery_Data[[#This Row],[Delays (min)]]&gt;0,"No","Yes")</f>
        <v>No</v>
      </c>
    </row>
    <row r="94" spans="1:20" ht="15.75" customHeight="1" x14ac:dyDescent="0.3">
      <c r="A94" s="4">
        <v>1093</v>
      </c>
      <c r="B94" s="5" t="s">
        <v>194</v>
      </c>
      <c r="C94" s="6">
        <v>45172.432638888888</v>
      </c>
      <c r="D94" s="5" t="s">
        <v>14</v>
      </c>
      <c r="E94" s="5" t="s">
        <v>66</v>
      </c>
      <c r="F94" s="5" t="s">
        <v>38</v>
      </c>
      <c r="G94" s="5" t="s">
        <v>31</v>
      </c>
      <c r="H94" s="5">
        <v>167</v>
      </c>
      <c r="I94" s="5">
        <v>24</v>
      </c>
      <c r="J94" s="5" t="s">
        <v>32</v>
      </c>
      <c r="K94" s="5" t="s">
        <v>45</v>
      </c>
      <c r="L94" s="5" t="s">
        <v>40</v>
      </c>
      <c r="M94" s="7" t="s">
        <v>46</v>
      </c>
      <c r="N94" s="26">
        <f t="shared" si="6"/>
        <v>-1</v>
      </c>
      <c r="O94" s="42">
        <f t="shared" si="7"/>
        <v>45172</v>
      </c>
      <c r="P94" s="5" t="str">
        <f t="shared" si="8"/>
        <v>Sunday</v>
      </c>
      <c r="Q94" s="5">
        <f t="shared" si="9"/>
        <v>10</v>
      </c>
      <c r="R94" s="28">
        <f t="shared" si="10"/>
        <v>0.87434554973821987</v>
      </c>
      <c r="S94" s="29">
        <f t="shared" si="11"/>
        <v>87.434554973821989</v>
      </c>
      <c r="T94" s="5" t="str">
        <f>IF(Delivery_Data[[#This Row],[Delays (min)]]&gt;0,"No","Yes")</f>
        <v>No</v>
      </c>
    </row>
    <row r="95" spans="1:20" ht="15.75" customHeight="1" x14ac:dyDescent="0.3">
      <c r="A95" s="4">
        <v>1094</v>
      </c>
      <c r="B95" s="5" t="s">
        <v>195</v>
      </c>
      <c r="C95" s="6">
        <v>45173.554166666669</v>
      </c>
      <c r="D95" s="5" t="s">
        <v>14</v>
      </c>
      <c r="E95" s="5" t="s">
        <v>66</v>
      </c>
      <c r="F95" s="5" t="s">
        <v>38</v>
      </c>
      <c r="G95" s="5" t="s">
        <v>17</v>
      </c>
      <c r="H95" s="5">
        <v>225</v>
      </c>
      <c r="I95" s="5">
        <v>18</v>
      </c>
      <c r="J95" s="5" t="s">
        <v>32</v>
      </c>
      <c r="K95" s="5" t="s">
        <v>35</v>
      </c>
      <c r="L95" s="5" t="s">
        <v>28</v>
      </c>
      <c r="M95" s="7" t="s">
        <v>41</v>
      </c>
      <c r="N95" s="26">
        <f t="shared" si="6"/>
        <v>-1</v>
      </c>
      <c r="O95" s="42">
        <f t="shared" si="7"/>
        <v>45173</v>
      </c>
      <c r="P95" s="5" t="str">
        <f t="shared" si="8"/>
        <v>Monday</v>
      </c>
      <c r="Q95" s="5">
        <f t="shared" si="9"/>
        <v>13</v>
      </c>
      <c r="R95" s="28">
        <f t="shared" si="10"/>
        <v>0.92592592592592593</v>
      </c>
      <c r="S95" s="29">
        <f t="shared" si="11"/>
        <v>92.592592592592595</v>
      </c>
      <c r="T95" s="5" t="str">
        <f>IF(Delivery_Data[[#This Row],[Delays (min)]]&gt;0,"No","Yes")</f>
        <v>No</v>
      </c>
    </row>
    <row r="96" spans="1:20" ht="15.75" customHeight="1" x14ac:dyDescent="0.3">
      <c r="A96" s="4">
        <v>1095</v>
      </c>
      <c r="B96" s="5" t="s">
        <v>196</v>
      </c>
      <c r="C96" s="6">
        <v>45173.397916666669</v>
      </c>
      <c r="D96" s="5" t="s">
        <v>43</v>
      </c>
      <c r="E96" s="5" t="s">
        <v>197</v>
      </c>
      <c r="F96" s="5" t="s">
        <v>24</v>
      </c>
      <c r="G96" s="5" t="s">
        <v>17</v>
      </c>
      <c r="H96" s="5">
        <v>157</v>
      </c>
      <c r="I96" s="5">
        <v>1</v>
      </c>
      <c r="J96" s="5" t="s">
        <v>18</v>
      </c>
      <c r="K96" s="5" t="s">
        <v>27</v>
      </c>
      <c r="L96" s="5" t="s">
        <v>40</v>
      </c>
      <c r="M96" s="7" t="s">
        <v>41</v>
      </c>
      <c r="N96" s="26">
        <f t="shared" si="6"/>
        <v>0</v>
      </c>
      <c r="O96" s="42">
        <f t="shared" si="7"/>
        <v>45173</v>
      </c>
      <c r="P96" s="5" t="str">
        <f t="shared" si="8"/>
        <v>Monday</v>
      </c>
      <c r="Q96" s="5">
        <f t="shared" si="9"/>
        <v>9</v>
      </c>
      <c r="R96" s="28">
        <f t="shared" si="10"/>
        <v>0.99367088607594933</v>
      </c>
      <c r="S96" s="29">
        <f t="shared" si="11"/>
        <v>99.367088607594937</v>
      </c>
      <c r="T96" s="5" t="str">
        <f>IF(Delivery_Data[[#This Row],[Delays (min)]]&gt;0,"No","Yes")</f>
        <v>No</v>
      </c>
    </row>
    <row r="97" spans="1:20" ht="15.75" customHeight="1" x14ac:dyDescent="0.3">
      <c r="A97" s="4">
        <v>1096</v>
      </c>
      <c r="B97" s="5" t="s">
        <v>198</v>
      </c>
      <c r="C97" s="6">
        <v>45171.447916666664</v>
      </c>
      <c r="D97" s="5" t="s">
        <v>14</v>
      </c>
      <c r="E97" s="5" t="s">
        <v>103</v>
      </c>
      <c r="F97" s="5" t="s">
        <v>16</v>
      </c>
      <c r="G97" s="5" t="s">
        <v>56</v>
      </c>
      <c r="H97" s="5">
        <v>201</v>
      </c>
      <c r="I97" s="5">
        <v>5</v>
      </c>
      <c r="J97" s="5" t="s">
        <v>26</v>
      </c>
      <c r="K97" s="5" t="s">
        <v>35</v>
      </c>
      <c r="L97" s="5" t="s">
        <v>40</v>
      </c>
      <c r="M97" s="7" t="s">
        <v>46</v>
      </c>
      <c r="N97" s="26">
        <f t="shared" si="6"/>
        <v>1</v>
      </c>
      <c r="O97" s="42">
        <f t="shared" si="7"/>
        <v>45171</v>
      </c>
      <c r="P97" s="5" t="str">
        <f t="shared" si="8"/>
        <v>Saturday</v>
      </c>
      <c r="Q97" s="5">
        <f t="shared" si="9"/>
        <v>10</v>
      </c>
      <c r="R97" s="28">
        <f t="shared" si="10"/>
        <v>0.97572815533980584</v>
      </c>
      <c r="S97" s="29">
        <f t="shared" si="11"/>
        <v>97.572815533980588</v>
      </c>
      <c r="T97" s="5" t="str">
        <f>IF(Delivery_Data[[#This Row],[Delays (min)]]&gt;0,"No","Yes")</f>
        <v>No</v>
      </c>
    </row>
    <row r="98" spans="1:20" ht="15.75" customHeight="1" x14ac:dyDescent="0.3">
      <c r="A98" s="4">
        <v>1097</v>
      </c>
      <c r="B98" s="5" t="s">
        <v>199</v>
      </c>
      <c r="C98" s="6">
        <v>45171.425000000003</v>
      </c>
      <c r="D98" s="5" t="s">
        <v>14</v>
      </c>
      <c r="E98" s="5" t="s">
        <v>200</v>
      </c>
      <c r="F98" s="5" t="s">
        <v>16</v>
      </c>
      <c r="G98" s="5" t="s">
        <v>25</v>
      </c>
      <c r="H98" s="5">
        <v>94</v>
      </c>
      <c r="I98" s="5">
        <v>0</v>
      </c>
      <c r="J98" s="5" t="s">
        <v>32</v>
      </c>
      <c r="K98" s="5" t="s">
        <v>45</v>
      </c>
      <c r="L98" s="5" t="s">
        <v>20</v>
      </c>
      <c r="M98" s="7" t="s">
        <v>46</v>
      </c>
      <c r="N98" s="26">
        <f t="shared" si="6"/>
        <v>-1</v>
      </c>
      <c r="O98" s="42">
        <f t="shared" si="7"/>
        <v>45171</v>
      </c>
      <c r="P98" s="5" t="str">
        <f t="shared" si="8"/>
        <v>Saturday</v>
      </c>
      <c r="Q98" s="5">
        <f t="shared" si="9"/>
        <v>10</v>
      </c>
      <c r="R98" s="28">
        <f t="shared" si="10"/>
        <v>1</v>
      </c>
      <c r="S98" s="29">
        <f t="shared" si="11"/>
        <v>100</v>
      </c>
      <c r="T98" s="5" t="str">
        <f>IF(Delivery_Data[[#This Row],[Delays (min)]]&gt;0,"No","Yes")</f>
        <v>Yes</v>
      </c>
    </row>
    <row r="99" spans="1:20" ht="15.75" customHeight="1" x14ac:dyDescent="0.3">
      <c r="A99" s="4">
        <v>1098</v>
      </c>
      <c r="B99" s="5" t="s">
        <v>201</v>
      </c>
      <c r="C99" s="6">
        <v>45172.425000000003</v>
      </c>
      <c r="D99" s="5" t="s">
        <v>43</v>
      </c>
      <c r="E99" s="5" t="s">
        <v>202</v>
      </c>
      <c r="F99" s="5" t="s">
        <v>38</v>
      </c>
      <c r="G99" s="5" t="s">
        <v>39</v>
      </c>
      <c r="H99" s="5">
        <v>194</v>
      </c>
      <c r="I99" s="5">
        <v>22</v>
      </c>
      <c r="J99" s="5" t="s">
        <v>26</v>
      </c>
      <c r="K99" s="5" t="s">
        <v>27</v>
      </c>
      <c r="L99" s="5" t="s">
        <v>20</v>
      </c>
      <c r="M99" s="7" t="s">
        <v>21</v>
      </c>
      <c r="N99" s="26">
        <f t="shared" si="6"/>
        <v>1</v>
      </c>
      <c r="O99" s="42">
        <f t="shared" si="7"/>
        <v>45172</v>
      </c>
      <c r="P99" s="5" t="str">
        <f t="shared" si="8"/>
        <v>Sunday</v>
      </c>
      <c r="Q99" s="5">
        <f t="shared" si="9"/>
        <v>10</v>
      </c>
      <c r="R99" s="28">
        <f t="shared" si="10"/>
        <v>0.89814814814814814</v>
      </c>
      <c r="S99" s="29">
        <f t="shared" si="11"/>
        <v>89.81481481481481</v>
      </c>
      <c r="T99" s="5" t="str">
        <f>IF(Delivery_Data[[#This Row],[Delays (min)]]&gt;0,"No","Yes")</f>
        <v>No</v>
      </c>
    </row>
    <row r="100" spans="1:20" ht="15.75" customHeight="1" x14ac:dyDescent="0.3">
      <c r="A100" s="4">
        <v>1099</v>
      </c>
      <c r="B100" s="5" t="s">
        <v>203</v>
      </c>
      <c r="C100" s="6">
        <v>45174.361111111109</v>
      </c>
      <c r="D100" s="5" t="s">
        <v>14</v>
      </c>
      <c r="E100" s="5" t="s">
        <v>204</v>
      </c>
      <c r="F100" s="5" t="s">
        <v>24</v>
      </c>
      <c r="G100" s="5" t="s">
        <v>56</v>
      </c>
      <c r="H100" s="5">
        <v>173</v>
      </c>
      <c r="I100" s="5">
        <v>3</v>
      </c>
      <c r="J100" s="5" t="s">
        <v>32</v>
      </c>
      <c r="K100" s="5" t="s">
        <v>35</v>
      </c>
      <c r="L100" s="5" t="s">
        <v>40</v>
      </c>
      <c r="M100" s="7" t="s">
        <v>21</v>
      </c>
      <c r="N100" s="26">
        <f t="shared" si="6"/>
        <v>-1</v>
      </c>
      <c r="O100" s="42">
        <f t="shared" si="7"/>
        <v>45174</v>
      </c>
      <c r="P100" s="5" t="str">
        <f t="shared" si="8"/>
        <v>Tuesday</v>
      </c>
      <c r="Q100" s="5">
        <f t="shared" si="9"/>
        <v>8</v>
      </c>
      <c r="R100" s="28">
        <f t="shared" si="10"/>
        <v>0.98295454545454541</v>
      </c>
      <c r="S100" s="29">
        <f t="shared" si="11"/>
        <v>98.295454545454547</v>
      </c>
      <c r="T100" s="5" t="str">
        <f>IF(Delivery_Data[[#This Row],[Delays (min)]]&gt;0,"No","Yes")</f>
        <v>No</v>
      </c>
    </row>
    <row r="101" spans="1:20" ht="15.75" customHeight="1" x14ac:dyDescent="0.3">
      <c r="A101" s="4">
        <v>1100</v>
      </c>
      <c r="B101" s="5" t="s">
        <v>205</v>
      </c>
      <c r="C101" s="6">
        <v>45176.377083333333</v>
      </c>
      <c r="D101" s="5" t="s">
        <v>14</v>
      </c>
      <c r="E101" s="5" t="s">
        <v>143</v>
      </c>
      <c r="F101" s="5" t="s">
        <v>24</v>
      </c>
      <c r="G101" s="5" t="s">
        <v>25</v>
      </c>
      <c r="H101" s="5">
        <v>202</v>
      </c>
      <c r="I101" s="5">
        <v>20</v>
      </c>
      <c r="J101" s="5" t="s">
        <v>18</v>
      </c>
      <c r="K101" s="5" t="s">
        <v>27</v>
      </c>
      <c r="L101" s="5" t="s">
        <v>28</v>
      </c>
      <c r="M101" s="7" t="s">
        <v>21</v>
      </c>
      <c r="N101" s="26">
        <f t="shared" si="6"/>
        <v>0</v>
      </c>
      <c r="O101" s="42">
        <f t="shared" si="7"/>
        <v>45176</v>
      </c>
      <c r="P101" s="5" t="str">
        <f t="shared" si="8"/>
        <v>Thursday</v>
      </c>
      <c r="Q101" s="5">
        <f t="shared" si="9"/>
        <v>9</v>
      </c>
      <c r="R101" s="28">
        <f t="shared" si="10"/>
        <v>0.90990990990990994</v>
      </c>
      <c r="S101" s="29">
        <f t="shared" si="11"/>
        <v>90.990990990990994</v>
      </c>
      <c r="T101" s="5" t="str">
        <f>IF(Delivery_Data[[#This Row],[Delays (min)]]&gt;0,"No","Yes")</f>
        <v>No</v>
      </c>
    </row>
    <row r="102" spans="1:20" ht="15.75" customHeight="1" x14ac:dyDescent="0.3">
      <c r="A102" s="4">
        <v>1101</v>
      </c>
      <c r="B102" s="5" t="s">
        <v>206</v>
      </c>
      <c r="C102" s="6">
        <v>45171.37222222222</v>
      </c>
      <c r="D102" s="5" t="s">
        <v>43</v>
      </c>
      <c r="E102" s="5" t="s">
        <v>15</v>
      </c>
      <c r="F102" s="5" t="s">
        <v>16</v>
      </c>
      <c r="G102" s="5" t="s">
        <v>31</v>
      </c>
      <c r="H102" s="5">
        <v>172</v>
      </c>
      <c r="I102" s="5">
        <v>12</v>
      </c>
      <c r="J102" s="5" t="s">
        <v>26</v>
      </c>
      <c r="K102" s="5" t="s">
        <v>45</v>
      </c>
      <c r="L102" s="5" t="s">
        <v>20</v>
      </c>
      <c r="M102" s="7" t="s">
        <v>46</v>
      </c>
      <c r="N102" s="26">
        <f t="shared" si="6"/>
        <v>1</v>
      </c>
      <c r="O102" s="42">
        <f t="shared" si="7"/>
        <v>45171</v>
      </c>
      <c r="P102" s="5" t="str">
        <f t="shared" si="8"/>
        <v>Saturday</v>
      </c>
      <c r="Q102" s="5">
        <f t="shared" si="9"/>
        <v>8</v>
      </c>
      <c r="R102" s="28">
        <f t="shared" si="10"/>
        <v>0.93478260869565222</v>
      </c>
      <c r="S102" s="29">
        <f t="shared" si="11"/>
        <v>93.478260869565219</v>
      </c>
      <c r="T102" s="5" t="str">
        <f>IF(Delivery_Data[[#This Row],[Delays (min)]]&gt;0,"No","Yes")</f>
        <v>No</v>
      </c>
    </row>
    <row r="103" spans="1:20" ht="15.75" customHeight="1" x14ac:dyDescent="0.3">
      <c r="A103" s="4">
        <v>1102</v>
      </c>
      <c r="B103" s="5" t="s">
        <v>207</v>
      </c>
      <c r="C103" s="6">
        <v>45176.677083333336</v>
      </c>
      <c r="D103" s="5" t="s">
        <v>43</v>
      </c>
      <c r="E103" s="5" t="s">
        <v>200</v>
      </c>
      <c r="F103" s="5" t="s">
        <v>16</v>
      </c>
      <c r="G103" s="5" t="s">
        <v>17</v>
      </c>
      <c r="H103" s="5">
        <v>110</v>
      </c>
      <c r="I103" s="5">
        <v>29</v>
      </c>
      <c r="J103" s="5" t="s">
        <v>32</v>
      </c>
      <c r="K103" s="5" t="s">
        <v>19</v>
      </c>
      <c r="L103" s="5" t="s">
        <v>20</v>
      </c>
      <c r="M103" s="7" t="s">
        <v>46</v>
      </c>
      <c r="N103" s="26">
        <f t="shared" si="6"/>
        <v>-1</v>
      </c>
      <c r="O103" s="42">
        <f t="shared" si="7"/>
        <v>45176</v>
      </c>
      <c r="P103" s="5" t="str">
        <f t="shared" si="8"/>
        <v>Thursday</v>
      </c>
      <c r="Q103" s="5">
        <f t="shared" si="9"/>
        <v>16</v>
      </c>
      <c r="R103" s="28">
        <f t="shared" si="10"/>
        <v>0.79136690647482011</v>
      </c>
      <c r="S103" s="29">
        <f t="shared" si="11"/>
        <v>79.136690647482013</v>
      </c>
      <c r="T103" s="5" t="str">
        <f>IF(Delivery_Data[[#This Row],[Delays (min)]]&gt;0,"No","Yes")</f>
        <v>No</v>
      </c>
    </row>
    <row r="104" spans="1:20" ht="15.75" customHeight="1" x14ac:dyDescent="0.3">
      <c r="A104" s="4">
        <v>1103</v>
      </c>
      <c r="B104" s="5" t="s">
        <v>207</v>
      </c>
      <c r="C104" s="6">
        <v>45172.521527777775</v>
      </c>
      <c r="D104" s="5" t="s">
        <v>14</v>
      </c>
      <c r="E104" s="5" t="s">
        <v>151</v>
      </c>
      <c r="F104" s="5" t="s">
        <v>38</v>
      </c>
      <c r="G104" s="5" t="s">
        <v>25</v>
      </c>
      <c r="H104" s="5">
        <v>173</v>
      </c>
      <c r="I104" s="5">
        <v>4</v>
      </c>
      <c r="J104" s="5" t="s">
        <v>32</v>
      </c>
      <c r="K104" s="5" t="s">
        <v>19</v>
      </c>
      <c r="L104" s="5" t="s">
        <v>40</v>
      </c>
      <c r="M104" s="7" t="s">
        <v>21</v>
      </c>
      <c r="N104" s="26">
        <f t="shared" si="6"/>
        <v>-1</v>
      </c>
      <c r="O104" s="42">
        <f t="shared" si="7"/>
        <v>45172</v>
      </c>
      <c r="P104" s="5" t="str">
        <f t="shared" si="8"/>
        <v>Sunday</v>
      </c>
      <c r="Q104" s="5">
        <f t="shared" si="9"/>
        <v>12</v>
      </c>
      <c r="R104" s="28">
        <f t="shared" si="10"/>
        <v>0.97740112994350281</v>
      </c>
      <c r="S104" s="29">
        <f t="shared" si="11"/>
        <v>97.740112994350284</v>
      </c>
      <c r="T104" s="5" t="str">
        <f>IF(Delivery_Data[[#This Row],[Delays (min)]]&gt;0,"No","Yes")</f>
        <v>No</v>
      </c>
    </row>
    <row r="105" spans="1:20" ht="15.75" customHeight="1" x14ac:dyDescent="0.3">
      <c r="A105" s="4">
        <v>1104</v>
      </c>
      <c r="B105" s="5" t="s">
        <v>208</v>
      </c>
      <c r="C105" s="6">
        <v>45177.489583333336</v>
      </c>
      <c r="D105" s="5" t="s">
        <v>43</v>
      </c>
      <c r="E105" s="5" t="s">
        <v>166</v>
      </c>
      <c r="F105" s="5" t="s">
        <v>16</v>
      </c>
      <c r="G105" s="5" t="s">
        <v>56</v>
      </c>
      <c r="H105" s="5">
        <v>162</v>
      </c>
      <c r="I105" s="5">
        <v>24</v>
      </c>
      <c r="J105" s="5" t="s">
        <v>18</v>
      </c>
      <c r="K105" s="5" t="s">
        <v>27</v>
      </c>
      <c r="L105" s="5" t="s">
        <v>20</v>
      </c>
      <c r="M105" s="7" t="s">
        <v>21</v>
      </c>
      <c r="N105" s="26">
        <f t="shared" si="6"/>
        <v>0</v>
      </c>
      <c r="O105" s="42">
        <f t="shared" si="7"/>
        <v>45177</v>
      </c>
      <c r="P105" s="5" t="str">
        <f t="shared" si="8"/>
        <v>Friday</v>
      </c>
      <c r="Q105" s="5">
        <f t="shared" si="9"/>
        <v>11</v>
      </c>
      <c r="R105" s="28">
        <f t="shared" si="10"/>
        <v>0.87096774193548387</v>
      </c>
      <c r="S105" s="29">
        <f t="shared" si="11"/>
        <v>87.096774193548384</v>
      </c>
      <c r="T105" s="5" t="str">
        <f>IF(Delivery_Data[[#This Row],[Delays (min)]]&gt;0,"No","Yes")</f>
        <v>No</v>
      </c>
    </row>
    <row r="106" spans="1:20" ht="15.75" customHeight="1" x14ac:dyDescent="0.3">
      <c r="A106" s="4">
        <v>1105</v>
      </c>
      <c r="B106" s="5" t="s">
        <v>209</v>
      </c>
      <c r="C106" s="6">
        <v>45172.542361111111</v>
      </c>
      <c r="D106" s="5" t="s">
        <v>43</v>
      </c>
      <c r="E106" s="5" t="s">
        <v>158</v>
      </c>
      <c r="F106" s="5" t="s">
        <v>24</v>
      </c>
      <c r="G106" s="5" t="s">
        <v>17</v>
      </c>
      <c r="H106" s="5">
        <v>239</v>
      </c>
      <c r="I106" s="5">
        <v>22</v>
      </c>
      <c r="J106" s="5" t="s">
        <v>26</v>
      </c>
      <c r="K106" s="5" t="s">
        <v>19</v>
      </c>
      <c r="L106" s="5" t="s">
        <v>28</v>
      </c>
      <c r="M106" s="7" t="s">
        <v>46</v>
      </c>
      <c r="N106" s="26">
        <f t="shared" si="6"/>
        <v>1</v>
      </c>
      <c r="O106" s="42">
        <f t="shared" si="7"/>
        <v>45172</v>
      </c>
      <c r="P106" s="5" t="str">
        <f t="shared" si="8"/>
        <v>Sunday</v>
      </c>
      <c r="Q106" s="5">
        <f t="shared" si="9"/>
        <v>13</v>
      </c>
      <c r="R106" s="28">
        <f t="shared" si="10"/>
        <v>0.91570881226053635</v>
      </c>
      <c r="S106" s="29">
        <f t="shared" si="11"/>
        <v>91.570881226053629</v>
      </c>
      <c r="T106" s="5" t="str">
        <f>IF(Delivery_Data[[#This Row],[Delays (min)]]&gt;0,"No","Yes")</f>
        <v>No</v>
      </c>
    </row>
    <row r="107" spans="1:20" ht="15.75" customHeight="1" x14ac:dyDescent="0.3">
      <c r="A107" s="4">
        <v>1106</v>
      </c>
      <c r="B107" s="5" t="s">
        <v>210</v>
      </c>
      <c r="C107" s="6">
        <v>45171.642361111109</v>
      </c>
      <c r="D107" s="5" t="s">
        <v>43</v>
      </c>
      <c r="E107" s="5" t="s">
        <v>211</v>
      </c>
      <c r="F107" s="5" t="s">
        <v>38</v>
      </c>
      <c r="G107" s="5" t="s">
        <v>56</v>
      </c>
      <c r="H107" s="5">
        <v>195</v>
      </c>
      <c r="I107" s="5">
        <v>5</v>
      </c>
      <c r="J107" s="5" t="s">
        <v>18</v>
      </c>
      <c r="K107" s="5" t="s">
        <v>35</v>
      </c>
      <c r="L107" s="5" t="s">
        <v>28</v>
      </c>
      <c r="M107" s="7" t="s">
        <v>41</v>
      </c>
      <c r="N107" s="26">
        <f t="shared" si="6"/>
        <v>0</v>
      </c>
      <c r="O107" s="42">
        <f t="shared" si="7"/>
        <v>45171</v>
      </c>
      <c r="P107" s="5" t="str">
        <f t="shared" si="8"/>
        <v>Saturday</v>
      </c>
      <c r="Q107" s="5">
        <f t="shared" si="9"/>
        <v>15</v>
      </c>
      <c r="R107" s="28">
        <f t="shared" si="10"/>
        <v>0.97499999999999998</v>
      </c>
      <c r="S107" s="29">
        <f t="shared" si="11"/>
        <v>97.5</v>
      </c>
      <c r="T107" s="5" t="str">
        <f>IF(Delivery_Data[[#This Row],[Delays (min)]]&gt;0,"No","Yes")</f>
        <v>No</v>
      </c>
    </row>
    <row r="108" spans="1:20" ht="15.75" customHeight="1" x14ac:dyDescent="0.3">
      <c r="A108" s="4">
        <v>1107</v>
      </c>
      <c r="B108" s="5" t="s">
        <v>212</v>
      </c>
      <c r="C108" s="6">
        <v>45172.632638888892</v>
      </c>
      <c r="D108" s="5" t="s">
        <v>14</v>
      </c>
      <c r="E108" s="5" t="s">
        <v>154</v>
      </c>
      <c r="F108" s="5" t="s">
        <v>16</v>
      </c>
      <c r="G108" s="5" t="s">
        <v>56</v>
      </c>
      <c r="H108" s="5">
        <v>60</v>
      </c>
      <c r="I108" s="5">
        <v>29</v>
      </c>
      <c r="J108" s="5" t="s">
        <v>32</v>
      </c>
      <c r="K108" s="5" t="s">
        <v>19</v>
      </c>
      <c r="L108" s="5" t="s">
        <v>28</v>
      </c>
      <c r="M108" s="7" t="s">
        <v>21</v>
      </c>
      <c r="N108" s="26">
        <f t="shared" si="6"/>
        <v>-1</v>
      </c>
      <c r="O108" s="42">
        <f t="shared" si="7"/>
        <v>45172</v>
      </c>
      <c r="P108" s="5" t="str">
        <f t="shared" si="8"/>
        <v>Sunday</v>
      </c>
      <c r="Q108" s="5">
        <f t="shared" si="9"/>
        <v>15</v>
      </c>
      <c r="R108" s="28">
        <f t="shared" si="10"/>
        <v>0.6741573033707865</v>
      </c>
      <c r="S108" s="29">
        <f t="shared" si="11"/>
        <v>67.415730337078656</v>
      </c>
      <c r="T108" s="5" t="str">
        <f>IF(Delivery_Data[[#This Row],[Delays (min)]]&gt;0,"No","Yes")</f>
        <v>No</v>
      </c>
    </row>
    <row r="109" spans="1:20" ht="15.75" customHeight="1" x14ac:dyDescent="0.3">
      <c r="A109" s="4">
        <v>1108</v>
      </c>
      <c r="B109" s="5" t="s">
        <v>213</v>
      </c>
      <c r="C109" s="6">
        <v>45177.5625</v>
      </c>
      <c r="D109" s="5" t="s">
        <v>43</v>
      </c>
      <c r="E109" s="5" t="s">
        <v>78</v>
      </c>
      <c r="F109" s="5" t="s">
        <v>38</v>
      </c>
      <c r="G109" s="5" t="s">
        <v>25</v>
      </c>
      <c r="H109" s="5">
        <v>203</v>
      </c>
      <c r="I109" s="5">
        <v>24</v>
      </c>
      <c r="J109" s="5" t="s">
        <v>18</v>
      </c>
      <c r="K109" s="5" t="s">
        <v>19</v>
      </c>
      <c r="L109" s="5" t="s">
        <v>28</v>
      </c>
      <c r="M109" s="7" t="s">
        <v>46</v>
      </c>
      <c r="N109" s="26">
        <f t="shared" si="6"/>
        <v>0</v>
      </c>
      <c r="O109" s="42">
        <f t="shared" si="7"/>
        <v>45177</v>
      </c>
      <c r="P109" s="5" t="str">
        <f t="shared" si="8"/>
        <v>Friday</v>
      </c>
      <c r="Q109" s="5">
        <f t="shared" si="9"/>
        <v>13</v>
      </c>
      <c r="R109" s="28">
        <f t="shared" si="10"/>
        <v>0.89427312775330392</v>
      </c>
      <c r="S109" s="29">
        <f t="shared" si="11"/>
        <v>89.427312775330392</v>
      </c>
      <c r="T109" s="5" t="str">
        <f>IF(Delivery_Data[[#This Row],[Delays (min)]]&gt;0,"No","Yes")</f>
        <v>No</v>
      </c>
    </row>
    <row r="110" spans="1:20" ht="15.75" customHeight="1" x14ac:dyDescent="0.3">
      <c r="A110" s="4">
        <v>1109</v>
      </c>
      <c r="B110" s="5" t="s">
        <v>214</v>
      </c>
      <c r="C110" s="6">
        <v>45175.552777777775</v>
      </c>
      <c r="D110" s="5" t="s">
        <v>14</v>
      </c>
      <c r="E110" s="5" t="s">
        <v>215</v>
      </c>
      <c r="F110" s="5" t="s">
        <v>38</v>
      </c>
      <c r="G110" s="5" t="s">
        <v>56</v>
      </c>
      <c r="H110" s="5">
        <v>219</v>
      </c>
      <c r="I110" s="5">
        <v>19</v>
      </c>
      <c r="J110" s="5" t="s">
        <v>18</v>
      </c>
      <c r="K110" s="5" t="s">
        <v>27</v>
      </c>
      <c r="L110" s="5" t="s">
        <v>28</v>
      </c>
      <c r="M110" s="7" t="s">
        <v>41</v>
      </c>
      <c r="N110" s="26">
        <f t="shared" si="6"/>
        <v>0</v>
      </c>
      <c r="O110" s="42">
        <f t="shared" si="7"/>
        <v>45175</v>
      </c>
      <c r="P110" s="5" t="str">
        <f t="shared" si="8"/>
        <v>Wednesday</v>
      </c>
      <c r="Q110" s="5">
        <f t="shared" si="9"/>
        <v>13</v>
      </c>
      <c r="R110" s="28">
        <f t="shared" si="10"/>
        <v>0.92016806722689071</v>
      </c>
      <c r="S110" s="29">
        <f t="shared" si="11"/>
        <v>92.016806722689068</v>
      </c>
      <c r="T110" s="5" t="str">
        <f>IF(Delivery_Data[[#This Row],[Delays (min)]]&gt;0,"No","Yes")</f>
        <v>No</v>
      </c>
    </row>
    <row r="111" spans="1:20" ht="15.75" customHeight="1" x14ac:dyDescent="0.3">
      <c r="A111" s="4">
        <v>1110</v>
      </c>
      <c r="B111" s="5" t="s">
        <v>216</v>
      </c>
      <c r="C111" s="6">
        <v>45174.694444444445</v>
      </c>
      <c r="D111" s="5" t="s">
        <v>43</v>
      </c>
      <c r="E111" s="5" t="s">
        <v>48</v>
      </c>
      <c r="F111" s="5" t="s">
        <v>24</v>
      </c>
      <c r="G111" s="5" t="s">
        <v>31</v>
      </c>
      <c r="H111" s="5">
        <v>156</v>
      </c>
      <c r="I111" s="5">
        <v>23</v>
      </c>
      <c r="J111" s="5" t="s">
        <v>26</v>
      </c>
      <c r="K111" s="5" t="s">
        <v>45</v>
      </c>
      <c r="L111" s="5" t="s">
        <v>20</v>
      </c>
      <c r="M111" s="7" t="s">
        <v>46</v>
      </c>
      <c r="N111" s="26">
        <f t="shared" si="6"/>
        <v>1</v>
      </c>
      <c r="O111" s="42">
        <f t="shared" si="7"/>
        <v>45174</v>
      </c>
      <c r="P111" s="5" t="str">
        <f t="shared" si="8"/>
        <v>Tuesday</v>
      </c>
      <c r="Q111" s="5">
        <f t="shared" si="9"/>
        <v>16</v>
      </c>
      <c r="R111" s="28">
        <f t="shared" si="10"/>
        <v>0.87150837988826813</v>
      </c>
      <c r="S111" s="29">
        <f t="shared" si="11"/>
        <v>87.150837988826808</v>
      </c>
      <c r="T111" s="5" t="str">
        <f>IF(Delivery_Data[[#This Row],[Delays (min)]]&gt;0,"No","Yes")</f>
        <v>No</v>
      </c>
    </row>
    <row r="112" spans="1:20" ht="15.75" customHeight="1" x14ac:dyDescent="0.3">
      <c r="A112" s="4">
        <v>1111</v>
      </c>
      <c r="B112" s="5" t="s">
        <v>217</v>
      </c>
      <c r="C112" s="6">
        <v>45176.630555555559</v>
      </c>
      <c r="D112" s="5" t="s">
        <v>43</v>
      </c>
      <c r="E112" s="5" t="s">
        <v>101</v>
      </c>
      <c r="F112" s="5" t="s">
        <v>38</v>
      </c>
      <c r="G112" s="5" t="s">
        <v>17</v>
      </c>
      <c r="H112" s="5">
        <v>130</v>
      </c>
      <c r="I112" s="5">
        <v>2</v>
      </c>
      <c r="J112" s="5" t="s">
        <v>32</v>
      </c>
      <c r="K112" s="5" t="s">
        <v>19</v>
      </c>
      <c r="L112" s="5" t="s">
        <v>20</v>
      </c>
      <c r="M112" s="7" t="s">
        <v>46</v>
      </c>
      <c r="N112" s="26">
        <f t="shared" si="6"/>
        <v>-1</v>
      </c>
      <c r="O112" s="42">
        <f t="shared" si="7"/>
        <v>45176</v>
      </c>
      <c r="P112" s="5" t="str">
        <f t="shared" si="8"/>
        <v>Thursday</v>
      </c>
      <c r="Q112" s="5">
        <f t="shared" si="9"/>
        <v>15</v>
      </c>
      <c r="R112" s="28">
        <f t="shared" si="10"/>
        <v>0.98484848484848486</v>
      </c>
      <c r="S112" s="29">
        <f t="shared" si="11"/>
        <v>98.484848484848484</v>
      </c>
      <c r="T112" s="5" t="str">
        <f>IF(Delivery_Data[[#This Row],[Delays (min)]]&gt;0,"No","Yes")</f>
        <v>No</v>
      </c>
    </row>
    <row r="113" spans="1:20" ht="15.75" customHeight="1" x14ac:dyDescent="0.3">
      <c r="A113" s="4">
        <v>1112</v>
      </c>
      <c r="B113" s="5" t="s">
        <v>218</v>
      </c>
      <c r="C113" s="6">
        <v>45170.454861111109</v>
      </c>
      <c r="D113" s="5" t="s">
        <v>14</v>
      </c>
      <c r="E113" s="5" t="s">
        <v>103</v>
      </c>
      <c r="F113" s="5" t="s">
        <v>24</v>
      </c>
      <c r="G113" s="5" t="s">
        <v>17</v>
      </c>
      <c r="H113" s="5">
        <v>212</v>
      </c>
      <c r="I113" s="5">
        <v>14</v>
      </c>
      <c r="J113" s="5" t="s">
        <v>26</v>
      </c>
      <c r="K113" s="5" t="s">
        <v>35</v>
      </c>
      <c r="L113" s="5" t="s">
        <v>40</v>
      </c>
      <c r="M113" s="7" t="s">
        <v>46</v>
      </c>
      <c r="N113" s="26">
        <f t="shared" si="6"/>
        <v>1</v>
      </c>
      <c r="O113" s="42">
        <f t="shared" si="7"/>
        <v>45170</v>
      </c>
      <c r="P113" s="5" t="str">
        <f t="shared" si="8"/>
        <v>Friday</v>
      </c>
      <c r="Q113" s="5">
        <f t="shared" si="9"/>
        <v>10</v>
      </c>
      <c r="R113" s="28">
        <f t="shared" si="10"/>
        <v>0.93805309734513276</v>
      </c>
      <c r="S113" s="29">
        <f t="shared" si="11"/>
        <v>93.805309734513273</v>
      </c>
      <c r="T113" s="5" t="str">
        <f>IF(Delivery_Data[[#This Row],[Delays (min)]]&gt;0,"No","Yes")</f>
        <v>No</v>
      </c>
    </row>
    <row r="114" spans="1:20" ht="15.75" customHeight="1" x14ac:dyDescent="0.3">
      <c r="A114" s="4">
        <v>1113</v>
      </c>
      <c r="B114" s="5" t="s">
        <v>219</v>
      </c>
      <c r="C114" s="6">
        <v>45171.54791666667</v>
      </c>
      <c r="D114" s="5" t="s">
        <v>14</v>
      </c>
      <c r="E114" s="5" t="s">
        <v>220</v>
      </c>
      <c r="F114" s="5" t="s">
        <v>24</v>
      </c>
      <c r="G114" s="5" t="s">
        <v>25</v>
      </c>
      <c r="H114" s="5">
        <v>234</v>
      </c>
      <c r="I114" s="5">
        <v>15</v>
      </c>
      <c r="J114" s="5" t="s">
        <v>32</v>
      </c>
      <c r="K114" s="5" t="s">
        <v>19</v>
      </c>
      <c r="L114" s="5" t="s">
        <v>20</v>
      </c>
      <c r="M114" s="7" t="s">
        <v>41</v>
      </c>
      <c r="N114" s="26">
        <f t="shared" si="6"/>
        <v>-1</v>
      </c>
      <c r="O114" s="42">
        <f t="shared" si="7"/>
        <v>45171</v>
      </c>
      <c r="P114" s="5" t="str">
        <f t="shared" si="8"/>
        <v>Saturday</v>
      </c>
      <c r="Q114" s="5">
        <f t="shared" si="9"/>
        <v>13</v>
      </c>
      <c r="R114" s="28">
        <f t="shared" si="10"/>
        <v>0.93975903614457834</v>
      </c>
      <c r="S114" s="29">
        <f t="shared" si="11"/>
        <v>93.975903614457835</v>
      </c>
      <c r="T114" s="5" t="str">
        <f>IF(Delivery_Data[[#This Row],[Delays (min)]]&gt;0,"No","Yes")</f>
        <v>No</v>
      </c>
    </row>
    <row r="115" spans="1:20" ht="15.75" customHeight="1" x14ac:dyDescent="0.3">
      <c r="A115" s="4">
        <v>1114</v>
      </c>
      <c r="B115" s="5" t="s">
        <v>221</v>
      </c>
      <c r="C115" s="6">
        <v>45177.702777777777</v>
      </c>
      <c r="D115" s="5" t="s">
        <v>14</v>
      </c>
      <c r="E115" s="5" t="s">
        <v>15</v>
      </c>
      <c r="F115" s="5" t="s">
        <v>38</v>
      </c>
      <c r="G115" s="5" t="s">
        <v>25</v>
      </c>
      <c r="H115" s="5">
        <v>233</v>
      </c>
      <c r="I115" s="5">
        <v>1</v>
      </c>
      <c r="J115" s="5" t="s">
        <v>32</v>
      </c>
      <c r="K115" s="5" t="s">
        <v>35</v>
      </c>
      <c r="L115" s="5" t="s">
        <v>28</v>
      </c>
      <c r="M115" s="7" t="s">
        <v>21</v>
      </c>
      <c r="N115" s="26">
        <f t="shared" si="6"/>
        <v>-1</v>
      </c>
      <c r="O115" s="42">
        <f t="shared" si="7"/>
        <v>45177</v>
      </c>
      <c r="P115" s="5" t="str">
        <f t="shared" si="8"/>
        <v>Friday</v>
      </c>
      <c r="Q115" s="5">
        <f t="shared" si="9"/>
        <v>16</v>
      </c>
      <c r="R115" s="28">
        <f t="shared" si="10"/>
        <v>0.99572649572649574</v>
      </c>
      <c r="S115" s="29">
        <f t="shared" si="11"/>
        <v>99.572649572649567</v>
      </c>
      <c r="T115" s="5" t="str">
        <f>IF(Delivery_Data[[#This Row],[Delays (min)]]&gt;0,"No","Yes")</f>
        <v>No</v>
      </c>
    </row>
    <row r="116" spans="1:20" ht="15.75" customHeight="1" x14ac:dyDescent="0.3">
      <c r="A116" s="4">
        <v>1115</v>
      </c>
      <c r="B116" s="5" t="s">
        <v>222</v>
      </c>
      <c r="C116" s="6">
        <v>45173.622916666667</v>
      </c>
      <c r="D116" s="5" t="s">
        <v>43</v>
      </c>
      <c r="E116" s="5" t="s">
        <v>126</v>
      </c>
      <c r="F116" s="5" t="s">
        <v>38</v>
      </c>
      <c r="G116" s="5" t="s">
        <v>39</v>
      </c>
      <c r="H116" s="5">
        <v>155</v>
      </c>
      <c r="I116" s="5">
        <v>8</v>
      </c>
      <c r="J116" s="5" t="s">
        <v>32</v>
      </c>
      <c r="K116" s="5" t="s">
        <v>45</v>
      </c>
      <c r="L116" s="5" t="s">
        <v>20</v>
      </c>
      <c r="M116" s="7" t="s">
        <v>46</v>
      </c>
      <c r="N116" s="26">
        <f t="shared" si="6"/>
        <v>-1</v>
      </c>
      <c r="O116" s="42">
        <f t="shared" si="7"/>
        <v>45173</v>
      </c>
      <c r="P116" s="5" t="str">
        <f t="shared" si="8"/>
        <v>Monday</v>
      </c>
      <c r="Q116" s="5">
        <f t="shared" si="9"/>
        <v>14</v>
      </c>
      <c r="R116" s="28">
        <f t="shared" si="10"/>
        <v>0.95092024539877296</v>
      </c>
      <c r="S116" s="29">
        <f t="shared" si="11"/>
        <v>95.092024539877301</v>
      </c>
      <c r="T116" s="5" t="str">
        <f>IF(Delivery_Data[[#This Row],[Delays (min)]]&gt;0,"No","Yes")</f>
        <v>No</v>
      </c>
    </row>
    <row r="117" spans="1:20" ht="15.75" customHeight="1" x14ac:dyDescent="0.3">
      <c r="A117" s="4">
        <v>1116</v>
      </c>
      <c r="B117" s="5" t="s">
        <v>223</v>
      </c>
      <c r="C117" s="6">
        <v>45170.392361111109</v>
      </c>
      <c r="D117" s="5" t="s">
        <v>43</v>
      </c>
      <c r="E117" s="5" t="s">
        <v>128</v>
      </c>
      <c r="F117" s="5" t="s">
        <v>38</v>
      </c>
      <c r="G117" s="5" t="s">
        <v>56</v>
      </c>
      <c r="H117" s="5">
        <v>117</v>
      </c>
      <c r="I117" s="5">
        <v>15</v>
      </c>
      <c r="J117" s="5" t="s">
        <v>18</v>
      </c>
      <c r="K117" s="5" t="s">
        <v>19</v>
      </c>
      <c r="L117" s="5" t="s">
        <v>40</v>
      </c>
      <c r="M117" s="7" t="s">
        <v>41</v>
      </c>
      <c r="N117" s="26">
        <f t="shared" si="6"/>
        <v>0</v>
      </c>
      <c r="O117" s="42">
        <f t="shared" si="7"/>
        <v>45170</v>
      </c>
      <c r="P117" s="5" t="str">
        <f t="shared" si="8"/>
        <v>Friday</v>
      </c>
      <c r="Q117" s="5">
        <f t="shared" si="9"/>
        <v>9</v>
      </c>
      <c r="R117" s="28">
        <f t="shared" si="10"/>
        <v>0.88636363636363635</v>
      </c>
      <c r="S117" s="29">
        <f t="shared" si="11"/>
        <v>88.63636363636364</v>
      </c>
      <c r="T117" s="5" t="str">
        <f>IF(Delivery_Data[[#This Row],[Delays (min)]]&gt;0,"No","Yes")</f>
        <v>No</v>
      </c>
    </row>
    <row r="118" spans="1:20" ht="15.75" customHeight="1" x14ac:dyDescent="0.3">
      <c r="A118" s="4">
        <v>1117</v>
      </c>
      <c r="B118" s="5" t="s">
        <v>224</v>
      </c>
      <c r="C118" s="6">
        <v>45172.704861111109</v>
      </c>
      <c r="D118" s="5" t="s">
        <v>43</v>
      </c>
      <c r="E118" s="5" t="s">
        <v>115</v>
      </c>
      <c r="F118" s="5" t="s">
        <v>16</v>
      </c>
      <c r="G118" s="5" t="s">
        <v>31</v>
      </c>
      <c r="H118" s="5">
        <v>191</v>
      </c>
      <c r="I118" s="5">
        <v>16</v>
      </c>
      <c r="J118" s="5" t="s">
        <v>18</v>
      </c>
      <c r="K118" s="5" t="s">
        <v>49</v>
      </c>
      <c r="L118" s="5" t="s">
        <v>20</v>
      </c>
      <c r="M118" s="7" t="s">
        <v>46</v>
      </c>
      <c r="N118" s="26">
        <f t="shared" si="6"/>
        <v>0</v>
      </c>
      <c r="O118" s="42">
        <f t="shared" si="7"/>
        <v>45172</v>
      </c>
      <c r="P118" s="5" t="str">
        <f t="shared" si="8"/>
        <v>Sunday</v>
      </c>
      <c r="Q118" s="5">
        <f t="shared" si="9"/>
        <v>16</v>
      </c>
      <c r="R118" s="28">
        <f t="shared" si="10"/>
        <v>0.92270531400966183</v>
      </c>
      <c r="S118" s="29">
        <f t="shared" si="11"/>
        <v>92.270531400966178</v>
      </c>
      <c r="T118" s="5" t="str">
        <f>IF(Delivery_Data[[#This Row],[Delays (min)]]&gt;0,"No","Yes")</f>
        <v>No</v>
      </c>
    </row>
    <row r="119" spans="1:20" ht="15.75" customHeight="1" x14ac:dyDescent="0.3">
      <c r="A119" s="4">
        <v>1118</v>
      </c>
      <c r="B119" s="5" t="s">
        <v>225</v>
      </c>
      <c r="C119" s="6">
        <v>45177.629861111112</v>
      </c>
      <c r="D119" s="5" t="s">
        <v>43</v>
      </c>
      <c r="E119" s="5" t="s">
        <v>15</v>
      </c>
      <c r="F119" s="5" t="s">
        <v>24</v>
      </c>
      <c r="G119" s="5" t="s">
        <v>39</v>
      </c>
      <c r="H119" s="5">
        <v>193</v>
      </c>
      <c r="I119" s="5">
        <v>23</v>
      </c>
      <c r="J119" s="5" t="s">
        <v>18</v>
      </c>
      <c r="K119" s="5" t="s">
        <v>35</v>
      </c>
      <c r="L119" s="5" t="s">
        <v>20</v>
      </c>
      <c r="M119" s="7" t="s">
        <v>41</v>
      </c>
      <c r="N119" s="26">
        <f t="shared" si="6"/>
        <v>0</v>
      </c>
      <c r="O119" s="42">
        <f t="shared" si="7"/>
        <v>45177</v>
      </c>
      <c r="P119" s="5" t="str">
        <f t="shared" si="8"/>
        <v>Friday</v>
      </c>
      <c r="Q119" s="5">
        <f t="shared" si="9"/>
        <v>15</v>
      </c>
      <c r="R119" s="28">
        <f t="shared" si="10"/>
        <v>0.89351851851851849</v>
      </c>
      <c r="S119" s="29">
        <f t="shared" si="11"/>
        <v>89.351851851851848</v>
      </c>
      <c r="T119" s="5" t="str">
        <f>IF(Delivery_Data[[#This Row],[Delays (min)]]&gt;0,"No","Yes")</f>
        <v>No</v>
      </c>
    </row>
    <row r="120" spans="1:20" ht="15.75" customHeight="1" x14ac:dyDescent="0.3">
      <c r="A120" s="4">
        <v>1119</v>
      </c>
      <c r="B120" s="5" t="s">
        <v>226</v>
      </c>
      <c r="C120" s="6">
        <v>45177.419444444444</v>
      </c>
      <c r="D120" s="5" t="s">
        <v>14</v>
      </c>
      <c r="E120" s="5" t="s">
        <v>151</v>
      </c>
      <c r="F120" s="5" t="s">
        <v>24</v>
      </c>
      <c r="G120" s="5" t="s">
        <v>31</v>
      </c>
      <c r="H120" s="5">
        <v>149</v>
      </c>
      <c r="I120" s="5">
        <v>17</v>
      </c>
      <c r="J120" s="5" t="s">
        <v>32</v>
      </c>
      <c r="K120" s="5" t="s">
        <v>35</v>
      </c>
      <c r="L120" s="5" t="s">
        <v>28</v>
      </c>
      <c r="M120" s="7" t="s">
        <v>41</v>
      </c>
      <c r="N120" s="26">
        <f t="shared" si="6"/>
        <v>-1</v>
      </c>
      <c r="O120" s="42">
        <f t="shared" si="7"/>
        <v>45177</v>
      </c>
      <c r="P120" s="5" t="str">
        <f t="shared" si="8"/>
        <v>Friday</v>
      </c>
      <c r="Q120" s="5">
        <f t="shared" si="9"/>
        <v>10</v>
      </c>
      <c r="R120" s="28">
        <f t="shared" si="10"/>
        <v>0.89759036144578308</v>
      </c>
      <c r="S120" s="29">
        <f t="shared" si="11"/>
        <v>89.759036144578303</v>
      </c>
      <c r="T120" s="5" t="str">
        <f>IF(Delivery_Data[[#This Row],[Delays (min)]]&gt;0,"No","Yes")</f>
        <v>No</v>
      </c>
    </row>
    <row r="121" spans="1:20" ht="15.75" customHeight="1" x14ac:dyDescent="0.3">
      <c r="A121" s="4">
        <v>1120</v>
      </c>
      <c r="B121" s="5" t="s">
        <v>227</v>
      </c>
      <c r="C121" s="6">
        <v>45177.466666666667</v>
      </c>
      <c r="D121" s="5" t="s">
        <v>14</v>
      </c>
      <c r="E121" s="5" t="s">
        <v>228</v>
      </c>
      <c r="F121" s="5" t="s">
        <v>16</v>
      </c>
      <c r="G121" s="5" t="s">
        <v>25</v>
      </c>
      <c r="H121" s="5">
        <v>152</v>
      </c>
      <c r="I121" s="5">
        <v>26</v>
      </c>
      <c r="J121" s="5" t="s">
        <v>18</v>
      </c>
      <c r="K121" s="5" t="s">
        <v>49</v>
      </c>
      <c r="L121" s="5" t="s">
        <v>40</v>
      </c>
      <c r="M121" s="7" t="s">
        <v>46</v>
      </c>
      <c r="N121" s="26">
        <f t="shared" si="6"/>
        <v>0</v>
      </c>
      <c r="O121" s="42">
        <f t="shared" si="7"/>
        <v>45177</v>
      </c>
      <c r="P121" s="5" t="str">
        <f t="shared" si="8"/>
        <v>Friday</v>
      </c>
      <c r="Q121" s="5">
        <f t="shared" si="9"/>
        <v>11</v>
      </c>
      <c r="R121" s="28">
        <f t="shared" si="10"/>
        <v>0.8539325842696629</v>
      </c>
      <c r="S121" s="29">
        <f t="shared" si="11"/>
        <v>85.393258426966284</v>
      </c>
      <c r="T121" s="5" t="str">
        <f>IF(Delivery_Data[[#This Row],[Delays (min)]]&gt;0,"No","Yes")</f>
        <v>No</v>
      </c>
    </row>
    <row r="122" spans="1:20" ht="15.75" customHeight="1" x14ac:dyDescent="0.3">
      <c r="A122" s="4">
        <v>1121</v>
      </c>
      <c r="B122" s="5" t="s">
        <v>229</v>
      </c>
      <c r="C122" s="6">
        <v>45172.499305555553</v>
      </c>
      <c r="D122" s="5" t="s">
        <v>43</v>
      </c>
      <c r="E122" s="5" t="s">
        <v>169</v>
      </c>
      <c r="F122" s="5" t="s">
        <v>24</v>
      </c>
      <c r="G122" s="5" t="s">
        <v>25</v>
      </c>
      <c r="H122" s="5">
        <v>123</v>
      </c>
      <c r="I122" s="5">
        <v>22</v>
      </c>
      <c r="J122" s="5" t="s">
        <v>32</v>
      </c>
      <c r="K122" s="5" t="s">
        <v>27</v>
      </c>
      <c r="L122" s="5" t="s">
        <v>40</v>
      </c>
      <c r="M122" s="7" t="s">
        <v>21</v>
      </c>
      <c r="N122" s="26">
        <f t="shared" si="6"/>
        <v>-1</v>
      </c>
      <c r="O122" s="42">
        <f t="shared" si="7"/>
        <v>45172</v>
      </c>
      <c r="P122" s="5" t="str">
        <f t="shared" si="8"/>
        <v>Sunday</v>
      </c>
      <c r="Q122" s="5">
        <f t="shared" si="9"/>
        <v>11</v>
      </c>
      <c r="R122" s="28">
        <f t="shared" si="10"/>
        <v>0.84827586206896555</v>
      </c>
      <c r="S122" s="29">
        <f t="shared" si="11"/>
        <v>84.827586206896555</v>
      </c>
      <c r="T122" s="5" t="str">
        <f>IF(Delivery_Data[[#This Row],[Delays (min)]]&gt;0,"No","Yes")</f>
        <v>No</v>
      </c>
    </row>
    <row r="123" spans="1:20" ht="15.75" customHeight="1" x14ac:dyDescent="0.3">
      <c r="A123" s="4">
        <v>1122</v>
      </c>
      <c r="B123" s="5" t="s">
        <v>230</v>
      </c>
      <c r="C123" s="6">
        <v>45172.347222222219</v>
      </c>
      <c r="D123" s="5" t="s">
        <v>14</v>
      </c>
      <c r="E123" s="5" t="s">
        <v>231</v>
      </c>
      <c r="F123" s="5" t="s">
        <v>24</v>
      </c>
      <c r="G123" s="5" t="s">
        <v>31</v>
      </c>
      <c r="H123" s="5">
        <v>81</v>
      </c>
      <c r="I123" s="5">
        <v>15</v>
      </c>
      <c r="J123" s="5" t="s">
        <v>32</v>
      </c>
      <c r="K123" s="5" t="s">
        <v>27</v>
      </c>
      <c r="L123" s="5" t="s">
        <v>28</v>
      </c>
      <c r="M123" s="7" t="s">
        <v>41</v>
      </c>
      <c r="N123" s="26">
        <f t="shared" si="6"/>
        <v>-1</v>
      </c>
      <c r="O123" s="42">
        <f t="shared" si="7"/>
        <v>45172</v>
      </c>
      <c r="P123" s="5" t="str">
        <f t="shared" si="8"/>
        <v>Sunday</v>
      </c>
      <c r="Q123" s="5">
        <f t="shared" si="9"/>
        <v>8</v>
      </c>
      <c r="R123" s="28">
        <f t="shared" si="10"/>
        <v>0.84375</v>
      </c>
      <c r="S123" s="29">
        <f t="shared" si="11"/>
        <v>84.375</v>
      </c>
      <c r="T123" s="5" t="str">
        <f>IF(Delivery_Data[[#This Row],[Delays (min)]]&gt;0,"No","Yes")</f>
        <v>No</v>
      </c>
    </row>
    <row r="124" spans="1:20" ht="15.75" customHeight="1" x14ac:dyDescent="0.3">
      <c r="A124" s="4">
        <v>1123</v>
      </c>
      <c r="B124" s="5" t="s">
        <v>232</v>
      </c>
      <c r="C124" s="6">
        <v>45173.42291666667</v>
      </c>
      <c r="D124" s="5" t="s">
        <v>14</v>
      </c>
      <c r="E124" s="5" t="s">
        <v>140</v>
      </c>
      <c r="F124" s="5" t="s">
        <v>16</v>
      </c>
      <c r="G124" s="5" t="s">
        <v>17</v>
      </c>
      <c r="H124" s="5">
        <v>186</v>
      </c>
      <c r="I124" s="5">
        <v>26</v>
      </c>
      <c r="J124" s="5" t="s">
        <v>18</v>
      </c>
      <c r="K124" s="5" t="s">
        <v>35</v>
      </c>
      <c r="L124" s="5" t="s">
        <v>20</v>
      </c>
      <c r="M124" s="7" t="s">
        <v>21</v>
      </c>
      <c r="N124" s="26">
        <f t="shared" si="6"/>
        <v>0</v>
      </c>
      <c r="O124" s="42">
        <f t="shared" si="7"/>
        <v>45173</v>
      </c>
      <c r="P124" s="5" t="str">
        <f t="shared" si="8"/>
        <v>Monday</v>
      </c>
      <c r="Q124" s="5">
        <f t="shared" si="9"/>
        <v>10</v>
      </c>
      <c r="R124" s="28">
        <f t="shared" si="10"/>
        <v>0.87735849056603776</v>
      </c>
      <c r="S124" s="29">
        <f t="shared" si="11"/>
        <v>87.735849056603783</v>
      </c>
      <c r="T124" s="5" t="str">
        <f>IF(Delivery_Data[[#This Row],[Delays (min)]]&gt;0,"No","Yes")</f>
        <v>No</v>
      </c>
    </row>
    <row r="125" spans="1:20" ht="15.75" customHeight="1" x14ac:dyDescent="0.3">
      <c r="A125" s="4">
        <v>1124</v>
      </c>
      <c r="B125" s="5" t="s">
        <v>233</v>
      </c>
      <c r="C125" s="6">
        <v>45172.62222222222</v>
      </c>
      <c r="D125" s="5" t="s">
        <v>14</v>
      </c>
      <c r="E125" s="5" t="s">
        <v>234</v>
      </c>
      <c r="F125" s="5" t="s">
        <v>16</v>
      </c>
      <c r="G125" s="5" t="s">
        <v>25</v>
      </c>
      <c r="H125" s="5">
        <v>83</v>
      </c>
      <c r="I125" s="5">
        <v>2</v>
      </c>
      <c r="J125" s="5" t="s">
        <v>26</v>
      </c>
      <c r="K125" s="5" t="s">
        <v>35</v>
      </c>
      <c r="L125" s="5" t="s">
        <v>20</v>
      </c>
      <c r="M125" s="7" t="s">
        <v>46</v>
      </c>
      <c r="N125" s="26">
        <f t="shared" si="6"/>
        <v>1</v>
      </c>
      <c r="O125" s="42">
        <f t="shared" si="7"/>
        <v>45172</v>
      </c>
      <c r="P125" s="5" t="str">
        <f t="shared" si="8"/>
        <v>Sunday</v>
      </c>
      <c r="Q125" s="5">
        <f t="shared" si="9"/>
        <v>14</v>
      </c>
      <c r="R125" s="28">
        <f t="shared" si="10"/>
        <v>0.97647058823529409</v>
      </c>
      <c r="S125" s="29">
        <f t="shared" si="11"/>
        <v>97.647058823529406</v>
      </c>
      <c r="T125" s="5" t="str">
        <f>IF(Delivery_Data[[#This Row],[Delays (min)]]&gt;0,"No","Yes")</f>
        <v>No</v>
      </c>
    </row>
    <row r="126" spans="1:20" ht="15.75" customHeight="1" x14ac:dyDescent="0.3">
      <c r="A126" s="4">
        <v>1125</v>
      </c>
      <c r="B126" s="5" t="s">
        <v>235</v>
      </c>
      <c r="C126" s="6">
        <v>45176.406944444447</v>
      </c>
      <c r="D126" s="5" t="s">
        <v>43</v>
      </c>
      <c r="E126" s="5" t="s">
        <v>122</v>
      </c>
      <c r="F126" s="5" t="s">
        <v>16</v>
      </c>
      <c r="G126" s="5" t="s">
        <v>25</v>
      </c>
      <c r="H126" s="5">
        <v>178</v>
      </c>
      <c r="I126" s="5">
        <v>28</v>
      </c>
      <c r="J126" s="5" t="s">
        <v>26</v>
      </c>
      <c r="K126" s="5" t="s">
        <v>27</v>
      </c>
      <c r="L126" s="5" t="s">
        <v>20</v>
      </c>
      <c r="M126" s="7" t="s">
        <v>21</v>
      </c>
      <c r="N126" s="26">
        <f t="shared" si="6"/>
        <v>1</v>
      </c>
      <c r="O126" s="42">
        <f t="shared" si="7"/>
        <v>45176</v>
      </c>
      <c r="P126" s="5" t="str">
        <f t="shared" si="8"/>
        <v>Thursday</v>
      </c>
      <c r="Q126" s="5">
        <f t="shared" si="9"/>
        <v>9</v>
      </c>
      <c r="R126" s="28">
        <f t="shared" si="10"/>
        <v>0.86407766990291257</v>
      </c>
      <c r="S126" s="29">
        <f t="shared" si="11"/>
        <v>86.40776699029125</v>
      </c>
      <c r="T126" s="5" t="str">
        <f>IF(Delivery_Data[[#This Row],[Delays (min)]]&gt;0,"No","Yes")</f>
        <v>No</v>
      </c>
    </row>
    <row r="127" spans="1:20" ht="15.75" customHeight="1" x14ac:dyDescent="0.3">
      <c r="A127" s="4">
        <v>1126</v>
      </c>
      <c r="B127" s="5" t="s">
        <v>236</v>
      </c>
      <c r="C127" s="6">
        <v>45171.570833333331</v>
      </c>
      <c r="D127" s="5" t="s">
        <v>43</v>
      </c>
      <c r="E127" s="5" t="s">
        <v>115</v>
      </c>
      <c r="F127" s="5" t="s">
        <v>38</v>
      </c>
      <c r="G127" s="5" t="s">
        <v>31</v>
      </c>
      <c r="H127" s="5">
        <v>111</v>
      </c>
      <c r="I127" s="5">
        <v>27</v>
      </c>
      <c r="J127" s="5" t="s">
        <v>32</v>
      </c>
      <c r="K127" s="5" t="s">
        <v>27</v>
      </c>
      <c r="L127" s="5" t="s">
        <v>20</v>
      </c>
      <c r="M127" s="7" t="s">
        <v>41</v>
      </c>
      <c r="N127" s="26">
        <f t="shared" si="6"/>
        <v>-1</v>
      </c>
      <c r="O127" s="42">
        <f t="shared" si="7"/>
        <v>45171</v>
      </c>
      <c r="P127" s="5" t="str">
        <f t="shared" si="8"/>
        <v>Saturday</v>
      </c>
      <c r="Q127" s="5">
        <f t="shared" si="9"/>
        <v>13</v>
      </c>
      <c r="R127" s="28">
        <f t="shared" si="10"/>
        <v>0.80434782608695654</v>
      </c>
      <c r="S127" s="29">
        <f t="shared" si="11"/>
        <v>80.434782608695656</v>
      </c>
      <c r="T127" s="5" t="str">
        <f>IF(Delivery_Data[[#This Row],[Delays (min)]]&gt;0,"No","Yes")</f>
        <v>No</v>
      </c>
    </row>
    <row r="128" spans="1:20" ht="15.75" customHeight="1" x14ac:dyDescent="0.3">
      <c r="A128" s="4">
        <v>1127</v>
      </c>
      <c r="B128" s="5" t="s">
        <v>237</v>
      </c>
      <c r="C128" s="6">
        <v>45172.510416666664</v>
      </c>
      <c r="D128" s="5" t="s">
        <v>14</v>
      </c>
      <c r="E128" s="5" t="s">
        <v>87</v>
      </c>
      <c r="F128" s="5" t="s">
        <v>16</v>
      </c>
      <c r="G128" s="5" t="s">
        <v>31</v>
      </c>
      <c r="H128" s="5">
        <v>175</v>
      </c>
      <c r="I128" s="5">
        <v>9</v>
      </c>
      <c r="J128" s="5" t="s">
        <v>26</v>
      </c>
      <c r="K128" s="5" t="s">
        <v>35</v>
      </c>
      <c r="L128" s="5" t="s">
        <v>28</v>
      </c>
      <c r="M128" s="7" t="s">
        <v>46</v>
      </c>
      <c r="N128" s="26">
        <f t="shared" si="6"/>
        <v>1</v>
      </c>
      <c r="O128" s="42">
        <f t="shared" si="7"/>
        <v>45172</v>
      </c>
      <c r="P128" s="5" t="str">
        <f t="shared" si="8"/>
        <v>Sunday</v>
      </c>
      <c r="Q128" s="5">
        <f t="shared" si="9"/>
        <v>12</v>
      </c>
      <c r="R128" s="28">
        <f t="shared" si="10"/>
        <v>0.95108695652173914</v>
      </c>
      <c r="S128" s="29">
        <f t="shared" si="11"/>
        <v>95.108695652173907</v>
      </c>
      <c r="T128" s="5" t="str">
        <f>IF(Delivery_Data[[#This Row],[Delays (min)]]&gt;0,"No","Yes")</f>
        <v>No</v>
      </c>
    </row>
    <row r="129" spans="1:20" ht="15.75" customHeight="1" x14ac:dyDescent="0.3">
      <c r="A129" s="4">
        <v>1128</v>
      </c>
      <c r="B129" s="5" t="s">
        <v>238</v>
      </c>
      <c r="C129" s="6">
        <v>45172.497916666667</v>
      </c>
      <c r="D129" s="5" t="s">
        <v>14</v>
      </c>
      <c r="E129" s="5" t="s">
        <v>158</v>
      </c>
      <c r="F129" s="5" t="s">
        <v>16</v>
      </c>
      <c r="G129" s="5" t="s">
        <v>25</v>
      </c>
      <c r="H129" s="5">
        <v>117</v>
      </c>
      <c r="I129" s="5">
        <v>10</v>
      </c>
      <c r="J129" s="5" t="s">
        <v>32</v>
      </c>
      <c r="K129" s="5" t="s">
        <v>35</v>
      </c>
      <c r="L129" s="5" t="s">
        <v>20</v>
      </c>
      <c r="M129" s="7" t="s">
        <v>21</v>
      </c>
      <c r="N129" s="26">
        <f t="shared" si="6"/>
        <v>-1</v>
      </c>
      <c r="O129" s="42">
        <f t="shared" si="7"/>
        <v>45172</v>
      </c>
      <c r="P129" s="5" t="str">
        <f t="shared" si="8"/>
        <v>Sunday</v>
      </c>
      <c r="Q129" s="5">
        <f t="shared" si="9"/>
        <v>11</v>
      </c>
      <c r="R129" s="28">
        <f t="shared" si="10"/>
        <v>0.92125984251968507</v>
      </c>
      <c r="S129" s="29">
        <f t="shared" si="11"/>
        <v>92.125984251968504</v>
      </c>
      <c r="T129" s="5" t="str">
        <f>IF(Delivery_Data[[#This Row],[Delays (min)]]&gt;0,"No","Yes")</f>
        <v>No</v>
      </c>
    </row>
    <row r="130" spans="1:20" ht="15.75" customHeight="1" x14ac:dyDescent="0.3">
      <c r="A130" s="4">
        <v>1129</v>
      </c>
      <c r="B130" s="5" t="s">
        <v>239</v>
      </c>
      <c r="C130" s="6">
        <v>45175.570138888892</v>
      </c>
      <c r="D130" s="5" t="s">
        <v>14</v>
      </c>
      <c r="E130" s="5" t="s">
        <v>240</v>
      </c>
      <c r="F130" s="5" t="s">
        <v>24</v>
      </c>
      <c r="G130" s="5" t="s">
        <v>56</v>
      </c>
      <c r="H130" s="5">
        <v>195</v>
      </c>
      <c r="I130" s="5">
        <v>22</v>
      </c>
      <c r="J130" s="5" t="s">
        <v>32</v>
      </c>
      <c r="K130" s="5" t="s">
        <v>49</v>
      </c>
      <c r="L130" s="5" t="s">
        <v>20</v>
      </c>
      <c r="M130" s="7" t="s">
        <v>21</v>
      </c>
      <c r="N130" s="26">
        <f t="shared" ref="N130:N193" si="12">IF(J130="Positive",1,IF(J130="Neutral",0,IF(J130="Negative",-1,"")))</f>
        <v>-1</v>
      </c>
      <c r="O130" s="42">
        <f t="shared" ref="O130:O193" si="13">INT(C130)</f>
        <v>45175</v>
      </c>
      <c r="P130" s="5" t="str">
        <f t="shared" ref="P130:P193" si="14">TEXT(C130,"dddd")</f>
        <v>Wednesday</v>
      </c>
      <c r="Q130" s="5">
        <f t="shared" ref="Q130:Q193" si="15">HOUR(C130)</f>
        <v>13</v>
      </c>
      <c r="R130" s="28">
        <f t="shared" ref="R130:R193" si="16">H130/(H130+I130)</f>
        <v>0.89861751152073732</v>
      </c>
      <c r="S130" s="29">
        <f t="shared" si="11"/>
        <v>89.861751152073737</v>
      </c>
      <c r="T130" s="5" t="str">
        <f>IF(Delivery_Data[[#This Row],[Delays (min)]]&gt;0,"No","Yes")</f>
        <v>No</v>
      </c>
    </row>
    <row r="131" spans="1:20" ht="15.75" customHeight="1" x14ac:dyDescent="0.3">
      <c r="A131" s="4">
        <v>1130</v>
      </c>
      <c r="B131" s="5" t="s">
        <v>241</v>
      </c>
      <c r="C131" s="6">
        <v>45173.493055555555</v>
      </c>
      <c r="D131" s="5" t="s">
        <v>14</v>
      </c>
      <c r="E131" s="5" t="s">
        <v>151</v>
      </c>
      <c r="F131" s="5" t="s">
        <v>38</v>
      </c>
      <c r="G131" s="5" t="s">
        <v>25</v>
      </c>
      <c r="H131" s="5">
        <v>93</v>
      </c>
      <c r="I131" s="5">
        <v>20</v>
      </c>
      <c r="J131" s="5" t="s">
        <v>32</v>
      </c>
      <c r="K131" s="5" t="s">
        <v>49</v>
      </c>
      <c r="L131" s="5" t="s">
        <v>20</v>
      </c>
      <c r="M131" s="7" t="s">
        <v>41</v>
      </c>
      <c r="N131" s="26">
        <f t="shared" si="12"/>
        <v>-1</v>
      </c>
      <c r="O131" s="42">
        <f t="shared" si="13"/>
        <v>45173</v>
      </c>
      <c r="P131" s="5" t="str">
        <f t="shared" si="14"/>
        <v>Monday</v>
      </c>
      <c r="Q131" s="5">
        <f t="shared" si="15"/>
        <v>11</v>
      </c>
      <c r="R131" s="28">
        <f t="shared" si="16"/>
        <v>0.82300884955752207</v>
      </c>
      <c r="S131" s="29">
        <f t="shared" ref="S131:S194" si="17">IF(H131+I131=0,0,(H131/(H131+I131))*100) + (IFERROR(--J131,0)*10)</f>
        <v>82.30088495575221</v>
      </c>
      <c r="T131" s="5" t="str">
        <f>IF(Delivery_Data[[#This Row],[Delays (min)]]&gt;0,"No","Yes")</f>
        <v>No</v>
      </c>
    </row>
    <row r="132" spans="1:20" ht="15.75" customHeight="1" x14ac:dyDescent="0.3">
      <c r="A132" s="4">
        <v>1131</v>
      </c>
      <c r="B132" s="5" t="s">
        <v>242</v>
      </c>
      <c r="C132" s="6">
        <v>45174.565972222219</v>
      </c>
      <c r="D132" s="5" t="s">
        <v>14</v>
      </c>
      <c r="E132" s="5" t="s">
        <v>243</v>
      </c>
      <c r="F132" s="5" t="s">
        <v>24</v>
      </c>
      <c r="G132" s="5" t="s">
        <v>31</v>
      </c>
      <c r="H132" s="5">
        <v>73</v>
      </c>
      <c r="I132" s="5">
        <v>25</v>
      </c>
      <c r="J132" s="5" t="s">
        <v>26</v>
      </c>
      <c r="K132" s="5" t="s">
        <v>49</v>
      </c>
      <c r="L132" s="5" t="s">
        <v>28</v>
      </c>
      <c r="M132" s="7" t="s">
        <v>21</v>
      </c>
      <c r="N132" s="26">
        <f t="shared" si="12"/>
        <v>1</v>
      </c>
      <c r="O132" s="42">
        <f t="shared" si="13"/>
        <v>45174</v>
      </c>
      <c r="P132" s="5" t="str">
        <f t="shared" si="14"/>
        <v>Tuesday</v>
      </c>
      <c r="Q132" s="5">
        <f t="shared" si="15"/>
        <v>13</v>
      </c>
      <c r="R132" s="28">
        <f t="shared" si="16"/>
        <v>0.74489795918367352</v>
      </c>
      <c r="S132" s="29">
        <f t="shared" si="17"/>
        <v>74.489795918367349</v>
      </c>
      <c r="T132" s="5" t="str">
        <f>IF(Delivery_Data[[#This Row],[Delays (min)]]&gt;0,"No","Yes")</f>
        <v>No</v>
      </c>
    </row>
    <row r="133" spans="1:20" ht="15.75" customHeight="1" x14ac:dyDescent="0.3">
      <c r="A133" s="4">
        <v>1132</v>
      </c>
      <c r="B133" s="5" t="s">
        <v>244</v>
      </c>
      <c r="C133" s="6">
        <v>45171.518055555556</v>
      </c>
      <c r="D133" s="5" t="s">
        <v>14</v>
      </c>
      <c r="E133" s="5" t="s">
        <v>245</v>
      </c>
      <c r="F133" s="5" t="s">
        <v>38</v>
      </c>
      <c r="G133" s="5" t="s">
        <v>56</v>
      </c>
      <c r="H133" s="5">
        <v>69</v>
      </c>
      <c r="I133" s="5">
        <v>23</v>
      </c>
      <c r="J133" s="5" t="s">
        <v>18</v>
      </c>
      <c r="K133" s="5" t="s">
        <v>19</v>
      </c>
      <c r="L133" s="5" t="s">
        <v>20</v>
      </c>
      <c r="M133" s="7" t="s">
        <v>41</v>
      </c>
      <c r="N133" s="26">
        <f t="shared" si="12"/>
        <v>0</v>
      </c>
      <c r="O133" s="42">
        <f t="shared" si="13"/>
        <v>45171</v>
      </c>
      <c r="P133" s="5" t="str">
        <f t="shared" si="14"/>
        <v>Saturday</v>
      </c>
      <c r="Q133" s="5">
        <f t="shared" si="15"/>
        <v>12</v>
      </c>
      <c r="R133" s="28">
        <f t="shared" si="16"/>
        <v>0.75</v>
      </c>
      <c r="S133" s="29">
        <f t="shared" si="17"/>
        <v>75</v>
      </c>
      <c r="T133" s="5" t="str">
        <f>IF(Delivery_Data[[#This Row],[Delays (min)]]&gt;0,"No","Yes")</f>
        <v>No</v>
      </c>
    </row>
    <row r="134" spans="1:20" ht="15.75" customHeight="1" x14ac:dyDescent="0.3">
      <c r="A134" s="4">
        <v>1133</v>
      </c>
      <c r="B134" s="5" t="s">
        <v>168</v>
      </c>
      <c r="C134" s="6">
        <v>45177.656944444447</v>
      </c>
      <c r="D134" s="5" t="s">
        <v>43</v>
      </c>
      <c r="E134" s="5" t="s">
        <v>48</v>
      </c>
      <c r="F134" s="5" t="s">
        <v>16</v>
      </c>
      <c r="G134" s="5" t="s">
        <v>31</v>
      </c>
      <c r="H134" s="5">
        <v>239</v>
      </c>
      <c r="I134" s="5">
        <v>18</v>
      </c>
      <c r="J134" s="5" t="s">
        <v>26</v>
      </c>
      <c r="K134" s="5" t="s">
        <v>35</v>
      </c>
      <c r="L134" s="5" t="s">
        <v>28</v>
      </c>
      <c r="M134" s="7" t="s">
        <v>41</v>
      </c>
      <c r="N134" s="26">
        <f t="shared" si="12"/>
        <v>1</v>
      </c>
      <c r="O134" s="42">
        <f t="shared" si="13"/>
        <v>45177</v>
      </c>
      <c r="P134" s="5" t="str">
        <f t="shared" si="14"/>
        <v>Friday</v>
      </c>
      <c r="Q134" s="5">
        <f t="shared" si="15"/>
        <v>15</v>
      </c>
      <c r="R134" s="28">
        <f t="shared" si="16"/>
        <v>0.92996108949416345</v>
      </c>
      <c r="S134" s="29">
        <f t="shared" si="17"/>
        <v>92.996108949416339</v>
      </c>
      <c r="T134" s="5" t="str">
        <f>IF(Delivery_Data[[#This Row],[Delays (min)]]&gt;0,"No","Yes")</f>
        <v>No</v>
      </c>
    </row>
    <row r="135" spans="1:20" ht="15.75" customHeight="1" x14ac:dyDescent="0.3">
      <c r="A135" s="4">
        <v>1134</v>
      </c>
      <c r="B135" s="5" t="s">
        <v>246</v>
      </c>
      <c r="C135" s="6">
        <v>45172.634722222225</v>
      </c>
      <c r="D135" s="5" t="s">
        <v>43</v>
      </c>
      <c r="E135" s="5" t="s">
        <v>85</v>
      </c>
      <c r="F135" s="5" t="s">
        <v>24</v>
      </c>
      <c r="G135" s="5" t="s">
        <v>25</v>
      </c>
      <c r="H135" s="5">
        <v>140</v>
      </c>
      <c r="I135" s="5">
        <v>0</v>
      </c>
      <c r="J135" s="5" t="s">
        <v>18</v>
      </c>
      <c r="K135" s="5" t="s">
        <v>35</v>
      </c>
      <c r="L135" s="5" t="s">
        <v>20</v>
      </c>
      <c r="M135" s="7" t="s">
        <v>21</v>
      </c>
      <c r="N135" s="26">
        <f t="shared" si="12"/>
        <v>0</v>
      </c>
      <c r="O135" s="42">
        <f t="shared" si="13"/>
        <v>45172</v>
      </c>
      <c r="P135" s="5" t="str">
        <f t="shared" si="14"/>
        <v>Sunday</v>
      </c>
      <c r="Q135" s="5">
        <f t="shared" si="15"/>
        <v>15</v>
      </c>
      <c r="R135" s="28">
        <f t="shared" si="16"/>
        <v>1</v>
      </c>
      <c r="S135" s="29">
        <f t="shared" si="17"/>
        <v>100</v>
      </c>
      <c r="T135" s="5" t="str">
        <f>IF(Delivery_Data[[#This Row],[Delays (min)]]&gt;0,"No","Yes")</f>
        <v>Yes</v>
      </c>
    </row>
    <row r="136" spans="1:20" ht="15.75" customHeight="1" x14ac:dyDescent="0.3">
      <c r="A136" s="4">
        <v>1135</v>
      </c>
      <c r="B136" s="5" t="s">
        <v>247</v>
      </c>
      <c r="C136" s="6">
        <v>45173.595833333333</v>
      </c>
      <c r="D136" s="5" t="s">
        <v>43</v>
      </c>
      <c r="E136" s="5" t="s">
        <v>228</v>
      </c>
      <c r="F136" s="5" t="s">
        <v>16</v>
      </c>
      <c r="G136" s="5" t="s">
        <v>39</v>
      </c>
      <c r="H136" s="5">
        <v>185</v>
      </c>
      <c r="I136" s="5">
        <v>5</v>
      </c>
      <c r="J136" s="5" t="s">
        <v>18</v>
      </c>
      <c r="K136" s="5" t="s">
        <v>27</v>
      </c>
      <c r="L136" s="5" t="s">
        <v>28</v>
      </c>
      <c r="M136" s="7" t="s">
        <v>21</v>
      </c>
      <c r="N136" s="26">
        <f t="shared" si="12"/>
        <v>0</v>
      </c>
      <c r="O136" s="42">
        <f t="shared" si="13"/>
        <v>45173</v>
      </c>
      <c r="P136" s="5" t="str">
        <f t="shared" si="14"/>
        <v>Monday</v>
      </c>
      <c r="Q136" s="5">
        <f t="shared" si="15"/>
        <v>14</v>
      </c>
      <c r="R136" s="28">
        <f t="shared" si="16"/>
        <v>0.97368421052631582</v>
      </c>
      <c r="S136" s="29">
        <f t="shared" si="17"/>
        <v>97.368421052631575</v>
      </c>
      <c r="T136" s="5" t="str">
        <f>IF(Delivery_Data[[#This Row],[Delays (min)]]&gt;0,"No","Yes")</f>
        <v>No</v>
      </c>
    </row>
    <row r="137" spans="1:20" ht="15.75" customHeight="1" x14ac:dyDescent="0.3">
      <c r="A137" s="4">
        <v>1136</v>
      </c>
      <c r="B137" s="5" t="s">
        <v>248</v>
      </c>
      <c r="C137" s="6">
        <v>45175.35833333333</v>
      </c>
      <c r="D137" s="5" t="s">
        <v>43</v>
      </c>
      <c r="E137" s="5" t="s">
        <v>249</v>
      </c>
      <c r="F137" s="5" t="s">
        <v>16</v>
      </c>
      <c r="G137" s="5" t="s">
        <v>25</v>
      </c>
      <c r="H137" s="5">
        <v>217</v>
      </c>
      <c r="I137" s="5">
        <v>27</v>
      </c>
      <c r="J137" s="5" t="s">
        <v>32</v>
      </c>
      <c r="K137" s="5" t="s">
        <v>45</v>
      </c>
      <c r="L137" s="5" t="s">
        <v>20</v>
      </c>
      <c r="M137" s="7" t="s">
        <v>41</v>
      </c>
      <c r="N137" s="26">
        <f t="shared" si="12"/>
        <v>-1</v>
      </c>
      <c r="O137" s="42">
        <f t="shared" si="13"/>
        <v>45175</v>
      </c>
      <c r="P137" s="5" t="str">
        <f t="shared" si="14"/>
        <v>Wednesday</v>
      </c>
      <c r="Q137" s="5">
        <f t="shared" si="15"/>
        <v>8</v>
      </c>
      <c r="R137" s="28">
        <f t="shared" si="16"/>
        <v>0.88934426229508201</v>
      </c>
      <c r="S137" s="29">
        <f t="shared" si="17"/>
        <v>88.934426229508205</v>
      </c>
      <c r="T137" s="5" t="str">
        <f>IF(Delivery_Data[[#This Row],[Delays (min)]]&gt;0,"No","Yes")</f>
        <v>No</v>
      </c>
    </row>
    <row r="138" spans="1:20" ht="15.75" customHeight="1" x14ac:dyDescent="0.3">
      <c r="A138" s="4">
        <v>1137</v>
      </c>
      <c r="B138" s="5" t="s">
        <v>250</v>
      </c>
      <c r="C138" s="6">
        <v>45174.538194444445</v>
      </c>
      <c r="D138" s="5" t="s">
        <v>43</v>
      </c>
      <c r="E138" s="5" t="s">
        <v>99</v>
      </c>
      <c r="F138" s="5" t="s">
        <v>24</v>
      </c>
      <c r="G138" s="5" t="s">
        <v>25</v>
      </c>
      <c r="H138" s="5">
        <v>132</v>
      </c>
      <c r="I138" s="5">
        <v>21</v>
      </c>
      <c r="J138" s="5" t="s">
        <v>26</v>
      </c>
      <c r="K138" s="5" t="s">
        <v>19</v>
      </c>
      <c r="L138" s="5" t="s">
        <v>20</v>
      </c>
      <c r="M138" s="7" t="s">
        <v>41</v>
      </c>
      <c r="N138" s="26">
        <f t="shared" si="12"/>
        <v>1</v>
      </c>
      <c r="O138" s="42">
        <f t="shared" si="13"/>
        <v>45174</v>
      </c>
      <c r="P138" s="5" t="str">
        <f t="shared" si="14"/>
        <v>Tuesday</v>
      </c>
      <c r="Q138" s="5">
        <f t="shared" si="15"/>
        <v>12</v>
      </c>
      <c r="R138" s="28">
        <f t="shared" si="16"/>
        <v>0.86274509803921573</v>
      </c>
      <c r="S138" s="29">
        <f t="shared" si="17"/>
        <v>86.274509803921575</v>
      </c>
      <c r="T138" s="5" t="str">
        <f>IF(Delivery_Data[[#This Row],[Delays (min)]]&gt;0,"No","Yes")</f>
        <v>No</v>
      </c>
    </row>
    <row r="139" spans="1:20" ht="15.75" customHeight="1" x14ac:dyDescent="0.3">
      <c r="A139" s="4">
        <v>1138</v>
      </c>
      <c r="B139" s="5" t="s">
        <v>251</v>
      </c>
      <c r="C139" s="6">
        <v>45171.652083333334</v>
      </c>
      <c r="D139" s="5" t="s">
        <v>14</v>
      </c>
      <c r="E139" s="5" t="s">
        <v>164</v>
      </c>
      <c r="F139" s="5" t="s">
        <v>38</v>
      </c>
      <c r="G139" s="5" t="s">
        <v>39</v>
      </c>
      <c r="H139" s="5">
        <v>72</v>
      </c>
      <c r="I139" s="5">
        <v>11</v>
      </c>
      <c r="J139" s="5" t="s">
        <v>18</v>
      </c>
      <c r="K139" s="5" t="s">
        <v>19</v>
      </c>
      <c r="L139" s="5" t="s">
        <v>28</v>
      </c>
      <c r="M139" s="7" t="s">
        <v>46</v>
      </c>
      <c r="N139" s="26">
        <f t="shared" si="12"/>
        <v>0</v>
      </c>
      <c r="O139" s="42">
        <f t="shared" si="13"/>
        <v>45171</v>
      </c>
      <c r="P139" s="5" t="str">
        <f t="shared" si="14"/>
        <v>Saturday</v>
      </c>
      <c r="Q139" s="5">
        <f t="shared" si="15"/>
        <v>15</v>
      </c>
      <c r="R139" s="28">
        <f t="shared" si="16"/>
        <v>0.86746987951807231</v>
      </c>
      <c r="S139" s="29">
        <f t="shared" si="17"/>
        <v>86.746987951807228</v>
      </c>
      <c r="T139" s="5" t="str">
        <f>IF(Delivery_Data[[#This Row],[Delays (min)]]&gt;0,"No","Yes")</f>
        <v>No</v>
      </c>
    </row>
    <row r="140" spans="1:20" ht="15.75" customHeight="1" x14ac:dyDescent="0.3">
      <c r="A140" s="4">
        <v>1139</v>
      </c>
      <c r="B140" s="5" t="s">
        <v>252</v>
      </c>
      <c r="C140" s="6">
        <v>45177.456250000003</v>
      </c>
      <c r="D140" s="5" t="s">
        <v>14</v>
      </c>
      <c r="E140" s="5" t="s">
        <v>197</v>
      </c>
      <c r="F140" s="5" t="s">
        <v>24</v>
      </c>
      <c r="G140" s="5" t="s">
        <v>17</v>
      </c>
      <c r="H140" s="5">
        <v>97</v>
      </c>
      <c r="I140" s="5">
        <v>13</v>
      </c>
      <c r="J140" s="5" t="s">
        <v>18</v>
      </c>
      <c r="K140" s="5" t="s">
        <v>35</v>
      </c>
      <c r="L140" s="5" t="s">
        <v>40</v>
      </c>
      <c r="M140" s="7" t="s">
        <v>41</v>
      </c>
      <c r="N140" s="26">
        <f t="shared" si="12"/>
        <v>0</v>
      </c>
      <c r="O140" s="42">
        <f t="shared" si="13"/>
        <v>45177</v>
      </c>
      <c r="P140" s="5" t="str">
        <f t="shared" si="14"/>
        <v>Friday</v>
      </c>
      <c r="Q140" s="5">
        <f t="shared" si="15"/>
        <v>10</v>
      </c>
      <c r="R140" s="28">
        <f t="shared" si="16"/>
        <v>0.88181818181818183</v>
      </c>
      <c r="S140" s="29">
        <f t="shared" si="17"/>
        <v>88.181818181818187</v>
      </c>
      <c r="T140" s="5" t="str">
        <f>IF(Delivery_Data[[#This Row],[Delays (min)]]&gt;0,"No","Yes")</f>
        <v>No</v>
      </c>
    </row>
    <row r="141" spans="1:20" ht="15.75" customHeight="1" x14ac:dyDescent="0.3">
      <c r="A141" s="4">
        <v>1140</v>
      </c>
      <c r="B141" s="5" t="s">
        <v>253</v>
      </c>
      <c r="C141" s="6">
        <v>45172.625</v>
      </c>
      <c r="D141" s="5" t="s">
        <v>43</v>
      </c>
      <c r="E141" s="5" t="s">
        <v>200</v>
      </c>
      <c r="F141" s="5" t="s">
        <v>38</v>
      </c>
      <c r="G141" s="5" t="s">
        <v>56</v>
      </c>
      <c r="H141" s="5">
        <v>117</v>
      </c>
      <c r="I141" s="5">
        <v>8</v>
      </c>
      <c r="J141" s="5" t="s">
        <v>18</v>
      </c>
      <c r="K141" s="5" t="s">
        <v>49</v>
      </c>
      <c r="L141" s="5" t="s">
        <v>40</v>
      </c>
      <c r="M141" s="7" t="s">
        <v>21</v>
      </c>
      <c r="N141" s="26">
        <f t="shared" si="12"/>
        <v>0</v>
      </c>
      <c r="O141" s="42">
        <f t="shared" si="13"/>
        <v>45172</v>
      </c>
      <c r="P141" s="5" t="str">
        <f t="shared" si="14"/>
        <v>Sunday</v>
      </c>
      <c r="Q141" s="5">
        <f t="shared" si="15"/>
        <v>15</v>
      </c>
      <c r="R141" s="28">
        <f t="shared" si="16"/>
        <v>0.93600000000000005</v>
      </c>
      <c r="S141" s="29">
        <f t="shared" si="17"/>
        <v>93.600000000000009</v>
      </c>
      <c r="T141" s="5" t="str">
        <f>IF(Delivery_Data[[#This Row],[Delays (min)]]&gt;0,"No","Yes")</f>
        <v>No</v>
      </c>
    </row>
    <row r="142" spans="1:20" ht="15.75" customHeight="1" x14ac:dyDescent="0.3">
      <c r="A142" s="4">
        <v>1141</v>
      </c>
      <c r="B142" s="5" t="s">
        <v>254</v>
      </c>
      <c r="C142" s="6">
        <v>45171.436111111114</v>
      </c>
      <c r="D142" s="5" t="s">
        <v>14</v>
      </c>
      <c r="E142" s="5" t="s">
        <v>68</v>
      </c>
      <c r="F142" s="5" t="s">
        <v>38</v>
      </c>
      <c r="G142" s="5" t="s">
        <v>56</v>
      </c>
      <c r="H142" s="5">
        <v>126</v>
      </c>
      <c r="I142" s="5">
        <v>19</v>
      </c>
      <c r="J142" s="5" t="s">
        <v>18</v>
      </c>
      <c r="K142" s="5" t="s">
        <v>19</v>
      </c>
      <c r="L142" s="5" t="s">
        <v>20</v>
      </c>
      <c r="M142" s="7" t="s">
        <v>41</v>
      </c>
      <c r="N142" s="26">
        <f t="shared" si="12"/>
        <v>0</v>
      </c>
      <c r="O142" s="42">
        <f t="shared" si="13"/>
        <v>45171</v>
      </c>
      <c r="P142" s="5" t="str">
        <f t="shared" si="14"/>
        <v>Saturday</v>
      </c>
      <c r="Q142" s="5">
        <f t="shared" si="15"/>
        <v>10</v>
      </c>
      <c r="R142" s="28">
        <f t="shared" si="16"/>
        <v>0.86896551724137927</v>
      </c>
      <c r="S142" s="29">
        <f t="shared" si="17"/>
        <v>86.896551724137922</v>
      </c>
      <c r="T142" s="5" t="str">
        <f>IF(Delivery_Data[[#This Row],[Delays (min)]]&gt;0,"No","Yes")</f>
        <v>No</v>
      </c>
    </row>
    <row r="143" spans="1:20" ht="15.75" customHeight="1" x14ac:dyDescent="0.3">
      <c r="A143" s="4">
        <v>1142</v>
      </c>
      <c r="B143" s="5" t="s">
        <v>255</v>
      </c>
      <c r="C143" s="6">
        <v>45175.418749999997</v>
      </c>
      <c r="D143" s="5" t="s">
        <v>43</v>
      </c>
      <c r="E143" s="5" t="s">
        <v>76</v>
      </c>
      <c r="F143" s="5" t="s">
        <v>38</v>
      </c>
      <c r="G143" s="5" t="s">
        <v>56</v>
      </c>
      <c r="H143" s="5">
        <v>138</v>
      </c>
      <c r="I143" s="5">
        <v>21</v>
      </c>
      <c r="J143" s="5" t="s">
        <v>32</v>
      </c>
      <c r="K143" s="5" t="s">
        <v>27</v>
      </c>
      <c r="L143" s="5" t="s">
        <v>28</v>
      </c>
      <c r="M143" s="7" t="s">
        <v>41</v>
      </c>
      <c r="N143" s="26">
        <f t="shared" si="12"/>
        <v>-1</v>
      </c>
      <c r="O143" s="42">
        <f t="shared" si="13"/>
        <v>45175</v>
      </c>
      <c r="P143" s="5" t="str">
        <f t="shared" si="14"/>
        <v>Wednesday</v>
      </c>
      <c r="Q143" s="5">
        <f t="shared" si="15"/>
        <v>10</v>
      </c>
      <c r="R143" s="28">
        <f t="shared" si="16"/>
        <v>0.86792452830188682</v>
      </c>
      <c r="S143" s="29">
        <f t="shared" si="17"/>
        <v>86.79245283018868</v>
      </c>
      <c r="T143" s="5" t="str">
        <f>IF(Delivery_Data[[#This Row],[Delays (min)]]&gt;0,"No","Yes")</f>
        <v>No</v>
      </c>
    </row>
    <row r="144" spans="1:20" ht="15.75" customHeight="1" x14ac:dyDescent="0.3">
      <c r="A144" s="4">
        <v>1143</v>
      </c>
      <c r="B144" s="5" t="s">
        <v>256</v>
      </c>
      <c r="C144" s="6">
        <v>45177.487500000003</v>
      </c>
      <c r="D144" s="5" t="s">
        <v>14</v>
      </c>
      <c r="E144" s="5" t="s">
        <v>197</v>
      </c>
      <c r="F144" s="5" t="s">
        <v>24</v>
      </c>
      <c r="G144" s="5" t="s">
        <v>31</v>
      </c>
      <c r="H144" s="5">
        <v>223</v>
      </c>
      <c r="I144" s="5">
        <v>12</v>
      </c>
      <c r="J144" s="5" t="s">
        <v>32</v>
      </c>
      <c r="K144" s="5" t="s">
        <v>45</v>
      </c>
      <c r="L144" s="5" t="s">
        <v>40</v>
      </c>
      <c r="M144" s="7" t="s">
        <v>46</v>
      </c>
      <c r="N144" s="26">
        <f t="shared" si="12"/>
        <v>-1</v>
      </c>
      <c r="O144" s="42">
        <f t="shared" si="13"/>
        <v>45177</v>
      </c>
      <c r="P144" s="5" t="str">
        <f t="shared" si="14"/>
        <v>Friday</v>
      </c>
      <c r="Q144" s="5">
        <f t="shared" si="15"/>
        <v>11</v>
      </c>
      <c r="R144" s="28">
        <f t="shared" si="16"/>
        <v>0.94893617021276599</v>
      </c>
      <c r="S144" s="29">
        <f t="shared" si="17"/>
        <v>94.893617021276597</v>
      </c>
      <c r="T144" s="5" t="str">
        <f>IF(Delivery_Data[[#This Row],[Delays (min)]]&gt;0,"No","Yes")</f>
        <v>No</v>
      </c>
    </row>
    <row r="145" spans="1:20" ht="15.75" customHeight="1" x14ac:dyDescent="0.3">
      <c r="A145" s="4">
        <v>1144</v>
      </c>
      <c r="B145" s="5" t="s">
        <v>257</v>
      </c>
      <c r="C145" s="6">
        <v>45177.706944444442</v>
      </c>
      <c r="D145" s="5" t="s">
        <v>14</v>
      </c>
      <c r="E145" s="5" t="s">
        <v>177</v>
      </c>
      <c r="F145" s="5" t="s">
        <v>38</v>
      </c>
      <c r="G145" s="5" t="s">
        <v>31</v>
      </c>
      <c r="H145" s="5">
        <v>215</v>
      </c>
      <c r="I145" s="5">
        <v>24</v>
      </c>
      <c r="J145" s="5" t="s">
        <v>32</v>
      </c>
      <c r="K145" s="5" t="s">
        <v>49</v>
      </c>
      <c r="L145" s="5" t="s">
        <v>20</v>
      </c>
      <c r="M145" s="7" t="s">
        <v>41</v>
      </c>
      <c r="N145" s="26">
        <f t="shared" si="12"/>
        <v>-1</v>
      </c>
      <c r="O145" s="42">
        <f t="shared" si="13"/>
        <v>45177</v>
      </c>
      <c r="P145" s="5" t="str">
        <f t="shared" si="14"/>
        <v>Friday</v>
      </c>
      <c r="Q145" s="5">
        <f t="shared" si="15"/>
        <v>16</v>
      </c>
      <c r="R145" s="28">
        <f t="shared" si="16"/>
        <v>0.89958158995815896</v>
      </c>
      <c r="S145" s="29">
        <f t="shared" si="17"/>
        <v>89.958158995815893</v>
      </c>
      <c r="T145" s="5" t="str">
        <f>IF(Delivery_Data[[#This Row],[Delays (min)]]&gt;0,"No","Yes")</f>
        <v>No</v>
      </c>
    </row>
    <row r="146" spans="1:20" ht="15.75" customHeight="1" x14ac:dyDescent="0.3">
      <c r="A146" s="4">
        <v>1145</v>
      </c>
      <c r="B146" s="5" t="s">
        <v>258</v>
      </c>
      <c r="C146" s="6">
        <v>45177.384027777778</v>
      </c>
      <c r="D146" s="5" t="s">
        <v>14</v>
      </c>
      <c r="E146" s="5" t="s">
        <v>99</v>
      </c>
      <c r="F146" s="5" t="s">
        <v>24</v>
      </c>
      <c r="G146" s="5" t="s">
        <v>56</v>
      </c>
      <c r="H146" s="5">
        <v>221</v>
      </c>
      <c r="I146" s="5">
        <v>16</v>
      </c>
      <c r="J146" s="5" t="s">
        <v>32</v>
      </c>
      <c r="K146" s="5" t="s">
        <v>49</v>
      </c>
      <c r="L146" s="5" t="s">
        <v>20</v>
      </c>
      <c r="M146" s="7" t="s">
        <v>21</v>
      </c>
      <c r="N146" s="26">
        <f t="shared" si="12"/>
        <v>-1</v>
      </c>
      <c r="O146" s="42">
        <f t="shared" si="13"/>
        <v>45177</v>
      </c>
      <c r="P146" s="5" t="str">
        <f t="shared" si="14"/>
        <v>Friday</v>
      </c>
      <c r="Q146" s="5">
        <f t="shared" si="15"/>
        <v>9</v>
      </c>
      <c r="R146" s="28">
        <f t="shared" si="16"/>
        <v>0.9324894514767933</v>
      </c>
      <c r="S146" s="29">
        <f t="shared" si="17"/>
        <v>93.248945147679336</v>
      </c>
      <c r="T146" s="5" t="str">
        <f>IF(Delivery_Data[[#This Row],[Delays (min)]]&gt;0,"No","Yes")</f>
        <v>No</v>
      </c>
    </row>
    <row r="147" spans="1:20" ht="15.75" customHeight="1" x14ac:dyDescent="0.3">
      <c r="A147" s="4">
        <v>1146</v>
      </c>
      <c r="B147" s="5" t="s">
        <v>259</v>
      </c>
      <c r="C147" s="6">
        <v>45173.547222222223</v>
      </c>
      <c r="D147" s="5" t="s">
        <v>43</v>
      </c>
      <c r="E147" s="5" t="s">
        <v>234</v>
      </c>
      <c r="F147" s="5" t="s">
        <v>38</v>
      </c>
      <c r="G147" s="5" t="s">
        <v>39</v>
      </c>
      <c r="H147" s="5">
        <v>172</v>
      </c>
      <c r="I147" s="5">
        <v>15</v>
      </c>
      <c r="J147" s="5" t="s">
        <v>32</v>
      </c>
      <c r="K147" s="5" t="s">
        <v>19</v>
      </c>
      <c r="L147" s="5" t="s">
        <v>28</v>
      </c>
      <c r="M147" s="7" t="s">
        <v>21</v>
      </c>
      <c r="N147" s="26">
        <f t="shared" si="12"/>
        <v>-1</v>
      </c>
      <c r="O147" s="42">
        <f t="shared" si="13"/>
        <v>45173</v>
      </c>
      <c r="P147" s="5" t="str">
        <f t="shared" si="14"/>
        <v>Monday</v>
      </c>
      <c r="Q147" s="5">
        <f t="shared" si="15"/>
        <v>13</v>
      </c>
      <c r="R147" s="28">
        <f t="shared" si="16"/>
        <v>0.9197860962566845</v>
      </c>
      <c r="S147" s="29">
        <f t="shared" si="17"/>
        <v>91.978609625668454</v>
      </c>
      <c r="T147" s="5" t="str">
        <f>IF(Delivery_Data[[#This Row],[Delays (min)]]&gt;0,"No","Yes")</f>
        <v>No</v>
      </c>
    </row>
    <row r="148" spans="1:20" ht="15.75" customHeight="1" x14ac:dyDescent="0.3">
      <c r="A148" s="4">
        <v>1147</v>
      </c>
      <c r="B148" s="5" t="s">
        <v>260</v>
      </c>
      <c r="C148" s="6">
        <v>45170.42291666667</v>
      </c>
      <c r="D148" s="5" t="s">
        <v>14</v>
      </c>
      <c r="E148" s="5" t="s">
        <v>261</v>
      </c>
      <c r="F148" s="5" t="s">
        <v>24</v>
      </c>
      <c r="G148" s="5" t="s">
        <v>39</v>
      </c>
      <c r="H148" s="5">
        <v>71</v>
      </c>
      <c r="I148" s="5">
        <v>3</v>
      </c>
      <c r="J148" s="5" t="s">
        <v>32</v>
      </c>
      <c r="K148" s="5" t="s">
        <v>49</v>
      </c>
      <c r="L148" s="5" t="s">
        <v>40</v>
      </c>
      <c r="M148" s="7" t="s">
        <v>21</v>
      </c>
      <c r="N148" s="26">
        <f t="shared" si="12"/>
        <v>-1</v>
      </c>
      <c r="O148" s="42">
        <f t="shared" si="13"/>
        <v>45170</v>
      </c>
      <c r="P148" s="5" t="str">
        <f t="shared" si="14"/>
        <v>Friday</v>
      </c>
      <c r="Q148" s="5">
        <f t="shared" si="15"/>
        <v>10</v>
      </c>
      <c r="R148" s="28">
        <f t="shared" si="16"/>
        <v>0.95945945945945943</v>
      </c>
      <c r="S148" s="29">
        <f t="shared" si="17"/>
        <v>95.945945945945937</v>
      </c>
      <c r="T148" s="5" t="str">
        <f>IF(Delivery_Data[[#This Row],[Delays (min)]]&gt;0,"No","Yes")</f>
        <v>No</v>
      </c>
    </row>
    <row r="149" spans="1:20" ht="15.75" customHeight="1" x14ac:dyDescent="0.3">
      <c r="A149" s="4">
        <v>1148</v>
      </c>
      <c r="B149" s="5" t="s">
        <v>262</v>
      </c>
      <c r="C149" s="6">
        <v>45175.380555555559</v>
      </c>
      <c r="D149" s="5" t="s">
        <v>43</v>
      </c>
      <c r="E149" s="5" t="s">
        <v>263</v>
      </c>
      <c r="F149" s="5" t="s">
        <v>16</v>
      </c>
      <c r="G149" s="5" t="s">
        <v>31</v>
      </c>
      <c r="H149" s="5">
        <v>183</v>
      </c>
      <c r="I149" s="5">
        <v>14</v>
      </c>
      <c r="J149" s="5" t="s">
        <v>18</v>
      </c>
      <c r="K149" s="5" t="s">
        <v>27</v>
      </c>
      <c r="L149" s="5" t="s">
        <v>28</v>
      </c>
      <c r="M149" s="7" t="s">
        <v>41</v>
      </c>
      <c r="N149" s="26">
        <f t="shared" si="12"/>
        <v>0</v>
      </c>
      <c r="O149" s="42">
        <f t="shared" si="13"/>
        <v>45175</v>
      </c>
      <c r="P149" s="5" t="str">
        <f t="shared" si="14"/>
        <v>Wednesday</v>
      </c>
      <c r="Q149" s="5">
        <f t="shared" si="15"/>
        <v>9</v>
      </c>
      <c r="R149" s="28">
        <f t="shared" si="16"/>
        <v>0.92893401015228427</v>
      </c>
      <c r="S149" s="29">
        <f t="shared" si="17"/>
        <v>92.89340101522842</v>
      </c>
      <c r="T149" s="5" t="str">
        <f>IF(Delivery_Data[[#This Row],[Delays (min)]]&gt;0,"No","Yes")</f>
        <v>No</v>
      </c>
    </row>
    <row r="150" spans="1:20" ht="15.75" customHeight="1" x14ac:dyDescent="0.3">
      <c r="A150" s="4">
        <v>1149</v>
      </c>
      <c r="B150" s="5" t="s">
        <v>264</v>
      </c>
      <c r="C150" s="6">
        <v>45170.615277777775</v>
      </c>
      <c r="D150" s="5" t="s">
        <v>43</v>
      </c>
      <c r="E150" s="5" t="s">
        <v>51</v>
      </c>
      <c r="F150" s="5" t="s">
        <v>38</v>
      </c>
      <c r="G150" s="5" t="s">
        <v>17</v>
      </c>
      <c r="H150" s="5">
        <v>64</v>
      </c>
      <c r="I150" s="5">
        <v>25</v>
      </c>
      <c r="J150" s="5" t="s">
        <v>26</v>
      </c>
      <c r="K150" s="5" t="s">
        <v>45</v>
      </c>
      <c r="L150" s="5" t="s">
        <v>20</v>
      </c>
      <c r="M150" s="7" t="s">
        <v>21</v>
      </c>
      <c r="N150" s="26">
        <f t="shared" si="12"/>
        <v>1</v>
      </c>
      <c r="O150" s="42">
        <f t="shared" si="13"/>
        <v>45170</v>
      </c>
      <c r="P150" s="5" t="str">
        <f t="shared" si="14"/>
        <v>Friday</v>
      </c>
      <c r="Q150" s="5">
        <f t="shared" si="15"/>
        <v>14</v>
      </c>
      <c r="R150" s="28">
        <f t="shared" si="16"/>
        <v>0.7191011235955056</v>
      </c>
      <c r="S150" s="29">
        <f t="shared" si="17"/>
        <v>71.910112359550567</v>
      </c>
      <c r="T150" s="5" t="str">
        <f>IF(Delivery_Data[[#This Row],[Delays (min)]]&gt;0,"No","Yes")</f>
        <v>No</v>
      </c>
    </row>
    <row r="151" spans="1:20" ht="15.75" customHeight="1" x14ac:dyDescent="0.3">
      <c r="A151" s="4">
        <v>1150</v>
      </c>
      <c r="B151" s="5" t="s">
        <v>265</v>
      </c>
      <c r="C151" s="6">
        <v>45172.675000000003</v>
      </c>
      <c r="D151" s="5" t="s">
        <v>14</v>
      </c>
      <c r="E151" s="5" t="s">
        <v>220</v>
      </c>
      <c r="F151" s="5" t="s">
        <v>24</v>
      </c>
      <c r="G151" s="5" t="s">
        <v>56</v>
      </c>
      <c r="H151" s="5">
        <v>106</v>
      </c>
      <c r="I151" s="5">
        <v>10</v>
      </c>
      <c r="J151" s="5" t="s">
        <v>18</v>
      </c>
      <c r="K151" s="5" t="s">
        <v>45</v>
      </c>
      <c r="L151" s="5" t="s">
        <v>40</v>
      </c>
      <c r="M151" s="7" t="s">
        <v>41</v>
      </c>
      <c r="N151" s="26">
        <f t="shared" si="12"/>
        <v>0</v>
      </c>
      <c r="O151" s="42">
        <f t="shared" si="13"/>
        <v>45172</v>
      </c>
      <c r="P151" s="5" t="str">
        <f t="shared" si="14"/>
        <v>Sunday</v>
      </c>
      <c r="Q151" s="5">
        <f t="shared" si="15"/>
        <v>16</v>
      </c>
      <c r="R151" s="28">
        <f t="shared" si="16"/>
        <v>0.91379310344827591</v>
      </c>
      <c r="S151" s="29">
        <f t="shared" si="17"/>
        <v>91.379310344827587</v>
      </c>
      <c r="T151" s="5" t="str">
        <f>IF(Delivery_Data[[#This Row],[Delays (min)]]&gt;0,"No","Yes")</f>
        <v>No</v>
      </c>
    </row>
    <row r="152" spans="1:20" ht="15.75" customHeight="1" x14ac:dyDescent="0.3">
      <c r="A152" s="4">
        <v>1151</v>
      </c>
      <c r="B152" s="5" t="s">
        <v>266</v>
      </c>
      <c r="C152" s="6">
        <v>45170.37222222222</v>
      </c>
      <c r="D152" s="5" t="s">
        <v>14</v>
      </c>
      <c r="E152" s="5" t="s">
        <v>267</v>
      </c>
      <c r="F152" s="5" t="s">
        <v>24</v>
      </c>
      <c r="G152" s="5" t="s">
        <v>25</v>
      </c>
      <c r="H152" s="5">
        <v>213</v>
      </c>
      <c r="I152" s="5">
        <v>15</v>
      </c>
      <c r="J152" s="5" t="s">
        <v>32</v>
      </c>
      <c r="K152" s="5" t="s">
        <v>27</v>
      </c>
      <c r="L152" s="5" t="s">
        <v>40</v>
      </c>
      <c r="M152" s="7" t="s">
        <v>21</v>
      </c>
      <c r="N152" s="26">
        <f t="shared" si="12"/>
        <v>-1</v>
      </c>
      <c r="O152" s="42">
        <f t="shared" si="13"/>
        <v>45170</v>
      </c>
      <c r="P152" s="5" t="str">
        <f t="shared" si="14"/>
        <v>Friday</v>
      </c>
      <c r="Q152" s="5">
        <f t="shared" si="15"/>
        <v>8</v>
      </c>
      <c r="R152" s="28">
        <f t="shared" si="16"/>
        <v>0.93421052631578949</v>
      </c>
      <c r="S152" s="29">
        <f t="shared" si="17"/>
        <v>93.421052631578945</v>
      </c>
      <c r="T152" s="5" t="str">
        <f>IF(Delivery_Data[[#This Row],[Delays (min)]]&gt;0,"No","Yes")</f>
        <v>No</v>
      </c>
    </row>
    <row r="153" spans="1:20" ht="15.75" customHeight="1" x14ac:dyDescent="0.3">
      <c r="A153" s="4">
        <v>1152</v>
      </c>
      <c r="B153" s="5" t="s">
        <v>268</v>
      </c>
      <c r="C153" s="6">
        <v>45177.533333333333</v>
      </c>
      <c r="D153" s="5" t="s">
        <v>14</v>
      </c>
      <c r="E153" s="5" t="s">
        <v>143</v>
      </c>
      <c r="F153" s="5" t="s">
        <v>16</v>
      </c>
      <c r="G153" s="5" t="s">
        <v>31</v>
      </c>
      <c r="H153" s="5">
        <v>179</v>
      </c>
      <c r="I153" s="5">
        <v>19</v>
      </c>
      <c r="J153" s="5" t="s">
        <v>26</v>
      </c>
      <c r="K153" s="5" t="s">
        <v>45</v>
      </c>
      <c r="L153" s="5" t="s">
        <v>40</v>
      </c>
      <c r="M153" s="7" t="s">
        <v>21</v>
      </c>
      <c r="N153" s="26">
        <f t="shared" si="12"/>
        <v>1</v>
      </c>
      <c r="O153" s="42">
        <f t="shared" si="13"/>
        <v>45177</v>
      </c>
      <c r="P153" s="5" t="str">
        <f t="shared" si="14"/>
        <v>Friday</v>
      </c>
      <c r="Q153" s="5">
        <f t="shared" si="15"/>
        <v>12</v>
      </c>
      <c r="R153" s="28">
        <f t="shared" si="16"/>
        <v>0.90404040404040409</v>
      </c>
      <c r="S153" s="29">
        <f t="shared" si="17"/>
        <v>90.404040404040416</v>
      </c>
      <c r="T153" s="5" t="str">
        <f>IF(Delivery_Data[[#This Row],[Delays (min)]]&gt;0,"No","Yes")</f>
        <v>No</v>
      </c>
    </row>
    <row r="154" spans="1:20" ht="15.75" customHeight="1" x14ac:dyDescent="0.3">
      <c r="A154" s="4">
        <v>1153</v>
      </c>
      <c r="B154" s="5" t="s">
        <v>269</v>
      </c>
      <c r="C154" s="6">
        <v>45177.647916666669</v>
      </c>
      <c r="D154" s="5" t="s">
        <v>14</v>
      </c>
      <c r="E154" s="5" t="s">
        <v>270</v>
      </c>
      <c r="F154" s="5" t="s">
        <v>16</v>
      </c>
      <c r="G154" s="5" t="s">
        <v>56</v>
      </c>
      <c r="H154" s="5">
        <v>162</v>
      </c>
      <c r="I154" s="5">
        <v>13</v>
      </c>
      <c r="J154" s="5" t="s">
        <v>26</v>
      </c>
      <c r="K154" s="5" t="s">
        <v>27</v>
      </c>
      <c r="L154" s="5" t="s">
        <v>28</v>
      </c>
      <c r="M154" s="7" t="s">
        <v>46</v>
      </c>
      <c r="N154" s="26">
        <f t="shared" si="12"/>
        <v>1</v>
      </c>
      <c r="O154" s="42">
        <f t="shared" si="13"/>
        <v>45177</v>
      </c>
      <c r="P154" s="5" t="str">
        <f t="shared" si="14"/>
        <v>Friday</v>
      </c>
      <c r="Q154" s="5">
        <f t="shared" si="15"/>
        <v>15</v>
      </c>
      <c r="R154" s="28">
        <f t="shared" si="16"/>
        <v>0.92571428571428571</v>
      </c>
      <c r="S154" s="29">
        <f t="shared" si="17"/>
        <v>92.571428571428569</v>
      </c>
      <c r="T154" s="5" t="str">
        <f>IF(Delivery_Data[[#This Row],[Delays (min)]]&gt;0,"No","Yes")</f>
        <v>No</v>
      </c>
    </row>
    <row r="155" spans="1:20" ht="15.75" customHeight="1" x14ac:dyDescent="0.3">
      <c r="A155" s="4">
        <v>1154</v>
      </c>
      <c r="B155" s="5" t="s">
        <v>271</v>
      </c>
      <c r="C155" s="6">
        <v>45173.571527777778</v>
      </c>
      <c r="D155" s="5" t="s">
        <v>43</v>
      </c>
      <c r="E155" s="5" t="s">
        <v>272</v>
      </c>
      <c r="F155" s="5" t="s">
        <v>38</v>
      </c>
      <c r="G155" s="5" t="s">
        <v>17</v>
      </c>
      <c r="H155" s="5">
        <v>215</v>
      </c>
      <c r="I155" s="5">
        <v>12</v>
      </c>
      <c r="J155" s="5" t="s">
        <v>32</v>
      </c>
      <c r="K155" s="5" t="s">
        <v>49</v>
      </c>
      <c r="L155" s="5" t="s">
        <v>20</v>
      </c>
      <c r="M155" s="7" t="s">
        <v>41</v>
      </c>
      <c r="N155" s="26">
        <f t="shared" si="12"/>
        <v>-1</v>
      </c>
      <c r="O155" s="42">
        <f t="shared" si="13"/>
        <v>45173</v>
      </c>
      <c r="P155" s="5" t="str">
        <f t="shared" si="14"/>
        <v>Monday</v>
      </c>
      <c r="Q155" s="5">
        <f t="shared" si="15"/>
        <v>13</v>
      </c>
      <c r="R155" s="28">
        <f t="shared" si="16"/>
        <v>0.94713656387665202</v>
      </c>
      <c r="S155" s="29">
        <f t="shared" si="17"/>
        <v>94.713656387665196</v>
      </c>
      <c r="T155" s="5" t="str">
        <f>IF(Delivery_Data[[#This Row],[Delays (min)]]&gt;0,"No","Yes")</f>
        <v>No</v>
      </c>
    </row>
    <row r="156" spans="1:20" ht="15.75" customHeight="1" x14ac:dyDescent="0.3">
      <c r="A156" s="4">
        <v>1155</v>
      </c>
      <c r="B156" s="5" t="s">
        <v>273</v>
      </c>
      <c r="C156" s="6">
        <v>45175.570833333331</v>
      </c>
      <c r="D156" s="5" t="s">
        <v>43</v>
      </c>
      <c r="E156" s="5" t="s">
        <v>162</v>
      </c>
      <c r="F156" s="5" t="s">
        <v>38</v>
      </c>
      <c r="G156" s="5" t="s">
        <v>39</v>
      </c>
      <c r="H156" s="5">
        <v>165</v>
      </c>
      <c r="I156" s="5">
        <v>15</v>
      </c>
      <c r="J156" s="5" t="s">
        <v>32</v>
      </c>
      <c r="K156" s="5" t="s">
        <v>35</v>
      </c>
      <c r="L156" s="5" t="s">
        <v>20</v>
      </c>
      <c r="M156" s="7" t="s">
        <v>46</v>
      </c>
      <c r="N156" s="26">
        <f t="shared" si="12"/>
        <v>-1</v>
      </c>
      <c r="O156" s="42">
        <f t="shared" si="13"/>
        <v>45175</v>
      </c>
      <c r="P156" s="5" t="str">
        <f t="shared" si="14"/>
        <v>Wednesday</v>
      </c>
      <c r="Q156" s="5">
        <f t="shared" si="15"/>
        <v>13</v>
      </c>
      <c r="R156" s="28">
        <f t="shared" si="16"/>
        <v>0.91666666666666663</v>
      </c>
      <c r="S156" s="29">
        <f t="shared" si="17"/>
        <v>91.666666666666657</v>
      </c>
      <c r="T156" s="5" t="str">
        <f>IF(Delivery_Data[[#This Row],[Delays (min)]]&gt;0,"No","Yes")</f>
        <v>No</v>
      </c>
    </row>
    <row r="157" spans="1:20" ht="15.75" customHeight="1" x14ac:dyDescent="0.3">
      <c r="A157" s="4">
        <v>1156</v>
      </c>
      <c r="B157" s="5" t="s">
        <v>274</v>
      </c>
      <c r="C157" s="6">
        <v>45176.427083333336</v>
      </c>
      <c r="D157" s="5" t="s">
        <v>14</v>
      </c>
      <c r="E157" s="5" t="s">
        <v>130</v>
      </c>
      <c r="F157" s="5" t="s">
        <v>38</v>
      </c>
      <c r="G157" s="5" t="s">
        <v>31</v>
      </c>
      <c r="H157" s="5">
        <v>108</v>
      </c>
      <c r="I157" s="5">
        <v>14</v>
      </c>
      <c r="J157" s="5" t="s">
        <v>32</v>
      </c>
      <c r="K157" s="5" t="s">
        <v>19</v>
      </c>
      <c r="L157" s="5" t="s">
        <v>40</v>
      </c>
      <c r="M157" s="7" t="s">
        <v>46</v>
      </c>
      <c r="N157" s="26">
        <f t="shared" si="12"/>
        <v>-1</v>
      </c>
      <c r="O157" s="42">
        <f t="shared" si="13"/>
        <v>45176</v>
      </c>
      <c r="P157" s="5" t="str">
        <f t="shared" si="14"/>
        <v>Thursday</v>
      </c>
      <c r="Q157" s="5">
        <f t="shared" si="15"/>
        <v>10</v>
      </c>
      <c r="R157" s="28">
        <f t="shared" si="16"/>
        <v>0.88524590163934425</v>
      </c>
      <c r="S157" s="29">
        <f t="shared" si="17"/>
        <v>88.52459016393442</v>
      </c>
      <c r="T157" s="5" t="str">
        <f>IF(Delivery_Data[[#This Row],[Delays (min)]]&gt;0,"No","Yes")</f>
        <v>No</v>
      </c>
    </row>
    <row r="158" spans="1:20" ht="15.75" customHeight="1" x14ac:dyDescent="0.3">
      <c r="A158" s="4">
        <v>1157</v>
      </c>
      <c r="B158" s="5" t="s">
        <v>275</v>
      </c>
      <c r="C158" s="6">
        <v>45170.368750000001</v>
      </c>
      <c r="D158" s="5" t="s">
        <v>43</v>
      </c>
      <c r="E158" s="5" t="s">
        <v>179</v>
      </c>
      <c r="F158" s="5" t="s">
        <v>38</v>
      </c>
      <c r="G158" s="5" t="s">
        <v>31</v>
      </c>
      <c r="H158" s="5">
        <v>147</v>
      </c>
      <c r="I158" s="5">
        <v>10</v>
      </c>
      <c r="J158" s="5" t="s">
        <v>18</v>
      </c>
      <c r="K158" s="5" t="s">
        <v>35</v>
      </c>
      <c r="L158" s="5" t="s">
        <v>40</v>
      </c>
      <c r="M158" s="7" t="s">
        <v>46</v>
      </c>
      <c r="N158" s="26">
        <f t="shared" si="12"/>
        <v>0</v>
      </c>
      <c r="O158" s="42">
        <f t="shared" si="13"/>
        <v>45170</v>
      </c>
      <c r="P158" s="5" t="str">
        <f t="shared" si="14"/>
        <v>Friday</v>
      </c>
      <c r="Q158" s="5">
        <f t="shared" si="15"/>
        <v>8</v>
      </c>
      <c r="R158" s="28">
        <f t="shared" si="16"/>
        <v>0.93630573248407645</v>
      </c>
      <c r="S158" s="29">
        <f t="shared" si="17"/>
        <v>93.630573248407643</v>
      </c>
      <c r="T158" s="5" t="str">
        <f>IF(Delivery_Data[[#This Row],[Delays (min)]]&gt;0,"No","Yes")</f>
        <v>No</v>
      </c>
    </row>
    <row r="159" spans="1:20" ht="15.75" customHeight="1" x14ac:dyDescent="0.3">
      <c r="A159" s="4">
        <v>1158</v>
      </c>
      <c r="B159" s="5" t="s">
        <v>276</v>
      </c>
      <c r="C159" s="6">
        <v>45174.459027777775</v>
      </c>
      <c r="D159" s="5" t="s">
        <v>43</v>
      </c>
      <c r="E159" s="5" t="s">
        <v>277</v>
      </c>
      <c r="F159" s="5" t="s">
        <v>24</v>
      </c>
      <c r="G159" s="5" t="s">
        <v>56</v>
      </c>
      <c r="H159" s="5">
        <v>83</v>
      </c>
      <c r="I159" s="5">
        <v>8</v>
      </c>
      <c r="J159" s="5" t="s">
        <v>26</v>
      </c>
      <c r="K159" s="5" t="s">
        <v>49</v>
      </c>
      <c r="L159" s="5" t="s">
        <v>40</v>
      </c>
      <c r="M159" s="7" t="s">
        <v>41</v>
      </c>
      <c r="N159" s="26">
        <f t="shared" si="12"/>
        <v>1</v>
      </c>
      <c r="O159" s="42">
        <f t="shared" si="13"/>
        <v>45174</v>
      </c>
      <c r="P159" s="5" t="str">
        <f t="shared" si="14"/>
        <v>Tuesday</v>
      </c>
      <c r="Q159" s="5">
        <f t="shared" si="15"/>
        <v>11</v>
      </c>
      <c r="R159" s="28">
        <f t="shared" si="16"/>
        <v>0.91208791208791207</v>
      </c>
      <c r="S159" s="29">
        <f t="shared" si="17"/>
        <v>91.208791208791212</v>
      </c>
      <c r="T159" s="5" t="str">
        <f>IF(Delivery_Data[[#This Row],[Delays (min)]]&gt;0,"No","Yes")</f>
        <v>No</v>
      </c>
    </row>
    <row r="160" spans="1:20" ht="15.75" customHeight="1" x14ac:dyDescent="0.3">
      <c r="A160" s="4">
        <v>1159</v>
      </c>
      <c r="B160" s="5" t="s">
        <v>278</v>
      </c>
      <c r="C160" s="6">
        <v>45176.510416666664</v>
      </c>
      <c r="D160" s="5" t="s">
        <v>14</v>
      </c>
      <c r="E160" s="5" t="s">
        <v>200</v>
      </c>
      <c r="F160" s="5" t="s">
        <v>38</v>
      </c>
      <c r="G160" s="5" t="s">
        <v>17</v>
      </c>
      <c r="H160" s="5">
        <v>197</v>
      </c>
      <c r="I160" s="5">
        <v>22</v>
      </c>
      <c r="J160" s="5" t="s">
        <v>18</v>
      </c>
      <c r="K160" s="5" t="s">
        <v>35</v>
      </c>
      <c r="L160" s="5" t="s">
        <v>20</v>
      </c>
      <c r="M160" s="7" t="s">
        <v>41</v>
      </c>
      <c r="N160" s="26">
        <f t="shared" si="12"/>
        <v>0</v>
      </c>
      <c r="O160" s="42">
        <f t="shared" si="13"/>
        <v>45176</v>
      </c>
      <c r="P160" s="5" t="str">
        <f t="shared" si="14"/>
        <v>Thursday</v>
      </c>
      <c r="Q160" s="5">
        <f t="shared" si="15"/>
        <v>12</v>
      </c>
      <c r="R160" s="28">
        <f t="shared" si="16"/>
        <v>0.8995433789954338</v>
      </c>
      <c r="S160" s="29">
        <f t="shared" si="17"/>
        <v>89.954337899543376</v>
      </c>
      <c r="T160" s="5" t="str">
        <f>IF(Delivery_Data[[#This Row],[Delays (min)]]&gt;0,"No","Yes")</f>
        <v>No</v>
      </c>
    </row>
    <row r="161" spans="1:20" ht="15.75" customHeight="1" x14ac:dyDescent="0.3">
      <c r="A161" s="4">
        <v>1160</v>
      </c>
      <c r="B161" s="5" t="s">
        <v>279</v>
      </c>
      <c r="C161" s="6">
        <v>45175.411111111112</v>
      </c>
      <c r="D161" s="5" t="s">
        <v>43</v>
      </c>
      <c r="E161" s="5" t="s">
        <v>261</v>
      </c>
      <c r="F161" s="5" t="s">
        <v>16</v>
      </c>
      <c r="G161" s="5" t="s">
        <v>25</v>
      </c>
      <c r="H161" s="5">
        <v>214</v>
      </c>
      <c r="I161" s="5">
        <v>14</v>
      </c>
      <c r="J161" s="5" t="s">
        <v>26</v>
      </c>
      <c r="K161" s="5" t="s">
        <v>35</v>
      </c>
      <c r="L161" s="5" t="s">
        <v>40</v>
      </c>
      <c r="M161" s="7" t="s">
        <v>41</v>
      </c>
      <c r="N161" s="26">
        <f t="shared" si="12"/>
        <v>1</v>
      </c>
      <c r="O161" s="42">
        <f t="shared" si="13"/>
        <v>45175</v>
      </c>
      <c r="P161" s="5" t="str">
        <f t="shared" si="14"/>
        <v>Wednesday</v>
      </c>
      <c r="Q161" s="5">
        <f t="shared" si="15"/>
        <v>9</v>
      </c>
      <c r="R161" s="28">
        <f t="shared" si="16"/>
        <v>0.93859649122807021</v>
      </c>
      <c r="S161" s="29">
        <f t="shared" si="17"/>
        <v>93.859649122807014</v>
      </c>
      <c r="T161" s="5" t="str">
        <f>IF(Delivery_Data[[#This Row],[Delays (min)]]&gt;0,"No","Yes")</f>
        <v>No</v>
      </c>
    </row>
    <row r="162" spans="1:20" ht="15.75" customHeight="1" x14ac:dyDescent="0.3">
      <c r="A162" s="4">
        <v>1161</v>
      </c>
      <c r="B162" s="5" t="s">
        <v>280</v>
      </c>
      <c r="C162" s="6">
        <v>45171.395138888889</v>
      </c>
      <c r="D162" s="5" t="s">
        <v>14</v>
      </c>
      <c r="E162" s="5" t="s">
        <v>281</v>
      </c>
      <c r="F162" s="5" t="s">
        <v>16</v>
      </c>
      <c r="G162" s="5" t="s">
        <v>17</v>
      </c>
      <c r="H162" s="5">
        <v>188</v>
      </c>
      <c r="I162" s="5">
        <v>2</v>
      </c>
      <c r="J162" s="5" t="s">
        <v>32</v>
      </c>
      <c r="K162" s="5" t="s">
        <v>45</v>
      </c>
      <c r="L162" s="5" t="s">
        <v>28</v>
      </c>
      <c r="M162" s="7" t="s">
        <v>41</v>
      </c>
      <c r="N162" s="26">
        <f t="shared" si="12"/>
        <v>-1</v>
      </c>
      <c r="O162" s="42">
        <f t="shared" si="13"/>
        <v>45171</v>
      </c>
      <c r="P162" s="5" t="str">
        <f t="shared" si="14"/>
        <v>Saturday</v>
      </c>
      <c r="Q162" s="5">
        <f t="shared" si="15"/>
        <v>9</v>
      </c>
      <c r="R162" s="28">
        <f t="shared" si="16"/>
        <v>0.98947368421052628</v>
      </c>
      <c r="S162" s="29">
        <f t="shared" si="17"/>
        <v>98.94736842105263</v>
      </c>
      <c r="T162" s="5" t="str">
        <f>IF(Delivery_Data[[#This Row],[Delays (min)]]&gt;0,"No","Yes")</f>
        <v>No</v>
      </c>
    </row>
    <row r="163" spans="1:20" ht="15.75" customHeight="1" x14ac:dyDescent="0.3">
      <c r="A163" s="4">
        <v>1162</v>
      </c>
      <c r="B163" s="5" t="s">
        <v>282</v>
      </c>
      <c r="C163" s="6">
        <v>45172.578472222223</v>
      </c>
      <c r="D163" s="5" t="s">
        <v>14</v>
      </c>
      <c r="E163" s="5" t="s">
        <v>132</v>
      </c>
      <c r="F163" s="5" t="s">
        <v>24</v>
      </c>
      <c r="G163" s="5" t="s">
        <v>56</v>
      </c>
      <c r="H163" s="5">
        <v>118</v>
      </c>
      <c r="I163" s="5">
        <v>19</v>
      </c>
      <c r="J163" s="5" t="s">
        <v>26</v>
      </c>
      <c r="K163" s="5" t="s">
        <v>19</v>
      </c>
      <c r="L163" s="5" t="s">
        <v>28</v>
      </c>
      <c r="M163" s="7" t="s">
        <v>21</v>
      </c>
      <c r="N163" s="26">
        <f t="shared" si="12"/>
        <v>1</v>
      </c>
      <c r="O163" s="42">
        <f t="shared" si="13"/>
        <v>45172</v>
      </c>
      <c r="P163" s="5" t="str">
        <f t="shared" si="14"/>
        <v>Sunday</v>
      </c>
      <c r="Q163" s="5">
        <f t="shared" si="15"/>
        <v>13</v>
      </c>
      <c r="R163" s="28">
        <f t="shared" si="16"/>
        <v>0.86131386861313863</v>
      </c>
      <c r="S163" s="29">
        <f t="shared" si="17"/>
        <v>86.131386861313857</v>
      </c>
      <c r="T163" s="5" t="str">
        <f>IF(Delivery_Data[[#This Row],[Delays (min)]]&gt;0,"No","Yes")</f>
        <v>No</v>
      </c>
    </row>
    <row r="164" spans="1:20" ht="15.75" customHeight="1" x14ac:dyDescent="0.3">
      <c r="A164" s="4">
        <v>1163</v>
      </c>
      <c r="B164" s="5" t="s">
        <v>283</v>
      </c>
      <c r="C164" s="6">
        <v>45171.496527777781</v>
      </c>
      <c r="D164" s="5" t="s">
        <v>43</v>
      </c>
      <c r="E164" s="5" t="s">
        <v>73</v>
      </c>
      <c r="F164" s="5" t="s">
        <v>16</v>
      </c>
      <c r="G164" s="5" t="s">
        <v>17</v>
      </c>
      <c r="H164" s="5">
        <v>78</v>
      </c>
      <c r="I164" s="5">
        <v>0</v>
      </c>
      <c r="J164" s="5" t="s">
        <v>26</v>
      </c>
      <c r="K164" s="5" t="s">
        <v>19</v>
      </c>
      <c r="L164" s="5" t="s">
        <v>28</v>
      </c>
      <c r="M164" s="7" t="s">
        <v>41</v>
      </c>
      <c r="N164" s="26">
        <f t="shared" si="12"/>
        <v>1</v>
      </c>
      <c r="O164" s="42">
        <f t="shared" si="13"/>
        <v>45171</v>
      </c>
      <c r="P164" s="5" t="str">
        <f t="shared" si="14"/>
        <v>Saturday</v>
      </c>
      <c r="Q164" s="5">
        <f t="shared" si="15"/>
        <v>11</v>
      </c>
      <c r="R164" s="28">
        <f t="shared" si="16"/>
        <v>1</v>
      </c>
      <c r="S164" s="29">
        <f t="shared" si="17"/>
        <v>100</v>
      </c>
      <c r="T164" s="5" t="str">
        <f>IF(Delivery_Data[[#This Row],[Delays (min)]]&gt;0,"No","Yes")</f>
        <v>Yes</v>
      </c>
    </row>
    <row r="165" spans="1:20" ht="15.75" customHeight="1" x14ac:dyDescent="0.3">
      <c r="A165" s="4">
        <v>1164</v>
      </c>
      <c r="B165" s="5" t="s">
        <v>284</v>
      </c>
      <c r="C165" s="6">
        <v>45172.367361111108</v>
      </c>
      <c r="D165" s="5" t="s">
        <v>14</v>
      </c>
      <c r="E165" s="5" t="s">
        <v>285</v>
      </c>
      <c r="F165" s="5" t="s">
        <v>24</v>
      </c>
      <c r="G165" s="5" t="s">
        <v>25</v>
      </c>
      <c r="H165" s="5">
        <v>236</v>
      </c>
      <c r="I165" s="5">
        <v>20</v>
      </c>
      <c r="J165" s="5" t="s">
        <v>32</v>
      </c>
      <c r="K165" s="5" t="s">
        <v>45</v>
      </c>
      <c r="L165" s="5" t="s">
        <v>28</v>
      </c>
      <c r="M165" s="7" t="s">
        <v>41</v>
      </c>
      <c r="N165" s="26">
        <f t="shared" si="12"/>
        <v>-1</v>
      </c>
      <c r="O165" s="42">
        <f t="shared" si="13"/>
        <v>45172</v>
      </c>
      <c r="P165" s="5" t="str">
        <f t="shared" si="14"/>
        <v>Sunday</v>
      </c>
      <c r="Q165" s="5">
        <f t="shared" si="15"/>
        <v>8</v>
      </c>
      <c r="R165" s="28">
        <f t="shared" si="16"/>
        <v>0.921875</v>
      </c>
      <c r="S165" s="29">
        <f t="shared" si="17"/>
        <v>92.1875</v>
      </c>
      <c r="T165" s="5" t="str">
        <f>IF(Delivery_Data[[#This Row],[Delays (min)]]&gt;0,"No","Yes")</f>
        <v>No</v>
      </c>
    </row>
    <row r="166" spans="1:20" ht="15.75" customHeight="1" x14ac:dyDescent="0.3">
      <c r="A166" s="4">
        <v>1165</v>
      </c>
      <c r="B166" s="5" t="s">
        <v>286</v>
      </c>
      <c r="C166" s="6">
        <v>45175.450694444444</v>
      </c>
      <c r="D166" s="5" t="s">
        <v>43</v>
      </c>
      <c r="E166" s="5" t="s">
        <v>162</v>
      </c>
      <c r="F166" s="5" t="s">
        <v>16</v>
      </c>
      <c r="G166" s="5" t="s">
        <v>31</v>
      </c>
      <c r="H166" s="5">
        <v>79</v>
      </c>
      <c r="I166" s="5">
        <v>15</v>
      </c>
      <c r="J166" s="5" t="s">
        <v>18</v>
      </c>
      <c r="K166" s="5" t="s">
        <v>35</v>
      </c>
      <c r="L166" s="5" t="s">
        <v>28</v>
      </c>
      <c r="M166" s="7" t="s">
        <v>46</v>
      </c>
      <c r="N166" s="26">
        <f t="shared" si="12"/>
        <v>0</v>
      </c>
      <c r="O166" s="42">
        <f t="shared" si="13"/>
        <v>45175</v>
      </c>
      <c r="P166" s="5" t="str">
        <f t="shared" si="14"/>
        <v>Wednesday</v>
      </c>
      <c r="Q166" s="5">
        <f t="shared" si="15"/>
        <v>10</v>
      </c>
      <c r="R166" s="28">
        <f t="shared" si="16"/>
        <v>0.84042553191489366</v>
      </c>
      <c r="S166" s="29">
        <f t="shared" si="17"/>
        <v>84.042553191489361</v>
      </c>
      <c r="T166" s="5" t="str">
        <f>IF(Delivery_Data[[#This Row],[Delays (min)]]&gt;0,"No","Yes")</f>
        <v>No</v>
      </c>
    </row>
    <row r="167" spans="1:20" ht="15.75" customHeight="1" x14ac:dyDescent="0.3">
      <c r="A167" s="4">
        <v>1166</v>
      </c>
      <c r="B167" s="5" t="s">
        <v>287</v>
      </c>
      <c r="C167" s="6">
        <v>45174.336805555555</v>
      </c>
      <c r="D167" s="5" t="s">
        <v>14</v>
      </c>
      <c r="E167" s="5" t="s">
        <v>288</v>
      </c>
      <c r="F167" s="5" t="s">
        <v>24</v>
      </c>
      <c r="G167" s="5" t="s">
        <v>39</v>
      </c>
      <c r="H167" s="5">
        <v>155</v>
      </c>
      <c r="I167" s="5">
        <v>13</v>
      </c>
      <c r="J167" s="5" t="s">
        <v>32</v>
      </c>
      <c r="K167" s="5" t="s">
        <v>35</v>
      </c>
      <c r="L167" s="5" t="s">
        <v>28</v>
      </c>
      <c r="M167" s="7" t="s">
        <v>21</v>
      </c>
      <c r="N167" s="26">
        <f t="shared" si="12"/>
        <v>-1</v>
      </c>
      <c r="O167" s="42">
        <f t="shared" si="13"/>
        <v>45174</v>
      </c>
      <c r="P167" s="5" t="str">
        <f t="shared" si="14"/>
        <v>Tuesday</v>
      </c>
      <c r="Q167" s="5">
        <f t="shared" si="15"/>
        <v>8</v>
      </c>
      <c r="R167" s="28">
        <f t="shared" si="16"/>
        <v>0.92261904761904767</v>
      </c>
      <c r="S167" s="29">
        <f t="shared" si="17"/>
        <v>92.261904761904773</v>
      </c>
      <c r="T167" s="5" t="str">
        <f>IF(Delivery_Data[[#This Row],[Delays (min)]]&gt;0,"No","Yes")</f>
        <v>No</v>
      </c>
    </row>
    <row r="168" spans="1:20" ht="15.75" customHeight="1" x14ac:dyDescent="0.3">
      <c r="A168" s="4">
        <v>1167</v>
      </c>
      <c r="B168" s="5" t="s">
        <v>289</v>
      </c>
      <c r="C168" s="6">
        <v>45174.479166666664</v>
      </c>
      <c r="D168" s="5" t="s">
        <v>14</v>
      </c>
      <c r="E168" s="5" t="s">
        <v>132</v>
      </c>
      <c r="F168" s="5" t="s">
        <v>38</v>
      </c>
      <c r="G168" s="5" t="s">
        <v>39</v>
      </c>
      <c r="H168" s="5">
        <v>69</v>
      </c>
      <c r="I168" s="5">
        <v>8</v>
      </c>
      <c r="J168" s="5" t="s">
        <v>26</v>
      </c>
      <c r="K168" s="5" t="s">
        <v>19</v>
      </c>
      <c r="L168" s="5" t="s">
        <v>28</v>
      </c>
      <c r="M168" s="7" t="s">
        <v>46</v>
      </c>
      <c r="N168" s="26">
        <f t="shared" si="12"/>
        <v>1</v>
      </c>
      <c r="O168" s="42">
        <f t="shared" si="13"/>
        <v>45174</v>
      </c>
      <c r="P168" s="5" t="str">
        <f t="shared" si="14"/>
        <v>Tuesday</v>
      </c>
      <c r="Q168" s="5">
        <f t="shared" si="15"/>
        <v>11</v>
      </c>
      <c r="R168" s="28">
        <f t="shared" si="16"/>
        <v>0.89610389610389607</v>
      </c>
      <c r="S168" s="29">
        <f t="shared" si="17"/>
        <v>89.610389610389603</v>
      </c>
      <c r="T168" s="5" t="str">
        <f>IF(Delivery_Data[[#This Row],[Delays (min)]]&gt;0,"No","Yes")</f>
        <v>No</v>
      </c>
    </row>
    <row r="169" spans="1:20" ht="15.75" customHeight="1" x14ac:dyDescent="0.3">
      <c r="A169" s="4">
        <v>1168</v>
      </c>
      <c r="B169" s="5" t="s">
        <v>290</v>
      </c>
      <c r="C169" s="6">
        <v>45170.675000000003</v>
      </c>
      <c r="D169" s="5" t="s">
        <v>14</v>
      </c>
      <c r="E169" s="5" t="s">
        <v>187</v>
      </c>
      <c r="F169" s="5" t="s">
        <v>38</v>
      </c>
      <c r="G169" s="5" t="s">
        <v>25</v>
      </c>
      <c r="H169" s="5">
        <v>81</v>
      </c>
      <c r="I169" s="5">
        <v>15</v>
      </c>
      <c r="J169" s="5" t="s">
        <v>26</v>
      </c>
      <c r="K169" s="5" t="s">
        <v>45</v>
      </c>
      <c r="L169" s="5" t="s">
        <v>20</v>
      </c>
      <c r="M169" s="7" t="s">
        <v>46</v>
      </c>
      <c r="N169" s="26">
        <f t="shared" si="12"/>
        <v>1</v>
      </c>
      <c r="O169" s="42">
        <f t="shared" si="13"/>
        <v>45170</v>
      </c>
      <c r="P169" s="5" t="str">
        <f t="shared" si="14"/>
        <v>Friday</v>
      </c>
      <c r="Q169" s="5">
        <f t="shared" si="15"/>
        <v>16</v>
      </c>
      <c r="R169" s="28">
        <f t="shared" si="16"/>
        <v>0.84375</v>
      </c>
      <c r="S169" s="29">
        <f t="shared" si="17"/>
        <v>84.375</v>
      </c>
      <c r="T169" s="5" t="str">
        <f>IF(Delivery_Data[[#This Row],[Delays (min)]]&gt;0,"No","Yes")</f>
        <v>No</v>
      </c>
    </row>
    <row r="170" spans="1:20" ht="15.75" customHeight="1" x14ac:dyDescent="0.3">
      <c r="A170" s="4">
        <v>1169</v>
      </c>
      <c r="B170" s="5" t="s">
        <v>291</v>
      </c>
      <c r="C170" s="6">
        <v>45170.498611111114</v>
      </c>
      <c r="D170" s="5" t="s">
        <v>43</v>
      </c>
      <c r="E170" s="5" t="s">
        <v>132</v>
      </c>
      <c r="F170" s="5" t="s">
        <v>16</v>
      </c>
      <c r="G170" s="5" t="s">
        <v>56</v>
      </c>
      <c r="H170" s="5">
        <v>223</v>
      </c>
      <c r="I170" s="5">
        <v>0</v>
      </c>
      <c r="J170" s="5" t="s">
        <v>18</v>
      </c>
      <c r="K170" s="5" t="s">
        <v>35</v>
      </c>
      <c r="L170" s="5" t="s">
        <v>40</v>
      </c>
      <c r="M170" s="7" t="s">
        <v>41</v>
      </c>
      <c r="N170" s="26">
        <f t="shared" si="12"/>
        <v>0</v>
      </c>
      <c r="O170" s="42">
        <f t="shared" si="13"/>
        <v>45170</v>
      </c>
      <c r="P170" s="5" t="str">
        <f t="shared" si="14"/>
        <v>Friday</v>
      </c>
      <c r="Q170" s="5">
        <f t="shared" si="15"/>
        <v>11</v>
      </c>
      <c r="R170" s="28">
        <f t="shared" si="16"/>
        <v>1</v>
      </c>
      <c r="S170" s="29">
        <f t="shared" si="17"/>
        <v>100</v>
      </c>
      <c r="T170" s="5" t="str">
        <f>IF(Delivery_Data[[#This Row],[Delays (min)]]&gt;0,"No","Yes")</f>
        <v>Yes</v>
      </c>
    </row>
    <row r="171" spans="1:20" ht="15.75" customHeight="1" x14ac:dyDescent="0.3">
      <c r="A171" s="4">
        <v>1170</v>
      </c>
      <c r="B171" s="5" t="s">
        <v>292</v>
      </c>
      <c r="C171" s="6">
        <v>45171.604166666664</v>
      </c>
      <c r="D171" s="5" t="s">
        <v>43</v>
      </c>
      <c r="E171" s="5" t="s">
        <v>89</v>
      </c>
      <c r="F171" s="5" t="s">
        <v>38</v>
      </c>
      <c r="G171" s="5" t="s">
        <v>39</v>
      </c>
      <c r="H171" s="5">
        <v>64</v>
      </c>
      <c r="I171" s="5">
        <v>25</v>
      </c>
      <c r="J171" s="5" t="s">
        <v>18</v>
      </c>
      <c r="K171" s="5" t="s">
        <v>35</v>
      </c>
      <c r="L171" s="5" t="s">
        <v>28</v>
      </c>
      <c r="M171" s="7" t="s">
        <v>41</v>
      </c>
      <c r="N171" s="26">
        <f t="shared" si="12"/>
        <v>0</v>
      </c>
      <c r="O171" s="42">
        <f t="shared" si="13"/>
        <v>45171</v>
      </c>
      <c r="P171" s="5" t="str">
        <f t="shared" si="14"/>
        <v>Saturday</v>
      </c>
      <c r="Q171" s="5">
        <f t="shared" si="15"/>
        <v>14</v>
      </c>
      <c r="R171" s="28">
        <f t="shared" si="16"/>
        <v>0.7191011235955056</v>
      </c>
      <c r="S171" s="29">
        <f t="shared" si="17"/>
        <v>71.910112359550567</v>
      </c>
      <c r="T171" s="5" t="str">
        <f>IF(Delivery_Data[[#This Row],[Delays (min)]]&gt;0,"No","Yes")</f>
        <v>No</v>
      </c>
    </row>
    <row r="172" spans="1:20" ht="15.75" customHeight="1" x14ac:dyDescent="0.3">
      <c r="A172" s="4">
        <v>1171</v>
      </c>
      <c r="B172" s="5" t="s">
        <v>293</v>
      </c>
      <c r="C172" s="6">
        <v>45177.488194444442</v>
      </c>
      <c r="D172" s="5" t="s">
        <v>43</v>
      </c>
      <c r="E172" s="5" t="s">
        <v>154</v>
      </c>
      <c r="F172" s="5" t="s">
        <v>24</v>
      </c>
      <c r="G172" s="5" t="s">
        <v>17</v>
      </c>
      <c r="H172" s="5">
        <v>137</v>
      </c>
      <c r="I172" s="5">
        <v>23</v>
      </c>
      <c r="J172" s="5" t="s">
        <v>26</v>
      </c>
      <c r="K172" s="5" t="s">
        <v>35</v>
      </c>
      <c r="L172" s="5" t="s">
        <v>20</v>
      </c>
      <c r="M172" s="7" t="s">
        <v>46</v>
      </c>
      <c r="N172" s="26">
        <f t="shared" si="12"/>
        <v>1</v>
      </c>
      <c r="O172" s="42">
        <f t="shared" si="13"/>
        <v>45177</v>
      </c>
      <c r="P172" s="5" t="str">
        <f t="shared" si="14"/>
        <v>Friday</v>
      </c>
      <c r="Q172" s="5">
        <f t="shared" si="15"/>
        <v>11</v>
      </c>
      <c r="R172" s="28">
        <f t="shared" si="16"/>
        <v>0.85624999999999996</v>
      </c>
      <c r="S172" s="29">
        <f t="shared" si="17"/>
        <v>85.625</v>
      </c>
      <c r="T172" s="5" t="str">
        <f>IF(Delivery_Data[[#This Row],[Delays (min)]]&gt;0,"No","Yes")</f>
        <v>No</v>
      </c>
    </row>
    <row r="173" spans="1:20" ht="15.75" customHeight="1" x14ac:dyDescent="0.3">
      <c r="A173" s="4">
        <v>1172</v>
      </c>
      <c r="B173" s="5" t="s">
        <v>294</v>
      </c>
      <c r="C173" s="6">
        <v>45171.401388888888</v>
      </c>
      <c r="D173" s="5" t="s">
        <v>43</v>
      </c>
      <c r="E173" s="5" t="s">
        <v>211</v>
      </c>
      <c r="F173" s="5" t="s">
        <v>24</v>
      </c>
      <c r="G173" s="5" t="s">
        <v>17</v>
      </c>
      <c r="H173" s="5">
        <v>175</v>
      </c>
      <c r="I173" s="5">
        <v>1</v>
      </c>
      <c r="J173" s="5" t="s">
        <v>18</v>
      </c>
      <c r="K173" s="5" t="s">
        <v>45</v>
      </c>
      <c r="L173" s="5" t="s">
        <v>40</v>
      </c>
      <c r="M173" s="7" t="s">
        <v>46</v>
      </c>
      <c r="N173" s="26">
        <f t="shared" si="12"/>
        <v>0</v>
      </c>
      <c r="O173" s="42">
        <f t="shared" si="13"/>
        <v>45171</v>
      </c>
      <c r="P173" s="5" t="str">
        <f t="shared" si="14"/>
        <v>Saturday</v>
      </c>
      <c r="Q173" s="5">
        <f t="shared" si="15"/>
        <v>9</v>
      </c>
      <c r="R173" s="28">
        <f t="shared" si="16"/>
        <v>0.99431818181818177</v>
      </c>
      <c r="S173" s="29">
        <f t="shared" si="17"/>
        <v>99.431818181818173</v>
      </c>
      <c r="T173" s="5" t="str">
        <f>IF(Delivery_Data[[#This Row],[Delays (min)]]&gt;0,"No","Yes")</f>
        <v>No</v>
      </c>
    </row>
    <row r="174" spans="1:20" ht="15.75" customHeight="1" x14ac:dyDescent="0.3">
      <c r="A174" s="4">
        <v>1173</v>
      </c>
      <c r="B174" s="5" t="s">
        <v>295</v>
      </c>
      <c r="C174" s="6">
        <v>45170.434027777781</v>
      </c>
      <c r="D174" s="5" t="s">
        <v>43</v>
      </c>
      <c r="E174" s="5" t="s">
        <v>118</v>
      </c>
      <c r="F174" s="5" t="s">
        <v>24</v>
      </c>
      <c r="G174" s="5" t="s">
        <v>17</v>
      </c>
      <c r="H174" s="5">
        <v>121</v>
      </c>
      <c r="I174" s="5">
        <v>29</v>
      </c>
      <c r="J174" s="5" t="s">
        <v>18</v>
      </c>
      <c r="K174" s="5" t="s">
        <v>45</v>
      </c>
      <c r="L174" s="5" t="s">
        <v>20</v>
      </c>
      <c r="M174" s="7" t="s">
        <v>21</v>
      </c>
      <c r="N174" s="26">
        <f t="shared" si="12"/>
        <v>0</v>
      </c>
      <c r="O174" s="42">
        <f t="shared" si="13"/>
        <v>45170</v>
      </c>
      <c r="P174" s="5" t="str">
        <f t="shared" si="14"/>
        <v>Friday</v>
      </c>
      <c r="Q174" s="5">
        <f t="shared" si="15"/>
        <v>10</v>
      </c>
      <c r="R174" s="28">
        <f t="shared" si="16"/>
        <v>0.80666666666666664</v>
      </c>
      <c r="S174" s="29">
        <f t="shared" si="17"/>
        <v>80.666666666666657</v>
      </c>
      <c r="T174" s="5" t="str">
        <f>IF(Delivery_Data[[#This Row],[Delays (min)]]&gt;0,"No","Yes")</f>
        <v>No</v>
      </c>
    </row>
    <row r="175" spans="1:20" ht="15.75" customHeight="1" x14ac:dyDescent="0.3">
      <c r="A175" s="4">
        <v>1174</v>
      </c>
      <c r="B175" s="5" t="s">
        <v>296</v>
      </c>
      <c r="C175" s="6">
        <v>45172.448611111111</v>
      </c>
      <c r="D175" s="5" t="s">
        <v>14</v>
      </c>
      <c r="E175" s="5" t="s">
        <v>143</v>
      </c>
      <c r="F175" s="5" t="s">
        <v>38</v>
      </c>
      <c r="G175" s="5" t="s">
        <v>39</v>
      </c>
      <c r="H175" s="5">
        <v>178</v>
      </c>
      <c r="I175" s="5">
        <v>10</v>
      </c>
      <c r="J175" s="5" t="s">
        <v>18</v>
      </c>
      <c r="K175" s="5" t="s">
        <v>27</v>
      </c>
      <c r="L175" s="5" t="s">
        <v>28</v>
      </c>
      <c r="M175" s="7" t="s">
        <v>41</v>
      </c>
      <c r="N175" s="26">
        <f t="shared" si="12"/>
        <v>0</v>
      </c>
      <c r="O175" s="42">
        <f t="shared" si="13"/>
        <v>45172</v>
      </c>
      <c r="P175" s="5" t="str">
        <f t="shared" si="14"/>
        <v>Sunday</v>
      </c>
      <c r="Q175" s="5">
        <f t="shared" si="15"/>
        <v>10</v>
      </c>
      <c r="R175" s="28">
        <f t="shared" si="16"/>
        <v>0.94680851063829785</v>
      </c>
      <c r="S175" s="29">
        <f t="shared" si="17"/>
        <v>94.680851063829792</v>
      </c>
      <c r="T175" s="5" t="str">
        <f>IF(Delivery_Data[[#This Row],[Delays (min)]]&gt;0,"No","Yes")</f>
        <v>No</v>
      </c>
    </row>
    <row r="176" spans="1:20" ht="15.75" customHeight="1" x14ac:dyDescent="0.3">
      <c r="A176" s="4">
        <v>1175</v>
      </c>
      <c r="B176" s="5" t="s">
        <v>297</v>
      </c>
      <c r="C176" s="6">
        <v>45172.384027777778</v>
      </c>
      <c r="D176" s="5" t="s">
        <v>43</v>
      </c>
      <c r="E176" s="5" t="s">
        <v>97</v>
      </c>
      <c r="F176" s="5" t="s">
        <v>38</v>
      </c>
      <c r="G176" s="5" t="s">
        <v>25</v>
      </c>
      <c r="H176" s="5">
        <v>135</v>
      </c>
      <c r="I176" s="5">
        <v>16</v>
      </c>
      <c r="J176" s="5" t="s">
        <v>32</v>
      </c>
      <c r="K176" s="5" t="s">
        <v>45</v>
      </c>
      <c r="L176" s="5" t="s">
        <v>20</v>
      </c>
      <c r="M176" s="7" t="s">
        <v>46</v>
      </c>
      <c r="N176" s="26">
        <f t="shared" si="12"/>
        <v>-1</v>
      </c>
      <c r="O176" s="42">
        <f t="shared" si="13"/>
        <v>45172</v>
      </c>
      <c r="P176" s="5" t="str">
        <f t="shared" si="14"/>
        <v>Sunday</v>
      </c>
      <c r="Q176" s="5">
        <f t="shared" si="15"/>
        <v>9</v>
      </c>
      <c r="R176" s="28">
        <f t="shared" si="16"/>
        <v>0.89403973509933776</v>
      </c>
      <c r="S176" s="29">
        <f t="shared" si="17"/>
        <v>89.403973509933778</v>
      </c>
      <c r="T176" s="5" t="str">
        <f>IF(Delivery_Data[[#This Row],[Delays (min)]]&gt;0,"No","Yes")</f>
        <v>No</v>
      </c>
    </row>
    <row r="177" spans="1:20" ht="15.75" customHeight="1" x14ac:dyDescent="0.3">
      <c r="A177" s="4">
        <v>1176</v>
      </c>
      <c r="B177" s="5" t="s">
        <v>298</v>
      </c>
      <c r="C177" s="6">
        <v>45177.413194444445</v>
      </c>
      <c r="D177" s="5" t="s">
        <v>14</v>
      </c>
      <c r="E177" s="5" t="s">
        <v>44</v>
      </c>
      <c r="F177" s="5" t="s">
        <v>24</v>
      </c>
      <c r="G177" s="5" t="s">
        <v>17</v>
      </c>
      <c r="H177" s="5">
        <v>172</v>
      </c>
      <c r="I177" s="5">
        <v>12</v>
      </c>
      <c r="J177" s="5" t="s">
        <v>32</v>
      </c>
      <c r="K177" s="5" t="s">
        <v>45</v>
      </c>
      <c r="L177" s="5" t="s">
        <v>28</v>
      </c>
      <c r="M177" s="7" t="s">
        <v>41</v>
      </c>
      <c r="N177" s="26">
        <f t="shared" si="12"/>
        <v>-1</v>
      </c>
      <c r="O177" s="42">
        <f t="shared" si="13"/>
        <v>45177</v>
      </c>
      <c r="P177" s="5" t="str">
        <f t="shared" si="14"/>
        <v>Friday</v>
      </c>
      <c r="Q177" s="5">
        <f t="shared" si="15"/>
        <v>9</v>
      </c>
      <c r="R177" s="28">
        <f t="shared" si="16"/>
        <v>0.93478260869565222</v>
      </c>
      <c r="S177" s="29">
        <f t="shared" si="17"/>
        <v>93.478260869565219</v>
      </c>
      <c r="T177" s="5" t="str">
        <f>IF(Delivery_Data[[#This Row],[Delays (min)]]&gt;0,"No","Yes")</f>
        <v>No</v>
      </c>
    </row>
    <row r="178" spans="1:20" ht="15.75" customHeight="1" x14ac:dyDescent="0.3">
      <c r="A178" s="4">
        <v>1177</v>
      </c>
      <c r="B178" s="5" t="s">
        <v>299</v>
      </c>
      <c r="C178" s="6">
        <v>45172.603472222225</v>
      </c>
      <c r="D178" s="5" t="s">
        <v>14</v>
      </c>
      <c r="E178" s="5" t="s">
        <v>169</v>
      </c>
      <c r="F178" s="5" t="s">
        <v>38</v>
      </c>
      <c r="G178" s="5" t="s">
        <v>56</v>
      </c>
      <c r="H178" s="5">
        <v>213</v>
      </c>
      <c r="I178" s="5">
        <v>10</v>
      </c>
      <c r="J178" s="5" t="s">
        <v>18</v>
      </c>
      <c r="K178" s="5" t="s">
        <v>27</v>
      </c>
      <c r="L178" s="5" t="s">
        <v>40</v>
      </c>
      <c r="M178" s="7" t="s">
        <v>41</v>
      </c>
      <c r="N178" s="26">
        <f t="shared" si="12"/>
        <v>0</v>
      </c>
      <c r="O178" s="42">
        <f t="shared" si="13"/>
        <v>45172</v>
      </c>
      <c r="P178" s="5" t="str">
        <f t="shared" si="14"/>
        <v>Sunday</v>
      </c>
      <c r="Q178" s="5">
        <f t="shared" si="15"/>
        <v>14</v>
      </c>
      <c r="R178" s="28">
        <f t="shared" si="16"/>
        <v>0.95515695067264572</v>
      </c>
      <c r="S178" s="29">
        <f t="shared" si="17"/>
        <v>95.515695067264573</v>
      </c>
      <c r="T178" s="5" t="str">
        <f>IF(Delivery_Data[[#This Row],[Delays (min)]]&gt;0,"No","Yes")</f>
        <v>No</v>
      </c>
    </row>
    <row r="179" spans="1:20" ht="15.75" customHeight="1" x14ac:dyDescent="0.3">
      <c r="A179" s="4">
        <v>1178</v>
      </c>
      <c r="B179" s="5" t="s">
        <v>300</v>
      </c>
      <c r="C179" s="6">
        <v>45171.338194444441</v>
      </c>
      <c r="D179" s="5" t="s">
        <v>43</v>
      </c>
      <c r="E179" s="5" t="s">
        <v>301</v>
      </c>
      <c r="F179" s="5" t="s">
        <v>38</v>
      </c>
      <c r="G179" s="5" t="s">
        <v>17</v>
      </c>
      <c r="H179" s="5">
        <v>204</v>
      </c>
      <c r="I179" s="5">
        <v>20</v>
      </c>
      <c r="J179" s="5" t="s">
        <v>18</v>
      </c>
      <c r="K179" s="5" t="s">
        <v>27</v>
      </c>
      <c r="L179" s="5" t="s">
        <v>20</v>
      </c>
      <c r="M179" s="7" t="s">
        <v>21</v>
      </c>
      <c r="N179" s="26">
        <f t="shared" si="12"/>
        <v>0</v>
      </c>
      <c r="O179" s="42">
        <f t="shared" si="13"/>
        <v>45171</v>
      </c>
      <c r="P179" s="5" t="str">
        <f t="shared" si="14"/>
        <v>Saturday</v>
      </c>
      <c r="Q179" s="5">
        <f t="shared" si="15"/>
        <v>8</v>
      </c>
      <c r="R179" s="28">
        <f t="shared" si="16"/>
        <v>0.9107142857142857</v>
      </c>
      <c r="S179" s="29">
        <f t="shared" si="17"/>
        <v>91.071428571428569</v>
      </c>
      <c r="T179" s="5" t="str">
        <f>IF(Delivery_Data[[#This Row],[Delays (min)]]&gt;0,"No","Yes")</f>
        <v>No</v>
      </c>
    </row>
    <row r="180" spans="1:20" ht="15.75" customHeight="1" x14ac:dyDescent="0.3">
      <c r="A180" s="4">
        <v>1179</v>
      </c>
      <c r="B180" s="5" t="s">
        <v>302</v>
      </c>
      <c r="C180" s="6">
        <v>45176.379861111112</v>
      </c>
      <c r="D180" s="5" t="s">
        <v>14</v>
      </c>
      <c r="E180" s="5" t="s">
        <v>34</v>
      </c>
      <c r="F180" s="5" t="s">
        <v>16</v>
      </c>
      <c r="G180" s="5" t="s">
        <v>56</v>
      </c>
      <c r="H180" s="5">
        <v>109</v>
      </c>
      <c r="I180" s="5">
        <v>22</v>
      </c>
      <c r="J180" s="5" t="s">
        <v>26</v>
      </c>
      <c r="K180" s="5" t="s">
        <v>45</v>
      </c>
      <c r="L180" s="5" t="s">
        <v>40</v>
      </c>
      <c r="M180" s="7" t="s">
        <v>21</v>
      </c>
      <c r="N180" s="26">
        <f t="shared" si="12"/>
        <v>1</v>
      </c>
      <c r="O180" s="42">
        <f t="shared" si="13"/>
        <v>45176</v>
      </c>
      <c r="P180" s="5" t="str">
        <f t="shared" si="14"/>
        <v>Thursday</v>
      </c>
      <c r="Q180" s="5">
        <f t="shared" si="15"/>
        <v>9</v>
      </c>
      <c r="R180" s="28">
        <f t="shared" si="16"/>
        <v>0.83206106870229013</v>
      </c>
      <c r="S180" s="29">
        <f t="shared" si="17"/>
        <v>83.206106870229007</v>
      </c>
      <c r="T180" s="5" t="str">
        <f>IF(Delivery_Data[[#This Row],[Delays (min)]]&gt;0,"No","Yes")</f>
        <v>No</v>
      </c>
    </row>
    <row r="181" spans="1:20" ht="15.75" customHeight="1" x14ac:dyDescent="0.3">
      <c r="A181" s="4">
        <v>1180</v>
      </c>
      <c r="B181" s="5" t="s">
        <v>303</v>
      </c>
      <c r="C181" s="6">
        <v>45172.587500000001</v>
      </c>
      <c r="D181" s="5" t="s">
        <v>43</v>
      </c>
      <c r="E181" s="5" t="s">
        <v>304</v>
      </c>
      <c r="F181" s="5" t="s">
        <v>16</v>
      </c>
      <c r="G181" s="5" t="s">
        <v>56</v>
      </c>
      <c r="H181" s="5">
        <v>82</v>
      </c>
      <c r="I181" s="5">
        <v>3</v>
      </c>
      <c r="J181" s="5" t="s">
        <v>32</v>
      </c>
      <c r="K181" s="5" t="s">
        <v>49</v>
      </c>
      <c r="L181" s="5" t="s">
        <v>28</v>
      </c>
      <c r="M181" s="7" t="s">
        <v>46</v>
      </c>
      <c r="N181" s="26">
        <f t="shared" si="12"/>
        <v>-1</v>
      </c>
      <c r="O181" s="42">
        <f t="shared" si="13"/>
        <v>45172</v>
      </c>
      <c r="P181" s="5" t="str">
        <f t="shared" si="14"/>
        <v>Sunday</v>
      </c>
      <c r="Q181" s="5">
        <f t="shared" si="15"/>
        <v>14</v>
      </c>
      <c r="R181" s="28">
        <f t="shared" si="16"/>
        <v>0.96470588235294119</v>
      </c>
      <c r="S181" s="29">
        <f t="shared" si="17"/>
        <v>96.470588235294116</v>
      </c>
      <c r="T181" s="5" t="str">
        <f>IF(Delivery_Data[[#This Row],[Delays (min)]]&gt;0,"No","Yes")</f>
        <v>No</v>
      </c>
    </row>
    <row r="182" spans="1:20" ht="15.75" customHeight="1" x14ac:dyDescent="0.3">
      <c r="A182" s="4">
        <v>1181</v>
      </c>
      <c r="B182" s="5" t="s">
        <v>305</v>
      </c>
      <c r="C182" s="6">
        <v>45171.418055555558</v>
      </c>
      <c r="D182" s="5" t="s">
        <v>14</v>
      </c>
      <c r="E182" s="5" t="s">
        <v>306</v>
      </c>
      <c r="F182" s="5" t="s">
        <v>16</v>
      </c>
      <c r="G182" s="5" t="s">
        <v>31</v>
      </c>
      <c r="H182" s="5">
        <v>87</v>
      </c>
      <c r="I182" s="5">
        <v>23</v>
      </c>
      <c r="J182" s="5" t="s">
        <v>32</v>
      </c>
      <c r="K182" s="5" t="s">
        <v>27</v>
      </c>
      <c r="L182" s="5" t="s">
        <v>20</v>
      </c>
      <c r="M182" s="7" t="s">
        <v>21</v>
      </c>
      <c r="N182" s="26">
        <f t="shared" si="12"/>
        <v>-1</v>
      </c>
      <c r="O182" s="42">
        <f t="shared" si="13"/>
        <v>45171</v>
      </c>
      <c r="P182" s="5" t="str">
        <f t="shared" si="14"/>
        <v>Saturday</v>
      </c>
      <c r="Q182" s="5">
        <f t="shared" si="15"/>
        <v>10</v>
      </c>
      <c r="R182" s="28">
        <f t="shared" si="16"/>
        <v>0.79090909090909089</v>
      </c>
      <c r="S182" s="29">
        <f t="shared" si="17"/>
        <v>79.090909090909093</v>
      </c>
      <c r="T182" s="5" t="str">
        <f>IF(Delivery_Data[[#This Row],[Delays (min)]]&gt;0,"No","Yes")</f>
        <v>No</v>
      </c>
    </row>
    <row r="183" spans="1:20" ht="15.75" customHeight="1" x14ac:dyDescent="0.3">
      <c r="A183" s="4">
        <v>1182</v>
      </c>
      <c r="B183" s="5" t="s">
        <v>307</v>
      </c>
      <c r="C183" s="6">
        <v>45172.352777777778</v>
      </c>
      <c r="D183" s="5" t="s">
        <v>43</v>
      </c>
      <c r="E183" s="5" t="s">
        <v>126</v>
      </c>
      <c r="F183" s="5" t="s">
        <v>16</v>
      </c>
      <c r="G183" s="5" t="s">
        <v>56</v>
      </c>
      <c r="H183" s="5">
        <v>186</v>
      </c>
      <c r="I183" s="5">
        <v>28</v>
      </c>
      <c r="J183" s="5" t="s">
        <v>32</v>
      </c>
      <c r="K183" s="5" t="s">
        <v>35</v>
      </c>
      <c r="L183" s="5" t="s">
        <v>40</v>
      </c>
      <c r="M183" s="7" t="s">
        <v>21</v>
      </c>
      <c r="N183" s="26">
        <f t="shared" si="12"/>
        <v>-1</v>
      </c>
      <c r="O183" s="42">
        <f t="shared" si="13"/>
        <v>45172</v>
      </c>
      <c r="P183" s="5" t="str">
        <f t="shared" si="14"/>
        <v>Sunday</v>
      </c>
      <c r="Q183" s="5">
        <f t="shared" si="15"/>
        <v>8</v>
      </c>
      <c r="R183" s="28">
        <f t="shared" si="16"/>
        <v>0.86915887850467288</v>
      </c>
      <c r="S183" s="29">
        <f t="shared" si="17"/>
        <v>86.915887850467286</v>
      </c>
      <c r="T183" s="5" t="str">
        <f>IF(Delivery_Data[[#This Row],[Delays (min)]]&gt;0,"No","Yes")</f>
        <v>No</v>
      </c>
    </row>
    <row r="184" spans="1:20" ht="15.75" customHeight="1" x14ac:dyDescent="0.3">
      <c r="A184" s="4">
        <v>1183</v>
      </c>
      <c r="B184" s="5" t="s">
        <v>308</v>
      </c>
      <c r="C184" s="6">
        <v>45177.570833333331</v>
      </c>
      <c r="D184" s="5" t="s">
        <v>14</v>
      </c>
      <c r="E184" s="5" t="s">
        <v>211</v>
      </c>
      <c r="F184" s="5" t="s">
        <v>38</v>
      </c>
      <c r="G184" s="5" t="s">
        <v>31</v>
      </c>
      <c r="H184" s="5">
        <v>203</v>
      </c>
      <c r="I184" s="5">
        <v>3</v>
      </c>
      <c r="J184" s="5" t="s">
        <v>32</v>
      </c>
      <c r="K184" s="5" t="s">
        <v>35</v>
      </c>
      <c r="L184" s="5" t="s">
        <v>20</v>
      </c>
      <c r="M184" s="7" t="s">
        <v>41</v>
      </c>
      <c r="N184" s="26">
        <f t="shared" si="12"/>
        <v>-1</v>
      </c>
      <c r="O184" s="42">
        <f t="shared" si="13"/>
        <v>45177</v>
      </c>
      <c r="P184" s="5" t="str">
        <f t="shared" si="14"/>
        <v>Friday</v>
      </c>
      <c r="Q184" s="5">
        <f t="shared" si="15"/>
        <v>13</v>
      </c>
      <c r="R184" s="28">
        <f t="shared" si="16"/>
        <v>0.9854368932038835</v>
      </c>
      <c r="S184" s="29">
        <f t="shared" si="17"/>
        <v>98.543689320388353</v>
      </c>
      <c r="T184" s="5" t="str">
        <f>IF(Delivery_Data[[#This Row],[Delays (min)]]&gt;0,"No","Yes")</f>
        <v>No</v>
      </c>
    </row>
    <row r="185" spans="1:20" ht="15.75" customHeight="1" x14ac:dyDescent="0.3">
      <c r="A185" s="4">
        <v>1184</v>
      </c>
      <c r="B185" s="5" t="s">
        <v>309</v>
      </c>
      <c r="C185" s="6">
        <v>45173.466666666667</v>
      </c>
      <c r="D185" s="5" t="s">
        <v>14</v>
      </c>
      <c r="E185" s="5" t="s">
        <v>109</v>
      </c>
      <c r="F185" s="5" t="s">
        <v>16</v>
      </c>
      <c r="G185" s="5" t="s">
        <v>56</v>
      </c>
      <c r="H185" s="5">
        <v>171</v>
      </c>
      <c r="I185" s="5">
        <v>4</v>
      </c>
      <c r="J185" s="5" t="s">
        <v>26</v>
      </c>
      <c r="K185" s="5" t="s">
        <v>45</v>
      </c>
      <c r="L185" s="5" t="s">
        <v>28</v>
      </c>
      <c r="M185" s="7" t="s">
        <v>41</v>
      </c>
      <c r="N185" s="26">
        <f t="shared" si="12"/>
        <v>1</v>
      </c>
      <c r="O185" s="42">
        <f t="shared" si="13"/>
        <v>45173</v>
      </c>
      <c r="P185" s="5" t="str">
        <f t="shared" si="14"/>
        <v>Monday</v>
      </c>
      <c r="Q185" s="5">
        <f t="shared" si="15"/>
        <v>11</v>
      </c>
      <c r="R185" s="28">
        <f t="shared" si="16"/>
        <v>0.97714285714285709</v>
      </c>
      <c r="S185" s="29">
        <f t="shared" si="17"/>
        <v>97.714285714285708</v>
      </c>
      <c r="T185" s="5" t="str">
        <f>IF(Delivery_Data[[#This Row],[Delays (min)]]&gt;0,"No","Yes")</f>
        <v>No</v>
      </c>
    </row>
    <row r="186" spans="1:20" ht="15.75" customHeight="1" x14ac:dyDescent="0.3">
      <c r="A186" s="4">
        <v>1185</v>
      </c>
      <c r="B186" s="5" t="s">
        <v>310</v>
      </c>
      <c r="C186" s="6">
        <v>45173.345833333333</v>
      </c>
      <c r="D186" s="5" t="s">
        <v>43</v>
      </c>
      <c r="E186" s="5" t="s">
        <v>311</v>
      </c>
      <c r="F186" s="5" t="s">
        <v>24</v>
      </c>
      <c r="G186" s="5" t="s">
        <v>17</v>
      </c>
      <c r="H186" s="5">
        <v>110</v>
      </c>
      <c r="I186" s="5">
        <v>19</v>
      </c>
      <c r="J186" s="5" t="s">
        <v>18</v>
      </c>
      <c r="K186" s="5" t="s">
        <v>45</v>
      </c>
      <c r="L186" s="5" t="s">
        <v>40</v>
      </c>
      <c r="M186" s="7" t="s">
        <v>21</v>
      </c>
      <c r="N186" s="26">
        <f t="shared" si="12"/>
        <v>0</v>
      </c>
      <c r="O186" s="42">
        <f t="shared" si="13"/>
        <v>45173</v>
      </c>
      <c r="P186" s="5" t="str">
        <f t="shared" si="14"/>
        <v>Monday</v>
      </c>
      <c r="Q186" s="5">
        <f t="shared" si="15"/>
        <v>8</v>
      </c>
      <c r="R186" s="28">
        <f t="shared" si="16"/>
        <v>0.8527131782945736</v>
      </c>
      <c r="S186" s="29">
        <f t="shared" si="17"/>
        <v>85.271317829457359</v>
      </c>
      <c r="T186" s="5" t="str">
        <f>IF(Delivery_Data[[#This Row],[Delays (min)]]&gt;0,"No","Yes")</f>
        <v>No</v>
      </c>
    </row>
    <row r="187" spans="1:20" ht="15.75" customHeight="1" x14ac:dyDescent="0.3">
      <c r="A187" s="4">
        <v>1186</v>
      </c>
      <c r="B187" s="5" t="s">
        <v>312</v>
      </c>
      <c r="C187" s="6">
        <v>45175.6</v>
      </c>
      <c r="D187" s="5" t="s">
        <v>14</v>
      </c>
      <c r="E187" s="5" t="s">
        <v>111</v>
      </c>
      <c r="F187" s="5" t="s">
        <v>38</v>
      </c>
      <c r="G187" s="5" t="s">
        <v>25</v>
      </c>
      <c r="H187" s="5">
        <v>196</v>
      </c>
      <c r="I187" s="5">
        <v>15</v>
      </c>
      <c r="J187" s="5" t="s">
        <v>18</v>
      </c>
      <c r="K187" s="5" t="s">
        <v>27</v>
      </c>
      <c r="L187" s="5" t="s">
        <v>28</v>
      </c>
      <c r="M187" s="7" t="s">
        <v>41</v>
      </c>
      <c r="N187" s="26">
        <f t="shared" si="12"/>
        <v>0</v>
      </c>
      <c r="O187" s="42">
        <f t="shared" si="13"/>
        <v>45175</v>
      </c>
      <c r="P187" s="5" t="str">
        <f t="shared" si="14"/>
        <v>Wednesday</v>
      </c>
      <c r="Q187" s="5">
        <f t="shared" si="15"/>
        <v>14</v>
      </c>
      <c r="R187" s="28">
        <f t="shared" si="16"/>
        <v>0.92890995260663511</v>
      </c>
      <c r="S187" s="29">
        <f t="shared" si="17"/>
        <v>92.890995260663516</v>
      </c>
      <c r="T187" s="5" t="str">
        <f>IF(Delivery_Data[[#This Row],[Delays (min)]]&gt;0,"No","Yes")</f>
        <v>No</v>
      </c>
    </row>
    <row r="188" spans="1:20" ht="15.75" customHeight="1" x14ac:dyDescent="0.3">
      <c r="A188" s="4">
        <v>1187</v>
      </c>
      <c r="B188" s="5" t="s">
        <v>313</v>
      </c>
      <c r="C188" s="6">
        <v>45170.481944444444</v>
      </c>
      <c r="D188" s="5" t="s">
        <v>43</v>
      </c>
      <c r="E188" s="5" t="s">
        <v>109</v>
      </c>
      <c r="F188" s="5" t="s">
        <v>38</v>
      </c>
      <c r="G188" s="5" t="s">
        <v>56</v>
      </c>
      <c r="H188" s="5">
        <v>219</v>
      </c>
      <c r="I188" s="5">
        <v>25</v>
      </c>
      <c r="J188" s="5" t="s">
        <v>26</v>
      </c>
      <c r="K188" s="5" t="s">
        <v>27</v>
      </c>
      <c r="L188" s="5" t="s">
        <v>20</v>
      </c>
      <c r="M188" s="7" t="s">
        <v>46</v>
      </c>
      <c r="N188" s="26">
        <f t="shared" si="12"/>
        <v>1</v>
      </c>
      <c r="O188" s="42">
        <f t="shared" si="13"/>
        <v>45170</v>
      </c>
      <c r="P188" s="5" t="str">
        <f t="shared" si="14"/>
        <v>Friday</v>
      </c>
      <c r="Q188" s="5">
        <f t="shared" si="15"/>
        <v>11</v>
      </c>
      <c r="R188" s="28">
        <f t="shared" si="16"/>
        <v>0.89754098360655743</v>
      </c>
      <c r="S188" s="29">
        <f t="shared" si="17"/>
        <v>89.754098360655746</v>
      </c>
      <c r="T188" s="5" t="str">
        <f>IF(Delivery_Data[[#This Row],[Delays (min)]]&gt;0,"No","Yes")</f>
        <v>No</v>
      </c>
    </row>
    <row r="189" spans="1:20" ht="15.75" customHeight="1" x14ac:dyDescent="0.3">
      <c r="A189" s="4">
        <v>1188</v>
      </c>
      <c r="B189" s="5" t="s">
        <v>314</v>
      </c>
      <c r="C189" s="6">
        <v>45174.436805555553</v>
      </c>
      <c r="D189" s="5" t="s">
        <v>43</v>
      </c>
      <c r="E189" s="5" t="s">
        <v>76</v>
      </c>
      <c r="F189" s="5" t="s">
        <v>24</v>
      </c>
      <c r="G189" s="5" t="s">
        <v>17</v>
      </c>
      <c r="H189" s="5">
        <v>70</v>
      </c>
      <c r="I189" s="5">
        <v>12</v>
      </c>
      <c r="J189" s="5" t="s">
        <v>18</v>
      </c>
      <c r="K189" s="5" t="s">
        <v>27</v>
      </c>
      <c r="L189" s="5" t="s">
        <v>20</v>
      </c>
      <c r="M189" s="7" t="s">
        <v>41</v>
      </c>
      <c r="N189" s="26">
        <f t="shared" si="12"/>
        <v>0</v>
      </c>
      <c r="O189" s="42">
        <f t="shared" si="13"/>
        <v>45174</v>
      </c>
      <c r="P189" s="5" t="str">
        <f t="shared" si="14"/>
        <v>Tuesday</v>
      </c>
      <c r="Q189" s="5">
        <f t="shared" si="15"/>
        <v>10</v>
      </c>
      <c r="R189" s="28">
        <f t="shared" si="16"/>
        <v>0.85365853658536583</v>
      </c>
      <c r="S189" s="29">
        <f t="shared" si="17"/>
        <v>85.365853658536579</v>
      </c>
      <c r="T189" s="5" t="str">
        <f>IF(Delivery_Data[[#This Row],[Delays (min)]]&gt;0,"No","Yes")</f>
        <v>No</v>
      </c>
    </row>
    <row r="190" spans="1:20" ht="15.75" customHeight="1" x14ac:dyDescent="0.3">
      <c r="A190" s="4">
        <v>1189</v>
      </c>
      <c r="B190" s="5" t="s">
        <v>315</v>
      </c>
      <c r="C190" s="6">
        <v>45172.67083333333</v>
      </c>
      <c r="D190" s="5" t="s">
        <v>14</v>
      </c>
      <c r="E190" s="5" t="s">
        <v>51</v>
      </c>
      <c r="F190" s="5" t="s">
        <v>38</v>
      </c>
      <c r="G190" s="5" t="s">
        <v>25</v>
      </c>
      <c r="H190" s="5">
        <v>224</v>
      </c>
      <c r="I190" s="5">
        <v>23</v>
      </c>
      <c r="J190" s="5" t="s">
        <v>32</v>
      </c>
      <c r="K190" s="5" t="s">
        <v>45</v>
      </c>
      <c r="L190" s="5" t="s">
        <v>28</v>
      </c>
      <c r="M190" s="7" t="s">
        <v>46</v>
      </c>
      <c r="N190" s="26">
        <f t="shared" si="12"/>
        <v>-1</v>
      </c>
      <c r="O190" s="42">
        <f t="shared" si="13"/>
        <v>45172</v>
      </c>
      <c r="P190" s="5" t="str">
        <f t="shared" si="14"/>
        <v>Sunday</v>
      </c>
      <c r="Q190" s="5">
        <f t="shared" si="15"/>
        <v>16</v>
      </c>
      <c r="R190" s="28">
        <f t="shared" si="16"/>
        <v>0.90688259109311742</v>
      </c>
      <c r="S190" s="29">
        <f t="shared" si="17"/>
        <v>90.688259109311744</v>
      </c>
      <c r="T190" s="5" t="str">
        <f>IF(Delivery_Data[[#This Row],[Delays (min)]]&gt;0,"No","Yes")</f>
        <v>No</v>
      </c>
    </row>
    <row r="191" spans="1:20" ht="15.75" customHeight="1" x14ac:dyDescent="0.3">
      <c r="A191" s="4">
        <v>1190</v>
      </c>
      <c r="B191" s="5" t="s">
        <v>316</v>
      </c>
      <c r="C191" s="6">
        <v>45171.507638888892</v>
      </c>
      <c r="D191" s="5" t="s">
        <v>43</v>
      </c>
      <c r="E191" s="5" t="s">
        <v>311</v>
      </c>
      <c r="F191" s="5" t="s">
        <v>24</v>
      </c>
      <c r="G191" s="5" t="s">
        <v>31</v>
      </c>
      <c r="H191" s="5">
        <v>95</v>
      </c>
      <c r="I191" s="5">
        <v>0</v>
      </c>
      <c r="J191" s="5" t="s">
        <v>32</v>
      </c>
      <c r="K191" s="5" t="s">
        <v>19</v>
      </c>
      <c r="L191" s="5" t="s">
        <v>40</v>
      </c>
      <c r="M191" s="7" t="s">
        <v>21</v>
      </c>
      <c r="N191" s="26">
        <f t="shared" si="12"/>
        <v>-1</v>
      </c>
      <c r="O191" s="42">
        <f t="shared" si="13"/>
        <v>45171</v>
      </c>
      <c r="P191" s="5" t="str">
        <f t="shared" si="14"/>
        <v>Saturday</v>
      </c>
      <c r="Q191" s="5">
        <f t="shared" si="15"/>
        <v>12</v>
      </c>
      <c r="R191" s="28">
        <f t="shared" si="16"/>
        <v>1</v>
      </c>
      <c r="S191" s="29">
        <f t="shared" si="17"/>
        <v>100</v>
      </c>
      <c r="T191" s="5" t="str">
        <f>IF(Delivery_Data[[#This Row],[Delays (min)]]&gt;0,"No","Yes")</f>
        <v>Yes</v>
      </c>
    </row>
    <row r="192" spans="1:20" ht="15.75" customHeight="1" x14ac:dyDescent="0.3">
      <c r="A192" s="4">
        <v>1191</v>
      </c>
      <c r="B192" s="5" t="s">
        <v>317</v>
      </c>
      <c r="C192" s="6">
        <v>45170.387499999997</v>
      </c>
      <c r="D192" s="5" t="s">
        <v>14</v>
      </c>
      <c r="E192" s="5" t="s">
        <v>162</v>
      </c>
      <c r="F192" s="5" t="s">
        <v>24</v>
      </c>
      <c r="G192" s="5" t="s">
        <v>56</v>
      </c>
      <c r="H192" s="5">
        <v>147</v>
      </c>
      <c r="I192" s="5">
        <v>6</v>
      </c>
      <c r="J192" s="5" t="s">
        <v>18</v>
      </c>
      <c r="K192" s="5" t="s">
        <v>45</v>
      </c>
      <c r="L192" s="5" t="s">
        <v>20</v>
      </c>
      <c r="M192" s="7" t="s">
        <v>41</v>
      </c>
      <c r="N192" s="26">
        <f t="shared" si="12"/>
        <v>0</v>
      </c>
      <c r="O192" s="42">
        <f t="shared" si="13"/>
        <v>45170</v>
      </c>
      <c r="P192" s="5" t="str">
        <f t="shared" si="14"/>
        <v>Friday</v>
      </c>
      <c r="Q192" s="5">
        <f t="shared" si="15"/>
        <v>9</v>
      </c>
      <c r="R192" s="28">
        <f t="shared" si="16"/>
        <v>0.96078431372549022</v>
      </c>
      <c r="S192" s="29">
        <f t="shared" si="17"/>
        <v>96.078431372549019</v>
      </c>
      <c r="T192" s="5" t="str">
        <f>IF(Delivery_Data[[#This Row],[Delays (min)]]&gt;0,"No","Yes")</f>
        <v>No</v>
      </c>
    </row>
    <row r="193" spans="1:20" ht="15.75" customHeight="1" x14ac:dyDescent="0.3">
      <c r="A193" s="4">
        <v>1192</v>
      </c>
      <c r="B193" s="5" t="s">
        <v>123</v>
      </c>
      <c r="C193" s="6">
        <v>45176.696527777778</v>
      </c>
      <c r="D193" s="5" t="s">
        <v>43</v>
      </c>
      <c r="E193" s="5" t="s">
        <v>70</v>
      </c>
      <c r="F193" s="5" t="s">
        <v>24</v>
      </c>
      <c r="G193" s="5" t="s">
        <v>39</v>
      </c>
      <c r="H193" s="5">
        <v>149</v>
      </c>
      <c r="I193" s="5">
        <v>22</v>
      </c>
      <c r="J193" s="5" t="s">
        <v>26</v>
      </c>
      <c r="K193" s="5" t="s">
        <v>49</v>
      </c>
      <c r="L193" s="5" t="s">
        <v>40</v>
      </c>
      <c r="M193" s="7" t="s">
        <v>21</v>
      </c>
      <c r="N193" s="26">
        <f t="shared" si="12"/>
        <v>1</v>
      </c>
      <c r="O193" s="42">
        <f t="shared" si="13"/>
        <v>45176</v>
      </c>
      <c r="P193" s="5" t="str">
        <f t="shared" si="14"/>
        <v>Thursday</v>
      </c>
      <c r="Q193" s="5">
        <f t="shared" si="15"/>
        <v>16</v>
      </c>
      <c r="R193" s="28">
        <f t="shared" si="16"/>
        <v>0.87134502923976609</v>
      </c>
      <c r="S193" s="29">
        <f t="shared" si="17"/>
        <v>87.134502923976612</v>
      </c>
      <c r="T193" s="5" t="str">
        <f>IF(Delivery_Data[[#This Row],[Delays (min)]]&gt;0,"No","Yes")</f>
        <v>No</v>
      </c>
    </row>
    <row r="194" spans="1:20" ht="15.75" customHeight="1" x14ac:dyDescent="0.3">
      <c r="A194" s="4">
        <v>1193</v>
      </c>
      <c r="B194" s="5" t="s">
        <v>318</v>
      </c>
      <c r="C194" s="6">
        <v>45175.672222222223</v>
      </c>
      <c r="D194" s="5" t="s">
        <v>14</v>
      </c>
      <c r="E194" s="5" t="s">
        <v>204</v>
      </c>
      <c r="F194" s="5" t="s">
        <v>38</v>
      </c>
      <c r="G194" s="5" t="s">
        <v>25</v>
      </c>
      <c r="H194" s="5">
        <v>233</v>
      </c>
      <c r="I194" s="5">
        <v>5</v>
      </c>
      <c r="J194" s="5" t="s">
        <v>18</v>
      </c>
      <c r="K194" s="5" t="s">
        <v>27</v>
      </c>
      <c r="L194" s="5" t="s">
        <v>20</v>
      </c>
      <c r="M194" s="7" t="s">
        <v>41</v>
      </c>
      <c r="N194" s="26">
        <f t="shared" ref="N194:N257" si="18">IF(J194="Positive",1,IF(J194="Neutral",0,IF(J194="Negative",-1,"")))</f>
        <v>0</v>
      </c>
      <c r="O194" s="42">
        <f t="shared" ref="O194:O257" si="19">INT(C194)</f>
        <v>45175</v>
      </c>
      <c r="P194" s="5" t="str">
        <f t="shared" ref="P194:P257" si="20">TEXT(C194,"dddd")</f>
        <v>Wednesday</v>
      </c>
      <c r="Q194" s="5">
        <f t="shared" ref="Q194:Q257" si="21">HOUR(C194)</f>
        <v>16</v>
      </c>
      <c r="R194" s="28">
        <f t="shared" ref="R194:R257" si="22">H194/(H194+I194)</f>
        <v>0.97899159663865543</v>
      </c>
      <c r="S194" s="29">
        <f t="shared" si="17"/>
        <v>97.899159663865547</v>
      </c>
      <c r="T194" s="5" t="str">
        <f>IF(Delivery_Data[[#This Row],[Delays (min)]]&gt;0,"No","Yes")</f>
        <v>No</v>
      </c>
    </row>
    <row r="195" spans="1:20" ht="15.75" customHeight="1" x14ac:dyDescent="0.3">
      <c r="A195" s="4">
        <v>1194</v>
      </c>
      <c r="B195" s="5" t="s">
        <v>319</v>
      </c>
      <c r="C195" s="6">
        <v>45175.35833333333</v>
      </c>
      <c r="D195" s="5" t="s">
        <v>14</v>
      </c>
      <c r="E195" s="5" t="s">
        <v>85</v>
      </c>
      <c r="F195" s="5" t="s">
        <v>38</v>
      </c>
      <c r="G195" s="5" t="s">
        <v>39</v>
      </c>
      <c r="H195" s="5">
        <v>234</v>
      </c>
      <c r="I195" s="5">
        <v>8</v>
      </c>
      <c r="J195" s="5" t="s">
        <v>26</v>
      </c>
      <c r="K195" s="5" t="s">
        <v>49</v>
      </c>
      <c r="L195" s="5" t="s">
        <v>28</v>
      </c>
      <c r="M195" s="7" t="s">
        <v>46</v>
      </c>
      <c r="N195" s="26">
        <f t="shared" si="18"/>
        <v>1</v>
      </c>
      <c r="O195" s="42">
        <f t="shared" si="19"/>
        <v>45175</v>
      </c>
      <c r="P195" s="5" t="str">
        <f t="shared" si="20"/>
        <v>Wednesday</v>
      </c>
      <c r="Q195" s="5">
        <f t="shared" si="21"/>
        <v>8</v>
      </c>
      <c r="R195" s="28">
        <f t="shared" si="22"/>
        <v>0.96694214876033058</v>
      </c>
      <c r="S195" s="29">
        <f t="shared" ref="S195:S258" si="23">IF(H195+I195=0,0,(H195/(H195+I195))*100) + (IFERROR(--J195,0)*10)</f>
        <v>96.694214876033058</v>
      </c>
      <c r="T195" s="5" t="str">
        <f>IF(Delivery_Data[[#This Row],[Delays (min)]]&gt;0,"No","Yes")</f>
        <v>No</v>
      </c>
    </row>
    <row r="196" spans="1:20" ht="15.75" customHeight="1" x14ac:dyDescent="0.3">
      <c r="A196" s="4">
        <v>1195</v>
      </c>
      <c r="B196" s="5" t="s">
        <v>320</v>
      </c>
      <c r="C196" s="6">
        <v>45174.42291666667</v>
      </c>
      <c r="D196" s="5" t="s">
        <v>14</v>
      </c>
      <c r="E196" s="5" t="s">
        <v>245</v>
      </c>
      <c r="F196" s="5" t="s">
        <v>16</v>
      </c>
      <c r="G196" s="5" t="s">
        <v>17</v>
      </c>
      <c r="H196" s="5">
        <v>146</v>
      </c>
      <c r="I196" s="5">
        <v>12</v>
      </c>
      <c r="J196" s="5" t="s">
        <v>18</v>
      </c>
      <c r="K196" s="5" t="s">
        <v>27</v>
      </c>
      <c r="L196" s="5" t="s">
        <v>20</v>
      </c>
      <c r="M196" s="7" t="s">
        <v>46</v>
      </c>
      <c r="N196" s="26">
        <f t="shared" si="18"/>
        <v>0</v>
      </c>
      <c r="O196" s="42">
        <f t="shared" si="19"/>
        <v>45174</v>
      </c>
      <c r="P196" s="5" t="str">
        <f t="shared" si="20"/>
        <v>Tuesday</v>
      </c>
      <c r="Q196" s="5">
        <f t="shared" si="21"/>
        <v>10</v>
      </c>
      <c r="R196" s="28">
        <f t="shared" si="22"/>
        <v>0.92405063291139244</v>
      </c>
      <c r="S196" s="29">
        <f t="shared" si="23"/>
        <v>92.405063291139243</v>
      </c>
      <c r="T196" s="5" t="str">
        <f>IF(Delivery_Data[[#This Row],[Delays (min)]]&gt;0,"No","Yes")</f>
        <v>No</v>
      </c>
    </row>
    <row r="197" spans="1:20" ht="15.75" customHeight="1" x14ac:dyDescent="0.3">
      <c r="A197" s="4">
        <v>1196</v>
      </c>
      <c r="B197" s="5" t="s">
        <v>321</v>
      </c>
      <c r="C197" s="6">
        <v>45170.588888888888</v>
      </c>
      <c r="D197" s="5" t="s">
        <v>43</v>
      </c>
      <c r="E197" s="5" t="s">
        <v>51</v>
      </c>
      <c r="F197" s="5" t="s">
        <v>16</v>
      </c>
      <c r="G197" s="5" t="s">
        <v>31</v>
      </c>
      <c r="H197" s="5">
        <v>76</v>
      </c>
      <c r="I197" s="5">
        <v>0</v>
      </c>
      <c r="J197" s="5" t="s">
        <v>32</v>
      </c>
      <c r="K197" s="5" t="s">
        <v>19</v>
      </c>
      <c r="L197" s="5" t="s">
        <v>28</v>
      </c>
      <c r="M197" s="7" t="s">
        <v>46</v>
      </c>
      <c r="N197" s="26">
        <f t="shared" si="18"/>
        <v>-1</v>
      </c>
      <c r="O197" s="42">
        <f t="shared" si="19"/>
        <v>45170</v>
      </c>
      <c r="P197" s="5" t="str">
        <f t="shared" si="20"/>
        <v>Friday</v>
      </c>
      <c r="Q197" s="5">
        <f t="shared" si="21"/>
        <v>14</v>
      </c>
      <c r="R197" s="28">
        <f t="shared" si="22"/>
        <v>1</v>
      </c>
      <c r="S197" s="29">
        <f t="shared" si="23"/>
        <v>100</v>
      </c>
      <c r="T197" s="5" t="str">
        <f>IF(Delivery_Data[[#This Row],[Delays (min)]]&gt;0,"No","Yes")</f>
        <v>Yes</v>
      </c>
    </row>
    <row r="198" spans="1:20" ht="15.75" customHeight="1" x14ac:dyDescent="0.3">
      <c r="A198" s="4">
        <v>1197</v>
      </c>
      <c r="B198" s="5" t="s">
        <v>322</v>
      </c>
      <c r="C198" s="6">
        <v>45175.488888888889</v>
      </c>
      <c r="D198" s="5" t="s">
        <v>43</v>
      </c>
      <c r="E198" s="5" t="s">
        <v>267</v>
      </c>
      <c r="F198" s="5" t="s">
        <v>16</v>
      </c>
      <c r="G198" s="5" t="s">
        <v>25</v>
      </c>
      <c r="H198" s="5">
        <v>124</v>
      </c>
      <c r="I198" s="5">
        <v>13</v>
      </c>
      <c r="J198" s="5" t="s">
        <v>18</v>
      </c>
      <c r="K198" s="5" t="s">
        <v>27</v>
      </c>
      <c r="L198" s="5" t="s">
        <v>20</v>
      </c>
      <c r="M198" s="7" t="s">
        <v>21</v>
      </c>
      <c r="N198" s="26">
        <f t="shared" si="18"/>
        <v>0</v>
      </c>
      <c r="O198" s="42">
        <f t="shared" si="19"/>
        <v>45175</v>
      </c>
      <c r="P198" s="5" t="str">
        <f t="shared" si="20"/>
        <v>Wednesday</v>
      </c>
      <c r="Q198" s="5">
        <f t="shared" si="21"/>
        <v>11</v>
      </c>
      <c r="R198" s="28">
        <f t="shared" si="22"/>
        <v>0.9051094890510949</v>
      </c>
      <c r="S198" s="29">
        <f t="shared" si="23"/>
        <v>90.510948905109487</v>
      </c>
      <c r="T198" s="5" t="str">
        <f>IF(Delivery_Data[[#This Row],[Delays (min)]]&gt;0,"No","Yes")</f>
        <v>No</v>
      </c>
    </row>
    <row r="199" spans="1:20" ht="15.75" customHeight="1" x14ac:dyDescent="0.3">
      <c r="A199" s="4">
        <v>1198</v>
      </c>
      <c r="B199" s="5" t="s">
        <v>323</v>
      </c>
      <c r="C199" s="6">
        <v>45176.573611111111</v>
      </c>
      <c r="D199" s="5" t="s">
        <v>43</v>
      </c>
      <c r="E199" s="5" t="s">
        <v>281</v>
      </c>
      <c r="F199" s="5" t="s">
        <v>16</v>
      </c>
      <c r="G199" s="5" t="s">
        <v>56</v>
      </c>
      <c r="H199" s="5">
        <v>72</v>
      </c>
      <c r="I199" s="5">
        <v>25</v>
      </c>
      <c r="J199" s="5" t="s">
        <v>32</v>
      </c>
      <c r="K199" s="5" t="s">
        <v>35</v>
      </c>
      <c r="L199" s="5" t="s">
        <v>28</v>
      </c>
      <c r="M199" s="7" t="s">
        <v>41</v>
      </c>
      <c r="N199" s="26">
        <f t="shared" si="18"/>
        <v>-1</v>
      </c>
      <c r="O199" s="42">
        <f t="shared" si="19"/>
        <v>45176</v>
      </c>
      <c r="P199" s="5" t="str">
        <f t="shared" si="20"/>
        <v>Thursday</v>
      </c>
      <c r="Q199" s="5">
        <f t="shared" si="21"/>
        <v>13</v>
      </c>
      <c r="R199" s="28">
        <f t="shared" si="22"/>
        <v>0.74226804123711343</v>
      </c>
      <c r="S199" s="29">
        <f t="shared" si="23"/>
        <v>74.226804123711347</v>
      </c>
      <c r="T199" s="5" t="str">
        <f>IF(Delivery_Data[[#This Row],[Delays (min)]]&gt;0,"No","Yes")</f>
        <v>No</v>
      </c>
    </row>
    <row r="200" spans="1:20" ht="15.75" customHeight="1" x14ac:dyDescent="0.3">
      <c r="A200" s="4">
        <v>1199</v>
      </c>
      <c r="B200" s="5" t="s">
        <v>324</v>
      </c>
      <c r="C200" s="6">
        <v>45170.410416666666</v>
      </c>
      <c r="D200" s="5" t="s">
        <v>43</v>
      </c>
      <c r="E200" s="5" t="s">
        <v>93</v>
      </c>
      <c r="F200" s="5" t="s">
        <v>16</v>
      </c>
      <c r="G200" s="5" t="s">
        <v>31</v>
      </c>
      <c r="H200" s="5">
        <v>215</v>
      </c>
      <c r="I200" s="5">
        <v>4</v>
      </c>
      <c r="J200" s="5" t="s">
        <v>26</v>
      </c>
      <c r="K200" s="5" t="s">
        <v>45</v>
      </c>
      <c r="L200" s="5" t="s">
        <v>40</v>
      </c>
      <c r="M200" s="7" t="s">
        <v>46</v>
      </c>
      <c r="N200" s="26">
        <f t="shared" si="18"/>
        <v>1</v>
      </c>
      <c r="O200" s="42">
        <f t="shared" si="19"/>
        <v>45170</v>
      </c>
      <c r="P200" s="5" t="str">
        <f t="shared" si="20"/>
        <v>Friday</v>
      </c>
      <c r="Q200" s="5">
        <f t="shared" si="21"/>
        <v>9</v>
      </c>
      <c r="R200" s="28">
        <f t="shared" si="22"/>
        <v>0.9817351598173516</v>
      </c>
      <c r="S200" s="29">
        <f t="shared" si="23"/>
        <v>98.173515981735164</v>
      </c>
      <c r="T200" s="5" t="str">
        <f>IF(Delivery_Data[[#This Row],[Delays (min)]]&gt;0,"No","Yes")</f>
        <v>No</v>
      </c>
    </row>
    <row r="201" spans="1:20" ht="15.75" customHeight="1" x14ac:dyDescent="0.3">
      <c r="A201" s="4">
        <v>1200</v>
      </c>
      <c r="B201" s="5" t="s">
        <v>325</v>
      </c>
      <c r="C201" s="6">
        <v>45175.489583333336</v>
      </c>
      <c r="D201" s="5" t="s">
        <v>14</v>
      </c>
      <c r="E201" s="5" t="s">
        <v>126</v>
      </c>
      <c r="F201" s="5" t="s">
        <v>16</v>
      </c>
      <c r="G201" s="5" t="s">
        <v>31</v>
      </c>
      <c r="H201" s="5">
        <v>85</v>
      </c>
      <c r="I201" s="5">
        <v>14</v>
      </c>
      <c r="J201" s="5" t="s">
        <v>26</v>
      </c>
      <c r="K201" s="5" t="s">
        <v>35</v>
      </c>
      <c r="L201" s="5" t="s">
        <v>20</v>
      </c>
      <c r="M201" s="7" t="s">
        <v>21</v>
      </c>
      <c r="N201" s="26">
        <f t="shared" si="18"/>
        <v>1</v>
      </c>
      <c r="O201" s="42">
        <f t="shared" si="19"/>
        <v>45175</v>
      </c>
      <c r="P201" s="5" t="str">
        <f t="shared" si="20"/>
        <v>Wednesday</v>
      </c>
      <c r="Q201" s="5">
        <f t="shared" si="21"/>
        <v>11</v>
      </c>
      <c r="R201" s="28">
        <f t="shared" si="22"/>
        <v>0.85858585858585856</v>
      </c>
      <c r="S201" s="29">
        <f t="shared" si="23"/>
        <v>85.858585858585855</v>
      </c>
      <c r="T201" s="5" t="str">
        <f>IF(Delivery_Data[[#This Row],[Delays (min)]]&gt;0,"No","Yes")</f>
        <v>No</v>
      </c>
    </row>
    <row r="202" spans="1:20" ht="15.75" customHeight="1" x14ac:dyDescent="0.3">
      <c r="A202" s="4">
        <v>1201</v>
      </c>
      <c r="B202" s="5" t="s">
        <v>326</v>
      </c>
      <c r="C202" s="6">
        <v>45177.450694444444</v>
      </c>
      <c r="D202" s="5" t="s">
        <v>43</v>
      </c>
      <c r="E202" s="5" t="s">
        <v>58</v>
      </c>
      <c r="F202" s="5" t="s">
        <v>16</v>
      </c>
      <c r="G202" s="5" t="s">
        <v>31</v>
      </c>
      <c r="H202" s="5">
        <v>67</v>
      </c>
      <c r="I202" s="5">
        <v>16</v>
      </c>
      <c r="J202" s="5" t="s">
        <v>32</v>
      </c>
      <c r="K202" s="5" t="s">
        <v>35</v>
      </c>
      <c r="L202" s="5" t="s">
        <v>40</v>
      </c>
      <c r="M202" s="7" t="s">
        <v>46</v>
      </c>
      <c r="N202" s="26">
        <f t="shared" si="18"/>
        <v>-1</v>
      </c>
      <c r="O202" s="42">
        <f t="shared" si="19"/>
        <v>45177</v>
      </c>
      <c r="P202" s="5" t="str">
        <f t="shared" si="20"/>
        <v>Friday</v>
      </c>
      <c r="Q202" s="5">
        <f t="shared" si="21"/>
        <v>10</v>
      </c>
      <c r="R202" s="28">
        <f t="shared" si="22"/>
        <v>0.80722891566265065</v>
      </c>
      <c r="S202" s="29">
        <f t="shared" si="23"/>
        <v>80.722891566265062</v>
      </c>
      <c r="T202" s="5" t="str">
        <f>IF(Delivery_Data[[#This Row],[Delays (min)]]&gt;0,"No","Yes")</f>
        <v>No</v>
      </c>
    </row>
    <row r="203" spans="1:20" ht="15.75" customHeight="1" x14ac:dyDescent="0.3">
      <c r="A203" s="4">
        <v>1202</v>
      </c>
      <c r="B203" s="5" t="s">
        <v>327</v>
      </c>
      <c r="C203" s="6">
        <v>45171.367361111108</v>
      </c>
      <c r="D203" s="5" t="s">
        <v>43</v>
      </c>
      <c r="E203" s="5" t="s">
        <v>151</v>
      </c>
      <c r="F203" s="5" t="s">
        <v>16</v>
      </c>
      <c r="G203" s="5" t="s">
        <v>31</v>
      </c>
      <c r="H203" s="5">
        <v>63</v>
      </c>
      <c r="I203" s="5">
        <v>0</v>
      </c>
      <c r="J203" s="5" t="s">
        <v>26</v>
      </c>
      <c r="K203" s="5" t="s">
        <v>45</v>
      </c>
      <c r="L203" s="5" t="s">
        <v>20</v>
      </c>
      <c r="M203" s="7" t="s">
        <v>46</v>
      </c>
      <c r="N203" s="26">
        <f t="shared" si="18"/>
        <v>1</v>
      </c>
      <c r="O203" s="42">
        <f t="shared" si="19"/>
        <v>45171</v>
      </c>
      <c r="P203" s="5" t="str">
        <f t="shared" si="20"/>
        <v>Saturday</v>
      </c>
      <c r="Q203" s="5">
        <f t="shared" si="21"/>
        <v>8</v>
      </c>
      <c r="R203" s="28">
        <f t="shared" si="22"/>
        <v>1</v>
      </c>
      <c r="S203" s="29">
        <f t="shared" si="23"/>
        <v>100</v>
      </c>
      <c r="T203" s="5" t="str">
        <f>IF(Delivery_Data[[#This Row],[Delays (min)]]&gt;0,"No","Yes")</f>
        <v>Yes</v>
      </c>
    </row>
    <row r="204" spans="1:20" ht="15.75" customHeight="1" x14ac:dyDescent="0.3">
      <c r="A204" s="4">
        <v>1203</v>
      </c>
      <c r="B204" s="5" t="s">
        <v>328</v>
      </c>
      <c r="C204" s="6">
        <v>45171.478472222225</v>
      </c>
      <c r="D204" s="5" t="s">
        <v>14</v>
      </c>
      <c r="E204" s="5" t="s">
        <v>200</v>
      </c>
      <c r="F204" s="5" t="s">
        <v>16</v>
      </c>
      <c r="G204" s="5" t="s">
        <v>39</v>
      </c>
      <c r="H204" s="5">
        <v>77</v>
      </c>
      <c r="I204" s="5">
        <v>1</v>
      </c>
      <c r="J204" s="5" t="s">
        <v>18</v>
      </c>
      <c r="K204" s="5" t="s">
        <v>45</v>
      </c>
      <c r="L204" s="5" t="s">
        <v>28</v>
      </c>
      <c r="M204" s="7" t="s">
        <v>46</v>
      </c>
      <c r="N204" s="26">
        <f t="shared" si="18"/>
        <v>0</v>
      </c>
      <c r="O204" s="42">
        <f t="shared" si="19"/>
        <v>45171</v>
      </c>
      <c r="P204" s="5" t="str">
        <f t="shared" si="20"/>
        <v>Saturday</v>
      </c>
      <c r="Q204" s="5">
        <f t="shared" si="21"/>
        <v>11</v>
      </c>
      <c r="R204" s="28">
        <f t="shared" si="22"/>
        <v>0.98717948717948723</v>
      </c>
      <c r="S204" s="29">
        <f t="shared" si="23"/>
        <v>98.71794871794873</v>
      </c>
      <c r="T204" s="5" t="str">
        <f>IF(Delivery_Data[[#This Row],[Delays (min)]]&gt;0,"No","Yes")</f>
        <v>No</v>
      </c>
    </row>
    <row r="205" spans="1:20" ht="15.75" customHeight="1" x14ac:dyDescent="0.3">
      <c r="A205" s="4">
        <v>1204</v>
      </c>
      <c r="B205" s="5" t="s">
        <v>329</v>
      </c>
      <c r="C205" s="6">
        <v>45173.428472222222</v>
      </c>
      <c r="D205" s="5" t="s">
        <v>14</v>
      </c>
      <c r="E205" s="5" t="s">
        <v>202</v>
      </c>
      <c r="F205" s="5" t="s">
        <v>24</v>
      </c>
      <c r="G205" s="5" t="s">
        <v>56</v>
      </c>
      <c r="H205" s="5">
        <v>101</v>
      </c>
      <c r="I205" s="5">
        <v>24</v>
      </c>
      <c r="J205" s="5" t="s">
        <v>26</v>
      </c>
      <c r="K205" s="5" t="s">
        <v>49</v>
      </c>
      <c r="L205" s="5" t="s">
        <v>20</v>
      </c>
      <c r="M205" s="7" t="s">
        <v>41</v>
      </c>
      <c r="N205" s="26">
        <f t="shared" si="18"/>
        <v>1</v>
      </c>
      <c r="O205" s="42">
        <f t="shared" si="19"/>
        <v>45173</v>
      </c>
      <c r="P205" s="5" t="str">
        <f t="shared" si="20"/>
        <v>Monday</v>
      </c>
      <c r="Q205" s="5">
        <f t="shared" si="21"/>
        <v>10</v>
      </c>
      <c r="R205" s="28">
        <f t="shared" si="22"/>
        <v>0.80800000000000005</v>
      </c>
      <c r="S205" s="29">
        <f t="shared" si="23"/>
        <v>80.800000000000011</v>
      </c>
      <c r="T205" s="5" t="str">
        <f>IF(Delivery_Data[[#This Row],[Delays (min)]]&gt;0,"No","Yes")</f>
        <v>No</v>
      </c>
    </row>
    <row r="206" spans="1:20" ht="15.75" customHeight="1" x14ac:dyDescent="0.3">
      <c r="A206" s="4">
        <v>1205</v>
      </c>
      <c r="B206" s="5" t="s">
        <v>330</v>
      </c>
      <c r="C206" s="6">
        <v>45175.624305555553</v>
      </c>
      <c r="D206" s="5" t="s">
        <v>14</v>
      </c>
      <c r="E206" s="5" t="s">
        <v>76</v>
      </c>
      <c r="F206" s="5" t="s">
        <v>24</v>
      </c>
      <c r="G206" s="5" t="s">
        <v>31</v>
      </c>
      <c r="H206" s="5">
        <v>171</v>
      </c>
      <c r="I206" s="5">
        <v>12</v>
      </c>
      <c r="J206" s="5" t="s">
        <v>32</v>
      </c>
      <c r="K206" s="5" t="s">
        <v>27</v>
      </c>
      <c r="L206" s="5" t="s">
        <v>40</v>
      </c>
      <c r="M206" s="7" t="s">
        <v>41</v>
      </c>
      <c r="N206" s="26">
        <f t="shared" si="18"/>
        <v>-1</v>
      </c>
      <c r="O206" s="42">
        <f t="shared" si="19"/>
        <v>45175</v>
      </c>
      <c r="P206" s="5" t="str">
        <f t="shared" si="20"/>
        <v>Wednesday</v>
      </c>
      <c r="Q206" s="5">
        <f t="shared" si="21"/>
        <v>14</v>
      </c>
      <c r="R206" s="28">
        <f t="shared" si="22"/>
        <v>0.93442622950819676</v>
      </c>
      <c r="S206" s="29">
        <f t="shared" si="23"/>
        <v>93.442622950819683</v>
      </c>
      <c r="T206" s="5" t="str">
        <f>IF(Delivery_Data[[#This Row],[Delays (min)]]&gt;0,"No","Yes")</f>
        <v>No</v>
      </c>
    </row>
    <row r="207" spans="1:20" ht="15.75" customHeight="1" x14ac:dyDescent="0.3">
      <c r="A207" s="4">
        <v>1206</v>
      </c>
      <c r="B207" s="5" t="s">
        <v>331</v>
      </c>
      <c r="C207" s="6">
        <v>45175.680555555555</v>
      </c>
      <c r="D207" s="5" t="s">
        <v>43</v>
      </c>
      <c r="E207" s="5" t="s">
        <v>169</v>
      </c>
      <c r="F207" s="5" t="s">
        <v>38</v>
      </c>
      <c r="G207" s="5" t="s">
        <v>56</v>
      </c>
      <c r="H207" s="5">
        <v>161</v>
      </c>
      <c r="I207" s="5">
        <v>14</v>
      </c>
      <c r="J207" s="5" t="s">
        <v>32</v>
      </c>
      <c r="K207" s="5" t="s">
        <v>19</v>
      </c>
      <c r="L207" s="5" t="s">
        <v>40</v>
      </c>
      <c r="M207" s="7" t="s">
        <v>41</v>
      </c>
      <c r="N207" s="26">
        <f t="shared" si="18"/>
        <v>-1</v>
      </c>
      <c r="O207" s="42">
        <f t="shared" si="19"/>
        <v>45175</v>
      </c>
      <c r="P207" s="5" t="str">
        <f t="shared" si="20"/>
        <v>Wednesday</v>
      </c>
      <c r="Q207" s="5">
        <f t="shared" si="21"/>
        <v>16</v>
      </c>
      <c r="R207" s="28">
        <f t="shared" si="22"/>
        <v>0.92</v>
      </c>
      <c r="S207" s="29">
        <f t="shared" si="23"/>
        <v>92</v>
      </c>
      <c r="T207" s="5" t="str">
        <f>IF(Delivery_Data[[#This Row],[Delays (min)]]&gt;0,"No","Yes")</f>
        <v>No</v>
      </c>
    </row>
    <row r="208" spans="1:20" ht="15.75" customHeight="1" x14ac:dyDescent="0.3">
      <c r="A208" s="4">
        <v>1207</v>
      </c>
      <c r="B208" s="5" t="s">
        <v>332</v>
      </c>
      <c r="C208" s="6">
        <v>45172.59652777778</v>
      </c>
      <c r="D208" s="5" t="s">
        <v>14</v>
      </c>
      <c r="E208" s="5" t="s">
        <v>333</v>
      </c>
      <c r="F208" s="5" t="s">
        <v>38</v>
      </c>
      <c r="G208" s="5" t="s">
        <v>17</v>
      </c>
      <c r="H208" s="5">
        <v>107</v>
      </c>
      <c r="I208" s="5">
        <v>11</v>
      </c>
      <c r="J208" s="5" t="s">
        <v>32</v>
      </c>
      <c r="K208" s="5" t="s">
        <v>45</v>
      </c>
      <c r="L208" s="5" t="s">
        <v>28</v>
      </c>
      <c r="M208" s="7" t="s">
        <v>41</v>
      </c>
      <c r="N208" s="26">
        <f t="shared" si="18"/>
        <v>-1</v>
      </c>
      <c r="O208" s="42">
        <f t="shared" si="19"/>
        <v>45172</v>
      </c>
      <c r="P208" s="5" t="str">
        <f t="shared" si="20"/>
        <v>Sunday</v>
      </c>
      <c r="Q208" s="5">
        <f t="shared" si="21"/>
        <v>14</v>
      </c>
      <c r="R208" s="28">
        <f t="shared" si="22"/>
        <v>0.90677966101694918</v>
      </c>
      <c r="S208" s="29">
        <f t="shared" si="23"/>
        <v>90.677966101694921</v>
      </c>
      <c r="T208" s="5" t="str">
        <f>IF(Delivery_Data[[#This Row],[Delays (min)]]&gt;0,"No","Yes")</f>
        <v>No</v>
      </c>
    </row>
    <row r="209" spans="1:20" ht="15.75" customHeight="1" x14ac:dyDescent="0.3">
      <c r="A209" s="4">
        <v>1208</v>
      </c>
      <c r="B209" s="5" t="s">
        <v>334</v>
      </c>
      <c r="C209" s="6">
        <v>45170.495833333334</v>
      </c>
      <c r="D209" s="5" t="s">
        <v>14</v>
      </c>
      <c r="E209" s="5" t="s">
        <v>78</v>
      </c>
      <c r="F209" s="5" t="s">
        <v>16</v>
      </c>
      <c r="G209" s="5" t="s">
        <v>39</v>
      </c>
      <c r="H209" s="5">
        <v>135</v>
      </c>
      <c r="I209" s="5">
        <v>21</v>
      </c>
      <c r="J209" s="5" t="s">
        <v>18</v>
      </c>
      <c r="K209" s="5" t="s">
        <v>19</v>
      </c>
      <c r="L209" s="5" t="s">
        <v>28</v>
      </c>
      <c r="M209" s="7" t="s">
        <v>46</v>
      </c>
      <c r="N209" s="26">
        <f t="shared" si="18"/>
        <v>0</v>
      </c>
      <c r="O209" s="42">
        <f t="shared" si="19"/>
        <v>45170</v>
      </c>
      <c r="P209" s="5" t="str">
        <f t="shared" si="20"/>
        <v>Friday</v>
      </c>
      <c r="Q209" s="5">
        <f t="shared" si="21"/>
        <v>11</v>
      </c>
      <c r="R209" s="28">
        <f t="shared" si="22"/>
        <v>0.86538461538461542</v>
      </c>
      <c r="S209" s="29">
        <f t="shared" si="23"/>
        <v>86.538461538461547</v>
      </c>
      <c r="T209" s="5" t="str">
        <f>IF(Delivery_Data[[#This Row],[Delays (min)]]&gt;0,"No","Yes")</f>
        <v>No</v>
      </c>
    </row>
    <row r="210" spans="1:20" ht="15.75" customHeight="1" x14ac:dyDescent="0.3">
      <c r="A210" s="4">
        <v>1209</v>
      </c>
      <c r="B210" s="5" t="s">
        <v>335</v>
      </c>
      <c r="C210" s="6">
        <v>45172.50277777778</v>
      </c>
      <c r="D210" s="5" t="s">
        <v>43</v>
      </c>
      <c r="E210" s="5" t="s">
        <v>182</v>
      </c>
      <c r="F210" s="5" t="s">
        <v>16</v>
      </c>
      <c r="G210" s="5" t="s">
        <v>39</v>
      </c>
      <c r="H210" s="5">
        <v>224</v>
      </c>
      <c r="I210" s="5">
        <v>9</v>
      </c>
      <c r="J210" s="5" t="s">
        <v>18</v>
      </c>
      <c r="K210" s="5" t="s">
        <v>19</v>
      </c>
      <c r="L210" s="5" t="s">
        <v>20</v>
      </c>
      <c r="M210" s="7" t="s">
        <v>21</v>
      </c>
      <c r="N210" s="26">
        <f t="shared" si="18"/>
        <v>0</v>
      </c>
      <c r="O210" s="42">
        <f t="shared" si="19"/>
        <v>45172</v>
      </c>
      <c r="P210" s="5" t="str">
        <f t="shared" si="20"/>
        <v>Sunday</v>
      </c>
      <c r="Q210" s="5">
        <f t="shared" si="21"/>
        <v>12</v>
      </c>
      <c r="R210" s="28">
        <f t="shared" si="22"/>
        <v>0.96137339055793991</v>
      </c>
      <c r="S210" s="29">
        <f t="shared" si="23"/>
        <v>96.137339055793987</v>
      </c>
      <c r="T210" s="5" t="str">
        <f>IF(Delivery_Data[[#This Row],[Delays (min)]]&gt;0,"No","Yes")</f>
        <v>No</v>
      </c>
    </row>
    <row r="211" spans="1:20" ht="15.75" customHeight="1" x14ac:dyDescent="0.3">
      <c r="A211" s="4">
        <v>1210</v>
      </c>
      <c r="B211" s="5" t="s">
        <v>336</v>
      </c>
      <c r="C211" s="6">
        <v>45177.339583333334</v>
      </c>
      <c r="D211" s="5" t="s">
        <v>43</v>
      </c>
      <c r="E211" s="5" t="s">
        <v>177</v>
      </c>
      <c r="F211" s="5" t="s">
        <v>24</v>
      </c>
      <c r="G211" s="5" t="s">
        <v>56</v>
      </c>
      <c r="H211" s="5">
        <v>212</v>
      </c>
      <c r="I211" s="5">
        <v>23</v>
      </c>
      <c r="J211" s="5" t="s">
        <v>26</v>
      </c>
      <c r="K211" s="5" t="s">
        <v>35</v>
      </c>
      <c r="L211" s="5" t="s">
        <v>28</v>
      </c>
      <c r="M211" s="7" t="s">
        <v>21</v>
      </c>
      <c r="N211" s="26">
        <f t="shared" si="18"/>
        <v>1</v>
      </c>
      <c r="O211" s="42">
        <f t="shared" si="19"/>
        <v>45177</v>
      </c>
      <c r="P211" s="5" t="str">
        <f t="shared" si="20"/>
        <v>Friday</v>
      </c>
      <c r="Q211" s="5">
        <f t="shared" si="21"/>
        <v>8</v>
      </c>
      <c r="R211" s="28">
        <f t="shared" si="22"/>
        <v>0.90212765957446805</v>
      </c>
      <c r="S211" s="29">
        <f t="shared" si="23"/>
        <v>90.212765957446805</v>
      </c>
      <c r="T211" s="5" t="str">
        <f>IF(Delivery_Data[[#This Row],[Delays (min)]]&gt;0,"No","Yes")</f>
        <v>No</v>
      </c>
    </row>
    <row r="212" spans="1:20" ht="15.75" customHeight="1" x14ac:dyDescent="0.3">
      <c r="A212" s="4">
        <v>1211</v>
      </c>
      <c r="B212" s="5" t="s">
        <v>337</v>
      </c>
      <c r="C212" s="6">
        <v>45171.352083333331</v>
      </c>
      <c r="D212" s="5" t="s">
        <v>43</v>
      </c>
      <c r="E212" s="5" t="s">
        <v>182</v>
      </c>
      <c r="F212" s="5" t="s">
        <v>16</v>
      </c>
      <c r="G212" s="5" t="s">
        <v>17</v>
      </c>
      <c r="H212" s="5">
        <v>212</v>
      </c>
      <c r="I212" s="5">
        <v>17</v>
      </c>
      <c r="J212" s="5" t="s">
        <v>32</v>
      </c>
      <c r="K212" s="5" t="s">
        <v>27</v>
      </c>
      <c r="L212" s="5" t="s">
        <v>40</v>
      </c>
      <c r="M212" s="7" t="s">
        <v>41</v>
      </c>
      <c r="N212" s="26">
        <f t="shared" si="18"/>
        <v>-1</v>
      </c>
      <c r="O212" s="42">
        <f t="shared" si="19"/>
        <v>45171</v>
      </c>
      <c r="P212" s="5" t="str">
        <f t="shared" si="20"/>
        <v>Saturday</v>
      </c>
      <c r="Q212" s="5">
        <f t="shared" si="21"/>
        <v>8</v>
      </c>
      <c r="R212" s="28">
        <f t="shared" si="22"/>
        <v>0.92576419213973804</v>
      </c>
      <c r="S212" s="29">
        <f t="shared" si="23"/>
        <v>92.576419213973807</v>
      </c>
      <c r="T212" s="5" t="str">
        <f>IF(Delivery_Data[[#This Row],[Delays (min)]]&gt;0,"No","Yes")</f>
        <v>No</v>
      </c>
    </row>
    <row r="213" spans="1:20" ht="15.75" customHeight="1" x14ac:dyDescent="0.3">
      <c r="A213" s="4">
        <v>1212</v>
      </c>
      <c r="B213" s="5" t="s">
        <v>338</v>
      </c>
      <c r="C213" s="6">
        <v>45172.568749999999</v>
      </c>
      <c r="D213" s="5" t="s">
        <v>14</v>
      </c>
      <c r="E213" s="5" t="s">
        <v>164</v>
      </c>
      <c r="F213" s="5" t="s">
        <v>38</v>
      </c>
      <c r="G213" s="5" t="s">
        <v>31</v>
      </c>
      <c r="H213" s="5">
        <v>105</v>
      </c>
      <c r="I213" s="5">
        <v>6</v>
      </c>
      <c r="J213" s="5" t="s">
        <v>32</v>
      </c>
      <c r="K213" s="5" t="s">
        <v>27</v>
      </c>
      <c r="L213" s="5" t="s">
        <v>40</v>
      </c>
      <c r="M213" s="7" t="s">
        <v>46</v>
      </c>
      <c r="N213" s="26">
        <f t="shared" si="18"/>
        <v>-1</v>
      </c>
      <c r="O213" s="42">
        <f t="shared" si="19"/>
        <v>45172</v>
      </c>
      <c r="P213" s="5" t="str">
        <f t="shared" si="20"/>
        <v>Sunday</v>
      </c>
      <c r="Q213" s="5">
        <f t="shared" si="21"/>
        <v>13</v>
      </c>
      <c r="R213" s="28">
        <f t="shared" si="22"/>
        <v>0.94594594594594594</v>
      </c>
      <c r="S213" s="29">
        <f t="shared" si="23"/>
        <v>94.594594594594597</v>
      </c>
      <c r="T213" s="5" t="str">
        <f>IF(Delivery_Data[[#This Row],[Delays (min)]]&gt;0,"No","Yes")</f>
        <v>No</v>
      </c>
    </row>
    <row r="214" spans="1:20" ht="15.75" customHeight="1" x14ac:dyDescent="0.3">
      <c r="A214" s="4">
        <v>1213</v>
      </c>
      <c r="B214" s="5" t="s">
        <v>339</v>
      </c>
      <c r="C214" s="6">
        <v>45177.634722222225</v>
      </c>
      <c r="D214" s="5" t="s">
        <v>43</v>
      </c>
      <c r="E214" s="5" t="s">
        <v>78</v>
      </c>
      <c r="F214" s="5" t="s">
        <v>38</v>
      </c>
      <c r="G214" s="5" t="s">
        <v>39</v>
      </c>
      <c r="H214" s="5">
        <v>129</v>
      </c>
      <c r="I214" s="5">
        <v>5</v>
      </c>
      <c r="J214" s="5" t="s">
        <v>26</v>
      </c>
      <c r="K214" s="5" t="s">
        <v>49</v>
      </c>
      <c r="L214" s="5" t="s">
        <v>20</v>
      </c>
      <c r="M214" s="7" t="s">
        <v>21</v>
      </c>
      <c r="N214" s="26">
        <f t="shared" si="18"/>
        <v>1</v>
      </c>
      <c r="O214" s="42">
        <f t="shared" si="19"/>
        <v>45177</v>
      </c>
      <c r="P214" s="5" t="str">
        <f t="shared" si="20"/>
        <v>Friday</v>
      </c>
      <c r="Q214" s="5">
        <f t="shared" si="21"/>
        <v>15</v>
      </c>
      <c r="R214" s="28">
        <f t="shared" si="22"/>
        <v>0.96268656716417911</v>
      </c>
      <c r="S214" s="29">
        <f t="shared" si="23"/>
        <v>96.268656716417908</v>
      </c>
      <c r="T214" s="5" t="str">
        <f>IF(Delivery_Data[[#This Row],[Delays (min)]]&gt;0,"No","Yes")</f>
        <v>No</v>
      </c>
    </row>
    <row r="215" spans="1:20" ht="15.75" customHeight="1" x14ac:dyDescent="0.3">
      <c r="A215" s="4">
        <v>1214</v>
      </c>
      <c r="B215" s="5" t="s">
        <v>340</v>
      </c>
      <c r="C215" s="6">
        <v>45172.502083333333</v>
      </c>
      <c r="D215" s="5" t="s">
        <v>14</v>
      </c>
      <c r="E215" s="5" t="s">
        <v>151</v>
      </c>
      <c r="F215" s="5" t="s">
        <v>38</v>
      </c>
      <c r="G215" s="5" t="s">
        <v>17</v>
      </c>
      <c r="H215" s="5">
        <v>168</v>
      </c>
      <c r="I215" s="5">
        <v>12</v>
      </c>
      <c r="J215" s="5" t="s">
        <v>32</v>
      </c>
      <c r="K215" s="5" t="s">
        <v>19</v>
      </c>
      <c r="L215" s="5" t="s">
        <v>40</v>
      </c>
      <c r="M215" s="7" t="s">
        <v>41</v>
      </c>
      <c r="N215" s="26">
        <f t="shared" si="18"/>
        <v>-1</v>
      </c>
      <c r="O215" s="42">
        <f t="shared" si="19"/>
        <v>45172</v>
      </c>
      <c r="P215" s="5" t="str">
        <f t="shared" si="20"/>
        <v>Sunday</v>
      </c>
      <c r="Q215" s="5">
        <f t="shared" si="21"/>
        <v>12</v>
      </c>
      <c r="R215" s="28">
        <f t="shared" si="22"/>
        <v>0.93333333333333335</v>
      </c>
      <c r="S215" s="29">
        <f t="shared" si="23"/>
        <v>93.333333333333329</v>
      </c>
      <c r="T215" s="5" t="str">
        <f>IF(Delivery_Data[[#This Row],[Delays (min)]]&gt;0,"No","Yes")</f>
        <v>No</v>
      </c>
    </row>
    <row r="216" spans="1:20" ht="15.75" customHeight="1" x14ac:dyDescent="0.3">
      <c r="A216" s="4">
        <v>1215</v>
      </c>
      <c r="B216" s="5" t="s">
        <v>341</v>
      </c>
      <c r="C216" s="6">
        <v>45171.352777777778</v>
      </c>
      <c r="D216" s="5" t="s">
        <v>14</v>
      </c>
      <c r="E216" s="5" t="s">
        <v>285</v>
      </c>
      <c r="F216" s="5" t="s">
        <v>38</v>
      </c>
      <c r="G216" s="5" t="s">
        <v>17</v>
      </c>
      <c r="H216" s="5">
        <v>162</v>
      </c>
      <c r="I216" s="5">
        <v>25</v>
      </c>
      <c r="J216" s="5" t="s">
        <v>26</v>
      </c>
      <c r="K216" s="5" t="s">
        <v>35</v>
      </c>
      <c r="L216" s="5" t="s">
        <v>20</v>
      </c>
      <c r="M216" s="7" t="s">
        <v>21</v>
      </c>
      <c r="N216" s="26">
        <f t="shared" si="18"/>
        <v>1</v>
      </c>
      <c r="O216" s="42">
        <f t="shared" si="19"/>
        <v>45171</v>
      </c>
      <c r="P216" s="5" t="str">
        <f t="shared" si="20"/>
        <v>Saturday</v>
      </c>
      <c r="Q216" s="5">
        <f t="shared" si="21"/>
        <v>8</v>
      </c>
      <c r="R216" s="28">
        <f t="shared" si="22"/>
        <v>0.86631016042780751</v>
      </c>
      <c r="S216" s="29">
        <f t="shared" si="23"/>
        <v>86.631016042780757</v>
      </c>
      <c r="T216" s="5" t="str">
        <f>IF(Delivery_Data[[#This Row],[Delays (min)]]&gt;0,"No","Yes")</f>
        <v>No</v>
      </c>
    </row>
    <row r="217" spans="1:20" ht="15.75" customHeight="1" x14ac:dyDescent="0.3">
      <c r="A217" s="4">
        <v>1216</v>
      </c>
      <c r="B217" s="5" t="s">
        <v>342</v>
      </c>
      <c r="C217" s="6">
        <v>45170.602083333331</v>
      </c>
      <c r="D217" s="5" t="s">
        <v>43</v>
      </c>
      <c r="E217" s="5" t="s">
        <v>193</v>
      </c>
      <c r="F217" s="5" t="s">
        <v>16</v>
      </c>
      <c r="G217" s="5" t="s">
        <v>39</v>
      </c>
      <c r="H217" s="5">
        <v>136</v>
      </c>
      <c r="I217" s="5">
        <v>2</v>
      </c>
      <c r="J217" s="5" t="s">
        <v>18</v>
      </c>
      <c r="K217" s="5" t="s">
        <v>49</v>
      </c>
      <c r="L217" s="5" t="s">
        <v>40</v>
      </c>
      <c r="M217" s="7" t="s">
        <v>21</v>
      </c>
      <c r="N217" s="26">
        <f t="shared" si="18"/>
        <v>0</v>
      </c>
      <c r="O217" s="42">
        <f t="shared" si="19"/>
        <v>45170</v>
      </c>
      <c r="P217" s="5" t="str">
        <f t="shared" si="20"/>
        <v>Friday</v>
      </c>
      <c r="Q217" s="5">
        <f t="shared" si="21"/>
        <v>14</v>
      </c>
      <c r="R217" s="28">
        <f t="shared" si="22"/>
        <v>0.98550724637681164</v>
      </c>
      <c r="S217" s="29">
        <f t="shared" si="23"/>
        <v>98.550724637681171</v>
      </c>
      <c r="T217" s="5" t="str">
        <f>IF(Delivery_Data[[#This Row],[Delays (min)]]&gt;0,"No","Yes")</f>
        <v>No</v>
      </c>
    </row>
    <row r="218" spans="1:20" ht="15.75" customHeight="1" x14ac:dyDescent="0.3">
      <c r="A218" s="4">
        <v>1217</v>
      </c>
      <c r="B218" s="5" t="s">
        <v>343</v>
      </c>
      <c r="C218" s="6">
        <v>45172.593055555553</v>
      </c>
      <c r="D218" s="5" t="s">
        <v>43</v>
      </c>
      <c r="E218" s="5" t="s">
        <v>130</v>
      </c>
      <c r="F218" s="5" t="s">
        <v>24</v>
      </c>
      <c r="G218" s="5" t="s">
        <v>25</v>
      </c>
      <c r="H218" s="5">
        <v>221</v>
      </c>
      <c r="I218" s="5">
        <v>7</v>
      </c>
      <c r="J218" s="5" t="s">
        <v>18</v>
      </c>
      <c r="K218" s="5" t="s">
        <v>27</v>
      </c>
      <c r="L218" s="5" t="s">
        <v>28</v>
      </c>
      <c r="M218" s="7" t="s">
        <v>41</v>
      </c>
      <c r="N218" s="26">
        <f t="shared" si="18"/>
        <v>0</v>
      </c>
      <c r="O218" s="42">
        <f t="shared" si="19"/>
        <v>45172</v>
      </c>
      <c r="P218" s="5" t="str">
        <f t="shared" si="20"/>
        <v>Sunday</v>
      </c>
      <c r="Q218" s="5">
        <f t="shared" si="21"/>
        <v>14</v>
      </c>
      <c r="R218" s="28">
        <f t="shared" si="22"/>
        <v>0.9692982456140351</v>
      </c>
      <c r="S218" s="29">
        <f t="shared" si="23"/>
        <v>96.929824561403507</v>
      </c>
      <c r="T218" s="5" t="str">
        <f>IF(Delivery_Data[[#This Row],[Delays (min)]]&gt;0,"No","Yes")</f>
        <v>No</v>
      </c>
    </row>
    <row r="219" spans="1:20" ht="15.75" customHeight="1" x14ac:dyDescent="0.3">
      <c r="A219" s="4">
        <v>1218</v>
      </c>
      <c r="B219" s="5" t="s">
        <v>344</v>
      </c>
      <c r="C219" s="6">
        <v>45174.454861111109</v>
      </c>
      <c r="D219" s="5" t="s">
        <v>14</v>
      </c>
      <c r="E219" s="5" t="s">
        <v>30</v>
      </c>
      <c r="F219" s="5" t="s">
        <v>38</v>
      </c>
      <c r="G219" s="5" t="s">
        <v>31</v>
      </c>
      <c r="H219" s="5">
        <v>164</v>
      </c>
      <c r="I219" s="5">
        <v>6</v>
      </c>
      <c r="J219" s="5" t="s">
        <v>32</v>
      </c>
      <c r="K219" s="5" t="s">
        <v>45</v>
      </c>
      <c r="L219" s="5" t="s">
        <v>28</v>
      </c>
      <c r="M219" s="7" t="s">
        <v>46</v>
      </c>
      <c r="N219" s="26">
        <f t="shared" si="18"/>
        <v>-1</v>
      </c>
      <c r="O219" s="42">
        <f t="shared" si="19"/>
        <v>45174</v>
      </c>
      <c r="P219" s="5" t="str">
        <f t="shared" si="20"/>
        <v>Tuesday</v>
      </c>
      <c r="Q219" s="5">
        <f t="shared" si="21"/>
        <v>10</v>
      </c>
      <c r="R219" s="28">
        <f t="shared" si="22"/>
        <v>0.96470588235294119</v>
      </c>
      <c r="S219" s="29">
        <f t="shared" si="23"/>
        <v>96.470588235294116</v>
      </c>
      <c r="T219" s="5" t="str">
        <f>IF(Delivery_Data[[#This Row],[Delays (min)]]&gt;0,"No","Yes")</f>
        <v>No</v>
      </c>
    </row>
    <row r="220" spans="1:20" ht="15.75" customHeight="1" x14ac:dyDescent="0.3">
      <c r="A220" s="4">
        <v>1219</v>
      </c>
      <c r="B220" s="5" t="s">
        <v>345</v>
      </c>
      <c r="C220" s="6">
        <v>45171.695138888892</v>
      </c>
      <c r="D220" s="5" t="s">
        <v>14</v>
      </c>
      <c r="E220" s="5" t="s">
        <v>151</v>
      </c>
      <c r="F220" s="5" t="s">
        <v>16</v>
      </c>
      <c r="G220" s="5" t="s">
        <v>25</v>
      </c>
      <c r="H220" s="5">
        <v>223</v>
      </c>
      <c r="I220" s="5">
        <v>13</v>
      </c>
      <c r="J220" s="5" t="s">
        <v>26</v>
      </c>
      <c r="K220" s="5" t="s">
        <v>49</v>
      </c>
      <c r="L220" s="5" t="s">
        <v>20</v>
      </c>
      <c r="M220" s="7" t="s">
        <v>41</v>
      </c>
      <c r="N220" s="26">
        <f t="shared" si="18"/>
        <v>1</v>
      </c>
      <c r="O220" s="42">
        <f t="shared" si="19"/>
        <v>45171</v>
      </c>
      <c r="P220" s="5" t="str">
        <f t="shared" si="20"/>
        <v>Saturday</v>
      </c>
      <c r="Q220" s="5">
        <f t="shared" si="21"/>
        <v>16</v>
      </c>
      <c r="R220" s="28">
        <f t="shared" si="22"/>
        <v>0.94491525423728817</v>
      </c>
      <c r="S220" s="29">
        <f t="shared" si="23"/>
        <v>94.491525423728817</v>
      </c>
      <c r="T220" s="5" t="str">
        <f>IF(Delivery_Data[[#This Row],[Delays (min)]]&gt;0,"No","Yes")</f>
        <v>No</v>
      </c>
    </row>
    <row r="221" spans="1:20" ht="15.75" customHeight="1" x14ac:dyDescent="0.3">
      <c r="A221" s="4">
        <v>1220</v>
      </c>
      <c r="B221" s="5" t="s">
        <v>346</v>
      </c>
      <c r="C221" s="6">
        <v>45174.555555555555</v>
      </c>
      <c r="D221" s="5" t="s">
        <v>43</v>
      </c>
      <c r="E221" s="5" t="s">
        <v>113</v>
      </c>
      <c r="F221" s="5" t="s">
        <v>24</v>
      </c>
      <c r="G221" s="5" t="s">
        <v>17</v>
      </c>
      <c r="H221" s="5">
        <v>86</v>
      </c>
      <c r="I221" s="5">
        <v>0</v>
      </c>
      <c r="J221" s="5" t="s">
        <v>26</v>
      </c>
      <c r="K221" s="5" t="s">
        <v>49</v>
      </c>
      <c r="L221" s="5" t="s">
        <v>20</v>
      </c>
      <c r="M221" s="7" t="s">
        <v>21</v>
      </c>
      <c r="N221" s="26">
        <f t="shared" si="18"/>
        <v>1</v>
      </c>
      <c r="O221" s="42">
        <f t="shared" si="19"/>
        <v>45174</v>
      </c>
      <c r="P221" s="5" t="str">
        <f t="shared" si="20"/>
        <v>Tuesday</v>
      </c>
      <c r="Q221" s="5">
        <f t="shared" si="21"/>
        <v>13</v>
      </c>
      <c r="R221" s="28">
        <f t="shared" si="22"/>
        <v>1</v>
      </c>
      <c r="S221" s="29">
        <f t="shared" si="23"/>
        <v>100</v>
      </c>
      <c r="T221" s="5" t="str">
        <f>IF(Delivery_Data[[#This Row],[Delays (min)]]&gt;0,"No","Yes")</f>
        <v>Yes</v>
      </c>
    </row>
    <row r="222" spans="1:20" ht="15.75" customHeight="1" x14ac:dyDescent="0.3">
      <c r="A222" s="4">
        <v>1221</v>
      </c>
      <c r="B222" s="5" t="s">
        <v>347</v>
      </c>
      <c r="C222" s="6">
        <v>45170.452777777777</v>
      </c>
      <c r="D222" s="5" t="s">
        <v>14</v>
      </c>
      <c r="E222" s="5" t="s">
        <v>243</v>
      </c>
      <c r="F222" s="5" t="s">
        <v>16</v>
      </c>
      <c r="G222" s="5" t="s">
        <v>17</v>
      </c>
      <c r="H222" s="5">
        <v>177</v>
      </c>
      <c r="I222" s="5">
        <v>19</v>
      </c>
      <c r="J222" s="5" t="s">
        <v>18</v>
      </c>
      <c r="K222" s="5" t="s">
        <v>35</v>
      </c>
      <c r="L222" s="5" t="s">
        <v>28</v>
      </c>
      <c r="M222" s="7" t="s">
        <v>46</v>
      </c>
      <c r="N222" s="26">
        <f t="shared" si="18"/>
        <v>0</v>
      </c>
      <c r="O222" s="42">
        <f t="shared" si="19"/>
        <v>45170</v>
      </c>
      <c r="P222" s="5" t="str">
        <f t="shared" si="20"/>
        <v>Friday</v>
      </c>
      <c r="Q222" s="5">
        <f t="shared" si="21"/>
        <v>10</v>
      </c>
      <c r="R222" s="28">
        <f t="shared" si="22"/>
        <v>0.90306122448979587</v>
      </c>
      <c r="S222" s="29">
        <f t="shared" si="23"/>
        <v>90.306122448979593</v>
      </c>
      <c r="T222" s="5" t="str">
        <f>IF(Delivery_Data[[#This Row],[Delays (min)]]&gt;0,"No","Yes")</f>
        <v>No</v>
      </c>
    </row>
    <row r="223" spans="1:20" ht="15.75" customHeight="1" x14ac:dyDescent="0.3">
      <c r="A223" s="4">
        <v>1222</v>
      </c>
      <c r="B223" s="5" t="s">
        <v>348</v>
      </c>
      <c r="C223" s="6">
        <v>45174.488888888889</v>
      </c>
      <c r="D223" s="5" t="s">
        <v>14</v>
      </c>
      <c r="E223" s="5" t="s">
        <v>215</v>
      </c>
      <c r="F223" s="5" t="s">
        <v>38</v>
      </c>
      <c r="G223" s="5" t="s">
        <v>31</v>
      </c>
      <c r="H223" s="5">
        <v>194</v>
      </c>
      <c r="I223" s="5">
        <v>24</v>
      </c>
      <c r="J223" s="5" t="s">
        <v>26</v>
      </c>
      <c r="K223" s="5" t="s">
        <v>35</v>
      </c>
      <c r="L223" s="5" t="s">
        <v>40</v>
      </c>
      <c r="M223" s="7" t="s">
        <v>46</v>
      </c>
      <c r="N223" s="26">
        <f t="shared" si="18"/>
        <v>1</v>
      </c>
      <c r="O223" s="42">
        <f t="shared" si="19"/>
        <v>45174</v>
      </c>
      <c r="P223" s="5" t="str">
        <f t="shared" si="20"/>
        <v>Tuesday</v>
      </c>
      <c r="Q223" s="5">
        <f t="shared" si="21"/>
        <v>11</v>
      </c>
      <c r="R223" s="28">
        <f t="shared" si="22"/>
        <v>0.88990825688073394</v>
      </c>
      <c r="S223" s="29">
        <f t="shared" si="23"/>
        <v>88.9908256880734</v>
      </c>
      <c r="T223" s="5" t="str">
        <f>IF(Delivery_Data[[#This Row],[Delays (min)]]&gt;0,"No","Yes")</f>
        <v>No</v>
      </c>
    </row>
    <row r="224" spans="1:20" ht="15.75" customHeight="1" x14ac:dyDescent="0.3">
      <c r="A224" s="4">
        <v>1223</v>
      </c>
      <c r="B224" s="5" t="s">
        <v>349</v>
      </c>
      <c r="C224" s="6">
        <v>45170.34375</v>
      </c>
      <c r="D224" s="5" t="s">
        <v>14</v>
      </c>
      <c r="E224" s="5" t="s">
        <v>234</v>
      </c>
      <c r="F224" s="5" t="s">
        <v>16</v>
      </c>
      <c r="G224" s="5" t="s">
        <v>39</v>
      </c>
      <c r="H224" s="5">
        <v>103</v>
      </c>
      <c r="I224" s="5">
        <v>15</v>
      </c>
      <c r="J224" s="5" t="s">
        <v>26</v>
      </c>
      <c r="K224" s="5" t="s">
        <v>19</v>
      </c>
      <c r="L224" s="5" t="s">
        <v>28</v>
      </c>
      <c r="M224" s="7" t="s">
        <v>46</v>
      </c>
      <c r="N224" s="26">
        <f t="shared" si="18"/>
        <v>1</v>
      </c>
      <c r="O224" s="42">
        <f t="shared" si="19"/>
        <v>45170</v>
      </c>
      <c r="P224" s="5" t="str">
        <f t="shared" si="20"/>
        <v>Friday</v>
      </c>
      <c r="Q224" s="5">
        <f t="shared" si="21"/>
        <v>8</v>
      </c>
      <c r="R224" s="28">
        <f t="shared" si="22"/>
        <v>0.8728813559322034</v>
      </c>
      <c r="S224" s="29">
        <f t="shared" si="23"/>
        <v>87.288135593220346</v>
      </c>
      <c r="T224" s="5" t="str">
        <f>IF(Delivery_Data[[#This Row],[Delays (min)]]&gt;0,"No","Yes")</f>
        <v>No</v>
      </c>
    </row>
    <row r="225" spans="1:20" ht="15.75" customHeight="1" x14ac:dyDescent="0.3">
      <c r="A225" s="4">
        <v>1224</v>
      </c>
      <c r="B225" s="5" t="s">
        <v>350</v>
      </c>
      <c r="C225" s="6">
        <v>45175.375694444447</v>
      </c>
      <c r="D225" s="5" t="s">
        <v>14</v>
      </c>
      <c r="E225" s="5" t="s">
        <v>231</v>
      </c>
      <c r="F225" s="5" t="s">
        <v>24</v>
      </c>
      <c r="G225" s="5" t="s">
        <v>25</v>
      </c>
      <c r="H225" s="5">
        <v>61</v>
      </c>
      <c r="I225" s="5">
        <v>29</v>
      </c>
      <c r="J225" s="5" t="s">
        <v>18</v>
      </c>
      <c r="K225" s="5" t="s">
        <v>27</v>
      </c>
      <c r="L225" s="5" t="s">
        <v>40</v>
      </c>
      <c r="M225" s="7" t="s">
        <v>41</v>
      </c>
      <c r="N225" s="26">
        <f t="shared" si="18"/>
        <v>0</v>
      </c>
      <c r="O225" s="42">
        <f t="shared" si="19"/>
        <v>45175</v>
      </c>
      <c r="P225" s="5" t="str">
        <f t="shared" si="20"/>
        <v>Wednesday</v>
      </c>
      <c r="Q225" s="5">
        <f t="shared" si="21"/>
        <v>9</v>
      </c>
      <c r="R225" s="28">
        <f t="shared" si="22"/>
        <v>0.67777777777777781</v>
      </c>
      <c r="S225" s="29">
        <f t="shared" si="23"/>
        <v>67.777777777777786</v>
      </c>
      <c r="T225" s="5" t="str">
        <f>IF(Delivery_Data[[#This Row],[Delays (min)]]&gt;0,"No","Yes")</f>
        <v>No</v>
      </c>
    </row>
    <row r="226" spans="1:20" ht="15.75" customHeight="1" x14ac:dyDescent="0.3">
      <c r="A226" s="4">
        <v>1225</v>
      </c>
      <c r="B226" s="5" t="s">
        <v>351</v>
      </c>
      <c r="C226" s="6">
        <v>45177.604861111111</v>
      </c>
      <c r="D226" s="5" t="s">
        <v>14</v>
      </c>
      <c r="E226" s="5" t="s">
        <v>83</v>
      </c>
      <c r="F226" s="5" t="s">
        <v>38</v>
      </c>
      <c r="G226" s="5" t="s">
        <v>31</v>
      </c>
      <c r="H226" s="5">
        <v>102</v>
      </c>
      <c r="I226" s="5">
        <v>29</v>
      </c>
      <c r="J226" s="5" t="s">
        <v>26</v>
      </c>
      <c r="K226" s="5" t="s">
        <v>49</v>
      </c>
      <c r="L226" s="5" t="s">
        <v>40</v>
      </c>
      <c r="M226" s="7" t="s">
        <v>46</v>
      </c>
      <c r="N226" s="26">
        <f t="shared" si="18"/>
        <v>1</v>
      </c>
      <c r="O226" s="42">
        <f t="shared" si="19"/>
        <v>45177</v>
      </c>
      <c r="P226" s="5" t="str">
        <f t="shared" si="20"/>
        <v>Friday</v>
      </c>
      <c r="Q226" s="5">
        <f t="shared" si="21"/>
        <v>14</v>
      </c>
      <c r="R226" s="28">
        <f t="shared" si="22"/>
        <v>0.77862595419847325</v>
      </c>
      <c r="S226" s="29">
        <f t="shared" si="23"/>
        <v>77.862595419847324</v>
      </c>
      <c r="T226" s="5" t="str">
        <f>IF(Delivery_Data[[#This Row],[Delays (min)]]&gt;0,"No","Yes")</f>
        <v>No</v>
      </c>
    </row>
    <row r="227" spans="1:20" ht="15.75" customHeight="1" x14ac:dyDescent="0.3">
      <c r="A227" s="4">
        <v>1226</v>
      </c>
      <c r="B227" s="5" t="s">
        <v>352</v>
      </c>
      <c r="C227" s="6">
        <v>45174.560416666667</v>
      </c>
      <c r="D227" s="5" t="s">
        <v>14</v>
      </c>
      <c r="E227" s="5" t="s">
        <v>333</v>
      </c>
      <c r="F227" s="5" t="s">
        <v>38</v>
      </c>
      <c r="G227" s="5" t="s">
        <v>31</v>
      </c>
      <c r="H227" s="5">
        <v>88</v>
      </c>
      <c r="I227" s="5">
        <v>27</v>
      </c>
      <c r="J227" s="5" t="s">
        <v>18</v>
      </c>
      <c r="K227" s="5" t="s">
        <v>35</v>
      </c>
      <c r="L227" s="5" t="s">
        <v>28</v>
      </c>
      <c r="M227" s="7" t="s">
        <v>21</v>
      </c>
      <c r="N227" s="26">
        <f t="shared" si="18"/>
        <v>0</v>
      </c>
      <c r="O227" s="42">
        <f t="shared" si="19"/>
        <v>45174</v>
      </c>
      <c r="P227" s="5" t="str">
        <f t="shared" si="20"/>
        <v>Tuesday</v>
      </c>
      <c r="Q227" s="5">
        <f t="shared" si="21"/>
        <v>13</v>
      </c>
      <c r="R227" s="28">
        <f t="shared" si="22"/>
        <v>0.76521739130434785</v>
      </c>
      <c r="S227" s="29">
        <f t="shared" si="23"/>
        <v>76.521739130434781</v>
      </c>
      <c r="T227" s="5" t="str">
        <f>IF(Delivery_Data[[#This Row],[Delays (min)]]&gt;0,"No","Yes")</f>
        <v>No</v>
      </c>
    </row>
    <row r="228" spans="1:20" ht="15.75" customHeight="1" x14ac:dyDescent="0.3">
      <c r="A228" s="4">
        <v>1227</v>
      </c>
      <c r="B228" s="5" t="s">
        <v>353</v>
      </c>
      <c r="C228" s="6">
        <v>45177.390972222223</v>
      </c>
      <c r="D228" s="5" t="s">
        <v>14</v>
      </c>
      <c r="E228" s="5" t="s">
        <v>89</v>
      </c>
      <c r="F228" s="5" t="s">
        <v>16</v>
      </c>
      <c r="G228" s="5" t="s">
        <v>39</v>
      </c>
      <c r="H228" s="5">
        <v>92</v>
      </c>
      <c r="I228" s="5">
        <v>21</v>
      </c>
      <c r="J228" s="5" t="s">
        <v>32</v>
      </c>
      <c r="K228" s="5" t="s">
        <v>19</v>
      </c>
      <c r="L228" s="5" t="s">
        <v>28</v>
      </c>
      <c r="M228" s="7" t="s">
        <v>46</v>
      </c>
      <c r="N228" s="26">
        <f t="shared" si="18"/>
        <v>-1</v>
      </c>
      <c r="O228" s="42">
        <f t="shared" si="19"/>
        <v>45177</v>
      </c>
      <c r="P228" s="5" t="str">
        <f t="shared" si="20"/>
        <v>Friday</v>
      </c>
      <c r="Q228" s="5">
        <f t="shared" si="21"/>
        <v>9</v>
      </c>
      <c r="R228" s="28">
        <f t="shared" si="22"/>
        <v>0.81415929203539827</v>
      </c>
      <c r="S228" s="29">
        <f t="shared" si="23"/>
        <v>81.415929203539832</v>
      </c>
      <c r="T228" s="5" t="str">
        <f>IF(Delivery_Data[[#This Row],[Delays (min)]]&gt;0,"No","Yes")</f>
        <v>No</v>
      </c>
    </row>
    <row r="229" spans="1:20" ht="15.75" customHeight="1" x14ac:dyDescent="0.3">
      <c r="A229" s="4">
        <v>1228</v>
      </c>
      <c r="B229" s="5" t="s">
        <v>354</v>
      </c>
      <c r="C229" s="6">
        <v>45174.557638888888</v>
      </c>
      <c r="D229" s="5" t="s">
        <v>14</v>
      </c>
      <c r="E229" s="5" t="s">
        <v>355</v>
      </c>
      <c r="F229" s="5" t="s">
        <v>16</v>
      </c>
      <c r="G229" s="5" t="s">
        <v>31</v>
      </c>
      <c r="H229" s="5">
        <v>148</v>
      </c>
      <c r="I229" s="5">
        <v>9</v>
      </c>
      <c r="J229" s="5" t="s">
        <v>26</v>
      </c>
      <c r="K229" s="5" t="s">
        <v>35</v>
      </c>
      <c r="L229" s="5" t="s">
        <v>40</v>
      </c>
      <c r="M229" s="7" t="s">
        <v>21</v>
      </c>
      <c r="N229" s="26">
        <f t="shared" si="18"/>
        <v>1</v>
      </c>
      <c r="O229" s="42">
        <f t="shared" si="19"/>
        <v>45174</v>
      </c>
      <c r="P229" s="5" t="str">
        <f t="shared" si="20"/>
        <v>Tuesday</v>
      </c>
      <c r="Q229" s="5">
        <f t="shared" si="21"/>
        <v>13</v>
      </c>
      <c r="R229" s="28">
        <f t="shared" si="22"/>
        <v>0.9426751592356688</v>
      </c>
      <c r="S229" s="29">
        <f t="shared" si="23"/>
        <v>94.267515923566876</v>
      </c>
      <c r="T229" s="5" t="str">
        <f>IF(Delivery_Data[[#This Row],[Delays (min)]]&gt;0,"No","Yes")</f>
        <v>No</v>
      </c>
    </row>
    <row r="230" spans="1:20" ht="15.75" customHeight="1" x14ac:dyDescent="0.3">
      <c r="A230" s="4">
        <v>1229</v>
      </c>
      <c r="B230" s="5" t="s">
        <v>317</v>
      </c>
      <c r="C230" s="6">
        <v>45172.620138888888</v>
      </c>
      <c r="D230" s="5" t="s">
        <v>43</v>
      </c>
      <c r="E230" s="5" t="s">
        <v>288</v>
      </c>
      <c r="F230" s="5" t="s">
        <v>24</v>
      </c>
      <c r="G230" s="5" t="s">
        <v>25</v>
      </c>
      <c r="H230" s="5">
        <v>75</v>
      </c>
      <c r="I230" s="5">
        <v>1</v>
      </c>
      <c r="J230" s="5" t="s">
        <v>32</v>
      </c>
      <c r="K230" s="5" t="s">
        <v>45</v>
      </c>
      <c r="L230" s="5" t="s">
        <v>28</v>
      </c>
      <c r="M230" s="7" t="s">
        <v>46</v>
      </c>
      <c r="N230" s="26">
        <f t="shared" si="18"/>
        <v>-1</v>
      </c>
      <c r="O230" s="42">
        <f t="shared" si="19"/>
        <v>45172</v>
      </c>
      <c r="P230" s="5" t="str">
        <f t="shared" si="20"/>
        <v>Sunday</v>
      </c>
      <c r="Q230" s="5">
        <f t="shared" si="21"/>
        <v>14</v>
      </c>
      <c r="R230" s="28">
        <f t="shared" si="22"/>
        <v>0.98684210526315785</v>
      </c>
      <c r="S230" s="29">
        <f t="shared" si="23"/>
        <v>98.68421052631578</v>
      </c>
      <c r="T230" s="5" t="str">
        <f>IF(Delivery_Data[[#This Row],[Delays (min)]]&gt;0,"No","Yes")</f>
        <v>No</v>
      </c>
    </row>
    <row r="231" spans="1:20" ht="15.75" customHeight="1" x14ac:dyDescent="0.3">
      <c r="A231" s="4">
        <v>1230</v>
      </c>
      <c r="B231" s="5" t="s">
        <v>356</v>
      </c>
      <c r="C231" s="6">
        <v>45177.469444444447</v>
      </c>
      <c r="D231" s="5" t="s">
        <v>14</v>
      </c>
      <c r="E231" s="5" t="s">
        <v>204</v>
      </c>
      <c r="F231" s="5" t="s">
        <v>16</v>
      </c>
      <c r="G231" s="5" t="s">
        <v>56</v>
      </c>
      <c r="H231" s="5">
        <v>205</v>
      </c>
      <c r="I231" s="5">
        <v>3</v>
      </c>
      <c r="J231" s="5" t="s">
        <v>32</v>
      </c>
      <c r="K231" s="5" t="s">
        <v>49</v>
      </c>
      <c r="L231" s="5" t="s">
        <v>20</v>
      </c>
      <c r="M231" s="7" t="s">
        <v>46</v>
      </c>
      <c r="N231" s="26">
        <f t="shared" si="18"/>
        <v>-1</v>
      </c>
      <c r="O231" s="42">
        <f t="shared" si="19"/>
        <v>45177</v>
      </c>
      <c r="P231" s="5" t="str">
        <f t="shared" si="20"/>
        <v>Friday</v>
      </c>
      <c r="Q231" s="5">
        <f t="shared" si="21"/>
        <v>11</v>
      </c>
      <c r="R231" s="28">
        <f t="shared" si="22"/>
        <v>0.98557692307692313</v>
      </c>
      <c r="S231" s="29">
        <f t="shared" si="23"/>
        <v>98.557692307692307</v>
      </c>
      <c r="T231" s="5" t="str">
        <f>IF(Delivery_Data[[#This Row],[Delays (min)]]&gt;0,"No","Yes")</f>
        <v>No</v>
      </c>
    </row>
    <row r="232" spans="1:20" ht="15.75" customHeight="1" x14ac:dyDescent="0.3">
      <c r="A232" s="4">
        <v>1231</v>
      </c>
      <c r="B232" s="5" t="s">
        <v>357</v>
      </c>
      <c r="C232" s="6">
        <v>45174.380555555559</v>
      </c>
      <c r="D232" s="5" t="s">
        <v>43</v>
      </c>
      <c r="E232" s="5" t="s">
        <v>249</v>
      </c>
      <c r="F232" s="5" t="s">
        <v>24</v>
      </c>
      <c r="G232" s="5" t="s">
        <v>25</v>
      </c>
      <c r="H232" s="5">
        <v>237</v>
      </c>
      <c r="I232" s="5">
        <v>8</v>
      </c>
      <c r="J232" s="5" t="s">
        <v>32</v>
      </c>
      <c r="K232" s="5" t="s">
        <v>27</v>
      </c>
      <c r="L232" s="5" t="s">
        <v>20</v>
      </c>
      <c r="M232" s="7" t="s">
        <v>41</v>
      </c>
      <c r="N232" s="26">
        <f t="shared" si="18"/>
        <v>-1</v>
      </c>
      <c r="O232" s="42">
        <f t="shared" si="19"/>
        <v>45174</v>
      </c>
      <c r="P232" s="5" t="str">
        <f t="shared" si="20"/>
        <v>Tuesday</v>
      </c>
      <c r="Q232" s="5">
        <f t="shared" si="21"/>
        <v>9</v>
      </c>
      <c r="R232" s="28">
        <f t="shared" si="22"/>
        <v>0.96734693877551026</v>
      </c>
      <c r="S232" s="29">
        <f t="shared" si="23"/>
        <v>96.734693877551024</v>
      </c>
      <c r="T232" s="5" t="str">
        <f>IF(Delivery_Data[[#This Row],[Delays (min)]]&gt;0,"No","Yes")</f>
        <v>No</v>
      </c>
    </row>
    <row r="233" spans="1:20" ht="15.75" customHeight="1" x14ac:dyDescent="0.3">
      <c r="A233" s="4">
        <v>1232</v>
      </c>
      <c r="B233" s="5" t="s">
        <v>358</v>
      </c>
      <c r="C233" s="6">
        <v>45170.643750000003</v>
      </c>
      <c r="D233" s="5" t="s">
        <v>43</v>
      </c>
      <c r="E233" s="5" t="s">
        <v>285</v>
      </c>
      <c r="F233" s="5" t="s">
        <v>16</v>
      </c>
      <c r="G233" s="5" t="s">
        <v>17</v>
      </c>
      <c r="H233" s="5">
        <v>140</v>
      </c>
      <c r="I233" s="5">
        <v>17</v>
      </c>
      <c r="J233" s="5" t="s">
        <v>26</v>
      </c>
      <c r="K233" s="5" t="s">
        <v>35</v>
      </c>
      <c r="L233" s="5" t="s">
        <v>20</v>
      </c>
      <c r="M233" s="7" t="s">
        <v>46</v>
      </c>
      <c r="N233" s="26">
        <f t="shared" si="18"/>
        <v>1</v>
      </c>
      <c r="O233" s="42">
        <f t="shared" si="19"/>
        <v>45170</v>
      </c>
      <c r="P233" s="5" t="str">
        <f t="shared" si="20"/>
        <v>Friday</v>
      </c>
      <c r="Q233" s="5">
        <f t="shared" si="21"/>
        <v>15</v>
      </c>
      <c r="R233" s="28">
        <f t="shared" si="22"/>
        <v>0.89171974522292996</v>
      </c>
      <c r="S233" s="29">
        <f t="shared" si="23"/>
        <v>89.171974522292999</v>
      </c>
      <c r="T233" s="5" t="str">
        <f>IF(Delivery_Data[[#This Row],[Delays (min)]]&gt;0,"No","Yes")</f>
        <v>No</v>
      </c>
    </row>
    <row r="234" spans="1:20" ht="15.75" customHeight="1" x14ac:dyDescent="0.3">
      <c r="A234" s="4">
        <v>1233</v>
      </c>
      <c r="B234" s="5" t="s">
        <v>359</v>
      </c>
      <c r="C234" s="6">
        <v>45170.376388888886</v>
      </c>
      <c r="D234" s="5" t="s">
        <v>43</v>
      </c>
      <c r="E234" s="5" t="s">
        <v>97</v>
      </c>
      <c r="F234" s="5" t="s">
        <v>24</v>
      </c>
      <c r="G234" s="5" t="s">
        <v>25</v>
      </c>
      <c r="H234" s="5">
        <v>63</v>
      </c>
      <c r="I234" s="5">
        <v>8</v>
      </c>
      <c r="J234" s="5" t="s">
        <v>26</v>
      </c>
      <c r="K234" s="5" t="s">
        <v>19</v>
      </c>
      <c r="L234" s="5" t="s">
        <v>28</v>
      </c>
      <c r="M234" s="7" t="s">
        <v>21</v>
      </c>
      <c r="N234" s="26">
        <f t="shared" si="18"/>
        <v>1</v>
      </c>
      <c r="O234" s="42">
        <f t="shared" si="19"/>
        <v>45170</v>
      </c>
      <c r="P234" s="5" t="str">
        <f t="shared" si="20"/>
        <v>Friday</v>
      </c>
      <c r="Q234" s="5">
        <f t="shared" si="21"/>
        <v>9</v>
      </c>
      <c r="R234" s="28">
        <f t="shared" si="22"/>
        <v>0.88732394366197187</v>
      </c>
      <c r="S234" s="29">
        <f t="shared" si="23"/>
        <v>88.732394366197184</v>
      </c>
      <c r="T234" s="5" t="str">
        <f>IF(Delivery_Data[[#This Row],[Delays (min)]]&gt;0,"No","Yes")</f>
        <v>No</v>
      </c>
    </row>
    <row r="235" spans="1:20" ht="15.75" customHeight="1" x14ac:dyDescent="0.3">
      <c r="A235" s="4">
        <v>1234</v>
      </c>
      <c r="B235" s="5" t="s">
        <v>360</v>
      </c>
      <c r="C235" s="6">
        <v>45171.410416666666</v>
      </c>
      <c r="D235" s="5" t="s">
        <v>43</v>
      </c>
      <c r="E235" s="5" t="s">
        <v>135</v>
      </c>
      <c r="F235" s="5" t="s">
        <v>24</v>
      </c>
      <c r="G235" s="5" t="s">
        <v>25</v>
      </c>
      <c r="H235" s="5">
        <v>79</v>
      </c>
      <c r="I235" s="5">
        <v>4</v>
      </c>
      <c r="J235" s="5" t="s">
        <v>18</v>
      </c>
      <c r="K235" s="5" t="s">
        <v>49</v>
      </c>
      <c r="L235" s="5" t="s">
        <v>40</v>
      </c>
      <c r="M235" s="7" t="s">
        <v>46</v>
      </c>
      <c r="N235" s="26">
        <f t="shared" si="18"/>
        <v>0</v>
      </c>
      <c r="O235" s="42">
        <f t="shared" si="19"/>
        <v>45171</v>
      </c>
      <c r="P235" s="5" t="str">
        <f t="shared" si="20"/>
        <v>Saturday</v>
      </c>
      <c r="Q235" s="5">
        <f t="shared" si="21"/>
        <v>9</v>
      </c>
      <c r="R235" s="28">
        <f t="shared" si="22"/>
        <v>0.95180722891566261</v>
      </c>
      <c r="S235" s="29">
        <f t="shared" si="23"/>
        <v>95.180722891566262</v>
      </c>
      <c r="T235" s="5" t="str">
        <f>IF(Delivery_Data[[#This Row],[Delays (min)]]&gt;0,"No","Yes")</f>
        <v>No</v>
      </c>
    </row>
    <row r="236" spans="1:20" ht="15.75" customHeight="1" x14ac:dyDescent="0.3">
      <c r="A236" s="4">
        <v>1235</v>
      </c>
      <c r="B236" s="5" t="s">
        <v>361</v>
      </c>
      <c r="C236" s="6">
        <v>45170.342361111114</v>
      </c>
      <c r="D236" s="5" t="s">
        <v>43</v>
      </c>
      <c r="E236" s="5" t="s">
        <v>135</v>
      </c>
      <c r="F236" s="5" t="s">
        <v>24</v>
      </c>
      <c r="G236" s="5" t="s">
        <v>17</v>
      </c>
      <c r="H236" s="5">
        <v>194</v>
      </c>
      <c r="I236" s="5">
        <v>19</v>
      </c>
      <c r="J236" s="5" t="s">
        <v>26</v>
      </c>
      <c r="K236" s="5" t="s">
        <v>27</v>
      </c>
      <c r="L236" s="5" t="s">
        <v>40</v>
      </c>
      <c r="M236" s="7" t="s">
        <v>21</v>
      </c>
      <c r="N236" s="26">
        <f t="shared" si="18"/>
        <v>1</v>
      </c>
      <c r="O236" s="42">
        <f t="shared" si="19"/>
        <v>45170</v>
      </c>
      <c r="P236" s="5" t="str">
        <f t="shared" si="20"/>
        <v>Friday</v>
      </c>
      <c r="Q236" s="5">
        <f t="shared" si="21"/>
        <v>8</v>
      </c>
      <c r="R236" s="28">
        <f t="shared" si="22"/>
        <v>0.91079812206572774</v>
      </c>
      <c r="S236" s="29">
        <f t="shared" si="23"/>
        <v>91.079812206572768</v>
      </c>
      <c r="T236" s="5" t="str">
        <f>IF(Delivery_Data[[#This Row],[Delays (min)]]&gt;0,"No","Yes")</f>
        <v>No</v>
      </c>
    </row>
    <row r="237" spans="1:20" ht="15.75" customHeight="1" x14ac:dyDescent="0.3">
      <c r="A237" s="4">
        <v>1236</v>
      </c>
      <c r="B237" s="5" t="s">
        <v>362</v>
      </c>
      <c r="C237" s="6">
        <v>45173.607638888891</v>
      </c>
      <c r="D237" s="5" t="s">
        <v>14</v>
      </c>
      <c r="E237" s="5" t="s">
        <v>158</v>
      </c>
      <c r="F237" s="5" t="s">
        <v>38</v>
      </c>
      <c r="G237" s="5" t="s">
        <v>56</v>
      </c>
      <c r="H237" s="5">
        <v>232</v>
      </c>
      <c r="I237" s="5">
        <v>4</v>
      </c>
      <c r="J237" s="5" t="s">
        <v>26</v>
      </c>
      <c r="K237" s="5" t="s">
        <v>35</v>
      </c>
      <c r="L237" s="5" t="s">
        <v>28</v>
      </c>
      <c r="M237" s="7" t="s">
        <v>46</v>
      </c>
      <c r="N237" s="26">
        <f t="shared" si="18"/>
        <v>1</v>
      </c>
      <c r="O237" s="42">
        <f t="shared" si="19"/>
        <v>45173</v>
      </c>
      <c r="P237" s="5" t="str">
        <f t="shared" si="20"/>
        <v>Monday</v>
      </c>
      <c r="Q237" s="5">
        <f t="shared" si="21"/>
        <v>14</v>
      </c>
      <c r="R237" s="28">
        <f t="shared" si="22"/>
        <v>0.98305084745762716</v>
      </c>
      <c r="S237" s="29">
        <f t="shared" si="23"/>
        <v>98.305084745762713</v>
      </c>
      <c r="T237" s="5" t="str">
        <f>IF(Delivery_Data[[#This Row],[Delays (min)]]&gt;0,"No","Yes")</f>
        <v>No</v>
      </c>
    </row>
    <row r="238" spans="1:20" ht="15.75" customHeight="1" x14ac:dyDescent="0.3">
      <c r="A238" s="4">
        <v>1237</v>
      </c>
      <c r="B238" s="5" t="s">
        <v>363</v>
      </c>
      <c r="C238" s="6">
        <v>45176.394444444442</v>
      </c>
      <c r="D238" s="5" t="s">
        <v>43</v>
      </c>
      <c r="E238" s="5" t="s">
        <v>202</v>
      </c>
      <c r="F238" s="5" t="s">
        <v>38</v>
      </c>
      <c r="G238" s="5" t="s">
        <v>17</v>
      </c>
      <c r="H238" s="5">
        <v>79</v>
      </c>
      <c r="I238" s="5">
        <v>19</v>
      </c>
      <c r="J238" s="5" t="s">
        <v>26</v>
      </c>
      <c r="K238" s="5" t="s">
        <v>45</v>
      </c>
      <c r="L238" s="5" t="s">
        <v>28</v>
      </c>
      <c r="M238" s="7" t="s">
        <v>21</v>
      </c>
      <c r="N238" s="26">
        <f t="shared" si="18"/>
        <v>1</v>
      </c>
      <c r="O238" s="42">
        <f t="shared" si="19"/>
        <v>45176</v>
      </c>
      <c r="P238" s="5" t="str">
        <f t="shared" si="20"/>
        <v>Thursday</v>
      </c>
      <c r="Q238" s="5">
        <f t="shared" si="21"/>
        <v>9</v>
      </c>
      <c r="R238" s="28">
        <f t="shared" si="22"/>
        <v>0.80612244897959184</v>
      </c>
      <c r="S238" s="29">
        <f t="shared" si="23"/>
        <v>80.612244897959187</v>
      </c>
      <c r="T238" s="5" t="str">
        <f>IF(Delivery_Data[[#This Row],[Delays (min)]]&gt;0,"No","Yes")</f>
        <v>No</v>
      </c>
    </row>
    <row r="239" spans="1:20" ht="15.75" customHeight="1" x14ac:dyDescent="0.3">
      <c r="A239" s="4">
        <v>1238</v>
      </c>
      <c r="B239" s="5" t="s">
        <v>364</v>
      </c>
      <c r="C239" s="6">
        <v>45171.533333333333</v>
      </c>
      <c r="D239" s="5" t="s">
        <v>43</v>
      </c>
      <c r="E239" s="5" t="s">
        <v>34</v>
      </c>
      <c r="F239" s="5" t="s">
        <v>24</v>
      </c>
      <c r="G239" s="5" t="s">
        <v>25</v>
      </c>
      <c r="H239" s="5">
        <v>111</v>
      </c>
      <c r="I239" s="5">
        <v>19</v>
      </c>
      <c r="J239" s="5" t="s">
        <v>18</v>
      </c>
      <c r="K239" s="5" t="s">
        <v>49</v>
      </c>
      <c r="L239" s="5" t="s">
        <v>28</v>
      </c>
      <c r="M239" s="7" t="s">
        <v>46</v>
      </c>
      <c r="N239" s="26">
        <f t="shared" si="18"/>
        <v>0</v>
      </c>
      <c r="O239" s="42">
        <f t="shared" si="19"/>
        <v>45171</v>
      </c>
      <c r="P239" s="5" t="str">
        <f t="shared" si="20"/>
        <v>Saturday</v>
      </c>
      <c r="Q239" s="5">
        <f t="shared" si="21"/>
        <v>12</v>
      </c>
      <c r="R239" s="28">
        <f t="shared" si="22"/>
        <v>0.85384615384615381</v>
      </c>
      <c r="S239" s="29">
        <f t="shared" si="23"/>
        <v>85.384615384615387</v>
      </c>
      <c r="T239" s="5" t="str">
        <f>IF(Delivery_Data[[#This Row],[Delays (min)]]&gt;0,"No","Yes")</f>
        <v>No</v>
      </c>
    </row>
    <row r="240" spans="1:20" ht="15.75" customHeight="1" x14ac:dyDescent="0.3">
      <c r="A240" s="4">
        <v>1239</v>
      </c>
      <c r="B240" s="5" t="s">
        <v>365</v>
      </c>
      <c r="C240" s="6">
        <v>45176.631944444445</v>
      </c>
      <c r="D240" s="5" t="s">
        <v>14</v>
      </c>
      <c r="E240" s="5" t="s">
        <v>93</v>
      </c>
      <c r="F240" s="5" t="s">
        <v>38</v>
      </c>
      <c r="G240" s="5" t="s">
        <v>56</v>
      </c>
      <c r="H240" s="5">
        <v>89</v>
      </c>
      <c r="I240" s="5">
        <v>26</v>
      </c>
      <c r="J240" s="5" t="s">
        <v>26</v>
      </c>
      <c r="K240" s="5" t="s">
        <v>49</v>
      </c>
      <c r="L240" s="5" t="s">
        <v>28</v>
      </c>
      <c r="M240" s="7" t="s">
        <v>46</v>
      </c>
      <c r="N240" s="26">
        <f t="shared" si="18"/>
        <v>1</v>
      </c>
      <c r="O240" s="42">
        <f t="shared" si="19"/>
        <v>45176</v>
      </c>
      <c r="P240" s="5" t="str">
        <f t="shared" si="20"/>
        <v>Thursday</v>
      </c>
      <c r="Q240" s="5">
        <f t="shared" si="21"/>
        <v>15</v>
      </c>
      <c r="R240" s="28">
        <f t="shared" si="22"/>
        <v>0.77391304347826084</v>
      </c>
      <c r="S240" s="29">
        <f t="shared" si="23"/>
        <v>77.391304347826079</v>
      </c>
      <c r="T240" s="5" t="str">
        <f>IF(Delivery_Data[[#This Row],[Delays (min)]]&gt;0,"No","Yes")</f>
        <v>No</v>
      </c>
    </row>
    <row r="241" spans="1:20" ht="15.75" customHeight="1" x14ac:dyDescent="0.3">
      <c r="A241" s="4">
        <v>1240</v>
      </c>
      <c r="B241" s="5" t="s">
        <v>366</v>
      </c>
      <c r="C241" s="6">
        <v>45170.668055555558</v>
      </c>
      <c r="D241" s="5" t="s">
        <v>43</v>
      </c>
      <c r="E241" s="5" t="s">
        <v>23</v>
      </c>
      <c r="F241" s="5" t="s">
        <v>16</v>
      </c>
      <c r="G241" s="5" t="s">
        <v>56</v>
      </c>
      <c r="H241" s="5">
        <v>201</v>
      </c>
      <c r="I241" s="5">
        <v>14</v>
      </c>
      <c r="J241" s="5" t="s">
        <v>18</v>
      </c>
      <c r="K241" s="5" t="s">
        <v>19</v>
      </c>
      <c r="L241" s="5" t="s">
        <v>40</v>
      </c>
      <c r="M241" s="7" t="s">
        <v>41</v>
      </c>
      <c r="N241" s="26">
        <f t="shared" si="18"/>
        <v>0</v>
      </c>
      <c r="O241" s="42">
        <f t="shared" si="19"/>
        <v>45170</v>
      </c>
      <c r="P241" s="5" t="str">
        <f t="shared" si="20"/>
        <v>Friday</v>
      </c>
      <c r="Q241" s="5">
        <f t="shared" si="21"/>
        <v>16</v>
      </c>
      <c r="R241" s="28">
        <f t="shared" si="22"/>
        <v>0.93488372093023253</v>
      </c>
      <c r="S241" s="29">
        <f t="shared" si="23"/>
        <v>93.488372093023258</v>
      </c>
      <c r="T241" s="5" t="str">
        <f>IF(Delivery_Data[[#This Row],[Delays (min)]]&gt;0,"No","Yes")</f>
        <v>No</v>
      </c>
    </row>
    <row r="242" spans="1:20" ht="15.75" customHeight="1" x14ac:dyDescent="0.3">
      <c r="A242" s="4">
        <v>1241</v>
      </c>
      <c r="B242" s="5" t="s">
        <v>367</v>
      </c>
      <c r="C242" s="6">
        <v>45175.67083333333</v>
      </c>
      <c r="D242" s="5" t="s">
        <v>14</v>
      </c>
      <c r="E242" s="5" t="s">
        <v>164</v>
      </c>
      <c r="F242" s="5" t="s">
        <v>16</v>
      </c>
      <c r="G242" s="5" t="s">
        <v>25</v>
      </c>
      <c r="H242" s="5">
        <v>225</v>
      </c>
      <c r="I242" s="5">
        <v>5</v>
      </c>
      <c r="J242" s="5" t="s">
        <v>26</v>
      </c>
      <c r="K242" s="5" t="s">
        <v>27</v>
      </c>
      <c r="L242" s="5" t="s">
        <v>28</v>
      </c>
      <c r="M242" s="7" t="s">
        <v>21</v>
      </c>
      <c r="N242" s="26">
        <f t="shared" si="18"/>
        <v>1</v>
      </c>
      <c r="O242" s="42">
        <f t="shared" si="19"/>
        <v>45175</v>
      </c>
      <c r="P242" s="5" t="str">
        <f t="shared" si="20"/>
        <v>Wednesday</v>
      </c>
      <c r="Q242" s="5">
        <f t="shared" si="21"/>
        <v>16</v>
      </c>
      <c r="R242" s="28">
        <f t="shared" si="22"/>
        <v>0.97826086956521741</v>
      </c>
      <c r="S242" s="29">
        <f t="shared" si="23"/>
        <v>97.826086956521735</v>
      </c>
      <c r="T242" s="5" t="str">
        <f>IF(Delivery_Data[[#This Row],[Delays (min)]]&gt;0,"No","Yes")</f>
        <v>No</v>
      </c>
    </row>
    <row r="243" spans="1:20" ht="15.75" customHeight="1" x14ac:dyDescent="0.3">
      <c r="A243" s="4">
        <v>1242</v>
      </c>
      <c r="B243" s="5" t="s">
        <v>368</v>
      </c>
      <c r="C243" s="6">
        <v>45172.629166666666</v>
      </c>
      <c r="D243" s="5" t="s">
        <v>43</v>
      </c>
      <c r="E243" s="5" t="s">
        <v>272</v>
      </c>
      <c r="F243" s="5" t="s">
        <v>24</v>
      </c>
      <c r="G243" s="5" t="s">
        <v>39</v>
      </c>
      <c r="H243" s="5">
        <v>186</v>
      </c>
      <c r="I243" s="5">
        <v>24</v>
      </c>
      <c r="J243" s="5" t="s">
        <v>32</v>
      </c>
      <c r="K243" s="5" t="s">
        <v>19</v>
      </c>
      <c r="L243" s="5" t="s">
        <v>40</v>
      </c>
      <c r="M243" s="7" t="s">
        <v>41</v>
      </c>
      <c r="N243" s="26">
        <f t="shared" si="18"/>
        <v>-1</v>
      </c>
      <c r="O243" s="42">
        <f t="shared" si="19"/>
        <v>45172</v>
      </c>
      <c r="P243" s="5" t="str">
        <f t="shared" si="20"/>
        <v>Sunday</v>
      </c>
      <c r="Q243" s="5">
        <f t="shared" si="21"/>
        <v>15</v>
      </c>
      <c r="R243" s="28">
        <f t="shared" si="22"/>
        <v>0.88571428571428568</v>
      </c>
      <c r="S243" s="29">
        <f t="shared" si="23"/>
        <v>88.571428571428569</v>
      </c>
      <c r="T243" s="5" t="str">
        <f>IF(Delivery_Data[[#This Row],[Delays (min)]]&gt;0,"No","Yes")</f>
        <v>No</v>
      </c>
    </row>
    <row r="244" spans="1:20" ht="15.75" customHeight="1" x14ac:dyDescent="0.3">
      <c r="A244" s="4">
        <v>1243</v>
      </c>
      <c r="B244" s="5" t="s">
        <v>369</v>
      </c>
      <c r="C244" s="6">
        <v>45171.371527777781</v>
      </c>
      <c r="D244" s="5" t="s">
        <v>43</v>
      </c>
      <c r="E244" s="5" t="s">
        <v>370</v>
      </c>
      <c r="F244" s="5" t="s">
        <v>16</v>
      </c>
      <c r="G244" s="5" t="s">
        <v>39</v>
      </c>
      <c r="H244" s="5">
        <v>180</v>
      </c>
      <c r="I244" s="5">
        <v>2</v>
      </c>
      <c r="J244" s="5" t="s">
        <v>32</v>
      </c>
      <c r="K244" s="5" t="s">
        <v>27</v>
      </c>
      <c r="L244" s="5" t="s">
        <v>28</v>
      </c>
      <c r="M244" s="7" t="s">
        <v>21</v>
      </c>
      <c r="N244" s="26">
        <f t="shared" si="18"/>
        <v>-1</v>
      </c>
      <c r="O244" s="42">
        <f t="shared" si="19"/>
        <v>45171</v>
      </c>
      <c r="P244" s="5" t="str">
        <f t="shared" si="20"/>
        <v>Saturday</v>
      </c>
      <c r="Q244" s="5">
        <f t="shared" si="21"/>
        <v>8</v>
      </c>
      <c r="R244" s="28">
        <f t="shared" si="22"/>
        <v>0.98901098901098905</v>
      </c>
      <c r="S244" s="29">
        <f t="shared" si="23"/>
        <v>98.901098901098905</v>
      </c>
      <c r="T244" s="5" t="str">
        <f>IF(Delivery_Data[[#This Row],[Delays (min)]]&gt;0,"No","Yes")</f>
        <v>No</v>
      </c>
    </row>
    <row r="245" spans="1:20" ht="15.75" customHeight="1" x14ac:dyDescent="0.3">
      <c r="A245" s="4">
        <v>1244</v>
      </c>
      <c r="B245" s="5" t="s">
        <v>371</v>
      </c>
      <c r="C245" s="6">
        <v>45170.572916666664</v>
      </c>
      <c r="D245" s="5" t="s">
        <v>14</v>
      </c>
      <c r="E245" s="5" t="s">
        <v>122</v>
      </c>
      <c r="F245" s="5" t="s">
        <v>16</v>
      </c>
      <c r="G245" s="5" t="s">
        <v>56</v>
      </c>
      <c r="H245" s="5">
        <v>74</v>
      </c>
      <c r="I245" s="5">
        <v>26</v>
      </c>
      <c r="J245" s="5" t="s">
        <v>18</v>
      </c>
      <c r="K245" s="5" t="s">
        <v>45</v>
      </c>
      <c r="L245" s="5" t="s">
        <v>28</v>
      </c>
      <c r="M245" s="7" t="s">
        <v>41</v>
      </c>
      <c r="N245" s="26">
        <f t="shared" si="18"/>
        <v>0</v>
      </c>
      <c r="O245" s="42">
        <f t="shared" si="19"/>
        <v>45170</v>
      </c>
      <c r="P245" s="5" t="str">
        <f t="shared" si="20"/>
        <v>Friday</v>
      </c>
      <c r="Q245" s="5">
        <f t="shared" si="21"/>
        <v>13</v>
      </c>
      <c r="R245" s="28">
        <f t="shared" si="22"/>
        <v>0.74</v>
      </c>
      <c r="S245" s="29">
        <f t="shared" si="23"/>
        <v>74</v>
      </c>
      <c r="T245" s="5" t="str">
        <f>IF(Delivery_Data[[#This Row],[Delays (min)]]&gt;0,"No","Yes")</f>
        <v>No</v>
      </c>
    </row>
    <row r="246" spans="1:20" ht="15.75" customHeight="1" x14ac:dyDescent="0.3">
      <c r="A246" s="4">
        <v>1245</v>
      </c>
      <c r="B246" s="5" t="s">
        <v>372</v>
      </c>
      <c r="C246" s="6">
        <v>45173.628472222219</v>
      </c>
      <c r="D246" s="5" t="s">
        <v>14</v>
      </c>
      <c r="E246" s="5" t="s">
        <v>261</v>
      </c>
      <c r="F246" s="5" t="s">
        <v>24</v>
      </c>
      <c r="G246" s="5" t="s">
        <v>17</v>
      </c>
      <c r="H246" s="5">
        <v>64</v>
      </c>
      <c r="I246" s="5">
        <v>8</v>
      </c>
      <c r="J246" s="5" t="s">
        <v>32</v>
      </c>
      <c r="K246" s="5" t="s">
        <v>49</v>
      </c>
      <c r="L246" s="5" t="s">
        <v>20</v>
      </c>
      <c r="M246" s="7" t="s">
        <v>46</v>
      </c>
      <c r="N246" s="26">
        <f t="shared" si="18"/>
        <v>-1</v>
      </c>
      <c r="O246" s="42">
        <f t="shared" si="19"/>
        <v>45173</v>
      </c>
      <c r="P246" s="5" t="str">
        <f t="shared" si="20"/>
        <v>Monday</v>
      </c>
      <c r="Q246" s="5">
        <f t="shared" si="21"/>
        <v>15</v>
      </c>
      <c r="R246" s="28">
        <f t="shared" si="22"/>
        <v>0.88888888888888884</v>
      </c>
      <c r="S246" s="29">
        <f t="shared" si="23"/>
        <v>88.888888888888886</v>
      </c>
      <c r="T246" s="5" t="str">
        <f>IF(Delivery_Data[[#This Row],[Delays (min)]]&gt;0,"No","Yes")</f>
        <v>No</v>
      </c>
    </row>
    <row r="247" spans="1:20" ht="15.75" customHeight="1" x14ac:dyDescent="0.3">
      <c r="A247" s="4">
        <v>1246</v>
      </c>
      <c r="B247" s="5" t="s">
        <v>373</v>
      </c>
      <c r="C247" s="6">
        <v>45176.668055555558</v>
      </c>
      <c r="D247" s="5" t="s">
        <v>14</v>
      </c>
      <c r="E247" s="5" t="s">
        <v>374</v>
      </c>
      <c r="F247" s="5" t="s">
        <v>24</v>
      </c>
      <c r="G247" s="5" t="s">
        <v>25</v>
      </c>
      <c r="H247" s="5">
        <v>66</v>
      </c>
      <c r="I247" s="5">
        <v>21</v>
      </c>
      <c r="J247" s="5" t="s">
        <v>32</v>
      </c>
      <c r="K247" s="5" t="s">
        <v>35</v>
      </c>
      <c r="L247" s="5" t="s">
        <v>40</v>
      </c>
      <c r="M247" s="7" t="s">
        <v>41</v>
      </c>
      <c r="N247" s="26">
        <f t="shared" si="18"/>
        <v>-1</v>
      </c>
      <c r="O247" s="42">
        <f t="shared" si="19"/>
        <v>45176</v>
      </c>
      <c r="P247" s="5" t="str">
        <f t="shared" si="20"/>
        <v>Thursday</v>
      </c>
      <c r="Q247" s="5">
        <f t="shared" si="21"/>
        <v>16</v>
      </c>
      <c r="R247" s="28">
        <f t="shared" si="22"/>
        <v>0.75862068965517238</v>
      </c>
      <c r="S247" s="29">
        <f t="shared" si="23"/>
        <v>75.862068965517238</v>
      </c>
      <c r="T247" s="5" t="str">
        <f>IF(Delivery_Data[[#This Row],[Delays (min)]]&gt;0,"No","Yes")</f>
        <v>No</v>
      </c>
    </row>
    <row r="248" spans="1:20" ht="15.75" customHeight="1" x14ac:dyDescent="0.3">
      <c r="A248" s="4">
        <v>1247</v>
      </c>
      <c r="B248" s="5" t="s">
        <v>375</v>
      </c>
      <c r="C248" s="6">
        <v>45173.629166666666</v>
      </c>
      <c r="D248" s="5" t="s">
        <v>14</v>
      </c>
      <c r="E248" s="5" t="s">
        <v>220</v>
      </c>
      <c r="F248" s="5" t="s">
        <v>38</v>
      </c>
      <c r="G248" s="5" t="s">
        <v>39</v>
      </c>
      <c r="H248" s="5">
        <v>156</v>
      </c>
      <c r="I248" s="5">
        <v>17</v>
      </c>
      <c r="J248" s="5" t="s">
        <v>26</v>
      </c>
      <c r="K248" s="5" t="s">
        <v>49</v>
      </c>
      <c r="L248" s="5" t="s">
        <v>40</v>
      </c>
      <c r="M248" s="7" t="s">
        <v>21</v>
      </c>
      <c r="N248" s="26">
        <f t="shared" si="18"/>
        <v>1</v>
      </c>
      <c r="O248" s="42">
        <f t="shared" si="19"/>
        <v>45173</v>
      </c>
      <c r="P248" s="5" t="str">
        <f t="shared" si="20"/>
        <v>Monday</v>
      </c>
      <c r="Q248" s="5">
        <f t="shared" si="21"/>
        <v>15</v>
      </c>
      <c r="R248" s="28">
        <f t="shared" si="22"/>
        <v>0.90173410404624277</v>
      </c>
      <c r="S248" s="29">
        <f t="shared" si="23"/>
        <v>90.173410404624278</v>
      </c>
      <c r="T248" s="5" t="str">
        <f>IF(Delivery_Data[[#This Row],[Delays (min)]]&gt;0,"No","Yes")</f>
        <v>No</v>
      </c>
    </row>
    <row r="249" spans="1:20" ht="15.75" customHeight="1" x14ac:dyDescent="0.3">
      <c r="A249" s="4">
        <v>1248</v>
      </c>
      <c r="B249" s="5" t="s">
        <v>376</v>
      </c>
      <c r="C249" s="6">
        <v>45173.353472222225</v>
      </c>
      <c r="D249" s="5" t="s">
        <v>43</v>
      </c>
      <c r="E249" s="5" t="s">
        <v>240</v>
      </c>
      <c r="F249" s="5" t="s">
        <v>38</v>
      </c>
      <c r="G249" s="5" t="s">
        <v>39</v>
      </c>
      <c r="H249" s="5">
        <v>175</v>
      </c>
      <c r="I249" s="5">
        <v>20</v>
      </c>
      <c r="J249" s="5" t="s">
        <v>18</v>
      </c>
      <c r="K249" s="5" t="s">
        <v>27</v>
      </c>
      <c r="L249" s="5" t="s">
        <v>20</v>
      </c>
      <c r="M249" s="7" t="s">
        <v>21</v>
      </c>
      <c r="N249" s="26">
        <f t="shared" si="18"/>
        <v>0</v>
      </c>
      <c r="O249" s="42">
        <f t="shared" si="19"/>
        <v>45173</v>
      </c>
      <c r="P249" s="5" t="str">
        <f t="shared" si="20"/>
        <v>Monday</v>
      </c>
      <c r="Q249" s="5">
        <f t="shared" si="21"/>
        <v>8</v>
      </c>
      <c r="R249" s="28">
        <f t="shared" si="22"/>
        <v>0.89743589743589747</v>
      </c>
      <c r="S249" s="29">
        <f t="shared" si="23"/>
        <v>89.743589743589752</v>
      </c>
      <c r="T249" s="5" t="str">
        <f>IF(Delivery_Data[[#This Row],[Delays (min)]]&gt;0,"No","Yes")</f>
        <v>No</v>
      </c>
    </row>
    <row r="250" spans="1:20" ht="15.75" customHeight="1" x14ac:dyDescent="0.3">
      <c r="A250" s="4">
        <v>1249</v>
      </c>
      <c r="B250" s="5" t="s">
        <v>377</v>
      </c>
      <c r="C250" s="6">
        <v>45170.545138888891</v>
      </c>
      <c r="D250" s="5" t="s">
        <v>43</v>
      </c>
      <c r="E250" s="5" t="s">
        <v>73</v>
      </c>
      <c r="F250" s="5" t="s">
        <v>16</v>
      </c>
      <c r="G250" s="5" t="s">
        <v>17</v>
      </c>
      <c r="H250" s="5">
        <v>180</v>
      </c>
      <c r="I250" s="5">
        <v>25</v>
      </c>
      <c r="J250" s="5" t="s">
        <v>18</v>
      </c>
      <c r="K250" s="5" t="s">
        <v>35</v>
      </c>
      <c r="L250" s="5" t="s">
        <v>20</v>
      </c>
      <c r="M250" s="7" t="s">
        <v>46</v>
      </c>
      <c r="N250" s="26">
        <f t="shared" si="18"/>
        <v>0</v>
      </c>
      <c r="O250" s="42">
        <f t="shared" si="19"/>
        <v>45170</v>
      </c>
      <c r="P250" s="5" t="str">
        <f t="shared" si="20"/>
        <v>Friday</v>
      </c>
      <c r="Q250" s="5">
        <f t="shared" si="21"/>
        <v>13</v>
      </c>
      <c r="R250" s="28">
        <f t="shared" si="22"/>
        <v>0.87804878048780488</v>
      </c>
      <c r="S250" s="29">
        <f t="shared" si="23"/>
        <v>87.804878048780495</v>
      </c>
      <c r="T250" s="5" t="str">
        <f>IF(Delivery_Data[[#This Row],[Delays (min)]]&gt;0,"No","Yes")</f>
        <v>No</v>
      </c>
    </row>
    <row r="251" spans="1:20" ht="15.75" customHeight="1" x14ac:dyDescent="0.3">
      <c r="A251" s="4">
        <v>1250</v>
      </c>
      <c r="B251" s="5" t="s">
        <v>378</v>
      </c>
      <c r="C251" s="6">
        <v>45174.515972222223</v>
      </c>
      <c r="D251" s="5" t="s">
        <v>14</v>
      </c>
      <c r="E251" s="5" t="s">
        <v>171</v>
      </c>
      <c r="F251" s="5" t="s">
        <v>24</v>
      </c>
      <c r="G251" s="5" t="s">
        <v>17</v>
      </c>
      <c r="H251" s="5">
        <v>97</v>
      </c>
      <c r="I251" s="5">
        <v>5</v>
      </c>
      <c r="J251" s="5" t="s">
        <v>26</v>
      </c>
      <c r="K251" s="5" t="s">
        <v>35</v>
      </c>
      <c r="L251" s="5" t="s">
        <v>20</v>
      </c>
      <c r="M251" s="7" t="s">
        <v>46</v>
      </c>
      <c r="N251" s="26">
        <f t="shared" si="18"/>
        <v>1</v>
      </c>
      <c r="O251" s="42">
        <f t="shared" si="19"/>
        <v>45174</v>
      </c>
      <c r="P251" s="5" t="str">
        <f t="shared" si="20"/>
        <v>Tuesday</v>
      </c>
      <c r="Q251" s="5">
        <f t="shared" si="21"/>
        <v>12</v>
      </c>
      <c r="R251" s="28">
        <f t="shared" si="22"/>
        <v>0.9509803921568627</v>
      </c>
      <c r="S251" s="29">
        <f t="shared" si="23"/>
        <v>95.098039215686271</v>
      </c>
      <c r="T251" s="5" t="str">
        <f>IF(Delivery_Data[[#This Row],[Delays (min)]]&gt;0,"No","Yes")</f>
        <v>No</v>
      </c>
    </row>
    <row r="252" spans="1:20" ht="15.75" customHeight="1" x14ac:dyDescent="0.3">
      <c r="A252" s="4">
        <v>1251</v>
      </c>
      <c r="B252" s="5" t="s">
        <v>379</v>
      </c>
      <c r="C252" s="6">
        <v>45173.638194444444</v>
      </c>
      <c r="D252" s="5" t="s">
        <v>14</v>
      </c>
      <c r="E252" s="5" t="s">
        <v>55</v>
      </c>
      <c r="F252" s="5" t="s">
        <v>16</v>
      </c>
      <c r="G252" s="5" t="s">
        <v>25</v>
      </c>
      <c r="H252" s="5">
        <v>79</v>
      </c>
      <c r="I252" s="5">
        <v>26</v>
      </c>
      <c r="J252" s="5" t="s">
        <v>32</v>
      </c>
      <c r="K252" s="5" t="s">
        <v>19</v>
      </c>
      <c r="L252" s="5" t="s">
        <v>40</v>
      </c>
      <c r="M252" s="7" t="s">
        <v>41</v>
      </c>
      <c r="N252" s="26">
        <f t="shared" si="18"/>
        <v>-1</v>
      </c>
      <c r="O252" s="42">
        <f t="shared" si="19"/>
        <v>45173</v>
      </c>
      <c r="P252" s="5" t="str">
        <f t="shared" si="20"/>
        <v>Monday</v>
      </c>
      <c r="Q252" s="5">
        <f t="shared" si="21"/>
        <v>15</v>
      </c>
      <c r="R252" s="28">
        <f t="shared" si="22"/>
        <v>0.75238095238095237</v>
      </c>
      <c r="S252" s="29">
        <f t="shared" si="23"/>
        <v>75.238095238095241</v>
      </c>
      <c r="T252" s="5" t="str">
        <f>IF(Delivery_Data[[#This Row],[Delays (min)]]&gt;0,"No","Yes")</f>
        <v>No</v>
      </c>
    </row>
    <row r="253" spans="1:20" ht="15.75" customHeight="1" x14ac:dyDescent="0.3">
      <c r="A253" s="4">
        <v>1252</v>
      </c>
      <c r="B253" s="5" t="s">
        <v>380</v>
      </c>
      <c r="C253" s="6">
        <v>45171.59097222222</v>
      </c>
      <c r="D253" s="5" t="s">
        <v>14</v>
      </c>
      <c r="E253" s="5" t="s">
        <v>99</v>
      </c>
      <c r="F253" s="5" t="s">
        <v>24</v>
      </c>
      <c r="G253" s="5" t="s">
        <v>17</v>
      </c>
      <c r="H253" s="5">
        <v>141</v>
      </c>
      <c r="I253" s="5">
        <v>18</v>
      </c>
      <c r="J253" s="5" t="s">
        <v>18</v>
      </c>
      <c r="K253" s="5" t="s">
        <v>19</v>
      </c>
      <c r="L253" s="5" t="s">
        <v>28</v>
      </c>
      <c r="M253" s="7" t="s">
        <v>41</v>
      </c>
      <c r="N253" s="26">
        <f t="shared" si="18"/>
        <v>0</v>
      </c>
      <c r="O253" s="42">
        <f t="shared" si="19"/>
        <v>45171</v>
      </c>
      <c r="P253" s="5" t="str">
        <f t="shared" si="20"/>
        <v>Saturday</v>
      </c>
      <c r="Q253" s="5">
        <f t="shared" si="21"/>
        <v>14</v>
      </c>
      <c r="R253" s="28">
        <f t="shared" si="22"/>
        <v>0.8867924528301887</v>
      </c>
      <c r="S253" s="29">
        <f t="shared" si="23"/>
        <v>88.679245283018872</v>
      </c>
      <c r="T253" s="5" t="str">
        <f>IF(Delivery_Data[[#This Row],[Delays (min)]]&gt;0,"No","Yes")</f>
        <v>No</v>
      </c>
    </row>
    <row r="254" spans="1:20" ht="15.75" customHeight="1" x14ac:dyDescent="0.3">
      <c r="A254" s="4">
        <v>1253</v>
      </c>
      <c r="B254" s="5" t="s">
        <v>381</v>
      </c>
      <c r="C254" s="6">
        <v>45170.459027777775</v>
      </c>
      <c r="D254" s="5" t="s">
        <v>14</v>
      </c>
      <c r="E254" s="5" t="s">
        <v>301</v>
      </c>
      <c r="F254" s="5" t="s">
        <v>16</v>
      </c>
      <c r="G254" s="5" t="s">
        <v>56</v>
      </c>
      <c r="H254" s="5">
        <v>128</v>
      </c>
      <c r="I254" s="5">
        <v>16</v>
      </c>
      <c r="J254" s="5" t="s">
        <v>18</v>
      </c>
      <c r="K254" s="5" t="s">
        <v>19</v>
      </c>
      <c r="L254" s="5" t="s">
        <v>20</v>
      </c>
      <c r="M254" s="7" t="s">
        <v>21</v>
      </c>
      <c r="N254" s="26">
        <f t="shared" si="18"/>
        <v>0</v>
      </c>
      <c r="O254" s="42">
        <f t="shared" si="19"/>
        <v>45170</v>
      </c>
      <c r="P254" s="5" t="str">
        <f t="shared" si="20"/>
        <v>Friday</v>
      </c>
      <c r="Q254" s="5">
        <f t="shared" si="21"/>
        <v>11</v>
      </c>
      <c r="R254" s="28">
        <f t="shared" si="22"/>
        <v>0.88888888888888884</v>
      </c>
      <c r="S254" s="29">
        <f t="shared" si="23"/>
        <v>88.888888888888886</v>
      </c>
      <c r="T254" s="5" t="str">
        <f>IF(Delivery_Data[[#This Row],[Delays (min)]]&gt;0,"No","Yes")</f>
        <v>No</v>
      </c>
    </row>
    <row r="255" spans="1:20" ht="15.75" customHeight="1" x14ac:dyDescent="0.3">
      <c r="A255" s="4">
        <v>1254</v>
      </c>
      <c r="B255" s="5" t="s">
        <v>382</v>
      </c>
      <c r="C255" s="6">
        <v>45175.59097222222</v>
      </c>
      <c r="D255" s="5" t="s">
        <v>14</v>
      </c>
      <c r="E255" s="5" t="s">
        <v>66</v>
      </c>
      <c r="F255" s="5" t="s">
        <v>24</v>
      </c>
      <c r="G255" s="5" t="s">
        <v>56</v>
      </c>
      <c r="H255" s="5">
        <v>64</v>
      </c>
      <c r="I255" s="5">
        <v>9</v>
      </c>
      <c r="J255" s="5" t="s">
        <v>32</v>
      </c>
      <c r="K255" s="5" t="s">
        <v>27</v>
      </c>
      <c r="L255" s="5" t="s">
        <v>28</v>
      </c>
      <c r="M255" s="7" t="s">
        <v>41</v>
      </c>
      <c r="N255" s="26">
        <f t="shared" si="18"/>
        <v>-1</v>
      </c>
      <c r="O255" s="42">
        <f t="shared" si="19"/>
        <v>45175</v>
      </c>
      <c r="P255" s="5" t="str">
        <f t="shared" si="20"/>
        <v>Wednesday</v>
      </c>
      <c r="Q255" s="5">
        <f t="shared" si="21"/>
        <v>14</v>
      </c>
      <c r="R255" s="28">
        <f t="shared" si="22"/>
        <v>0.87671232876712324</v>
      </c>
      <c r="S255" s="29">
        <f t="shared" si="23"/>
        <v>87.671232876712324</v>
      </c>
      <c r="T255" s="5" t="str">
        <f>IF(Delivery_Data[[#This Row],[Delays (min)]]&gt;0,"No","Yes")</f>
        <v>No</v>
      </c>
    </row>
    <row r="256" spans="1:20" ht="15.75" customHeight="1" x14ac:dyDescent="0.3">
      <c r="A256" s="4">
        <v>1255</v>
      </c>
      <c r="B256" s="5" t="s">
        <v>383</v>
      </c>
      <c r="C256" s="6">
        <v>45175.704861111109</v>
      </c>
      <c r="D256" s="5" t="s">
        <v>43</v>
      </c>
      <c r="E256" s="5" t="s">
        <v>113</v>
      </c>
      <c r="F256" s="5" t="s">
        <v>16</v>
      </c>
      <c r="G256" s="5" t="s">
        <v>56</v>
      </c>
      <c r="H256" s="5">
        <v>69</v>
      </c>
      <c r="I256" s="5">
        <v>29</v>
      </c>
      <c r="J256" s="5" t="s">
        <v>32</v>
      </c>
      <c r="K256" s="5" t="s">
        <v>19</v>
      </c>
      <c r="L256" s="5" t="s">
        <v>20</v>
      </c>
      <c r="M256" s="7" t="s">
        <v>46</v>
      </c>
      <c r="N256" s="26">
        <f t="shared" si="18"/>
        <v>-1</v>
      </c>
      <c r="O256" s="42">
        <f t="shared" si="19"/>
        <v>45175</v>
      </c>
      <c r="P256" s="5" t="str">
        <f t="shared" si="20"/>
        <v>Wednesday</v>
      </c>
      <c r="Q256" s="5">
        <f t="shared" si="21"/>
        <v>16</v>
      </c>
      <c r="R256" s="28">
        <f t="shared" si="22"/>
        <v>0.70408163265306123</v>
      </c>
      <c r="S256" s="29">
        <f t="shared" si="23"/>
        <v>70.408163265306129</v>
      </c>
      <c r="T256" s="5" t="str">
        <f>IF(Delivery_Data[[#This Row],[Delays (min)]]&gt;0,"No","Yes")</f>
        <v>No</v>
      </c>
    </row>
    <row r="257" spans="1:20" ht="15.75" customHeight="1" x14ac:dyDescent="0.3">
      <c r="A257" s="4">
        <v>1256</v>
      </c>
      <c r="B257" s="5" t="s">
        <v>384</v>
      </c>
      <c r="C257" s="6">
        <v>45176.643750000003</v>
      </c>
      <c r="D257" s="5" t="s">
        <v>43</v>
      </c>
      <c r="E257" s="5" t="s">
        <v>70</v>
      </c>
      <c r="F257" s="5" t="s">
        <v>24</v>
      </c>
      <c r="G257" s="5" t="s">
        <v>39</v>
      </c>
      <c r="H257" s="5">
        <v>67</v>
      </c>
      <c r="I257" s="5">
        <v>22</v>
      </c>
      <c r="J257" s="5" t="s">
        <v>26</v>
      </c>
      <c r="K257" s="5" t="s">
        <v>19</v>
      </c>
      <c r="L257" s="5" t="s">
        <v>28</v>
      </c>
      <c r="M257" s="7" t="s">
        <v>46</v>
      </c>
      <c r="N257" s="26">
        <f t="shared" si="18"/>
        <v>1</v>
      </c>
      <c r="O257" s="42">
        <f t="shared" si="19"/>
        <v>45176</v>
      </c>
      <c r="P257" s="5" t="str">
        <f t="shared" si="20"/>
        <v>Thursday</v>
      </c>
      <c r="Q257" s="5">
        <f t="shared" si="21"/>
        <v>15</v>
      </c>
      <c r="R257" s="28">
        <f t="shared" si="22"/>
        <v>0.7528089887640449</v>
      </c>
      <c r="S257" s="29">
        <f t="shared" si="23"/>
        <v>75.280898876404493</v>
      </c>
      <c r="T257" s="5" t="str">
        <f>IF(Delivery_Data[[#This Row],[Delays (min)]]&gt;0,"No","Yes")</f>
        <v>No</v>
      </c>
    </row>
    <row r="258" spans="1:20" ht="15.75" customHeight="1" x14ac:dyDescent="0.3">
      <c r="A258" s="4">
        <v>1257</v>
      </c>
      <c r="B258" s="5" t="s">
        <v>385</v>
      </c>
      <c r="C258" s="6">
        <v>45170.521527777775</v>
      </c>
      <c r="D258" s="5" t="s">
        <v>43</v>
      </c>
      <c r="E258" s="5" t="s">
        <v>177</v>
      </c>
      <c r="F258" s="5" t="s">
        <v>24</v>
      </c>
      <c r="G258" s="5" t="s">
        <v>56</v>
      </c>
      <c r="H258" s="5">
        <v>218</v>
      </c>
      <c r="I258" s="5">
        <v>25</v>
      </c>
      <c r="J258" s="5" t="s">
        <v>26</v>
      </c>
      <c r="K258" s="5" t="s">
        <v>35</v>
      </c>
      <c r="L258" s="5" t="s">
        <v>40</v>
      </c>
      <c r="M258" s="7" t="s">
        <v>41</v>
      </c>
      <c r="N258" s="26">
        <f t="shared" ref="N258:N321" si="24">IF(J258="Positive",1,IF(J258="Neutral",0,IF(J258="Negative",-1,"")))</f>
        <v>1</v>
      </c>
      <c r="O258" s="42">
        <f t="shared" ref="O258:O321" si="25">INT(C258)</f>
        <v>45170</v>
      </c>
      <c r="P258" s="5" t="str">
        <f t="shared" ref="P258:P321" si="26">TEXT(C258,"dddd")</f>
        <v>Friday</v>
      </c>
      <c r="Q258" s="5">
        <f t="shared" ref="Q258:Q321" si="27">HOUR(C258)</f>
        <v>12</v>
      </c>
      <c r="R258" s="28">
        <f t="shared" ref="R258:R321" si="28">H258/(H258+I258)</f>
        <v>0.89711934156378603</v>
      </c>
      <c r="S258" s="29">
        <f t="shared" si="23"/>
        <v>89.711934156378604</v>
      </c>
      <c r="T258" s="5" t="str">
        <f>IF(Delivery_Data[[#This Row],[Delays (min)]]&gt;0,"No","Yes")</f>
        <v>No</v>
      </c>
    </row>
    <row r="259" spans="1:20" ht="15.75" customHeight="1" x14ac:dyDescent="0.3">
      <c r="A259" s="4">
        <v>1258</v>
      </c>
      <c r="B259" s="5" t="s">
        <v>386</v>
      </c>
      <c r="C259" s="6">
        <v>45170.463194444441</v>
      </c>
      <c r="D259" s="5" t="s">
        <v>43</v>
      </c>
      <c r="E259" s="5" t="s">
        <v>106</v>
      </c>
      <c r="F259" s="5" t="s">
        <v>16</v>
      </c>
      <c r="G259" s="5" t="s">
        <v>56</v>
      </c>
      <c r="H259" s="5">
        <v>75</v>
      </c>
      <c r="I259" s="5">
        <v>22</v>
      </c>
      <c r="J259" s="5" t="s">
        <v>26</v>
      </c>
      <c r="K259" s="5" t="s">
        <v>45</v>
      </c>
      <c r="L259" s="5" t="s">
        <v>40</v>
      </c>
      <c r="M259" s="7" t="s">
        <v>46</v>
      </c>
      <c r="N259" s="26">
        <f t="shared" si="24"/>
        <v>1</v>
      </c>
      <c r="O259" s="42">
        <f t="shared" si="25"/>
        <v>45170</v>
      </c>
      <c r="P259" s="5" t="str">
        <f t="shared" si="26"/>
        <v>Friday</v>
      </c>
      <c r="Q259" s="5">
        <f t="shared" si="27"/>
        <v>11</v>
      </c>
      <c r="R259" s="28">
        <f t="shared" si="28"/>
        <v>0.77319587628865982</v>
      </c>
      <c r="S259" s="29">
        <f t="shared" ref="S259:S322" si="29">IF(H259+I259=0,0,(H259/(H259+I259))*100) + (IFERROR(--J259,0)*10)</f>
        <v>77.319587628865989</v>
      </c>
      <c r="T259" s="5" t="str">
        <f>IF(Delivery_Data[[#This Row],[Delays (min)]]&gt;0,"No","Yes")</f>
        <v>No</v>
      </c>
    </row>
    <row r="260" spans="1:20" ht="15.75" customHeight="1" x14ac:dyDescent="0.3">
      <c r="A260" s="4">
        <v>1259</v>
      </c>
      <c r="B260" s="5" t="s">
        <v>387</v>
      </c>
      <c r="C260" s="6">
        <v>45173.55</v>
      </c>
      <c r="D260" s="5" t="s">
        <v>43</v>
      </c>
      <c r="E260" s="5" t="s">
        <v>135</v>
      </c>
      <c r="F260" s="5" t="s">
        <v>16</v>
      </c>
      <c r="G260" s="5" t="s">
        <v>56</v>
      </c>
      <c r="H260" s="5">
        <v>226</v>
      </c>
      <c r="I260" s="5">
        <v>14</v>
      </c>
      <c r="J260" s="5" t="s">
        <v>26</v>
      </c>
      <c r="K260" s="5" t="s">
        <v>49</v>
      </c>
      <c r="L260" s="5" t="s">
        <v>28</v>
      </c>
      <c r="M260" s="7" t="s">
        <v>21</v>
      </c>
      <c r="N260" s="26">
        <f t="shared" si="24"/>
        <v>1</v>
      </c>
      <c r="O260" s="42">
        <f t="shared" si="25"/>
        <v>45173</v>
      </c>
      <c r="P260" s="5" t="str">
        <f t="shared" si="26"/>
        <v>Monday</v>
      </c>
      <c r="Q260" s="5">
        <f t="shared" si="27"/>
        <v>13</v>
      </c>
      <c r="R260" s="28">
        <f t="shared" si="28"/>
        <v>0.94166666666666665</v>
      </c>
      <c r="S260" s="29">
        <f t="shared" si="29"/>
        <v>94.166666666666671</v>
      </c>
      <c r="T260" s="5" t="str">
        <f>IF(Delivery_Data[[#This Row],[Delays (min)]]&gt;0,"No","Yes")</f>
        <v>No</v>
      </c>
    </row>
    <row r="261" spans="1:20" ht="15.75" customHeight="1" x14ac:dyDescent="0.3">
      <c r="A261" s="4">
        <v>1260</v>
      </c>
      <c r="B261" s="5" t="s">
        <v>388</v>
      </c>
      <c r="C261" s="6">
        <v>45177.590277777781</v>
      </c>
      <c r="D261" s="5" t="s">
        <v>14</v>
      </c>
      <c r="E261" s="5" t="s">
        <v>301</v>
      </c>
      <c r="F261" s="5" t="s">
        <v>24</v>
      </c>
      <c r="G261" s="5" t="s">
        <v>56</v>
      </c>
      <c r="H261" s="5">
        <v>193</v>
      </c>
      <c r="I261" s="5">
        <v>5</v>
      </c>
      <c r="J261" s="5" t="s">
        <v>32</v>
      </c>
      <c r="K261" s="5" t="s">
        <v>19</v>
      </c>
      <c r="L261" s="5" t="s">
        <v>20</v>
      </c>
      <c r="M261" s="7" t="s">
        <v>21</v>
      </c>
      <c r="N261" s="26">
        <f t="shared" si="24"/>
        <v>-1</v>
      </c>
      <c r="O261" s="42">
        <f t="shared" si="25"/>
        <v>45177</v>
      </c>
      <c r="P261" s="5" t="str">
        <f t="shared" si="26"/>
        <v>Friday</v>
      </c>
      <c r="Q261" s="5">
        <f t="shared" si="27"/>
        <v>14</v>
      </c>
      <c r="R261" s="28">
        <f t="shared" si="28"/>
        <v>0.9747474747474747</v>
      </c>
      <c r="S261" s="29">
        <f t="shared" si="29"/>
        <v>97.474747474747474</v>
      </c>
      <c r="T261" s="5" t="str">
        <f>IF(Delivery_Data[[#This Row],[Delays (min)]]&gt;0,"No","Yes")</f>
        <v>No</v>
      </c>
    </row>
    <row r="262" spans="1:20" ht="15.75" customHeight="1" x14ac:dyDescent="0.3">
      <c r="A262" s="4">
        <v>1261</v>
      </c>
      <c r="B262" s="5" t="s">
        <v>389</v>
      </c>
      <c r="C262" s="6">
        <v>45176.536805555559</v>
      </c>
      <c r="D262" s="5" t="s">
        <v>14</v>
      </c>
      <c r="E262" s="5" t="s">
        <v>64</v>
      </c>
      <c r="F262" s="5" t="s">
        <v>24</v>
      </c>
      <c r="G262" s="5" t="s">
        <v>25</v>
      </c>
      <c r="H262" s="5">
        <v>91</v>
      </c>
      <c r="I262" s="5">
        <v>10</v>
      </c>
      <c r="J262" s="5" t="s">
        <v>32</v>
      </c>
      <c r="K262" s="5" t="s">
        <v>19</v>
      </c>
      <c r="L262" s="5" t="s">
        <v>40</v>
      </c>
      <c r="M262" s="7" t="s">
        <v>41</v>
      </c>
      <c r="N262" s="26">
        <f t="shared" si="24"/>
        <v>-1</v>
      </c>
      <c r="O262" s="42">
        <f t="shared" si="25"/>
        <v>45176</v>
      </c>
      <c r="P262" s="5" t="str">
        <f t="shared" si="26"/>
        <v>Thursday</v>
      </c>
      <c r="Q262" s="5">
        <f t="shared" si="27"/>
        <v>12</v>
      </c>
      <c r="R262" s="28">
        <f t="shared" si="28"/>
        <v>0.90099009900990101</v>
      </c>
      <c r="S262" s="29">
        <f t="shared" si="29"/>
        <v>90.099009900990097</v>
      </c>
      <c r="T262" s="5" t="str">
        <f>IF(Delivery_Data[[#This Row],[Delays (min)]]&gt;0,"No","Yes")</f>
        <v>No</v>
      </c>
    </row>
    <row r="263" spans="1:20" ht="15.75" customHeight="1" x14ac:dyDescent="0.3">
      <c r="A263" s="4">
        <v>1262</v>
      </c>
      <c r="B263" s="5" t="s">
        <v>390</v>
      </c>
      <c r="C263" s="6">
        <v>45172.602083333331</v>
      </c>
      <c r="D263" s="5" t="s">
        <v>14</v>
      </c>
      <c r="E263" s="5" t="s">
        <v>132</v>
      </c>
      <c r="F263" s="5" t="s">
        <v>24</v>
      </c>
      <c r="G263" s="5" t="s">
        <v>56</v>
      </c>
      <c r="H263" s="5">
        <v>66</v>
      </c>
      <c r="I263" s="5">
        <v>22</v>
      </c>
      <c r="J263" s="5" t="s">
        <v>32</v>
      </c>
      <c r="K263" s="5" t="s">
        <v>19</v>
      </c>
      <c r="L263" s="5" t="s">
        <v>28</v>
      </c>
      <c r="M263" s="7" t="s">
        <v>46</v>
      </c>
      <c r="N263" s="26">
        <f t="shared" si="24"/>
        <v>-1</v>
      </c>
      <c r="O263" s="42">
        <f t="shared" si="25"/>
        <v>45172</v>
      </c>
      <c r="P263" s="5" t="str">
        <f t="shared" si="26"/>
        <v>Sunday</v>
      </c>
      <c r="Q263" s="5">
        <f t="shared" si="27"/>
        <v>14</v>
      </c>
      <c r="R263" s="28">
        <f t="shared" si="28"/>
        <v>0.75</v>
      </c>
      <c r="S263" s="29">
        <f t="shared" si="29"/>
        <v>75</v>
      </c>
      <c r="T263" s="5" t="str">
        <f>IF(Delivery_Data[[#This Row],[Delays (min)]]&gt;0,"No","Yes")</f>
        <v>No</v>
      </c>
    </row>
    <row r="264" spans="1:20" ht="15.75" customHeight="1" x14ac:dyDescent="0.3">
      <c r="A264" s="4">
        <v>1263</v>
      </c>
      <c r="B264" s="5" t="s">
        <v>391</v>
      </c>
      <c r="C264" s="6">
        <v>45171.390277777777</v>
      </c>
      <c r="D264" s="5" t="s">
        <v>43</v>
      </c>
      <c r="E264" s="5" t="s">
        <v>109</v>
      </c>
      <c r="F264" s="5" t="s">
        <v>16</v>
      </c>
      <c r="G264" s="5" t="s">
        <v>56</v>
      </c>
      <c r="H264" s="5">
        <v>75</v>
      </c>
      <c r="I264" s="5">
        <v>15</v>
      </c>
      <c r="J264" s="5" t="s">
        <v>32</v>
      </c>
      <c r="K264" s="5" t="s">
        <v>19</v>
      </c>
      <c r="L264" s="5" t="s">
        <v>40</v>
      </c>
      <c r="M264" s="7" t="s">
        <v>46</v>
      </c>
      <c r="N264" s="26">
        <f t="shared" si="24"/>
        <v>-1</v>
      </c>
      <c r="O264" s="42">
        <f t="shared" si="25"/>
        <v>45171</v>
      </c>
      <c r="P264" s="5" t="str">
        <f t="shared" si="26"/>
        <v>Saturday</v>
      </c>
      <c r="Q264" s="5">
        <f t="shared" si="27"/>
        <v>9</v>
      </c>
      <c r="R264" s="28">
        <f t="shared" si="28"/>
        <v>0.83333333333333337</v>
      </c>
      <c r="S264" s="29">
        <f t="shared" si="29"/>
        <v>83.333333333333343</v>
      </c>
      <c r="T264" s="5" t="str">
        <f>IF(Delivery_Data[[#This Row],[Delays (min)]]&gt;0,"No","Yes")</f>
        <v>No</v>
      </c>
    </row>
    <row r="265" spans="1:20" ht="15.75" customHeight="1" x14ac:dyDescent="0.3">
      <c r="A265" s="4">
        <v>1264</v>
      </c>
      <c r="B265" s="5" t="s">
        <v>392</v>
      </c>
      <c r="C265" s="6">
        <v>45172.677083333336</v>
      </c>
      <c r="D265" s="5" t="s">
        <v>14</v>
      </c>
      <c r="E265" s="5" t="s">
        <v>182</v>
      </c>
      <c r="F265" s="5" t="s">
        <v>16</v>
      </c>
      <c r="G265" s="5" t="s">
        <v>39</v>
      </c>
      <c r="H265" s="5">
        <v>76</v>
      </c>
      <c r="I265" s="5">
        <v>14</v>
      </c>
      <c r="J265" s="5" t="s">
        <v>18</v>
      </c>
      <c r="K265" s="5" t="s">
        <v>45</v>
      </c>
      <c r="L265" s="5" t="s">
        <v>28</v>
      </c>
      <c r="M265" s="7" t="s">
        <v>21</v>
      </c>
      <c r="N265" s="26">
        <f t="shared" si="24"/>
        <v>0</v>
      </c>
      <c r="O265" s="42">
        <f t="shared" si="25"/>
        <v>45172</v>
      </c>
      <c r="P265" s="5" t="str">
        <f t="shared" si="26"/>
        <v>Sunday</v>
      </c>
      <c r="Q265" s="5">
        <f t="shared" si="27"/>
        <v>16</v>
      </c>
      <c r="R265" s="28">
        <f t="shared" si="28"/>
        <v>0.84444444444444444</v>
      </c>
      <c r="S265" s="29">
        <f t="shared" si="29"/>
        <v>84.444444444444443</v>
      </c>
      <c r="T265" s="5" t="str">
        <f>IF(Delivery_Data[[#This Row],[Delays (min)]]&gt;0,"No","Yes")</f>
        <v>No</v>
      </c>
    </row>
    <row r="266" spans="1:20" ht="15.75" customHeight="1" x14ac:dyDescent="0.3">
      <c r="A266" s="4">
        <v>1265</v>
      </c>
      <c r="B266" s="5" t="s">
        <v>393</v>
      </c>
      <c r="C266" s="6">
        <v>45170.625694444447</v>
      </c>
      <c r="D266" s="5" t="s">
        <v>14</v>
      </c>
      <c r="E266" s="5" t="s">
        <v>231</v>
      </c>
      <c r="F266" s="5" t="s">
        <v>16</v>
      </c>
      <c r="G266" s="5" t="s">
        <v>25</v>
      </c>
      <c r="H266" s="5">
        <v>123</v>
      </c>
      <c r="I266" s="5">
        <v>2</v>
      </c>
      <c r="J266" s="5" t="s">
        <v>32</v>
      </c>
      <c r="K266" s="5" t="s">
        <v>35</v>
      </c>
      <c r="L266" s="5" t="s">
        <v>40</v>
      </c>
      <c r="M266" s="7" t="s">
        <v>41</v>
      </c>
      <c r="N266" s="26">
        <f t="shared" si="24"/>
        <v>-1</v>
      </c>
      <c r="O266" s="42">
        <f t="shared" si="25"/>
        <v>45170</v>
      </c>
      <c r="P266" s="5" t="str">
        <f t="shared" si="26"/>
        <v>Friday</v>
      </c>
      <c r="Q266" s="5">
        <f t="shared" si="27"/>
        <v>15</v>
      </c>
      <c r="R266" s="28">
        <f t="shared" si="28"/>
        <v>0.98399999999999999</v>
      </c>
      <c r="S266" s="29">
        <f t="shared" si="29"/>
        <v>98.4</v>
      </c>
      <c r="T266" s="5" t="str">
        <f>IF(Delivery_Data[[#This Row],[Delays (min)]]&gt;0,"No","Yes")</f>
        <v>No</v>
      </c>
    </row>
    <row r="267" spans="1:20" ht="15.75" customHeight="1" x14ac:dyDescent="0.3">
      <c r="A267" s="4">
        <v>1266</v>
      </c>
      <c r="B267" s="5" t="s">
        <v>394</v>
      </c>
      <c r="C267" s="6">
        <v>45176.345138888886</v>
      </c>
      <c r="D267" s="5" t="s">
        <v>43</v>
      </c>
      <c r="E267" s="5" t="s">
        <v>149</v>
      </c>
      <c r="F267" s="5" t="s">
        <v>38</v>
      </c>
      <c r="G267" s="5" t="s">
        <v>25</v>
      </c>
      <c r="H267" s="5">
        <v>225</v>
      </c>
      <c r="I267" s="5">
        <v>4</v>
      </c>
      <c r="J267" s="5" t="s">
        <v>18</v>
      </c>
      <c r="K267" s="5" t="s">
        <v>45</v>
      </c>
      <c r="L267" s="5" t="s">
        <v>20</v>
      </c>
      <c r="M267" s="7" t="s">
        <v>46</v>
      </c>
      <c r="N267" s="26">
        <f t="shared" si="24"/>
        <v>0</v>
      </c>
      <c r="O267" s="42">
        <f t="shared" si="25"/>
        <v>45176</v>
      </c>
      <c r="P267" s="5" t="str">
        <f t="shared" si="26"/>
        <v>Thursday</v>
      </c>
      <c r="Q267" s="5">
        <f t="shared" si="27"/>
        <v>8</v>
      </c>
      <c r="R267" s="28">
        <f t="shared" si="28"/>
        <v>0.98253275109170302</v>
      </c>
      <c r="S267" s="29">
        <f t="shared" si="29"/>
        <v>98.253275109170303</v>
      </c>
      <c r="T267" s="5" t="str">
        <f>IF(Delivery_Data[[#This Row],[Delays (min)]]&gt;0,"No","Yes")</f>
        <v>No</v>
      </c>
    </row>
    <row r="268" spans="1:20" ht="15.75" customHeight="1" x14ac:dyDescent="0.3">
      <c r="A268" s="4">
        <v>1267</v>
      </c>
      <c r="B268" s="5" t="s">
        <v>395</v>
      </c>
      <c r="C268" s="6">
        <v>45171.602083333331</v>
      </c>
      <c r="D268" s="5" t="s">
        <v>14</v>
      </c>
      <c r="E268" s="5" t="s">
        <v>130</v>
      </c>
      <c r="F268" s="5" t="s">
        <v>24</v>
      </c>
      <c r="G268" s="5" t="s">
        <v>56</v>
      </c>
      <c r="H268" s="5">
        <v>221</v>
      </c>
      <c r="I268" s="5">
        <v>2</v>
      </c>
      <c r="J268" s="5" t="s">
        <v>18</v>
      </c>
      <c r="K268" s="5" t="s">
        <v>19</v>
      </c>
      <c r="L268" s="5" t="s">
        <v>40</v>
      </c>
      <c r="M268" s="7" t="s">
        <v>21</v>
      </c>
      <c r="N268" s="26">
        <f t="shared" si="24"/>
        <v>0</v>
      </c>
      <c r="O268" s="42">
        <f t="shared" si="25"/>
        <v>45171</v>
      </c>
      <c r="P268" s="5" t="str">
        <f t="shared" si="26"/>
        <v>Saturday</v>
      </c>
      <c r="Q268" s="5">
        <f t="shared" si="27"/>
        <v>14</v>
      </c>
      <c r="R268" s="28">
        <f t="shared" si="28"/>
        <v>0.99103139013452912</v>
      </c>
      <c r="S268" s="29">
        <f t="shared" si="29"/>
        <v>99.103139013452918</v>
      </c>
      <c r="T268" s="5" t="str">
        <f>IF(Delivery_Data[[#This Row],[Delays (min)]]&gt;0,"No","Yes")</f>
        <v>No</v>
      </c>
    </row>
    <row r="269" spans="1:20" ht="15.75" customHeight="1" x14ac:dyDescent="0.3">
      <c r="A269" s="4">
        <v>1268</v>
      </c>
      <c r="B269" s="5" t="s">
        <v>396</v>
      </c>
      <c r="C269" s="6">
        <v>45170.51458333333</v>
      </c>
      <c r="D269" s="5" t="s">
        <v>14</v>
      </c>
      <c r="E269" s="5" t="s">
        <v>66</v>
      </c>
      <c r="F269" s="5" t="s">
        <v>38</v>
      </c>
      <c r="G269" s="5" t="s">
        <v>39</v>
      </c>
      <c r="H269" s="5">
        <v>109</v>
      </c>
      <c r="I269" s="5">
        <v>10</v>
      </c>
      <c r="J269" s="5" t="s">
        <v>26</v>
      </c>
      <c r="K269" s="5" t="s">
        <v>45</v>
      </c>
      <c r="L269" s="5" t="s">
        <v>40</v>
      </c>
      <c r="M269" s="7" t="s">
        <v>41</v>
      </c>
      <c r="N269" s="26">
        <f t="shared" si="24"/>
        <v>1</v>
      </c>
      <c r="O269" s="42">
        <f t="shared" si="25"/>
        <v>45170</v>
      </c>
      <c r="P269" s="5" t="str">
        <f t="shared" si="26"/>
        <v>Friday</v>
      </c>
      <c r="Q269" s="5">
        <f t="shared" si="27"/>
        <v>12</v>
      </c>
      <c r="R269" s="28">
        <f t="shared" si="28"/>
        <v>0.91596638655462181</v>
      </c>
      <c r="S269" s="29">
        <f t="shared" si="29"/>
        <v>91.596638655462186</v>
      </c>
      <c r="T269" s="5" t="str">
        <f>IF(Delivery_Data[[#This Row],[Delays (min)]]&gt;0,"No","Yes")</f>
        <v>No</v>
      </c>
    </row>
    <row r="270" spans="1:20" ht="15.75" customHeight="1" x14ac:dyDescent="0.3">
      <c r="A270" s="4">
        <v>1269</v>
      </c>
      <c r="B270" s="5" t="s">
        <v>397</v>
      </c>
      <c r="C270" s="6">
        <v>45171.409722222219</v>
      </c>
      <c r="D270" s="5" t="s">
        <v>43</v>
      </c>
      <c r="E270" s="5" t="s">
        <v>44</v>
      </c>
      <c r="F270" s="5" t="s">
        <v>38</v>
      </c>
      <c r="G270" s="5" t="s">
        <v>39</v>
      </c>
      <c r="H270" s="5">
        <v>237</v>
      </c>
      <c r="I270" s="5">
        <v>20</v>
      </c>
      <c r="J270" s="5" t="s">
        <v>18</v>
      </c>
      <c r="K270" s="5" t="s">
        <v>35</v>
      </c>
      <c r="L270" s="5" t="s">
        <v>40</v>
      </c>
      <c r="M270" s="7" t="s">
        <v>41</v>
      </c>
      <c r="N270" s="26">
        <f t="shared" si="24"/>
        <v>0</v>
      </c>
      <c r="O270" s="42">
        <f t="shared" si="25"/>
        <v>45171</v>
      </c>
      <c r="P270" s="5" t="str">
        <f t="shared" si="26"/>
        <v>Saturday</v>
      </c>
      <c r="Q270" s="5">
        <f t="shared" si="27"/>
        <v>9</v>
      </c>
      <c r="R270" s="28">
        <f t="shared" si="28"/>
        <v>0.9221789883268483</v>
      </c>
      <c r="S270" s="29">
        <f t="shared" si="29"/>
        <v>92.217898832684824</v>
      </c>
      <c r="T270" s="5" t="str">
        <f>IF(Delivery_Data[[#This Row],[Delays (min)]]&gt;0,"No","Yes")</f>
        <v>No</v>
      </c>
    </row>
    <row r="271" spans="1:20" ht="15.75" customHeight="1" x14ac:dyDescent="0.3">
      <c r="A271" s="4">
        <v>1270</v>
      </c>
      <c r="B271" s="5" t="s">
        <v>398</v>
      </c>
      <c r="C271" s="6">
        <v>45177.352777777778</v>
      </c>
      <c r="D271" s="5" t="s">
        <v>43</v>
      </c>
      <c r="E271" s="5" t="s">
        <v>285</v>
      </c>
      <c r="F271" s="5" t="s">
        <v>24</v>
      </c>
      <c r="G271" s="5" t="s">
        <v>39</v>
      </c>
      <c r="H271" s="5">
        <v>132</v>
      </c>
      <c r="I271" s="5">
        <v>2</v>
      </c>
      <c r="J271" s="5" t="s">
        <v>18</v>
      </c>
      <c r="K271" s="5" t="s">
        <v>35</v>
      </c>
      <c r="L271" s="5" t="s">
        <v>40</v>
      </c>
      <c r="M271" s="7" t="s">
        <v>21</v>
      </c>
      <c r="N271" s="26">
        <f t="shared" si="24"/>
        <v>0</v>
      </c>
      <c r="O271" s="42">
        <f t="shared" si="25"/>
        <v>45177</v>
      </c>
      <c r="P271" s="5" t="str">
        <f t="shared" si="26"/>
        <v>Friday</v>
      </c>
      <c r="Q271" s="5">
        <f t="shared" si="27"/>
        <v>8</v>
      </c>
      <c r="R271" s="28">
        <f t="shared" si="28"/>
        <v>0.9850746268656716</v>
      </c>
      <c r="S271" s="29">
        <f t="shared" si="29"/>
        <v>98.507462686567166</v>
      </c>
      <c r="T271" s="5" t="str">
        <f>IF(Delivery_Data[[#This Row],[Delays (min)]]&gt;0,"No","Yes")</f>
        <v>No</v>
      </c>
    </row>
    <row r="272" spans="1:20" ht="15.75" customHeight="1" x14ac:dyDescent="0.3">
      <c r="A272" s="4">
        <v>1271</v>
      </c>
      <c r="B272" s="5" t="s">
        <v>399</v>
      </c>
      <c r="C272" s="6">
        <v>45174.629861111112</v>
      </c>
      <c r="D272" s="5" t="s">
        <v>43</v>
      </c>
      <c r="E272" s="5" t="s">
        <v>87</v>
      </c>
      <c r="F272" s="5" t="s">
        <v>16</v>
      </c>
      <c r="G272" s="5" t="s">
        <v>25</v>
      </c>
      <c r="H272" s="5">
        <v>187</v>
      </c>
      <c r="I272" s="5">
        <v>16</v>
      </c>
      <c r="J272" s="5" t="s">
        <v>26</v>
      </c>
      <c r="K272" s="5" t="s">
        <v>35</v>
      </c>
      <c r="L272" s="5" t="s">
        <v>28</v>
      </c>
      <c r="M272" s="7" t="s">
        <v>21</v>
      </c>
      <c r="N272" s="26">
        <f t="shared" si="24"/>
        <v>1</v>
      </c>
      <c r="O272" s="42">
        <f t="shared" si="25"/>
        <v>45174</v>
      </c>
      <c r="P272" s="5" t="str">
        <f t="shared" si="26"/>
        <v>Tuesday</v>
      </c>
      <c r="Q272" s="5">
        <f t="shared" si="27"/>
        <v>15</v>
      </c>
      <c r="R272" s="28">
        <f t="shared" si="28"/>
        <v>0.9211822660098522</v>
      </c>
      <c r="S272" s="29">
        <f t="shared" si="29"/>
        <v>92.118226600985224</v>
      </c>
      <c r="T272" s="5" t="str">
        <f>IF(Delivery_Data[[#This Row],[Delays (min)]]&gt;0,"No","Yes")</f>
        <v>No</v>
      </c>
    </row>
    <row r="273" spans="1:20" ht="15.75" customHeight="1" x14ac:dyDescent="0.3">
      <c r="A273" s="4">
        <v>1272</v>
      </c>
      <c r="B273" s="5" t="s">
        <v>400</v>
      </c>
      <c r="C273" s="6">
        <v>45174.334027777775</v>
      </c>
      <c r="D273" s="5" t="s">
        <v>43</v>
      </c>
      <c r="E273" s="5" t="s">
        <v>103</v>
      </c>
      <c r="F273" s="5" t="s">
        <v>24</v>
      </c>
      <c r="G273" s="5" t="s">
        <v>25</v>
      </c>
      <c r="H273" s="5">
        <v>235</v>
      </c>
      <c r="I273" s="5">
        <v>18</v>
      </c>
      <c r="J273" s="5" t="s">
        <v>32</v>
      </c>
      <c r="K273" s="5" t="s">
        <v>35</v>
      </c>
      <c r="L273" s="5" t="s">
        <v>28</v>
      </c>
      <c r="M273" s="7" t="s">
        <v>41</v>
      </c>
      <c r="N273" s="26">
        <f t="shared" si="24"/>
        <v>-1</v>
      </c>
      <c r="O273" s="42">
        <f t="shared" si="25"/>
        <v>45174</v>
      </c>
      <c r="P273" s="5" t="str">
        <f t="shared" si="26"/>
        <v>Tuesday</v>
      </c>
      <c r="Q273" s="5">
        <f t="shared" si="27"/>
        <v>8</v>
      </c>
      <c r="R273" s="28">
        <f t="shared" si="28"/>
        <v>0.92885375494071143</v>
      </c>
      <c r="S273" s="29">
        <f t="shared" si="29"/>
        <v>92.885375494071141</v>
      </c>
      <c r="T273" s="5" t="str">
        <f>IF(Delivery_Data[[#This Row],[Delays (min)]]&gt;0,"No","Yes")</f>
        <v>No</v>
      </c>
    </row>
    <row r="274" spans="1:20" ht="15.75" customHeight="1" x14ac:dyDescent="0.3">
      <c r="A274" s="4">
        <v>1273</v>
      </c>
      <c r="B274" s="5" t="s">
        <v>401</v>
      </c>
      <c r="C274" s="6">
        <v>45171.481944444444</v>
      </c>
      <c r="D274" s="5" t="s">
        <v>43</v>
      </c>
      <c r="E274" s="5" t="s">
        <v>89</v>
      </c>
      <c r="F274" s="5" t="s">
        <v>24</v>
      </c>
      <c r="G274" s="5" t="s">
        <v>17</v>
      </c>
      <c r="H274" s="5">
        <v>221</v>
      </c>
      <c r="I274" s="5">
        <v>24</v>
      </c>
      <c r="J274" s="5" t="s">
        <v>18</v>
      </c>
      <c r="K274" s="5" t="s">
        <v>35</v>
      </c>
      <c r="L274" s="5" t="s">
        <v>28</v>
      </c>
      <c r="M274" s="7" t="s">
        <v>21</v>
      </c>
      <c r="N274" s="26">
        <f t="shared" si="24"/>
        <v>0</v>
      </c>
      <c r="O274" s="42">
        <f t="shared" si="25"/>
        <v>45171</v>
      </c>
      <c r="P274" s="5" t="str">
        <f t="shared" si="26"/>
        <v>Saturday</v>
      </c>
      <c r="Q274" s="5">
        <f t="shared" si="27"/>
        <v>11</v>
      </c>
      <c r="R274" s="28">
        <f t="shared" si="28"/>
        <v>0.90204081632653066</v>
      </c>
      <c r="S274" s="29">
        <f t="shared" si="29"/>
        <v>90.204081632653072</v>
      </c>
      <c r="T274" s="5" t="str">
        <f>IF(Delivery_Data[[#This Row],[Delays (min)]]&gt;0,"No","Yes")</f>
        <v>No</v>
      </c>
    </row>
    <row r="275" spans="1:20" ht="15.75" customHeight="1" x14ac:dyDescent="0.3">
      <c r="A275" s="4">
        <v>1274</v>
      </c>
      <c r="B275" s="5" t="s">
        <v>402</v>
      </c>
      <c r="C275" s="6">
        <v>45170.525000000001</v>
      </c>
      <c r="D275" s="5" t="s">
        <v>43</v>
      </c>
      <c r="E275" s="5" t="s">
        <v>403</v>
      </c>
      <c r="F275" s="5" t="s">
        <v>16</v>
      </c>
      <c r="G275" s="5" t="s">
        <v>56</v>
      </c>
      <c r="H275" s="5">
        <v>163</v>
      </c>
      <c r="I275" s="5">
        <v>10</v>
      </c>
      <c r="J275" s="5" t="s">
        <v>18</v>
      </c>
      <c r="K275" s="5" t="s">
        <v>35</v>
      </c>
      <c r="L275" s="5" t="s">
        <v>20</v>
      </c>
      <c r="M275" s="7" t="s">
        <v>41</v>
      </c>
      <c r="N275" s="26">
        <f t="shared" si="24"/>
        <v>0</v>
      </c>
      <c r="O275" s="42">
        <f t="shared" si="25"/>
        <v>45170</v>
      </c>
      <c r="P275" s="5" t="str">
        <f t="shared" si="26"/>
        <v>Friday</v>
      </c>
      <c r="Q275" s="5">
        <f t="shared" si="27"/>
        <v>12</v>
      </c>
      <c r="R275" s="28">
        <f t="shared" si="28"/>
        <v>0.94219653179190754</v>
      </c>
      <c r="S275" s="29">
        <f t="shared" si="29"/>
        <v>94.219653179190757</v>
      </c>
      <c r="T275" s="5" t="str">
        <f>IF(Delivery_Data[[#This Row],[Delays (min)]]&gt;0,"No","Yes")</f>
        <v>No</v>
      </c>
    </row>
    <row r="276" spans="1:20" ht="15.75" customHeight="1" x14ac:dyDescent="0.3">
      <c r="A276" s="4">
        <v>1275</v>
      </c>
      <c r="B276" s="5" t="s">
        <v>404</v>
      </c>
      <c r="C276" s="6">
        <v>45171.552083333336</v>
      </c>
      <c r="D276" s="5" t="s">
        <v>43</v>
      </c>
      <c r="E276" s="5" t="s">
        <v>85</v>
      </c>
      <c r="F276" s="5" t="s">
        <v>24</v>
      </c>
      <c r="G276" s="5" t="s">
        <v>39</v>
      </c>
      <c r="H276" s="5">
        <v>114</v>
      </c>
      <c r="I276" s="5">
        <v>9</v>
      </c>
      <c r="J276" s="5" t="s">
        <v>18</v>
      </c>
      <c r="K276" s="5" t="s">
        <v>19</v>
      </c>
      <c r="L276" s="5" t="s">
        <v>20</v>
      </c>
      <c r="M276" s="7" t="s">
        <v>46</v>
      </c>
      <c r="N276" s="26">
        <f t="shared" si="24"/>
        <v>0</v>
      </c>
      <c r="O276" s="42">
        <f t="shared" si="25"/>
        <v>45171</v>
      </c>
      <c r="P276" s="5" t="str">
        <f t="shared" si="26"/>
        <v>Saturday</v>
      </c>
      <c r="Q276" s="5">
        <f t="shared" si="27"/>
        <v>13</v>
      </c>
      <c r="R276" s="28">
        <f t="shared" si="28"/>
        <v>0.92682926829268297</v>
      </c>
      <c r="S276" s="29">
        <f t="shared" si="29"/>
        <v>92.682926829268297</v>
      </c>
      <c r="T276" s="5" t="str">
        <f>IF(Delivery_Data[[#This Row],[Delays (min)]]&gt;0,"No","Yes")</f>
        <v>No</v>
      </c>
    </row>
    <row r="277" spans="1:20" ht="15.75" customHeight="1" x14ac:dyDescent="0.3">
      <c r="A277" s="4">
        <v>1276</v>
      </c>
      <c r="B277" s="5" t="s">
        <v>405</v>
      </c>
      <c r="C277" s="6">
        <v>45172.576388888891</v>
      </c>
      <c r="D277" s="5" t="s">
        <v>43</v>
      </c>
      <c r="E277" s="5" t="s">
        <v>118</v>
      </c>
      <c r="F277" s="5" t="s">
        <v>24</v>
      </c>
      <c r="G277" s="5" t="s">
        <v>39</v>
      </c>
      <c r="H277" s="5">
        <v>148</v>
      </c>
      <c r="I277" s="5">
        <v>29</v>
      </c>
      <c r="J277" s="5" t="s">
        <v>26</v>
      </c>
      <c r="K277" s="5" t="s">
        <v>27</v>
      </c>
      <c r="L277" s="5" t="s">
        <v>20</v>
      </c>
      <c r="M277" s="7" t="s">
        <v>46</v>
      </c>
      <c r="N277" s="26">
        <f t="shared" si="24"/>
        <v>1</v>
      </c>
      <c r="O277" s="42">
        <f t="shared" si="25"/>
        <v>45172</v>
      </c>
      <c r="P277" s="5" t="str">
        <f t="shared" si="26"/>
        <v>Sunday</v>
      </c>
      <c r="Q277" s="5">
        <f t="shared" si="27"/>
        <v>13</v>
      </c>
      <c r="R277" s="28">
        <f t="shared" si="28"/>
        <v>0.83615819209039544</v>
      </c>
      <c r="S277" s="29">
        <f t="shared" si="29"/>
        <v>83.615819209039543</v>
      </c>
      <c r="T277" s="5" t="str">
        <f>IF(Delivery_Data[[#This Row],[Delays (min)]]&gt;0,"No","Yes")</f>
        <v>No</v>
      </c>
    </row>
    <row r="278" spans="1:20" ht="15.75" customHeight="1" x14ac:dyDescent="0.3">
      <c r="A278" s="4">
        <v>1277</v>
      </c>
      <c r="B278" s="5" t="s">
        <v>406</v>
      </c>
      <c r="C278" s="6">
        <v>45170.344444444447</v>
      </c>
      <c r="D278" s="5" t="s">
        <v>14</v>
      </c>
      <c r="E278" s="5" t="s">
        <v>249</v>
      </c>
      <c r="F278" s="5" t="s">
        <v>38</v>
      </c>
      <c r="G278" s="5" t="s">
        <v>39</v>
      </c>
      <c r="H278" s="5">
        <v>149</v>
      </c>
      <c r="I278" s="5">
        <v>26</v>
      </c>
      <c r="J278" s="5" t="s">
        <v>32</v>
      </c>
      <c r="K278" s="5" t="s">
        <v>19</v>
      </c>
      <c r="L278" s="5" t="s">
        <v>20</v>
      </c>
      <c r="M278" s="7" t="s">
        <v>21</v>
      </c>
      <c r="N278" s="26">
        <f t="shared" si="24"/>
        <v>-1</v>
      </c>
      <c r="O278" s="42">
        <f t="shared" si="25"/>
        <v>45170</v>
      </c>
      <c r="P278" s="5" t="str">
        <f t="shared" si="26"/>
        <v>Friday</v>
      </c>
      <c r="Q278" s="5">
        <f t="shared" si="27"/>
        <v>8</v>
      </c>
      <c r="R278" s="28">
        <f t="shared" si="28"/>
        <v>0.85142857142857142</v>
      </c>
      <c r="S278" s="29">
        <f t="shared" si="29"/>
        <v>85.142857142857139</v>
      </c>
      <c r="T278" s="5" t="str">
        <f>IF(Delivery_Data[[#This Row],[Delays (min)]]&gt;0,"No","Yes")</f>
        <v>No</v>
      </c>
    </row>
    <row r="279" spans="1:20" ht="15.75" customHeight="1" x14ac:dyDescent="0.3">
      <c r="A279" s="4">
        <v>1278</v>
      </c>
      <c r="B279" s="5" t="s">
        <v>407</v>
      </c>
      <c r="C279" s="6">
        <v>45177.52847222222</v>
      </c>
      <c r="D279" s="5" t="s">
        <v>14</v>
      </c>
      <c r="E279" s="5" t="s">
        <v>53</v>
      </c>
      <c r="F279" s="5" t="s">
        <v>38</v>
      </c>
      <c r="G279" s="5" t="s">
        <v>25</v>
      </c>
      <c r="H279" s="5">
        <v>106</v>
      </c>
      <c r="I279" s="5">
        <v>2</v>
      </c>
      <c r="J279" s="5" t="s">
        <v>32</v>
      </c>
      <c r="K279" s="5" t="s">
        <v>45</v>
      </c>
      <c r="L279" s="5" t="s">
        <v>40</v>
      </c>
      <c r="M279" s="7" t="s">
        <v>41</v>
      </c>
      <c r="N279" s="26">
        <f t="shared" si="24"/>
        <v>-1</v>
      </c>
      <c r="O279" s="42">
        <f t="shared" si="25"/>
        <v>45177</v>
      </c>
      <c r="P279" s="5" t="str">
        <f t="shared" si="26"/>
        <v>Friday</v>
      </c>
      <c r="Q279" s="5">
        <f t="shared" si="27"/>
        <v>12</v>
      </c>
      <c r="R279" s="28">
        <f t="shared" si="28"/>
        <v>0.98148148148148151</v>
      </c>
      <c r="S279" s="29">
        <f t="shared" si="29"/>
        <v>98.148148148148152</v>
      </c>
      <c r="T279" s="5" t="str">
        <f>IF(Delivery_Data[[#This Row],[Delays (min)]]&gt;0,"No","Yes")</f>
        <v>No</v>
      </c>
    </row>
    <row r="280" spans="1:20" ht="15.75" customHeight="1" x14ac:dyDescent="0.3">
      <c r="A280" s="4">
        <v>1279</v>
      </c>
      <c r="B280" s="5" t="s">
        <v>408</v>
      </c>
      <c r="C280" s="6">
        <v>45177.618055555555</v>
      </c>
      <c r="D280" s="5" t="s">
        <v>43</v>
      </c>
      <c r="E280" s="5" t="s">
        <v>156</v>
      </c>
      <c r="F280" s="5" t="s">
        <v>24</v>
      </c>
      <c r="G280" s="5" t="s">
        <v>56</v>
      </c>
      <c r="H280" s="5">
        <v>227</v>
      </c>
      <c r="I280" s="5">
        <v>1</v>
      </c>
      <c r="J280" s="5" t="s">
        <v>26</v>
      </c>
      <c r="K280" s="5" t="s">
        <v>49</v>
      </c>
      <c r="L280" s="5" t="s">
        <v>40</v>
      </c>
      <c r="M280" s="7" t="s">
        <v>41</v>
      </c>
      <c r="N280" s="26">
        <f t="shared" si="24"/>
        <v>1</v>
      </c>
      <c r="O280" s="42">
        <f t="shared" si="25"/>
        <v>45177</v>
      </c>
      <c r="P280" s="5" t="str">
        <f t="shared" si="26"/>
        <v>Friday</v>
      </c>
      <c r="Q280" s="5">
        <f t="shared" si="27"/>
        <v>14</v>
      </c>
      <c r="R280" s="28">
        <f t="shared" si="28"/>
        <v>0.99561403508771928</v>
      </c>
      <c r="S280" s="29">
        <f t="shared" si="29"/>
        <v>99.561403508771932</v>
      </c>
      <c r="T280" s="5" t="str">
        <f>IF(Delivery_Data[[#This Row],[Delays (min)]]&gt;0,"No","Yes")</f>
        <v>No</v>
      </c>
    </row>
    <row r="281" spans="1:20" ht="15.75" customHeight="1" x14ac:dyDescent="0.3">
      <c r="A281" s="4">
        <v>1280</v>
      </c>
      <c r="B281" s="5" t="s">
        <v>409</v>
      </c>
      <c r="C281" s="6">
        <v>45171.486805555556</v>
      </c>
      <c r="D281" s="5" t="s">
        <v>14</v>
      </c>
      <c r="E281" s="5" t="s">
        <v>410</v>
      </c>
      <c r="F281" s="5" t="s">
        <v>24</v>
      </c>
      <c r="G281" s="5" t="s">
        <v>31</v>
      </c>
      <c r="H281" s="5">
        <v>98</v>
      </c>
      <c r="I281" s="5">
        <v>25</v>
      </c>
      <c r="J281" s="5" t="s">
        <v>18</v>
      </c>
      <c r="K281" s="5" t="s">
        <v>45</v>
      </c>
      <c r="L281" s="5" t="s">
        <v>40</v>
      </c>
      <c r="M281" s="7" t="s">
        <v>41</v>
      </c>
      <c r="N281" s="26">
        <f t="shared" si="24"/>
        <v>0</v>
      </c>
      <c r="O281" s="42">
        <f t="shared" si="25"/>
        <v>45171</v>
      </c>
      <c r="P281" s="5" t="str">
        <f t="shared" si="26"/>
        <v>Saturday</v>
      </c>
      <c r="Q281" s="5">
        <f t="shared" si="27"/>
        <v>11</v>
      </c>
      <c r="R281" s="28">
        <f t="shared" si="28"/>
        <v>0.7967479674796748</v>
      </c>
      <c r="S281" s="29">
        <f t="shared" si="29"/>
        <v>79.674796747967477</v>
      </c>
      <c r="T281" s="5" t="str">
        <f>IF(Delivery_Data[[#This Row],[Delays (min)]]&gt;0,"No","Yes")</f>
        <v>No</v>
      </c>
    </row>
    <row r="282" spans="1:20" ht="15.75" customHeight="1" x14ac:dyDescent="0.3">
      <c r="A282" s="4">
        <v>1281</v>
      </c>
      <c r="B282" s="5" t="s">
        <v>411</v>
      </c>
      <c r="C282" s="6">
        <v>45177.478472222225</v>
      </c>
      <c r="D282" s="5" t="s">
        <v>43</v>
      </c>
      <c r="E282" s="5" t="s">
        <v>285</v>
      </c>
      <c r="F282" s="5" t="s">
        <v>38</v>
      </c>
      <c r="G282" s="5" t="s">
        <v>17</v>
      </c>
      <c r="H282" s="5">
        <v>220</v>
      </c>
      <c r="I282" s="5">
        <v>27</v>
      </c>
      <c r="J282" s="5" t="s">
        <v>18</v>
      </c>
      <c r="K282" s="5" t="s">
        <v>45</v>
      </c>
      <c r="L282" s="5" t="s">
        <v>28</v>
      </c>
      <c r="M282" s="7" t="s">
        <v>46</v>
      </c>
      <c r="N282" s="26">
        <f t="shared" si="24"/>
        <v>0</v>
      </c>
      <c r="O282" s="42">
        <f t="shared" si="25"/>
        <v>45177</v>
      </c>
      <c r="P282" s="5" t="str">
        <f t="shared" si="26"/>
        <v>Friday</v>
      </c>
      <c r="Q282" s="5">
        <f t="shared" si="27"/>
        <v>11</v>
      </c>
      <c r="R282" s="28">
        <f t="shared" si="28"/>
        <v>0.89068825910931171</v>
      </c>
      <c r="S282" s="29">
        <f t="shared" si="29"/>
        <v>89.068825910931167</v>
      </c>
      <c r="T282" s="5" t="str">
        <f>IF(Delivery_Data[[#This Row],[Delays (min)]]&gt;0,"No","Yes")</f>
        <v>No</v>
      </c>
    </row>
    <row r="283" spans="1:20" ht="15.75" customHeight="1" x14ac:dyDescent="0.3">
      <c r="A283" s="4">
        <v>1282</v>
      </c>
      <c r="B283" s="5" t="s">
        <v>412</v>
      </c>
      <c r="C283" s="6">
        <v>45176.411111111112</v>
      </c>
      <c r="D283" s="5" t="s">
        <v>43</v>
      </c>
      <c r="E283" s="5" t="s">
        <v>182</v>
      </c>
      <c r="F283" s="5" t="s">
        <v>38</v>
      </c>
      <c r="G283" s="5" t="s">
        <v>17</v>
      </c>
      <c r="H283" s="5">
        <v>102</v>
      </c>
      <c r="I283" s="5">
        <v>3</v>
      </c>
      <c r="J283" s="5" t="s">
        <v>18</v>
      </c>
      <c r="K283" s="5" t="s">
        <v>19</v>
      </c>
      <c r="L283" s="5" t="s">
        <v>20</v>
      </c>
      <c r="M283" s="7" t="s">
        <v>41</v>
      </c>
      <c r="N283" s="26">
        <f t="shared" si="24"/>
        <v>0</v>
      </c>
      <c r="O283" s="42">
        <f t="shared" si="25"/>
        <v>45176</v>
      </c>
      <c r="P283" s="5" t="str">
        <f t="shared" si="26"/>
        <v>Thursday</v>
      </c>
      <c r="Q283" s="5">
        <f t="shared" si="27"/>
        <v>9</v>
      </c>
      <c r="R283" s="28">
        <f t="shared" si="28"/>
        <v>0.97142857142857142</v>
      </c>
      <c r="S283" s="29">
        <f t="shared" si="29"/>
        <v>97.142857142857139</v>
      </c>
      <c r="T283" s="5" t="str">
        <f>IF(Delivery_Data[[#This Row],[Delays (min)]]&gt;0,"No","Yes")</f>
        <v>No</v>
      </c>
    </row>
    <row r="284" spans="1:20" ht="15.75" customHeight="1" x14ac:dyDescent="0.3">
      <c r="A284" s="4">
        <v>1283</v>
      </c>
      <c r="B284" s="5" t="s">
        <v>413</v>
      </c>
      <c r="C284" s="6">
        <v>45174.609722222223</v>
      </c>
      <c r="D284" s="5" t="s">
        <v>14</v>
      </c>
      <c r="E284" s="5" t="s">
        <v>53</v>
      </c>
      <c r="F284" s="5" t="s">
        <v>16</v>
      </c>
      <c r="G284" s="5" t="s">
        <v>17</v>
      </c>
      <c r="H284" s="5">
        <v>60</v>
      </c>
      <c r="I284" s="5">
        <v>21</v>
      </c>
      <c r="J284" s="5" t="s">
        <v>32</v>
      </c>
      <c r="K284" s="5" t="s">
        <v>45</v>
      </c>
      <c r="L284" s="5" t="s">
        <v>28</v>
      </c>
      <c r="M284" s="7" t="s">
        <v>21</v>
      </c>
      <c r="N284" s="26">
        <f t="shared" si="24"/>
        <v>-1</v>
      </c>
      <c r="O284" s="42">
        <f t="shared" si="25"/>
        <v>45174</v>
      </c>
      <c r="P284" s="5" t="str">
        <f t="shared" si="26"/>
        <v>Tuesday</v>
      </c>
      <c r="Q284" s="5">
        <f t="shared" si="27"/>
        <v>14</v>
      </c>
      <c r="R284" s="28">
        <f t="shared" si="28"/>
        <v>0.7407407407407407</v>
      </c>
      <c r="S284" s="29">
        <f t="shared" si="29"/>
        <v>74.074074074074076</v>
      </c>
      <c r="T284" s="5" t="str">
        <f>IF(Delivery_Data[[#This Row],[Delays (min)]]&gt;0,"No","Yes")</f>
        <v>No</v>
      </c>
    </row>
    <row r="285" spans="1:20" ht="15.75" customHeight="1" x14ac:dyDescent="0.3">
      <c r="A285" s="4">
        <v>1284</v>
      </c>
      <c r="B285" s="5" t="s">
        <v>414</v>
      </c>
      <c r="C285" s="6">
        <v>45176.393055555556</v>
      </c>
      <c r="D285" s="5" t="s">
        <v>14</v>
      </c>
      <c r="E285" s="5" t="s">
        <v>130</v>
      </c>
      <c r="F285" s="5" t="s">
        <v>16</v>
      </c>
      <c r="G285" s="5" t="s">
        <v>17</v>
      </c>
      <c r="H285" s="5">
        <v>199</v>
      </c>
      <c r="I285" s="5">
        <v>29</v>
      </c>
      <c r="J285" s="5" t="s">
        <v>18</v>
      </c>
      <c r="K285" s="5" t="s">
        <v>45</v>
      </c>
      <c r="L285" s="5" t="s">
        <v>20</v>
      </c>
      <c r="M285" s="7" t="s">
        <v>21</v>
      </c>
      <c r="N285" s="26">
        <f t="shared" si="24"/>
        <v>0</v>
      </c>
      <c r="O285" s="42">
        <f t="shared" si="25"/>
        <v>45176</v>
      </c>
      <c r="P285" s="5" t="str">
        <f t="shared" si="26"/>
        <v>Thursday</v>
      </c>
      <c r="Q285" s="5">
        <f t="shared" si="27"/>
        <v>9</v>
      </c>
      <c r="R285" s="28">
        <f t="shared" si="28"/>
        <v>0.8728070175438597</v>
      </c>
      <c r="S285" s="29">
        <f t="shared" si="29"/>
        <v>87.280701754385973</v>
      </c>
      <c r="T285" s="5" t="str">
        <f>IF(Delivery_Data[[#This Row],[Delays (min)]]&gt;0,"No","Yes")</f>
        <v>No</v>
      </c>
    </row>
    <row r="286" spans="1:20" ht="15.75" customHeight="1" x14ac:dyDescent="0.3">
      <c r="A286" s="4">
        <v>1285</v>
      </c>
      <c r="B286" s="5" t="s">
        <v>415</v>
      </c>
      <c r="C286" s="6">
        <v>45173.381249999999</v>
      </c>
      <c r="D286" s="5" t="s">
        <v>14</v>
      </c>
      <c r="E286" s="5" t="s">
        <v>403</v>
      </c>
      <c r="F286" s="5" t="s">
        <v>24</v>
      </c>
      <c r="G286" s="5" t="s">
        <v>39</v>
      </c>
      <c r="H286" s="5">
        <v>159</v>
      </c>
      <c r="I286" s="5">
        <v>6</v>
      </c>
      <c r="J286" s="5" t="s">
        <v>26</v>
      </c>
      <c r="K286" s="5" t="s">
        <v>45</v>
      </c>
      <c r="L286" s="5" t="s">
        <v>28</v>
      </c>
      <c r="M286" s="7" t="s">
        <v>21</v>
      </c>
      <c r="N286" s="26">
        <f t="shared" si="24"/>
        <v>1</v>
      </c>
      <c r="O286" s="42">
        <f t="shared" si="25"/>
        <v>45173</v>
      </c>
      <c r="P286" s="5" t="str">
        <f t="shared" si="26"/>
        <v>Monday</v>
      </c>
      <c r="Q286" s="5">
        <f t="shared" si="27"/>
        <v>9</v>
      </c>
      <c r="R286" s="28">
        <f t="shared" si="28"/>
        <v>0.96363636363636362</v>
      </c>
      <c r="S286" s="29">
        <f t="shared" si="29"/>
        <v>96.36363636363636</v>
      </c>
      <c r="T286" s="5" t="str">
        <f>IF(Delivery_Data[[#This Row],[Delays (min)]]&gt;0,"No","Yes")</f>
        <v>No</v>
      </c>
    </row>
    <row r="287" spans="1:20" ht="15.75" customHeight="1" x14ac:dyDescent="0.3">
      <c r="A287" s="4">
        <v>1286</v>
      </c>
      <c r="B287" s="5" t="s">
        <v>416</v>
      </c>
      <c r="C287" s="6">
        <v>45170.637499999997</v>
      </c>
      <c r="D287" s="5" t="s">
        <v>43</v>
      </c>
      <c r="E287" s="5" t="s">
        <v>261</v>
      </c>
      <c r="F287" s="5" t="s">
        <v>24</v>
      </c>
      <c r="G287" s="5" t="s">
        <v>56</v>
      </c>
      <c r="H287" s="5">
        <v>104</v>
      </c>
      <c r="I287" s="5">
        <v>22</v>
      </c>
      <c r="J287" s="5" t="s">
        <v>32</v>
      </c>
      <c r="K287" s="5" t="s">
        <v>19</v>
      </c>
      <c r="L287" s="5" t="s">
        <v>20</v>
      </c>
      <c r="M287" s="7" t="s">
        <v>21</v>
      </c>
      <c r="N287" s="26">
        <f t="shared" si="24"/>
        <v>-1</v>
      </c>
      <c r="O287" s="42">
        <f t="shared" si="25"/>
        <v>45170</v>
      </c>
      <c r="P287" s="5" t="str">
        <f t="shared" si="26"/>
        <v>Friday</v>
      </c>
      <c r="Q287" s="5">
        <f t="shared" si="27"/>
        <v>15</v>
      </c>
      <c r="R287" s="28">
        <f t="shared" si="28"/>
        <v>0.82539682539682535</v>
      </c>
      <c r="S287" s="29">
        <f t="shared" si="29"/>
        <v>82.539682539682531</v>
      </c>
      <c r="T287" s="5" t="str">
        <f>IF(Delivery_Data[[#This Row],[Delays (min)]]&gt;0,"No","Yes")</f>
        <v>No</v>
      </c>
    </row>
    <row r="288" spans="1:20" ht="15.75" customHeight="1" x14ac:dyDescent="0.3">
      <c r="A288" s="4">
        <v>1287</v>
      </c>
      <c r="B288" s="5" t="s">
        <v>417</v>
      </c>
      <c r="C288" s="6">
        <v>45174.645833333336</v>
      </c>
      <c r="D288" s="5" t="s">
        <v>43</v>
      </c>
      <c r="E288" s="5" t="s">
        <v>132</v>
      </c>
      <c r="F288" s="5" t="s">
        <v>16</v>
      </c>
      <c r="G288" s="5" t="s">
        <v>17</v>
      </c>
      <c r="H288" s="5">
        <v>205</v>
      </c>
      <c r="I288" s="5">
        <v>18</v>
      </c>
      <c r="J288" s="5" t="s">
        <v>26</v>
      </c>
      <c r="K288" s="5" t="s">
        <v>49</v>
      </c>
      <c r="L288" s="5" t="s">
        <v>40</v>
      </c>
      <c r="M288" s="7" t="s">
        <v>41</v>
      </c>
      <c r="N288" s="26">
        <f t="shared" si="24"/>
        <v>1</v>
      </c>
      <c r="O288" s="42">
        <f t="shared" si="25"/>
        <v>45174</v>
      </c>
      <c r="P288" s="5" t="str">
        <f t="shared" si="26"/>
        <v>Tuesday</v>
      </c>
      <c r="Q288" s="5">
        <f t="shared" si="27"/>
        <v>15</v>
      </c>
      <c r="R288" s="28">
        <f t="shared" si="28"/>
        <v>0.91928251121076232</v>
      </c>
      <c r="S288" s="29">
        <f t="shared" si="29"/>
        <v>91.928251121076229</v>
      </c>
      <c r="T288" s="5" t="str">
        <f>IF(Delivery_Data[[#This Row],[Delays (min)]]&gt;0,"No","Yes")</f>
        <v>No</v>
      </c>
    </row>
    <row r="289" spans="1:20" ht="15.75" customHeight="1" x14ac:dyDescent="0.3">
      <c r="A289" s="4">
        <v>1288</v>
      </c>
      <c r="B289" s="5" t="s">
        <v>418</v>
      </c>
      <c r="C289" s="6">
        <v>45172.468055555553</v>
      </c>
      <c r="D289" s="5" t="s">
        <v>43</v>
      </c>
      <c r="E289" s="5" t="s">
        <v>374</v>
      </c>
      <c r="F289" s="5" t="s">
        <v>16</v>
      </c>
      <c r="G289" s="5" t="s">
        <v>56</v>
      </c>
      <c r="H289" s="5">
        <v>125</v>
      </c>
      <c r="I289" s="5">
        <v>24</v>
      </c>
      <c r="J289" s="5" t="s">
        <v>32</v>
      </c>
      <c r="K289" s="5" t="s">
        <v>19</v>
      </c>
      <c r="L289" s="5" t="s">
        <v>28</v>
      </c>
      <c r="M289" s="7" t="s">
        <v>21</v>
      </c>
      <c r="N289" s="26">
        <f t="shared" si="24"/>
        <v>-1</v>
      </c>
      <c r="O289" s="42">
        <f t="shared" si="25"/>
        <v>45172</v>
      </c>
      <c r="P289" s="5" t="str">
        <f t="shared" si="26"/>
        <v>Sunday</v>
      </c>
      <c r="Q289" s="5">
        <f t="shared" si="27"/>
        <v>11</v>
      </c>
      <c r="R289" s="28">
        <f t="shared" si="28"/>
        <v>0.83892617449664431</v>
      </c>
      <c r="S289" s="29">
        <f t="shared" si="29"/>
        <v>83.892617449664428</v>
      </c>
      <c r="T289" s="5" t="str">
        <f>IF(Delivery_Data[[#This Row],[Delays (min)]]&gt;0,"No","Yes")</f>
        <v>No</v>
      </c>
    </row>
    <row r="290" spans="1:20" ht="15.75" customHeight="1" x14ac:dyDescent="0.3">
      <c r="A290" s="4">
        <v>1289</v>
      </c>
      <c r="B290" s="5" t="s">
        <v>419</v>
      </c>
      <c r="C290" s="6">
        <v>45172.560416666667</v>
      </c>
      <c r="D290" s="5" t="s">
        <v>43</v>
      </c>
      <c r="E290" s="5" t="s">
        <v>34</v>
      </c>
      <c r="F290" s="5" t="s">
        <v>24</v>
      </c>
      <c r="G290" s="5" t="s">
        <v>56</v>
      </c>
      <c r="H290" s="5">
        <v>145</v>
      </c>
      <c r="I290" s="5">
        <v>13</v>
      </c>
      <c r="J290" s="5" t="s">
        <v>26</v>
      </c>
      <c r="K290" s="5" t="s">
        <v>49</v>
      </c>
      <c r="L290" s="5" t="s">
        <v>28</v>
      </c>
      <c r="M290" s="7" t="s">
        <v>46</v>
      </c>
      <c r="N290" s="26">
        <f t="shared" si="24"/>
        <v>1</v>
      </c>
      <c r="O290" s="42">
        <f t="shared" si="25"/>
        <v>45172</v>
      </c>
      <c r="P290" s="5" t="str">
        <f t="shared" si="26"/>
        <v>Sunday</v>
      </c>
      <c r="Q290" s="5">
        <f t="shared" si="27"/>
        <v>13</v>
      </c>
      <c r="R290" s="28">
        <f t="shared" si="28"/>
        <v>0.91772151898734178</v>
      </c>
      <c r="S290" s="29">
        <f t="shared" si="29"/>
        <v>91.77215189873418</v>
      </c>
      <c r="T290" s="5" t="str">
        <f>IF(Delivery_Data[[#This Row],[Delays (min)]]&gt;0,"No","Yes")</f>
        <v>No</v>
      </c>
    </row>
    <row r="291" spans="1:20" ht="15.75" customHeight="1" x14ac:dyDescent="0.3">
      <c r="A291" s="4">
        <v>1290</v>
      </c>
      <c r="B291" s="5" t="s">
        <v>420</v>
      </c>
      <c r="C291" s="6">
        <v>45174.490972222222</v>
      </c>
      <c r="D291" s="5" t="s">
        <v>14</v>
      </c>
      <c r="E291" s="5" t="s">
        <v>179</v>
      </c>
      <c r="F291" s="5" t="s">
        <v>16</v>
      </c>
      <c r="G291" s="5" t="s">
        <v>56</v>
      </c>
      <c r="H291" s="5">
        <v>193</v>
      </c>
      <c r="I291" s="5">
        <v>26</v>
      </c>
      <c r="J291" s="5" t="s">
        <v>18</v>
      </c>
      <c r="K291" s="5" t="s">
        <v>27</v>
      </c>
      <c r="L291" s="5" t="s">
        <v>40</v>
      </c>
      <c r="M291" s="7" t="s">
        <v>21</v>
      </c>
      <c r="N291" s="26">
        <f t="shared" si="24"/>
        <v>0</v>
      </c>
      <c r="O291" s="42">
        <f t="shared" si="25"/>
        <v>45174</v>
      </c>
      <c r="P291" s="5" t="str">
        <f t="shared" si="26"/>
        <v>Tuesday</v>
      </c>
      <c r="Q291" s="5">
        <f t="shared" si="27"/>
        <v>11</v>
      </c>
      <c r="R291" s="28">
        <f t="shared" si="28"/>
        <v>0.88127853881278539</v>
      </c>
      <c r="S291" s="29">
        <f t="shared" si="29"/>
        <v>88.12785388127854</v>
      </c>
      <c r="T291" s="5" t="str">
        <f>IF(Delivery_Data[[#This Row],[Delays (min)]]&gt;0,"No","Yes")</f>
        <v>No</v>
      </c>
    </row>
    <row r="292" spans="1:20" ht="15.75" customHeight="1" x14ac:dyDescent="0.3">
      <c r="A292" s="4">
        <v>1291</v>
      </c>
      <c r="B292" s="5" t="s">
        <v>421</v>
      </c>
      <c r="C292" s="6">
        <v>45177.402083333334</v>
      </c>
      <c r="D292" s="5" t="s">
        <v>14</v>
      </c>
      <c r="E292" s="5" t="s">
        <v>281</v>
      </c>
      <c r="F292" s="5" t="s">
        <v>24</v>
      </c>
      <c r="G292" s="5" t="s">
        <v>56</v>
      </c>
      <c r="H292" s="5">
        <v>161</v>
      </c>
      <c r="I292" s="5">
        <v>11</v>
      </c>
      <c r="J292" s="5" t="s">
        <v>32</v>
      </c>
      <c r="K292" s="5" t="s">
        <v>49</v>
      </c>
      <c r="L292" s="5" t="s">
        <v>28</v>
      </c>
      <c r="M292" s="7" t="s">
        <v>41</v>
      </c>
      <c r="N292" s="26">
        <f t="shared" si="24"/>
        <v>-1</v>
      </c>
      <c r="O292" s="42">
        <f t="shared" si="25"/>
        <v>45177</v>
      </c>
      <c r="P292" s="5" t="str">
        <f t="shared" si="26"/>
        <v>Friday</v>
      </c>
      <c r="Q292" s="5">
        <f t="shared" si="27"/>
        <v>9</v>
      </c>
      <c r="R292" s="28">
        <f t="shared" si="28"/>
        <v>0.93604651162790697</v>
      </c>
      <c r="S292" s="29">
        <f t="shared" si="29"/>
        <v>93.604651162790702</v>
      </c>
      <c r="T292" s="5" t="str">
        <f>IF(Delivery_Data[[#This Row],[Delays (min)]]&gt;0,"No","Yes")</f>
        <v>No</v>
      </c>
    </row>
    <row r="293" spans="1:20" ht="15.75" customHeight="1" x14ac:dyDescent="0.3">
      <c r="A293" s="4">
        <v>1292</v>
      </c>
      <c r="B293" s="5" t="s">
        <v>422</v>
      </c>
      <c r="C293" s="6">
        <v>45174.336111111108</v>
      </c>
      <c r="D293" s="5" t="s">
        <v>14</v>
      </c>
      <c r="E293" s="5" t="s">
        <v>182</v>
      </c>
      <c r="F293" s="5" t="s">
        <v>16</v>
      </c>
      <c r="G293" s="5" t="s">
        <v>39</v>
      </c>
      <c r="H293" s="5">
        <v>163</v>
      </c>
      <c r="I293" s="5">
        <v>0</v>
      </c>
      <c r="J293" s="5" t="s">
        <v>18</v>
      </c>
      <c r="K293" s="5" t="s">
        <v>49</v>
      </c>
      <c r="L293" s="5" t="s">
        <v>40</v>
      </c>
      <c r="M293" s="7" t="s">
        <v>21</v>
      </c>
      <c r="N293" s="26">
        <f t="shared" si="24"/>
        <v>0</v>
      </c>
      <c r="O293" s="42">
        <f t="shared" si="25"/>
        <v>45174</v>
      </c>
      <c r="P293" s="5" t="str">
        <f t="shared" si="26"/>
        <v>Tuesday</v>
      </c>
      <c r="Q293" s="5">
        <f t="shared" si="27"/>
        <v>8</v>
      </c>
      <c r="R293" s="28">
        <f t="shared" si="28"/>
        <v>1</v>
      </c>
      <c r="S293" s="29">
        <f t="shared" si="29"/>
        <v>100</v>
      </c>
      <c r="T293" s="5" t="str">
        <f>IF(Delivery_Data[[#This Row],[Delays (min)]]&gt;0,"No","Yes")</f>
        <v>Yes</v>
      </c>
    </row>
    <row r="294" spans="1:20" ht="15.75" customHeight="1" x14ac:dyDescent="0.3">
      <c r="A294" s="4">
        <v>1293</v>
      </c>
      <c r="B294" s="5" t="s">
        <v>423</v>
      </c>
      <c r="C294" s="6">
        <v>45176.455555555556</v>
      </c>
      <c r="D294" s="5" t="s">
        <v>14</v>
      </c>
      <c r="E294" s="5" t="s">
        <v>51</v>
      </c>
      <c r="F294" s="5" t="s">
        <v>24</v>
      </c>
      <c r="G294" s="5" t="s">
        <v>56</v>
      </c>
      <c r="H294" s="5">
        <v>236</v>
      </c>
      <c r="I294" s="5">
        <v>6</v>
      </c>
      <c r="J294" s="5" t="s">
        <v>32</v>
      </c>
      <c r="K294" s="5" t="s">
        <v>45</v>
      </c>
      <c r="L294" s="5" t="s">
        <v>28</v>
      </c>
      <c r="M294" s="7" t="s">
        <v>21</v>
      </c>
      <c r="N294" s="26">
        <f t="shared" si="24"/>
        <v>-1</v>
      </c>
      <c r="O294" s="42">
        <f t="shared" si="25"/>
        <v>45176</v>
      </c>
      <c r="P294" s="5" t="str">
        <f t="shared" si="26"/>
        <v>Thursday</v>
      </c>
      <c r="Q294" s="5">
        <f t="shared" si="27"/>
        <v>10</v>
      </c>
      <c r="R294" s="28">
        <f t="shared" si="28"/>
        <v>0.97520661157024791</v>
      </c>
      <c r="S294" s="29">
        <f t="shared" si="29"/>
        <v>97.52066115702479</v>
      </c>
      <c r="T294" s="5" t="str">
        <f>IF(Delivery_Data[[#This Row],[Delays (min)]]&gt;0,"No","Yes")</f>
        <v>No</v>
      </c>
    </row>
    <row r="295" spans="1:20" ht="15.75" customHeight="1" x14ac:dyDescent="0.3">
      <c r="A295" s="4">
        <v>1294</v>
      </c>
      <c r="B295" s="5" t="s">
        <v>424</v>
      </c>
      <c r="C295" s="6">
        <v>45173.417361111111</v>
      </c>
      <c r="D295" s="5" t="s">
        <v>43</v>
      </c>
      <c r="E295" s="5" t="s">
        <v>311</v>
      </c>
      <c r="F295" s="5" t="s">
        <v>16</v>
      </c>
      <c r="G295" s="5" t="s">
        <v>31</v>
      </c>
      <c r="H295" s="5">
        <v>77</v>
      </c>
      <c r="I295" s="5">
        <v>8</v>
      </c>
      <c r="J295" s="5" t="s">
        <v>18</v>
      </c>
      <c r="K295" s="5" t="s">
        <v>49</v>
      </c>
      <c r="L295" s="5" t="s">
        <v>20</v>
      </c>
      <c r="M295" s="7" t="s">
        <v>21</v>
      </c>
      <c r="N295" s="26">
        <f t="shared" si="24"/>
        <v>0</v>
      </c>
      <c r="O295" s="42">
        <f t="shared" si="25"/>
        <v>45173</v>
      </c>
      <c r="P295" s="5" t="str">
        <f t="shared" si="26"/>
        <v>Monday</v>
      </c>
      <c r="Q295" s="5">
        <f t="shared" si="27"/>
        <v>10</v>
      </c>
      <c r="R295" s="28">
        <f t="shared" si="28"/>
        <v>0.90588235294117647</v>
      </c>
      <c r="S295" s="29">
        <f t="shared" si="29"/>
        <v>90.588235294117652</v>
      </c>
      <c r="T295" s="5" t="str">
        <f>IF(Delivery_Data[[#This Row],[Delays (min)]]&gt;0,"No","Yes")</f>
        <v>No</v>
      </c>
    </row>
    <row r="296" spans="1:20" ht="15.75" customHeight="1" x14ac:dyDescent="0.3">
      <c r="A296" s="4">
        <v>1295</v>
      </c>
      <c r="B296" s="5" t="s">
        <v>425</v>
      </c>
      <c r="C296" s="6">
        <v>45177.627083333333</v>
      </c>
      <c r="D296" s="5" t="s">
        <v>14</v>
      </c>
      <c r="E296" s="5" t="s">
        <v>333</v>
      </c>
      <c r="F296" s="5" t="s">
        <v>16</v>
      </c>
      <c r="G296" s="5" t="s">
        <v>56</v>
      </c>
      <c r="H296" s="5">
        <v>99</v>
      </c>
      <c r="I296" s="5">
        <v>12</v>
      </c>
      <c r="J296" s="5" t="s">
        <v>26</v>
      </c>
      <c r="K296" s="5" t="s">
        <v>45</v>
      </c>
      <c r="L296" s="5" t="s">
        <v>40</v>
      </c>
      <c r="M296" s="7" t="s">
        <v>41</v>
      </c>
      <c r="N296" s="26">
        <f t="shared" si="24"/>
        <v>1</v>
      </c>
      <c r="O296" s="42">
        <f t="shared" si="25"/>
        <v>45177</v>
      </c>
      <c r="P296" s="5" t="str">
        <f t="shared" si="26"/>
        <v>Friday</v>
      </c>
      <c r="Q296" s="5">
        <f t="shared" si="27"/>
        <v>15</v>
      </c>
      <c r="R296" s="28">
        <f t="shared" si="28"/>
        <v>0.89189189189189189</v>
      </c>
      <c r="S296" s="29">
        <f t="shared" si="29"/>
        <v>89.189189189189193</v>
      </c>
      <c r="T296" s="5" t="str">
        <f>IF(Delivery_Data[[#This Row],[Delays (min)]]&gt;0,"No","Yes")</f>
        <v>No</v>
      </c>
    </row>
    <row r="297" spans="1:20" ht="15.75" customHeight="1" x14ac:dyDescent="0.3">
      <c r="A297" s="4">
        <v>1296</v>
      </c>
      <c r="B297" s="5" t="s">
        <v>426</v>
      </c>
      <c r="C297" s="6">
        <v>45172.70416666667</v>
      </c>
      <c r="D297" s="5" t="s">
        <v>14</v>
      </c>
      <c r="E297" s="5" t="s">
        <v>374</v>
      </c>
      <c r="F297" s="5" t="s">
        <v>24</v>
      </c>
      <c r="G297" s="5" t="s">
        <v>17</v>
      </c>
      <c r="H297" s="5">
        <v>177</v>
      </c>
      <c r="I297" s="5">
        <v>25</v>
      </c>
      <c r="J297" s="5" t="s">
        <v>26</v>
      </c>
      <c r="K297" s="5" t="s">
        <v>27</v>
      </c>
      <c r="L297" s="5" t="s">
        <v>20</v>
      </c>
      <c r="M297" s="7" t="s">
        <v>46</v>
      </c>
      <c r="N297" s="26">
        <f t="shared" si="24"/>
        <v>1</v>
      </c>
      <c r="O297" s="42">
        <f t="shared" si="25"/>
        <v>45172</v>
      </c>
      <c r="P297" s="5" t="str">
        <f t="shared" si="26"/>
        <v>Sunday</v>
      </c>
      <c r="Q297" s="5">
        <f t="shared" si="27"/>
        <v>16</v>
      </c>
      <c r="R297" s="28">
        <f t="shared" si="28"/>
        <v>0.87623762376237624</v>
      </c>
      <c r="S297" s="29">
        <f t="shared" si="29"/>
        <v>87.623762376237622</v>
      </c>
      <c r="T297" s="5" t="str">
        <f>IF(Delivery_Data[[#This Row],[Delays (min)]]&gt;0,"No","Yes")</f>
        <v>No</v>
      </c>
    </row>
    <row r="298" spans="1:20" ht="15.75" customHeight="1" x14ac:dyDescent="0.3">
      <c r="A298" s="4">
        <v>1297</v>
      </c>
      <c r="B298" s="5" t="s">
        <v>427</v>
      </c>
      <c r="C298" s="6">
        <v>45176.378472222219</v>
      </c>
      <c r="D298" s="5" t="s">
        <v>43</v>
      </c>
      <c r="E298" s="5" t="s">
        <v>243</v>
      </c>
      <c r="F298" s="5" t="s">
        <v>24</v>
      </c>
      <c r="G298" s="5" t="s">
        <v>31</v>
      </c>
      <c r="H298" s="5">
        <v>175</v>
      </c>
      <c r="I298" s="5">
        <v>0</v>
      </c>
      <c r="J298" s="5" t="s">
        <v>26</v>
      </c>
      <c r="K298" s="5" t="s">
        <v>49</v>
      </c>
      <c r="L298" s="5" t="s">
        <v>40</v>
      </c>
      <c r="M298" s="7" t="s">
        <v>21</v>
      </c>
      <c r="N298" s="26">
        <f t="shared" si="24"/>
        <v>1</v>
      </c>
      <c r="O298" s="42">
        <f t="shared" si="25"/>
        <v>45176</v>
      </c>
      <c r="P298" s="5" t="str">
        <f t="shared" si="26"/>
        <v>Thursday</v>
      </c>
      <c r="Q298" s="5">
        <f t="shared" si="27"/>
        <v>9</v>
      </c>
      <c r="R298" s="28">
        <f t="shared" si="28"/>
        <v>1</v>
      </c>
      <c r="S298" s="29">
        <f t="shared" si="29"/>
        <v>100</v>
      </c>
      <c r="T298" s="5" t="str">
        <f>IF(Delivery_Data[[#This Row],[Delays (min)]]&gt;0,"No","Yes")</f>
        <v>Yes</v>
      </c>
    </row>
    <row r="299" spans="1:20" ht="15.75" customHeight="1" x14ac:dyDescent="0.3">
      <c r="A299" s="4">
        <v>1298</v>
      </c>
      <c r="B299" s="5" t="s">
        <v>428</v>
      </c>
      <c r="C299" s="6">
        <v>45172.370138888888</v>
      </c>
      <c r="D299" s="5" t="s">
        <v>43</v>
      </c>
      <c r="E299" s="5" t="s">
        <v>85</v>
      </c>
      <c r="F299" s="5" t="s">
        <v>16</v>
      </c>
      <c r="G299" s="5" t="s">
        <v>56</v>
      </c>
      <c r="H299" s="5">
        <v>155</v>
      </c>
      <c r="I299" s="5">
        <v>3</v>
      </c>
      <c r="J299" s="5" t="s">
        <v>26</v>
      </c>
      <c r="K299" s="5" t="s">
        <v>27</v>
      </c>
      <c r="L299" s="5" t="s">
        <v>28</v>
      </c>
      <c r="M299" s="7" t="s">
        <v>46</v>
      </c>
      <c r="N299" s="26">
        <f t="shared" si="24"/>
        <v>1</v>
      </c>
      <c r="O299" s="42">
        <f t="shared" si="25"/>
        <v>45172</v>
      </c>
      <c r="P299" s="5" t="str">
        <f t="shared" si="26"/>
        <v>Sunday</v>
      </c>
      <c r="Q299" s="5">
        <f t="shared" si="27"/>
        <v>8</v>
      </c>
      <c r="R299" s="28">
        <f t="shared" si="28"/>
        <v>0.98101265822784811</v>
      </c>
      <c r="S299" s="29">
        <f t="shared" si="29"/>
        <v>98.101265822784811</v>
      </c>
      <c r="T299" s="5" t="str">
        <f>IF(Delivery_Data[[#This Row],[Delays (min)]]&gt;0,"No","Yes")</f>
        <v>No</v>
      </c>
    </row>
    <row r="300" spans="1:20" ht="15.75" customHeight="1" x14ac:dyDescent="0.3">
      <c r="A300" s="4">
        <v>1299</v>
      </c>
      <c r="B300" s="5" t="s">
        <v>429</v>
      </c>
      <c r="C300" s="6">
        <v>45174.361111111109</v>
      </c>
      <c r="D300" s="5" t="s">
        <v>14</v>
      </c>
      <c r="E300" s="5" t="s">
        <v>85</v>
      </c>
      <c r="F300" s="5" t="s">
        <v>38</v>
      </c>
      <c r="G300" s="5" t="s">
        <v>25</v>
      </c>
      <c r="H300" s="5">
        <v>153</v>
      </c>
      <c r="I300" s="5">
        <v>2</v>
      </c>
      <c r="J300" s="5" t="s">
        <v>26</v>
      </c>
      <c r="K300" s="5" t="s">
        <v>45</v>
      </c>
      <c r="L300" s="5" t="s">
        <v>28</v>
      </c>
      <c r="M300" s="7" t="s">
        <v>21</v>
      </c>
      <c r="N300" s="26">
        <f t="shared" si="24"/>
        <v>1</v>
      </c>
      <c r="O300" s="42">
        <f t="shared" si="25"/>
        <v>45174</v>
      </c>
      <c r="P300" s="5" t="str">
        <f t="shared" si="26"/>
        <v>Tuesday</v>
      </c>
      <c r="Q300" s="5">
        <f t="shared" si="27"/>
        <v>8</v>
      </c>
      <c r="R300" s="28">
        <f t="shared" si="28"/>
        <v>0.98709677419354835</v>
      </c>
      <c r="S300" s="29">
        <f t="shared" si="29"/>
        <v>98.709677419354833</v>
      </c>
      <c r="T300" s="5" t="str">
        <f>IF(Delivery_Data[[#This Row],[Delays (min)]]&gt;0,"No","Yes")</f>
        <v>No</v>
      </c>
    </row>
    <row r="301" spans="1:20" ht="15.75" customHeight="1" x14ac:dyDescent="0.3">
      <c r="A301" s="4">
        <v>1300</v>
      </c>
      <c r="B301" s="5" t="s">
        <v>430</v>
      </c>
      <c r="C301" s="6">
        <v>45171.412499999999</v>
      </c>
      <c r="D301" s="5" t="s">
        <v>43</v>
      </c>
      <c r="E301" s="5" t="s">
        <v>37</v>
      </c>
      <c r="F301" s="5" t="s">
        <v>16</v>
      </c>
      <c r="G301" s="5" t="s">
        <v>17</v>
      </c>
      <c r="H301" s="5">
        <v>178</v>
      </c>
      <c r="I301" s="5">
        <v>29</v>
      </c>
      <c r="J301" s="5" t="s">
        <v>18</v>
      </c>
      <c r="K301" s="5" t="s">
        <v>49</v>
      </c>
      <c r="L301" s="5" t="s">
        <v>20</v>
      </c>
      <c r="M301" s="7" t="s">
        <v>46</v>
      </c>
      <c r="N301" s="26">
        <f t="shared" si="24"/>
        <v>0</v>
      </c>
      <c r="O301" s="42">
        <f t="shared" si="25"/>
        <v>45171</v>
      </c>
      <c r="P301" s="5" t="str">
        <f t="shared" si="26"/>
        <v>Saturday</v>
      </c>
      <c r="Q301" s="5">
        <f t="shared" si="27"/>
        <v>9</v>
      </c>
      <c r="R301" s="28">
        <f t="shared" si="28"/>
        <v>0.85990338164251212</v>
      </c>
      <c r="S301" s="29">
        <f t="shared" si="29"/>
        <v>85.990338164251213</v>
      </c>
      <c r="T301" s="5" t="str">
        <f>IF(Delivery_Data[[#This Row],[Delays (min)]]&gt;0,"No","Yes")</f>
        <v>No</v>
      </c>
    </row>
    <row r="302" spans="1:20" ht="15.75" customHeight="1" x14ac:dyDescent="0.3">
      <c r="A302" s="4">
        <v>1301</v>
      </c>
      <c r="B302" s="5" t="s">
        <v>431</v>
      </c>
      <c r="C302" s="6">
        <v>45177.474305555559</v>
      </c>
      <c r="D302" s="5" t="s">
        <v>14</v>
      </c>
      <c r="E302" s="5" t="s">
        <v>101</v>
      </c>
      <c r="F302" s="5" t="s">
        <v>24</v>
      </c>
      <c r="G302" s="5" t="s">
        <v>25</v>
      </c>
      <c r="H302" s="5">
        <v>178</v>
      </c>
      <c r="I302" s="5">
        <v>11</v>
      </c>
      <c r="J302" s="5" t="s">
        <v>26</v>
      </c>
      <c r="K302" s="5" t="s">
        <v>27</v>
      </c>
      <c r="L302" s="5" t="s">
        <v>20</v>
      </c>
      <c r="M302" s="7" t="s">
        <v>21</v>
      </c>
      <c r="N302" s="26">
        <f t="shared" si="24"/>
        <v>1</v>
      </c>
      <c r="O302" s="42">
        <f t="shared" si="25"/>
        <v>45177</v>
      </c>
      <c r="P302" s="5" t="str">
        <f t="shared" si="26"/>
        <v>Friday</v>
      </c>
      <c r="Q302" s="5">
        <f t="shared" si="27"/>
        <v>11</v>
      </c>
      <c r="R302" s="28">
        <f t="shared" si="28"/>
        <v>0.94179894179894175</v>
      </c>
      <c r="S302" s="29">
        <f t="shared" si="29"/>
        <v>94.179894179894177</v>
      </c>
      <c r="T302" s="5" t="str">
        <f>IF(Delivery_Data[[#This Row],[Delays (min)]]&gt;0,"No","Yes")</f>
        <v>No</v>
      </c>
    </row>
    <row r="303" spans="1:20" ht="15.75" customHeight="1" x14ac:dyDescent="0.3">
      <c r="A303" s="4">
        <v>1302</v>
      </c>
      <c r="B303" s="5" t="s">
        <v>432</v>
      </c>
      <c r="C303" s="6">
        <v>45171.456250000003</v>
      </c>
      <c r="D303" s="5" t="s">
        <v>43</v>
      </c>
      <c r="E303" s="5" t="s">
        <v>243</v>
      </c>
      <c r="F303" s="5" t="s">
        <v>24</v>
      </c>
      <c r="G303" s="5" t="s">
        <v>39</v>
      </c>
      <c r="H303" s="5">
        <v>237</v>
      </c>
      <c r="I303" s="5">
        <v>1</v>
      </c>
      <c r="J303" s="5" t="s">
        <v>26</v>
      </c>
      <c r="K303" s="5" t="s">
        <v>19</v>
      </c>
      <c r="L303" s="5" t="s">
        <v>40</v>
      </c>
      <c r="M303" s="7" t="s">
        <v>21</v>
      </c>
      <c r="N303" s="26">
        <f t="shared" si="24"/>
        <v>1</v>
      </c>
      <c r="O303" s="42">
        <f t="shared" si="25"/>
        <v>45171</v>
      </c>
      <c r="P303" s="5" t="str">
        <f t="shared" si="26"/>
        <v>Saturday</v>
      </c>
      <c r="Q303" s="5">
        <f t="shared" si="27"/>
        <v>10</v>
      </c>
      <c r="R303" s="28">
        <f t="shared" si="28"/>
        <v>0.99579831932773111</v>
      </c>
      <c r="S303" s="29">
        <f t="shared" si="29"/>
        <v>99.579831932773118</v>
      </c>
      <c r="T303" s="5" t="str">
        <f>IF(Delivery_Data[[#This Row],[Delays (min)]]&gt;0,"No","Yes")</f>
        <v>No</v>
      </c>
    </row>
    <row r="304" spans="1:20" ht="15.75" customHeight="1" x14ac:dyDescent="0.3">
      <c r="A304" s="4">
        <v>1303</v>
      </c>
      <c r="B304" s="5" t="s">
        <v>433</v>
      </c>
      <c r="C304" s="6">
        <v>45170.394444444442</v>
      </c>
      <c r="D304" s="5" t="s">
        <v>43</v>
      </c>
      <c r="E304" s="5" t="s">
        <v>215</v>
      </c>
      <c r="F304" s="5" t="s">
        <v>38</v>
      </c>
      <c r="G304" s="5" t="s">
        <v>17</v>
      </c>
      <c r="H304" s="5">
        <v>115</v>
      </c>
      <c r="I304" s="5">
        <v>17</v>
      </c>
      <c r="J304" s="5" t="s">
        <v>32</v>
      </c>
      <c r="K304" s="5" t="s">
        <v>19</v>
      </c>
      <c r="L304" s="5" t="s">
        <v>40</v>
      </c>
      <c r="M304" s="7" t="s">
        <v>21</v>
      </c>
      <c r="N304" s="26">
        <f t="shared" si="24"/>
        <v>-1</v>
      </c>
      <c r="O304" s="42">
        <f t="shared" si="25"/>
        <v>45170</v>
      </c>
      <c r="P304" s="5" t="str">
        <f t="shared" si="26"/>
        <v>Friday</v>
      </c>
      <c r="Q304" s="5">
        <f t="shared" si="27"/>
        <v>9</v>
      </c>
      <c r="R304" s="28">
        <f t="shared" si="28"/>
        <v>0.87121212121212122</v>
      </c>
      <c r="S304" s="29">
        <f t="shared" si="29"/>
        <v>87.121212121212125</v>
      </c>
      <c r="T304" s="5" t="str">
        <f>IF(Delivery_Data[[#This Row],[Delays (min)]]&gt;0,"No","Yes")</f>
        <v>No</v>
      </c>
    </row>
    <row r="305" spans="1:20" ht="15.75" customHeight="1" x14ac:dyDescent="0.3">
      <c r="A305" s="4">
        <v>1304</v>
      </c>
      <c r="B305" s="5" t="s">
        <v>434</v>
      </c>
      <c r="C305" s="6">
        <v>45174.688888888886</v>
      </c>
      <c r="D305" s="5" t="s">
        <v>43</v>
      </c>
      <c r="E305" s="5" t="s">
        <v>306</v>
      </c>
      <c r="F305" s="5" t="s">
        <v>16</v>
      </c>
      <c r="G305" s="5" t="s">
        <v>17</v>
      </c>
      <c r="H305" s="5">
        <v>185</v>
      </c>
      <c r="I305" s="5">
        <v>5</v>
      </c>
      <c r="J305" s="5" t="s">
        <v>32</v>
      </c>
      <c r="K305" s="5" t="s">
        <v>19</v>
      </c>
      <c r="L305" s="5" t="s">
        <v>20</v>
      </c>
      <c r="M305" s="7" t="s">
        <v>41</v>
      </c>
      <c r="N305" s="26">
        <f t="shared" si="24"/>
        <v>-1</v>
      </c>
      <c r="O305" s="42">
        <f t="shared" si="25"/>
        <v>45174</v>
      </c>
      <c r="P305" s="5" t="str">
        <f t="shared" si="26"/>
        <v>Tuesday</v>
      </c>
      <c r="Q305" s="5">
        <f t="shared" si="27"/>
        <v>16</v>
      </c>
      <c r="R305" s="28">
        <f t="shared" si="28"/>
        <v>0.97368421052631582</v>
      </c>
      <c r="S305" s="29">
        <f t="shared" si="29"/>
        <v>97.368421052631575</v>
      </c>
      <c r="T305" s="5" t="str">
        <f>IF(Delivery_Data[[#This Row],[Delays (min)]]&gt;0,"No","Yes")</f>
        <v>No</v>
      </c>
    </row>
    <row r="306" spans="1:20" ht="15.75" customHeight="1" x14ac:dyDescent="0.3">
      <c r="A306" s="4">
        <v>1305</v>
      </c>
      <c r="B306" s="5" t="s">
        <v>435</v>
      </c>
      <c r="C306" s="6">
        <v>45171.667361111111</v>
      </c>
      <c r="D306" s="5" t="s">
        <v>43</v>
      </c>
      <c r="E306" s="5" t="s">
        <v>44</v>
      </c>
      <c r="F306" s="5" t="s">
        <v>16</v>
      </c>
      <c r="G306" s="5" t="s">
        <v>56</v>
      </c>
      <c r="H306" s="5">
        <v>200</v>
      </c>
      <c r="I306" s="5">
        <v>2</v>
      </c>
      <c r="J306" s="5" t="s">
        <v>26</v>
      </c>
      <c r="K306" s="5" t="s">
        <v>27</v>
      </c>
      <c r="L306" s="5" t="s">
        <v>40</v>
      </c>
      <c r="M306" s="7" t="s">
        <v>21</v>
      </c>
      <c r="N306" s="26">
        <f t="shared" si="24"/>
        <v>1</v>
      </c>
      <c r="O306" s="42">
        <f t="shared" si="25"/>
        <v>45171</v>
      </c>
      <c r="P306" s="5" t="str">
        <f t="shared" si="26"/>
        <v>Saturday</v>
      </c>
      <c r="Q306" s="5">
        <f t="shared" si="27"/>
        <v>16</v>
      </c>
      <c r="R306" s="28">
        <f t="shared" si="28"/>
        <v>0.99009900990099009</v>
      </c>
      <c r="S306" s="29">
        <f t="shared" si="29"/>
        <v>99.009900990099013</v>
      </c>
      <c r="T306" s="5" t="str">
        <f>IF(Delivery_Data[[#This Row],[Delays (min)]]&gt;0,"No","Yes")</f>
        <v>No</v>
      </c>
    </row>
    <row r="307" spans="1:20" ht="15.75" customHeight="1" x14ac:dyDescent="0.3">
      <c r="A307" s="4">
        <v>1306</v>
      </c>
      <c r="B307" s="5" t="s">
        <v>436</v>
      </c>
      <c r="C307" s="6">
        <v>45176.707638888889</v>
      </c>
      <c r="D307" s="5" t="s">
        <v>43</v>
      </c>
      <c r="E307" s="5" t="s">
        <v>245</v>
      </c>
      <c r="F307" s="5" t="s">
        <v>16</v>
      </c>
      <c r="G307" s="5" t="s">
        <v>25</v>
      </c>
      <c r="H307" s="5">
        <v>171</v>
      </c>
      <c r="I307" s="5">
        <v>15</v>
      </c>
      <c r="J307" s="5" t="s">
        <v>26</v>
      </c>
      <c r="K307" s="5" t="s">
        <v>49</v>
      </c>
      <c r="L307" s="5" t="s">
        <v>20</v>
      </c>
      <c r="M307" s="7" t="s">
        <v>21</v>
      </c>
      <c r="N307" s="26">
        <f t="shared" si="24"/>
        <v>1</v>
      </c>
      <c r="O307" s="42">
        <f t="shared" si="25"/>
        <v>45176</v>
      </c>
      <c r="P307" s="5" t="str">
        <f t="shared" si="26"/>
        <v>Thursday</v>
      </c>
      <c r="Q307" s="5">
        <f t="shared" si="27"/>
        <v>16</v>
      </c>
      <c r="R307" s="28">
        <f t="shared" si="28"/>
        <v>0.91935483870967738</v>
      </c>
      <c r="S307" s="29">
        <f t="shared" si="29"/>
        <v>91.935483870967744</v>
      </c>
      <c r="T307" s="5" t="str">
        <f>IF(Delivery_Data[[#This Row],[Delays (min)]]&gt;0,"No","Yes")</f>
        <v>No</v>
      </c>
    </row>
    <row r="308" spans="1:20" ht="15.75" customHeight="1" x14ac:dyDescent="0.3">
      <c r="A308" s="4">
        <v>1307</v>
      </c>
      <c r="B308" s="5" t="s">
        <v>437</v>
      </c>
      <c r="C308" s="6">
        <v>45172.513194444444</v>
      </c>
      <c r="D308" s="5" t="s">
        <v>43</v>
      </c>
      <c r="E308" s="5" t="s">
        <v>126</v>
      </c>
      <c r="F308" s="5" t="s">
        <v>38</v>
      </c>
      <c r="G308" s="5" t="s">
        <v>56</v>
      </c>
      <c r="H308" s="5">
        <v>164</v>
      </c>
      <c r="I308" s="5">
        <v>3</v>
      </c>
      <c r="J308" s="5" t="s">
        <v>32</v>
      </c>
      <c r="K308" s="5" t="s">
        <v>19</v>
      </c>
      <c r="L308" s="5" t="s">
        <v>40</v>
      </c>
      <c r="M308" s="7" t="s">
        <v>41</v>
      </c>
      <c r="N308" s="26">
        <f t="shared" si="24"/>
        <v>-1</v>
      </c>
      <c r="O308" s="42">
        <f t="shared" si="25"/>
        <v>45172</v>
      </c>
      <c r="P308" s="5" t="str">
        <f t="shared" si="26"/>
        <v>Sunday</v>
      </c>
      <c r="Q308" s="5">
        <f t="shared" si="27"/>
        <v>12</v>
      </c>
      <c r="R308" s="28">
        <f t="shared" si="28"/>
        <v>0.98203592814371254</v>
      </c>
      <c r="S308" s="29">
        <f t="shared" si="29"/>
        <v>98.203592814371248</v>
      </c>
      <c r="T308" s="5" t="str">
        <f>IF(Delivery_Data[[#This Row],[Delays (min)]]&gt;0,"No","Yes")</f>
        <v>No</v>
      </c>
    </row>
    <row r="309" spans="1:20" ht="15.75" customHeight="1" x14ac:dyDescent="0.3">
      <c r="A309" s="4">
        <v>1308</v>
      </c>
      <c r="B309" s="5" t="s">
        <v>438</v>
      </c>
      <c r="C309" s="6">
        <v>45171.45</v>
      </c>
      <c r="D309" s="5" t="s">
        <v>14</v>
      </c>
      <c r="E309" s="5" t="s">
        <v>76</v>
      </c>
      <c r="F309" s="5" t="s">
        <v>38</v>
      </c>
      <c r="G309" s="5" t="s">
        <v>39</v>
      </c>
      <c r="H309" s="5">
        <v>62</v>
      </c>
      <c r="I309" s="5">
        <v>1</v>
      </c>
      <c r="J309" s="5" t="s">
        <v>32</v>
      </c>
      <c r="K309" s="5" t="s">
        <v>45</v>
      </c>
      <c r="L309" s="5" t="s">
        <v>40</v>
      </c>
      <c r="M309" s="7" t="s">
        <v>41</v>
      </c>
      <c r="N309" s="26">
        <f t="shared" si="24"/>
        <v>-1</v>
      </c>
      <c r="O309" s="42">
        <f t="shared" si="25"/>
        <v>45171</v>
      </c>
      <c r="P309" s="5" t="str">
        <f t="shared" si="26"/>
        <v>Saturday</v>
      </c>
      <c r="Q309" s="5">
        <f t="shared" si="27"/>
        <v>10</v>
      </c>
      <c r="R309" s="28">
        <f t="shared" si="28"/>
        <v>0.98412698412698407</v>
      </c>
      <c r="S309" s="29">
        <f t="shared" si="29"/>
        <v>98.412698412698404</v>
      </c>
      <c r="T309" s="5" t="str">
        <f>IF(Delivery_Data[[#This Row],[Delays (min)]]&gt;0,"No","Yes")</f>
        <v>No</v>
      </c>
    </row>
    <row r="310" spans="1:20" ht="15.75" customHeight="1" x14ac:dyDescent="0.3">
      <c r="A310" s="4">
        <v>1309</v>
      </c>
      <c r="B310" s="5" t="s">
        <v>439</v>
      </c>
      <c r="C310" s="6">
        <v>45175.663888888892</v>
      </c>
      <c r="D310" s="5" t="s">
        <v>14</v>
      </c>
      <c r="E310" s="5" t="s">
        <v>171</v>
      </c>
      <c r="F310" s="5" t="s">
        <v>16</v>
      </c>
      <c r="G310" s="5" t="s">
        <v>39</v>
      </c>
      <c r="H310" s="5">
        <v>201</v>
      </c>
      <c r="I310" s="5">
        <v>11</v>
      </c>
      <c r="J310" s="5" t="s">
        <v>26</v>
      </c>
      <c r="K310" s="5" t="s">
        <v>19</v>
      </c>
      <c r="L310" s="5" t="s">
        <v>20</v>
      </c>
      <c r="M310" s="7" t="s">
        <v>21</v>
      </c>
      <c r="N310" s="26">
        <f t="shared" si="24"/>
        <v>1</v>
      </c>
      <c r="O310" s="42">
        <f t="shared" si="25"/>
        <v>45175</v>
      </c>
      <c r="P310" s="5" t="str">
        <f t="shared" si="26"/>
        <v>Wednesday</v>
      </c>
      <c r="Q310" s="5">
        <f t="shared" si="27"/>
        <v>15</v>
      </c>
      <c r="R310" s="28">
        <f t="shared" si="28"/>
        <v>0.94811320754716977</v>
      </c>
      <c r="S310" s="29">
        <f t="shared" si="29"/>
        <v>94.811320754716974</v>
      </c>
      <c r="T310" s="5" t="str">
        <f>IF(Delivery_Data[[#This Row],[Delays (min)]]&gt;0,"No","Yes")</f>
        <v>No</v>
      </c>
    </row>
    <row r="311" spans="1:20" ht="15.75" customHeight="1" x14ac:dyDescent="0.3">
      <c r="A311" s="4">
        <v>1310</v>
      </c>
      <c r="B311" s="5" t="s">
        <v>440</v>
      </c>
      <c r="C311" s="6">
        <v>45173.688888888886</v>
      </c>
      <c r="D311" s="5" t="s">
        <v>43</v>
      </c>
      <c r="E311" s="5" t="s">
        <v>441</v>
      </c>
      <c r="F311" s="5" t="s">
        <v>16</v>
      </c>
      <c r="G311" s="5" t="s">
        <v>25</v>
      </c>
      <c r="H311" s="5">
        <v>227</v>
      </c>
      <c r="I311" s="5">
        <v>12</v>
      </c>
      <c r="J311" s="5" t="s">
        <v>26</v>
      </c>
      <c r="K311" s="5" t="s">
        <v>27</v>
      </c>
      <c r="L311" s="5" t="s">
        <v>20</v>
      </c>
      <c r="M311" s="7" t="s">
        <v>46</v>
      </c>
      <c r="N311" s="26">
        <f t="shared" si="24"/>
        <v>1</v>
      </c>
      <c r="O311" s="42">
        <f t="shared" si="25"/>
        <v>45173</v>
      </c>
      <c r="P311" s="5" t="str">
        <f t="shared" si="26"/>
        <v>Monday</v>
      </c>
      <c r="Q311" s="5">
        <f t="shared" si="27"/>
        <v>16</v>
      </c>
      <c r="R311" s="28">
        <f t="shared" si="28"/>
        <v>0.94979079497907948</v>
      </c>
      <c r="S311" s="29">
        <f t="shared" si="29"/>
        <v>94.979079497907946</v>
      </c>
      <c r="T311" s="5" t="str">
        <f>IF(Delivery_Data[[#This Row],[Delays (min)]]&gt;0,"No","Yes")</f>
        <v>No</v>
      </c>
    </row>
    <row r="312" spans="1:20" ht="15.75" customHeight="1" x14ac:dyDescent="0.3">
      <c r="A312" s="4">
        <v>1311</v>
      </c>
      <c r="B312" s="5" t="s">
        <v>442</v>
      </c>
      <c r="C312" s="6">
        <v>45175.647222222222</v>
      </c>
      <c r="D312" s="5" t="s">
        <v>14</v>
      </c>
      <c r="E312" s="5" t="s">
        <v>228</v>
      </c>
      <c r="F312" s="5" t="s">
        <v>38</v>
      </c>
      <c r="G312" s="5" t="s">
        <v>56</v>
      </c>
      <c r="H312" s="5">
        <v>174</v>
      </c>
      <c r="I312" s="5">
        <v>29</v>
      </c>
      <c r="J312" s="5" t="s">
        <v>18</v>
      </c>
      <c r="K312" s="5" t="s">
        <v>19</v>
      </c>
      <c r="L312" s="5" t="s">
        <v>40</v>
      </c>
      <c r="M312" s="7" t="s">
        <v>46</v>
      </c>
      <c r="N312" s="26">
        <f t="shared" si="24"/>
        <v>0</v>
      </c>
      <c r="O312" s="42">
        <f t="shared" si="25"/>
        <v>45175</v>
      </c>
      <c r="P312" s="5" t="str">
        <f t="shared" si="26"/>
        <v>Wednesday</v>
      </c>
      <c r="Q312" s="5">
        <f t="shared" si="27"/>
        <v>15</v>
      </c>
      <c r="R312" s="28">
        <f t="shared" si="28"/>
        <v>0.8571428571428571</v>
      </c>
      <c r="S312" s="29">
        <f t="shared" si="29"/>
        <v>85.714285714285708</v>
      </c>
      <c r="T312" s="5" t="str">
        <f>IF(Delivery_Data[[#This Row],[Delays (min)]]&gt;0,"No","Yes")</f>
        <v>No</v>
      </c>
    </row>
    <row r="313" spans="1:20" ht="15.75" customHeight="1" x14ac:dyDescent="0.3">
      <c r="A313" s="4">
        <v>1312</v>
      </c>
      <c r="B313" s="5" t="s">
        <v>443</v>
      </c>
      <c r="C313" s="6">
        <v>45170.665972222225</v>
      </c>
      <c r="D313" s="5" t="s">
        <v>43</v>
      </c>
      <c r="E313" s="5" t="s">
        <v>55</v>
      </c>
      <c r="F313" s="5" t="s">
        <v>38</v>
      </c>
      <c r="G313" s="5" t="s">
        <v>17</v>
      </c>
      <c r="H313" s="5">
        <v>69</v>
      </c>
      <c r="I313" s="5">
        <v>20</v>
      </c>
      <c r="J313" s="5" t="s">
        <v>32</v>
      </c>
      <c r="K313" s="5" t="s">
        <v>35</v>
      </c>
      <c r="L313" s="5" t="s">
        <v>20</v>
      </c>
      <c r="M313" s="7" t="s">
        <v>41</v>
      </c>
      <c r="N313" s="26">
        <f t="shared" si="24"/>
        <v>-1</v>
      </c>
      <c r="O313" s="42">
        <f t="shared" si="25"/>
        <v>45170</v>
      </c>
      <c r="P313" s="5" t="str">
        <f t="shared" si="26"/>
        <v>Friday</v>
      </c>
      <c r="Q313" s="5">
        <f t="shared" si="27"/>
        <v>15</v>
      </c>
      <c r="R313" s="28">
        <f t="shared" si="28"/>
        <v>0.7752808988764045</v>
      </c>
      <c r="S313" s="29">
        <f t="shared" si="29"/>
        <v>77.528089887640448</v>
      </c>
      <c r="T313" s="5" t="str">
        <f>IF(Delivery_Data[[#This Row],[Delays (min)]]&gt;0,"No","Yes")</f>
        <v>No</v>
      </c>
    </row>
    <row r="314" spans="1:20" ht="15.75" customHeight="1" x14ac:dyDescent="0.3">
      <c r="A314" s="4">
        <v>1313</v>
      </c>
      <c r="B314" s="5" t="s">
        <v>444</v>
      </c>
      <c r="C314" s="6">
        <v>45170.674305555556</v>
      </c>
      <c r="D314" s="5" t="s">
        <v>14</v>
      </c>
      <c r="E314" s="5" t="s">
        <v>34</v>
      </c>
      <c r="F314" s="5" t="s">
        <v>24</v>
      </c>
      <c r="G314" s="5" t="s">
        <v>25</v>
      </c>
      <c r="H314" s="5">
        <v>182</v>
      </c>
      <c r="I314" s="5">
        <v>15</v>
      </c>
      <c r="J314" s="5" t="s">
        <v>26</v>
      </c>
      <c r="K314" s="5" t="s">
        <v>27</v>
      </c>
      <c r="L314" s="5" t="s">
        <v>20</v>
      </c>
      <c r="M314" s="7" t="s">
        <v>21</v>
      </c>
      <c r="N314" s="26">
        <f t="shared" si="24"/>
        <v>1</v>
      </c>
      <c r="O314" s="42">
        <f t="shared" si="25"/>
        <v>45170</v>
      </c>
      <c r="P314" s="5" t="str">
        <f t="shared" si="26"/>
        <v>Friday</v>
      </c>
      <c r="Q314" s="5">
        <f t="shared" si="27"/>
        <v>16</v>
      </c>
      <c r="R314" s="28">
        <f t="shared" si="28"/>
        <v>0.92385786802030456</v>
      </c>
      <c r="S314" s="29">
        <f t="shared" si="29"/>
        <v>92.385786802030452</v>
      </c>
      <c r="T314" s="5" t="str">
        <f>IF(Delivery_Data[[#This Row],[Delays (min)]]&gt;0,"No","Yes")</f>
        <v>No</v>
      </c>
    </row>
    <row r="315" spans="1:20" ht="15.75" customHeight="1" x14ac:dyDescent="0.3">
      <c r="A315" s="4">
        <v>1314</v>
      </c>
      <c r="B315" s="5" t="s">
        <v>445</v>
      </c>
      <c r="C315" s="6">
        <v>45170.344444444447</v>
      </c>
      <c r="D315" s="5" t="s">
        <v>14</v>
      </c>
      <c r="E315" s="5" t="s">
        <v>160</v>
      </c>
      <c r="F315" s="5" t="s">
        <v>38</v>
      </c>
      <c r="G315" s="5" t="s">
        <v>31</v>
      </c>
      <c r="H315" s="5">
        <v>96</v>
      </c>
      <c r="I315" s="5">
        <v>4</v>
      </c>
      <c r="J315" s="5" t="s">
        <v>18</v>
      </c>
      <c r="K315" s="5" t="s">
        <v>35</v>
      </c>
      <c r="L315" s="5" t="s">
        <v>28</v>
      </c>
      <c r="M315" s="7" t="s">
        <v>41</v>
      </c>
      <c r="N315" s="26">
        <f t="shared" si="24"/>
        <v>0</v>
      </c>
      <c r="O315" s="42">
        <f t="shared" si="25"/>
        <v>45170</v>
      </c>
      <c r="P315" s="5" t="str">
        <f t="shared" si="26"/>
        <v>Friday</v>
      </c>
      <c r="Q315" s="5">
        <f t="shared" si="27"/>
        <v>8</v>
      </c>
      <c r="R315" s="28">
        <f t="shared" si="28"/>
        <v>0.96</v>
      </c>
      <c r="S315" s="29">
        <f t="shared" si="29"/>
        <v>96</v>
      </c>
      <c r="T315" s="5" t="str">
        <f>IF(Delivery_Data[[#This Row],[Delays (min)]]&gt;0,"No","Yes")</f>
        <v>No</v>
      </c>
    </row>
    <row r="316" spans="1:20" ht="15.75" customHeight="1" x14ac:dyDescent="0.3">
      <c r="A316" s="4">
        <v>1315</v>
      </c>
      <c r="B316" s="5" t="s">
        <v>446</v>
      </c>
      <c r="C316" s="6">
        <v>45175.604166666664</v>
      </c>
      <c r="D316" s="5" t="s">
        <v>14</v>
      </c>
      <c r="E316" s="5" t="s">
        <v>23</v>
      </c>
      <c r="F316" s="5" t="s">
        <v>16</v>
      </c>
      <c r="G316" s="5" t="s">
        <v>39</v>
      </c>
      <c r="H316" s="5">
        <v>171</v>
      </c>
      <c r="I316" s="5">
        <v>2</v>
      </c>
      <c r="J316" s="5" t="s">
        <v>18</v>
      </c>
      <c r="K316" s="5" t="s">
        <v>45</v>
      </c>
      <c r="L316" s="5" t="s">
        <v>20</v>
      </c>
      <c r="M316" s="7" t="s">
        <v>21</v>
      </c>
      <c r="N316" s="26">
        <f t="shared" si="24"/>
        <v>0</v>
      </c>
      <c r="O316" s="42">
        <f t="shared" si="25"/>
        <v>45175</v>
      </c>
      <c r="P316" s="5" t="str">
        <f t="shared" si="26"/>
        <v>Wednesday</v>
      </c>
      <c r="Q316" s="5">
        <f t="shared" si="27"/>
        <v>14</v>
      </c>
      <c r="R316" s="28">
        <f t="shared" si="28"/>
        <v>0.98843930635838151</v>
      </c>
      <c r="S316" s="29">
        <f t="shared" si="29"/>
        <v>98.843930635838149</v>
      </c>
      <c r="T316" s="5" t="str">
        <f>IF(Delivery_Data[[#This Row],[Delays (min)]]&gt;0,"No","Yes")</f>
        <v>No</v>
      </c>
    </row>
    <row r="317" spans="1:20" ht="15.75" customHeight="1" x14ac:dyDescent="0.3">
      <c r="A317" s="4">
        <v>1316</v>
      </c>
      <c r="B317" s="5" t="s">
        <v>447</v>
      </c>
      <c r="C317" s="6">
        <v>45171.654166666667</v>
      </c>
      <c r="D317" s="5" t="s">
        <v>14</v>
      </c>
      <c r="E317" s="5" t="s">
        <v>132</v>
      </c>
      <c r="F317" s="5" t="s">
        <v>38</v>
      </c>
      <c r="G317" s="5" t="s">
        <v>17</v>
      </c>
      <c r="H317" s="5">
        <v>193</v>
      </c>
      <c r="I317" s="5">
        <v>3</v>
      </c>
      <c r="J317" s="5" t="s">
        <v>18</v>
      </c>
      <c r="K317" s="5" t="s">
        <v>45</v>
      </c>
      <c r="L317" s="5" t="s">
        <v>20</v>
      </c>
      <c r="M317" s="7" t="s">
        <v>41</v>
      </c>
      <c r="N317" s="26">
        <f t="shared" si="24"/>
        <v>0</v>
      </c>
      <c r="O317" s="42">
        <f t="shared" si="25"/>
        <v>45171</v>
      </c>
      <c r="P317" s="5" t="str">
        <f t="shared" si="26"/>
        <v>Saturday</v>
      </c>
      <c r="Q317" s="5">
        <f t="shared" si="27"/>
        <v>15</v>
      </c>
      <c r="R317" s="28">
        <f t="shared" si="28"/>
        <v>0.98469387755102045</v>
      </c>
      <c r="S317" s="29">
        <f t="shared" si="29"/>
        <v>98.469387755102048</v>
      </c>
      <c r="T317" s="5" t="str">
        <f>IF(Delivery_Data[[#This Row],[Delays (min)]]&gt;0,"No","Yes")</f>
        <v>No</v>
      </c>
    </row>
    <row r="318" spans="1:20" ht="15.75" customHeight="1" x14ac:dyDescent="0.3">
      <c r="A318" s="4">
        <v>1317</v>
      </c>
      <c r="B318" s="5" t="s">
        <v>448</v>
      </c>
      <c r="C318" s="6">
        <v>45173.453472222223</v>
      </c>
      <c r="D318" s="5" t="s">
        <v>43</v>
      </c>
      <c r="E318" s="5" t="s">
        <v>60</v>
      </c>
      <c r="F318" s="5" t="s">
        <v>38</v>
      </c>
      <c r="G318" s="5" t="s">
        <v>31</v>
      </c>
      <c r="H318" s="5">
        <v>176</v>
      </c>
      <c r="I318" s="5">
        <v>27</v>
      </c>
      <c r="J318" s="5" t="s">
        <v>32</v>
      </c>
      <c r="K318" s="5" t="s">
        <v>27</v>
      </c>
      <c r="L318" s="5" t="s">
        <v>20</v>
      </c>
      <c r="M318" s="7" t="s">
        <v>46</v>
      </c>
      <c r="N318" s="26">
        <f t="shared" si="24"/>
        <v>-1</v>
      </c>
      <c r="O318" s="42">
        <f t="shared" si="25"/>
        <v>45173</v>
      </c>
      <c r="P318" s="5" t="str">
        <f t="shared" si="26"/>
        <v>Monday</v>
      </c>
      <c r="Q318" s="5">
        <f t="shared" si="27"/>
        <v>10</v>
      </c>
      <c r="R318" s="28">
        <f t="shared" si="28"/>
        <v>0.86699507389162567</v>
      </c>
      <c r="S318" s="29">
        <f t="shared" si="29"/>
        <v>86.699507389162562</v>
      </c>
      <c r="T318" s="5" t="str">
        <f>IF(Delivery_Data[[#This Row],[Delays (min)]]&gt;0,"No","Yes")</f>
        <v>No</v>
      </c>
    </row>
    <row r="319" spans="1:20" ht="15.75" customHeight="1" x14ac:dyDescent="0.3">
      <c r="A319" s="4">
        <v>1318</v>
      </c>
      <c r="B319" s="5" t="s">
        <v>449</v>
      </c>
      <c r="C319" s="6">
        <v>45171.60833333333</v>
      </c>
      <c r="D319" s="5" t="s">
        <v>14</v>
      </c>
      <c r="E319" s="5" t="s">
        <v>93</v>
      </c>
      <c r="F319" s="5" t="s">
        <v>38</v>
      </c>
      <c r="G319" s="5" t="s">
        <v>39</v>
      </c>
      <c r="H319" s="5">
        <v>135</v>
      </c>
      <c r="I319" s="5">
        <v>11</v>
      </c>
      <c r="J319" s="5" t="s">
        <v>32</v>
      </c>
      <c r="K319" s="5" t="s">
        <v>45</v>
      </c>
      <c r="L319" s="5" t="s">
        <v>28</v>
      </c>
      <c r="M319" s="7" t="s">
        <v>46</v>
      </c>
      <c r="N319" s="26">
        <f t="shared" si="24"/>
        <v>-1</v>
      </c>
      <c r="O319" s="42">
        <f t="shared" si="25"/>
        <v>45171</v>
      </c>
      <c r="P319" s="5" t="str">
        <f t="shared" si="26"/>
        <v>Saturday</v>
      </c>
      <c r="Q319" s="5">
        <f t="shared" si="27"/>
        <v>14</v>
      </c>
      <c r="R319" s="28">
        <f t="shared" si="28"/>
        <v>0.92465753424657537</v>
      </c>
      <c r="S319" s="29">
        <f t="shared" si="29"/>
        <v>92.465753424657535</v>
      </c>
      <c r="T319" s="5" t="str">
        <f>IF(Delivery_Data[[#This Row],[Delays (min)]]&gt;0,"No","Yes")</f>
        <v>No</v>
      </c>
    </row>
    <row r="320" spans="1:20" ht="15.75" customHeight="1" x14ac:dyDescent="0.3">
      <c r="A320" s="4">
        <v>1319</v>
      </c>
      <c r="B320" s="5" t="s">
        <v>450</v>
      </c>
      <c r="C320" s="6">
        <v>45176.526388888888</v>
      </c>
      <c r="D320" s="5" t="s">
        <v>14</v>
      </c>
      <c r="E320" s="5" t="s">
        <v>261</v>
      </c>
      <c r="F320" s="5" t="s">
        <v>38</v>
      </c>
      <c r="G320" s="5" t="s">
        <v>17</v>
      </c>
      <c r="H320" s="5">
        <v>197</v>
      </c>
      <c r="I320" s="5">
        <v>25</v>
      </c>
      <c r="J320" s="5" t="s">
        <v>26</v>
      </c>
      <c r="K320" s="5" t="s">
        <v>19</v>
      </c>
      <c r="L320" s="5" t="s">
        <v>20</v>
      </c>
      <c r="M320" s="7" t="s">
        <v>41</v>
      </c>
      <c r="N320" s="26">
        <f t="shared" si="24"/>
        <v>1</v>
      </c>
      <c r="O320" s="42">
        <f t="shared" si="25"/>
        <v>45176</v>
      </c>
      <c r="P320" s="5" t="str">
        <f t="shared" si="26"/>
        <v>Thursday</v>
      </c>
      <c r="Q320" s="5">
        <f t="shared" si="27"/>
        <v>12</v>
      </c>
      <c r="R320" s="28">
        <f t="shared" si="28"/>
        <v>0.88738738738738743</v>
      </c>
      <c r="S320" s="29">
        <f t="shared" si="29"/>
        <v>88.738738738738746</v>
      </c>
      <c r="T320" s="5" t="str">
        <f>IF(Delivery_Data[[#This Row],[Delays (min)]]&gt;0,"No","Yes")</f>
        <v>No</v>
      </c>
    </row>
    <row r="321" spans="1:20" ht="15.75" customHeight="1" x14ac:dyDescent="0.3">
      <c r="A321" s="4">
        <v>1320</v>
      </c>
      <c r="B321" s="5" t="s">
        <v>451</v>
      </c>
      <c r="C321" s="6">
        <v>45171.408333333333</v>
      </c>
      <c r="D321" s="5" t="s">
        <v>14</v>
      </c>
      <c r="E321" s="5" t="s">
        <v>187</v>
      </c>
      <c r="F321" s="5" t="s">
        <v>16</v>
      </c>
      <c r="G321" s="5" t="s">
        <v>17</v>
      </c>
      <c r="H321" s="5">
        <v>102</v>
      </c>
      <c r="I321" s="5">
        <v>9</v>
      </c>
      <c r="J321" s="5" t="s">
        <v>26</v>
      </c>
      <c r="K321" s="5" t="s">
        <v>27</v>
      </c>
      <c r="L321" s="5" t="s">
        <v>28</v>
      </c>
      <c r="M321" s="7" t="s">
        <v>41</v>
      </c>
      <c r="N321" s="26">
        <f t="shared" si="24"/>
        <v>1</v>
      </c>
      <c r="O321" s="42">
        <f t="shared" si="25"/>
        <v>45171</v>
      </c>
      <c r="P321" s="5" t="str">
        <f t="shared" si="26"/>
        <v>Saturday</v>
      </c>
      <c r="Q321" s="5">
        <f t="shared" si="27"/>
        <v>9</v>
      </c>
      <c r="R321" s="28">
        <f t="shared" si="28"/>
        <v>0.91891891891891897</v>
      </c>
      <c r="S321" s="29">
        <f t="shared" si="29"/>
        <v>91.891891891891902</v>
      </c>
      <c r="T321" s="5" t="str">
        <f>IF(Delivery_Data[[#This Row],[Delays (min)]]&gt;0,"No","Yes")</f>
        <v>No</v>
      </c>
    </row>
    <row r="322" spans="1:20" ht="15.75" customHeight="1" x14ac:dyDescent="0.3">
      <c r="A322" s="4">
        <v>1321</v>
      </c>
      <c r="B322" s="5" t="s">
        <v>452</v>
      </c>
      <c r="C322" s="6">
        <v>45177.438888888886</v>
      </c>
      <c r="D322" s="5" t="s">
        <v>43</v>
      </c>
      <c r="E322" s="5" t="s">
        <v>166</v>
      </c>
      <c r="F322" s="5" t="s">
        <v>16</v>
      </c>
      <c r="G322" s="5" t="s">
        <v>17</v>
      </c>
      <c r="H322" s="5">
        <v>196</v>
      </c>
      <c r="I322" s="5">
        <v>23</v>
      </c>
      <c r="J322" s="5" t="s">
        <v>32</v>
      </c>
      <c r="K322" s="5" t="s">
        <v>49</v>
      </c>
      <c r="L322" s="5" t="s">
        <v>40</v>
      </c>
      <c r="M322" s="7" t="s">
        <v>41</v>
      </c>
      <c r="N322" s="26">
        <f t="shared" ref="N322:N385" si="30">IF(J322="Positive",1,IF(J322="Neutral",0,IF(J322="Negative",-1,"")))</f>
        <v>-1</v>
      </c>
      <c r="O322" s="42">
        <f t="shared" ref="O322:O385" si="31">INT(C322)</f>
        <v>45177</v>
      </c>
      <c r="P322" s="5" t="str">
        <f t="shared" ref="P322:P385" si="32">TEXT(C322,"dddd")</f>
        <v>Friday</v>
      </c>
      <c r="Q322" s="5">
        <f t="shared" ref="Q322:Q385" si="33">HOUR(C322)</f>
        <v>10</v>
      </c>
      <c r="R322" s="28">
        <f t="shared" ref="R322:R385" si="34">H322/(H322+I322)</f>
        <v>0.89497716894977164</v>
      </c>
      <c r="S322" s="29">
        <f t="shared" si="29"/>
        <v>89.49771689497716</v>
      </c>
      <c r="T322" s="5" t="str">
        <f>IF(Delivery_Data[[#This Row],[Delays (min)]]&gt;0,"No","Yes")</f>
        <v>No</v>
      </c>
    </row>
    <row r="323" spans="1:20" ht="15.75" customHeight="1" x14ac:dyDescent="0.3">
      <c r="A323" s="4">
        <v>1322</v>
      </c>
      <c r="B323" s="5" t="s">
        <v>453</v>
      </c>
      <c r="C323" s="6">
        <v>45172.534722222219</v>
      </c>
      <c r="D323" s="5" t="s">
        <v>14</v>
      </c>
      <c r="E323" s="5" t="s">
        <v>23</v>
      </c>
      <c r="F323" s="5" t="s">
        <v>38</v>
      </c>
      <c r="G323" s="5" t="s">
        <v>56</v>
      </c>
      <c r="H323" s="5">
        <v>76</v>
      </c>
      <c r="I323" s="5">
        <v>26</v>
      </c>
      <c r="J323" s="5" t="s">
        <v>26</v>
      </c>
      <c r="K323" s="5" t="s">
        <v>27</v>
      </c>
      <c r="L323" s="5" t="s">
        <v>20</v>
      </c>
      <c r="M323" s="7" t="s">
        <v>46</v>
      </c>
      <c r="N323" s="26">
        <f t="shared" si="30"/>
        <v>1</v>
      </c>
      <c r="O323" s="42">
        <f t="shared" si="31"/>
        <v>45172</v>
      </c>
      <c r="P323" s="5" t="str">
        <f t="shared" si="32"/>
        <v>Sunday</v>
      </c>
      <c r="Q323" s="5">
        <f t="shared" si="33"/>
        <v>12</v>
      </c>
      <c r="R323" s="28">
        <f t="shared" si="34"/>
        <v>0.74509803921568629</v>
      </c>
      <c r="S323" s="29">
        <f t="shared" ref="S323:S386" si="35">IF(H323+I323=0,0,(H323/(H323+I323))*100) + (IFERROR(--J323,0)*10)</f>
        <v>74.509803921568633</v>
      </c>
      <c r="T323" s="5" t="str">
        <f>IF(Delivery_Data[[#This Row],[Delays (min)]]&gt;0,"No","Yes")</f>
        <v>No</v>
      </c>
    </row>
    <row r="324" spans="1:20" ht="15.75" customHeight="1" x14ac:dyDescent="0.3">
      <c r="A324" s="4">
        <v>1323</v>
      </c>
      <c r="B324" s="5" t="s">
        <v>454</v>
      </c>
      <c r="C324" s="6">
        <v>45172.607638888891</v>
      </c>
      <c r="D324" s="5" t="s">
        <v>14</v>
      </c>
      <c r="E324" s="5" t="s">
        <v>333</v>
      </c>
      <c r="F324" s="5" t="s">
        <v>24</v>
      </c>
      <c r="G324" s="5" t="s">
        <v>25</v>
      </c>
      <c r="H324" s="5">
        <v>213</v>
      </c>
      <c r="I324" s="5">
        <v>4</v>
      </c>
      <c r="J324" s="5" t="s">
        <v>18</v>
      </c>
      <c r="K324" s="5" t="s">
        <v>27</v>
      </c>
      <c r="L324" s="5" t="s">
        <v>40</v>
      </c>
      <c r="M324" s="7" t="s">
        <v>21</v>
      </c>
      <c r="N324" s="26">
        <f t="shared" si="30"/>
        <v>0</v>
      </c>
      <c r="O324" s="42">
        <f t="shared" si="31"/>
        <v>45172</v>
      </c>
      <c r="P324" s="5" t="str">
        <f t="shared" si="32"/>
        <v>Sunday</v>
      </c>
      <c r="Q324" s="5">
        <f t="shared" si="33"/>
        <v>14</v>
      </c>
      <c r="R324" s="28">
        <f t="shared" si="34"/>
        <v>0.98156682027649766</v>
      </c>
      <c r="S324" s="29">
        <f t="shared" si="35"/>
        <v>98.156682027649765</v>
      </c>
      <c r="T324" s="5" t="str">
        <f>IF(Delivery_Data[[#This Row],[Delays (min)]]&gt;0,"No","Yes")</f>
        <v>No</v>
      </c>
    </row>
    <row r="325" spans="1:20" ht="15.75" customHeight="1" x14ac:dyDescent="0.3">
      <c r="A325" s="4">
        <v>1324</v>
      </c>
      <c r="B325" s="5" t="s">
        <v>455</v>
      </c>
      <c r="C325" s="6">
        <v>45176.656944444447</v>
      </c>
      <c r="D325" s="5" t="s">
        <v>43</v>
      </c>
      <c r="E325" s="5" t="s">
        <v>285</v>
      </c>
      <c r="F325" s="5" t="s">
        <v>16</v>
      </c>
      <c r="G325" s="5" t="s">
        <v>25</v>
      </c>
      <c r="H325" s="5">
        <v>119</v>
      </c>
      <c r="I325" s="5">
        <v>10</v>
      </c>
      <c r="J325" s="5" t="s">
        <v>18</v>
      </c>
      <c r="K325" s="5" t="s">
        <v>19</v>
      </c>
      <c r="L325" s="5" t="s">
        <v>20</v>
      </c>
      <c r="M325" s="7" t="s">
        <v>21</v>
      </c>
      <c r="N325" s="26">
        <f t="shared" si="30"/>
        <v>0</v>
      </c>
      <c r="O325" s="42">
        <f t="shared" si="31"/>
        <v>45176</v>
      </c>
      <c r="P325" s="5" t="str">
        <f t="shared" si="32"/>
        <v>Thursday</v>
      </c>
      <c r="Q325" s="5">
        <f t="shared" si="33"/>
        <v>15</v>
      </c>
      <c r="R325" s="28">
        <f t="shared" si="34"/>
        <v>0.92248062015503873</v>
      </c>
      <c r="S325" s="29">
        <f t="shared" si="35"/>
        <v>92.248062015503876</v>
      </c>
      <c r="T325" s="5" t="str">
        <f>IF(Delivery_Data[[#This Row],[Delays (min)]]&gt;0,"No","Yes")</f>
        <v>No</v>
      </c>
    </row>
    <row r="326" spans="1:20" ht="15.75" customHeight="1" x14ac:dyDescent="0.3">
      <c r="A326" s="4">
        <v>1325</v>
      </c>
      <c r="B326" s="5" t="s">
        <v>456</v>
      </c>
      <c r="C326" s="6">
        <v>45170.654166666667</v>
      </c>
      <c r="D326" s="5" t="s">
        <v>14</v>
      </c>
      <c r="E326" s="5" t="s">
        <v>177</v>
      </c>
      <c r="F326" s="5" t="s">
        <v>16</v>
      </c>
      <c r="G326" s="5" t="s">
        <v>56</v>
      </c>
      <c r="H326" s="5">
        <v>201</v>
      </c>
      <c r="I326" s="5">
        <v>7</v>
      </c>
      <c r="J326" s="5" t="s">
        <v>26</v>
      </c>
      <c r="K326" s="5" t="s">
        <v>27</v>
      </c>
      <c r="L326" s="5" t="s">
        <v>28</v>
      </c>
      <c r="M326" s="7" t="s">
        <v>41</v>
      </c>
      <c r="N326" s="26">
        <f t="shared" si="30"/>
        <v>1</v>
      </c>
      <c r="O326" s="42">
        <f t="shared" si="31"/>
        <v>45170</v>
      </c>
      <c r="P326" s="5" t="str">
        <f t="shared" si="32"/>
        <v>Friday</v>
      </c>
      <c r="Q326" s="5">
        <f t="shared" si="33"/>
        <v>15</v>
      </c>
      <c r="R326" s="28">
        <f t="shared" si="34"/>
        <v>0.96634615384615385</v>
      </c>
      <c r="S326" s="29">
        <f t="shared" si="35"/>
        <v>96.634615384615387</v>
      </c>
      <c r="T326" s="5" t="str">
        <f>IF(Delivery_Data[[#This Row],[Delays (min)]]&gt;0,"No","Yes")</f>
        <v>No</v>
      </c>
    </row>
    <row r="327" spans="1:20" ht="15.75" customHeight="1" x14ac:dyDescent="0.3">
      <c r="A327" s="4">
        <v>1326</v>
      </c>
      <c r="B327" s="5" t="s">
        <v>457</v>
      </c>
      <c r="C327" s="6">
        <v>45175.501388888886</v>
      </c>
      <c r="D327" s="5" t="s">
        <v>14</v>
      </c>
      <c r="E327" s="5" t="s">
        <v>62</v>
      </c>
      <c r="F327" s="5" t="s">
        <v>38</v>
      </c>
      <c r="G327" s="5" t="s">
        <v>56</v>
      </c>
      <c r="H327" s="5">
        <v>122</v>
      </c>
      <c r="I327" s="5">
        <v>8</v>
      </c>
      <c r="J327" s="5" t="s">
        <v>32</v>
      </c>
      <c r="K327" s="5" t="s">
        <v>19</v>
      </c>
      <c r="L327" s="5" t="s">
        <v>28</v>
      </c>
      <c r="M327" s="7" t="s">
        <v>46</v>
      </c>
      <c r="N327" s="26">
        <f t="shared" si="30"/>
        <v>-1</v>
      </c>
      <c r="O327" s="42">
        <f t="shared" si="31"/>
        <v>45175</v>
      </c>
      <c r="P327" s="5" t="str">
        <f t="shared" si="32"/>
        <v>Wednesday</v>
      </c>
      <c r="Q327" s="5">
        <f t="shared" si="33"/>
        <v>12</v>
      </c>
      <c r="R327" s="28">
        <f t="shared" si="34"/>
        <v>0.93846153846153846</v>
      </c>
      <c r="S327" s="29">
        <f t="shared" si="35"/>
        <v>93.84615384615384</v>
      </c>
      <c r="T327" s="5" t="str">
        <f>IF(Delivery_Data[[#This Row],[Delays (min)]]&gt;0,"No","Yes")</f>
        <v>No</v>
      </c>
    </row>
    <row r="328" spans="1:20" ht="15.75" customHeight="1" x14ac:dyDescent="0.3">
      <c r="A328" s="4">
        <v>1327</v>
      </c>
      <c r="B328" s="5" t="s">
        <v>458</v>
      </c>
      <c r="C328" s="6">
        <v>45171.489583333336</v>
      </c>
      <c r="D328" s="5" t="s">
        <v>43</v>
      </c>
      <c r="E328" s="5" t="s">
        <v>126</v>
      </c>
      <c r="F328" s="5" t="s">
        <v>16</v>
      </c>
      <c r="G328" s="5" t="s">
        <v>31</v>
      </c>
      <c r="H328" s="5">
        <v>178</v>
      </c>
      <c r="I328" s="5">
        <v>24</v>
      </c>
      <c r="J328" s="5" t="s">
        <v>32</v>
      </c>
      <c r="K328" s="5" t="s">
        <v>27</v>
      </c>
      <c r="L328" s="5" t="s">
        <v>28</v>
      </c>
      <c r="M328" s="7" t="s">
        <v>41</v>
      </c>
      <c r="N328" s="26">
        <f t="shared" si="30"/>
        <v>-1</v>
      </c>
      <c r="O328" s="42">
        <f t="shared" si="31"/>
        <v>45171</v>
      </c>
      <c r="P328" s="5" t="str">
        <f t="shared" si="32"/>
        <v>Saturday</v>
      </c>
      <c r="Q328" s="5">
        <f t="shared" si="33"/>
        <v>11</v>
      </c>
      <c r="R328" s="28">
        <f t="shared" si="34"/>
        <v>0.88118811881188119</v>
      </c>
      <c r="S328" s="29">
        <f t="shared" si="35"/>
        <v>88.118811881188122</v>
      </c>
      <c r="T328" s="5" t="str">
        <f>IF(Delivery_Data[[#This Row],[Delays (min)]]&gt;0,"No","Yes")</f>
        <v>No</v>
      </c>
    </row>
    <row r="329" spans="1:20" ht="15.75" customHeight="1" x14ac:dyDescent="0.3">
      <c r="A329" s="4">
        <v>1328</v>
      </c>
      <c r="B329" s="5" t="s">
        <v>459</v>
      </c>
      <c r="C329" s="6">
        <v>45171.539583333331</v>
      </c>
      <c r="D329" s="5" t="s">
        <v>43</v>
      </c>
      <c r="E329" s="5" t="s">
        <v>101</v>
      </c>
      <c r="F329" s="5" t="s">
        <v>24</v>
      </c>
      <c r="G329" s="5" t="s">
        <v>31</v>
      </c>
      <c r="H329" s="5">
        <v>143</v>
      </c>
      <c r="I329" s="5">
        <v>14</v>
      </c>
      <c r="J329" s="5" t="s">
        <v>18</v>
      </c>
      <c r="K329" s="5" t="s">
        <v>49</v>
      </c>
      <c r="L329" s="5" t="s">
        <v>20</v>
      </c>
      <c r="M329" s="7" t="s">
        <v>21</v>
      </c>
      <c r="N329" s="26">
        <f t="shared" si="30"/>
        <v>0</v>
      </c>
      <c r="O329" s="42">
        <f t="shared" si="31"/>
        <v>45171</v>
      </c>
      <c r="P329" s="5" t="str">
        <f t="shared" si="32"/>
        <v>Saturday</v>
      </c>
      <c r="Q329" s="5">
        <f t="shared" si="33"/>
        <v>12</v>
      </c>
      <c r="R329" s="28">
        <f t="shared" si="34"/>
        <v>0.91082802547770703</v>
      </c>
      <c r="S329" s="29">
        <f t="shared" si="35"/>
        <v>91.082802547770697</v>
      </c>
      <c r="T329" s="5" t="str">
        <f>IF(Delivery_Data[[#This Row],[Delays (min)]]&gt;0,"No","Yes")</f>
        <v>No</v>
      </c>
    </row>
    <row r="330" spans="1:20" ht="15.75" customHeight="1" x14ac:dyDescent="0.3">
      <c r="A330" s="4">
        <v>1329</v>
      </c>
      <c r="B330" s="5" t="s">
        <v>460</v>
      </c>
      <c r="C330" s="6">
        <v>45175.588194444441</v>
      </c>
      <c r="D330" s="5" t="s">
        <v>14</v>
      </c>
      <c r="E330" s="5" t="s">
        <v>193</v>
      </c>
      <c r="F330" s="5" t="s">
        <v>16</v>
      </c>
      <c r="G330" s="5" t="s">
        <v>56</v>
      </c>
      <c r="H330" s="5">
        <v>191</v>
      </c>
      <c r="I330" s="5">
        <v>9</v>
      </c>
      <c r="J330" s="5" t="s">
        <v>26</v>
      </c>
      <c r="K330" s="5" t="s">
        <v>27</v>
      </c>
      <c r="L330" s="5" t="s">
        <v>40</v>
      </c>
      <c r="M330" s="7" t="s">
        <v>46</v>
      </c>
      <c r="N330" s="26">
        <f t="shared" si="30"/>
        <v>1</v>
      </c>
      <c r="O330" s="42">
        <f t="shared" si="31"/>
        <v>45175</v>
      </c>
      <c r="P330" s="5" t="str">
        <f t="shared" si="32"/>
        <v>Wednesday</v>
      </c>
      <c r="Q330" s="5">
        <f t="shared" si="33"/>
        <v>14</v>
      </c>
      <c r="R330" s="28">
        <f t="shared" si="34"/>
        <v>0.95499999999999996</v>
      </c>
      <c r="S330" s="29">
        <f t="shared" si="35"/>
        <v>95.5</v>
      </c>
      <c r="T330" s="5" t="str">
        <f>IF(Delivery_Data[[#This Row],[Delays (min)]]&gt;0,"No","Yes")</f>
        <v>No</v>
      </c>
    </row>
    <row r="331" spans="1:20" ht="15.75" customHeight="1" x14ac:dyDescent="0.3">
      <c r="A331" s="4">
        <v>1330</v>
      </c>
      <c r="B331" s="5" t="s">
        <v>461</v>
      </c>
      <c r="C331" s="6">
        <v>45177.584722222222</v>
      </c>
      <c r="D331" s="5" t="s">
        <v>43</v>
      </c>
      <c r="E331" s="5" t="s">
        <v>132</v>
      </c>
      <c r="F331" s="5" t="s">
        <v>16</v>
      </c>
      <c r="G331" s="5" t="s">
        <v>25</v>
      </c>
      <c r="H331" s="5">
        <v>84</v>
      </c>
      <c r="I331" s="5">
        <v>15</v>
      </c>
      <c r="J331" s="5" t="s">
        <v>26</v>
      </c>
      <c r="K331" s="5" t="s">
        <v>49</v>
      </c>
      <c r="L331" s="5" t="s">
        <v>20</v>
      </c>
      <c r="M331" s="7" t="s">
        <v>46</v>
      </c>
      <c r="N331" s="26">
        <f t="shared" si="30"/>
        <v>1</v>
      </c>
      <c r="O331" s="42">
        <f t="shared" si="31"/>
        <v>45177</v>
      </c>
      <c r="P331" s="5" t="str">
        <f t="shared" si="32"/>
        <v>Friday</v>
      </c>
      <c r="Q331" s="5">
        <f t="shared" si="33"/>
        <v>14</v>
      </c>
      <c r="R331" s="28">
        <f t="shared" si="34"/>
        <v>0.84848484848484851</v>
      </c>
      <c r="S331" s="29">
        <f t="shared" si="35"/>
        <v>84.848484848484844</v>
      </c>
      <c r="T331" s="5" t="str">
        <f>IF(Delivery_Data[[#This Row],[Delays (min)]]&gt;0,"No","Yes")</f>
        <v>No</v>
      </c>
    </row>
    <row r="332" spans="1:20" ht="15.75" customHeight="1" x14ac:dyDescent="0.3">
      <c r="A332" s="4">
        <v>1331</v>
      </c>
      <c r="B332" s="5" t="s">
        <v>462</v>
      </c>
      <c r="C332" s="6">
        <v>45173.695138888892</v>
      </c>
      <c r="D332" s="5" t="s">
        <v>43</v>
      </c>
      <c r="E332" s="5" t="s">
        <v>23</v>
      </c>
      <c r="F332" s="5" t="s">
        <v>24</v>
      </c>
      <c r="G332" s="5" t="s">
        <v>31</v>
      </c>
      <c r="H332" s="5">
        <v>91</v>
      </c>
      <c r="I332" s="5">
        <v>17</v>
      </c>
      <c r="J332" s="5" t="s">
        <v>18</v>
      </c>
      <c r="K332" s="5" t="s">
        <v>35</v>
      </c>
      <c r="L332" s="5" t="s">
        <v>20</v>
      </c>
      <c r="M332" s="7" t="s">
        <v>46</v>
      </c>
      <c r="N332" s="26">
        <f t="shared" si="30"/>
        <v>0</v>
      </c>
      <c r="O332" s="42">
        <f t="shared" si="31"/>
        <v>45173</v>
      </c>
      <c r="P332" s="5" t="str">
        <f t="shared" si="32"/>
        <v>Monday</v>
      </c>
      <c r="Q332" s="5">
        <f t="shared" si="33"/>
        <v>16</v>
      </c>
      <c r="R332" s="28">
        <f t="shared" si="34"/>
        <v>0.84259259259259256</v>
      </c>
      <c r="S332" s="29">
        <f t="shared" si="35"/>
        <v>84.259259259259252</v>
      </c>
      <c r="T332" s="5" t="str">
        <f>IF(Delivery_Data[[#This Row],[Delays (min)]]&gt;0,"No","Yes")</f>
        <v>No</v>
      </c>
    </row>
    <row r="333" spans="1:20" ht="15.75" customHeight="1" x14ac:dyDescent="0.3">
      <c r="A333" s="4">
        <v>1332</v>
      </c>
      <c r="B333" s="5" t="s">
        <v>463</v>
      </c>
      <c r="C333" s="6">
        <v>45174.438194444447</v>
      </c>
      <c r="D333" s="5" t="s">
        <v>43</v>
      </c>
      <c r="E333" s="5" t="s">
        <v>93</v>
      </c>
      <c r="F333" s="5" t="s">
        <v>38</v>
      </c>
      <c r="G333" s="5" t="s">
        <v>31</v>
      </c>
      <c r="H333" s="5">
        <v>90</v>
      </c>
      <c r="I333" s="5">
        <v>9</v>
      </c>
      <c r="J333" s="5" t="s">
        <v>26</v>
      </c>
      <c r="K333" s="5" t="s">
        <v>45</v>
      </c>
      <c r="L333" s="5" t="s">
        <v>20</v>
      </c>
      <c r="M333" s="7" t="s">
        <v>21</v>
      </c>
      <c r="N333" s="26">
        <f t="shared" si="30"/>
        <v>1</v>
      </c>
      <c r="O333" s="42">
        <f t="shared" si="31"/>
        <v>45174</v>
      </c>
      <c r="P333" s="5" t="str">
        <f t="shared" si="32"/>
        <v>Tuesday</v>
      </c>
      <c r="Q333" s="5">
        <f t="shared" si="33"/>
        <v>10</v>
      </c>
      <c r="R333" s="28">
        <f t="shared" si="34"/>
        <v>0.90909090909090906</v>
      </c>
      <c r="S333" s="29">
        <f t="shared" si="35"/>
        <v>90.909090909090907</v>
      </c>
      <c r="T333" s="5" t="str">
        <f>IF(Delivery_Data[[#This Row],[Delays (min)]]&gt;0,"No","Yes")</f>
        <v>No</v>
      </c>
    </row>
    <row r="334" spans="1:20" ht="15.75" customHeight="1" x14ac:dyDescent="0.3">
      <c r="A334" s="4">
        <v>1333</v>
      </c>
      <c r="B334" s="5" t="s">
        <v>464</v>
      </c>
      <c r="C334" s="6">
        <v>45173.690972222219</v>
      </c>
      <c r="D334" s="5" t="s">
        <v>14</v>
      </c>
      <c r="E334" s="5" t="s">
        <v>130</v>
      </c>
      <c r="F334" s="5" t="s">
        <v>24</v>
      </c>
      <c r="G334" s="5" t="s">
        <v>39</v>
      </c>
      <c r="H334" s="5">
        <v>185</v>
      </c>
      <c r="I334" s="5">
        <v>13</v>
      </c>
      <c r="J334" s="5" t="s">
        <v>32</v>
      </c>
      <c r="K334" s="5" t="s">
        <v>45</v>
      </c>
      <c r="L334" s="5" t="s">
        <v>40</v>
      </c>
      <c r="M334" s="7" t="s">
        <v>21</v>
      </c>
      <c r="N334" s="26">
        <f t="shared" si="30"/>
        <v>-1</v>
      </c>
      <c r="O334" s="42">
        <f t="shared" si="31"/>
        <v>45173</v>
      </c>
      <c r="P334" s="5" t="str">
        <f t="shared" si="32"/>
        <v>Monday</v>
      </c>
      <c r="Q334" s="5">
        <f t="shared" si="33"/>
        <v>16</v>
      </c>
      <c r="R334" s="28">
        <f t="shared" si="34"/>
        <v>0.93434343434343436</v>
      </c>
      <c r="S334" s="29">
        <f t="shared" si="35"/>
        <v>93.434343434343432</v>
      </c>
      <c r="T334" s="5" t="str">
        <f>IF(Delivery_Data[[#This Row],[Delays (min)]]&gt;0,"No","Yes")</f>
        <v>No</v>
      </c>
    </row>
    <row r="335" spans="1:20" ht="15.75" customHeight="1" x14ac:dyDescent="0.3">
      <c r="A335" s="4">
        <v>1334</v>
      </c>
      <c r="B335" s="5" t="s">
        <v>465</v>
      </c>
      <c r="C335" s="6">
        <v>45176.573611111111</v>
      </c>
      <c r="D335" s="5" t="s">
        <v>14</v>
      </c>
      <c r="E335" s="5" t="s">
        <v>204</v>
      </c>
      <c r="F335" s="5" t="s">
        <v>16</v>
      </c>
      <c r="G335" s="5" t="s">
        <v>17</v>
      </c>
      <c r="H335" s="5">
        <v>190</v>
      </c>
      <c r="I335" s="5">
        <v>28</v>
      </c>
      <c r="J335" s="5" t="s">
        <v>32</v>
      </c>
      <c r="K335" s="5" t="s">
        <v>35</v>
      </c>
      <c r="L335" s="5" t="s">
        <v>28</v>
      </c>
      <c r="M335" s="7" t="s">
        <v>41</v>
      </c>
      <c r="N335" s="26">
        <f t="shared" si="30"/>
        <v>-1</v>
      </c>
      <c r="O335" s="42">
        <f t="shared" si="31"/>
        <v>45176</v>
      </c>
      <c r="P335" s="5" t="str">
        <f t="shared" si="32"/>
        <v>Thursday</v>
      </c>
      <c r="Q335" s="5">
        <f t="shared" si="33"/>
        <v>13</v>
      </c>
      <c r="R335" s="28">
        <f t="shared" si="34"/>
        <v>0.87155963302752293</v>
      </c>
      <c r="S335" s="29">
        <f t="shared" si="35"/>
        <v>87.155963302752298</v>
      </c>
      <c r="T335" s="5" t="str">
        <f>IF(Delivery_Data[[#This Row],[Delays (min)]]&gt;0,"No","Yes")</f>
        <v>No</v>
      </c>
    </row>
    <row r="336" spans="1:20" ht="15.75" customHeight="1" x14ac:dyDescent="0.3">
      <c r="A336" s="4">
        <v>1335</v>
      </c>
      <c r="B336" s="5" t="s">
        <v>466</v>
      </c>
      <c r="C336" s="6">
        <v>45177.54583333333</v>
      </c>
      <c r="D336" s="5" t="s">
        <v>43</v>
      </c>
      <c r="E336" s="5" t="s">
        <v>93</v>
      </c>
      <c r="F336" s="5" t="s">
        <v>16</v>
      </c>
      <c r="G336" s="5" t="s">
        <v>39</v>
      </c>
      <c r="H336" s="5">
        <v>118</v>
      </c>
      <c r="I336" s="5">
        <v>18</v>
      </c>
      <c r="J336" s="5" t="s">
        <v>32</v>
      </c>
      <c r="K336" s="5" t="s">
        <v>49</v>
      </c>
      <c r="L336" s="5" t="s">
        <v>28</v>
      </c>
      <c r="M336" s="7" t="s">
        <v>21</v>
      </c>
      <c r="N336" s="26">
        <f t="shared" si="30"/>
        <v>-1</v>
      </c>
      <c r="O336" s="42">
        <f t="shared" si="31"/>
        <v>45177</v>
      </c>
      <c r="P336" s="5" t="str">
        <f t="shared" si="32"/>
        <v>Friday</v>
      </c>
      <c r="Q336" s="5">
        <f t="shared" si="33"/>
        <v>13</v>
      </c>
      <c r="R336" s="28">
        <f t="shared" si="34"/>
        <v>0.86764705882352944</v>
      </c>
      <c r="S336" s="29">
        <f t="shared" si="35"/>
        <v>86.764705882352942</v>
      </c>
      <c r="T336" s="5" t="str">
        <f>IF(Delivery_Data[[#This Row],[Delays (min)]]&gt;0,"No","Yes")</f>
        <v>No</v>
      </c>
    </row>
    <row r="337" spans="1:20" ht="15.75" customHeight="1" x14ac:dyDescent="0.3">
      <c r="A337" s="4">
        <v>1336</v>
      </c>
      <c r="B337" s="5" t="s">
        <v>467</v>
      </c>
      <c r="C337" s="6">
        <v>45174.59097222222</v>
      </c>
      <c r="D337" s="5" t="s">
        <v>43</v>
      </c>
      <c r="E337" s="5" t="s">
        <v>468</v>
      </c>
      <c r="F337" s="5" t="s">
        <v>24</v>
      </c>
      <c r="G337" s="5" t="s">
        <v>39</v>
      </c>
      <c r="H337" s="5">
        <v>237</v>
      </c>
      <c r="I337" s="5">
        <v>9</v>
      </c>
      <c r="J337" s="5" t="s">
        <v>26</v>
      </c>
      <c r="K337" s="5" t="s">
        <v>27</v>
      </c>
      <c r="L337" s="5" t="s">
        <v>28</v>
      </c>
      <c r="M337" s="7" t="s">
        <v>21</v>
      </c>
      <c r="N337" s="26">
        <f t="shared" si="30"/>
        <v>1</v>
      </c>
      <c r="O337" s="42">
        <f t="shared" si="31"/>
        <v>45174</v>
      </c>
      <c r="P337" s="5" t="str">
        <f t="shared" si="32"/>
        <v>Tuesday</v>
      </c>
      <c r="Q337" s="5">
        <f t="shared" si="33"/>
        <v>14</v>
      </c>
      <c r="R337" s="28">
        <f t="shared" si="34"/>
        <v>0.96341463414634143</v>
      </c>
      <c r="S337" s="29">
        <f t="shared" si="35"/>
        <v>96.341463414634148</v>
      </c>
      <c r="T337" s="5" t="str">
        <f>IF(Delivery_Data[[#This Row],[Delays (min)]]&gt;0,"No","Yes")</f>
        <v>No</v>
      </c>
    </row>
    <row r="338" spans="1:20" ht="15.75" customHeight="1" x14ac:dyDescent="0.3">
      <c r="A338" s="4">
        <v>1337</v>
      </c>
      <c r="B338" s="5" t="s">
        <v>469</v>
      </c>
      <c r="C338" s="6">
        <v>45176.37222222222</v>
      </c>
      <c r="D338" s="5" t="s">
        <v>14</v>
      </c>
      <c r="E338" s="5" t="s">
        <v>118</v>
      </c>
      <c r="F338" s="5" t="s">
        <v>16</v>
      </c>
      <c r="G338" s="5" t="s">
        <v>56</v>
      </c>
      <c r="H338" s="5">
        <v>67</v>
      </c>
      <c r="I338" s="5">
        <v>2</v>
      </c>
      <c r="J338" s="5" t="s">
        <v>26</v>
      </c>
      <c r="K338" s="5" t="s">
        <v>45</v>
      </c>
      <c r="L338" s="5" t="s">
        <v>40</v>
      </c>
      <c r="M338" s="7" t="s">
        <v>21</v>
      </c>
      <c r="N338" s="26">
        <f t="shared" si="30"/>
        <v>1</v>
      </c>
      <c r="O338" s="42">
        <f t="shared" si="31"/>
        <v>45176</v>
      </c>
      <c r="P338" s="5" t="str">
        <f t="shared" si="32"/>
        <v>Thursday</v>
      </c>
      <c r="Q338" s="5">
        <f t="shared" si="33"/>
        <v>8</v>
      </c>
      <c r="R338" s="28">
        <f t="shared" si="34"/>
        <v>0.97101449275362317</v>
      </c>
      <c r="S338" s="29">
        <f t="shared" si="35"/>
        <v>97.101449275362313</v>
      </c>
      <c r="T338" s="5" t="str">
        <f>IF(Delivery_Data[[#This Row],[Delays (min)]]&gt;0,"No","Yes")</f>
        <v>No</v>
      </c>
    </row>
    <row r="339" spans="1:20" ht="15.75" customHeight="1" x14ac:dyDescent="0.3">
      <c r="A339" s="4">
        <v>1338</v>
      </c>
      <c r="B339" s="5" t="s">
        <v>470</v>
      </c>
      <c r="C339" s="6">
        <v>45176.536805555559</v>
      </c>
      <c r="D339" s="5" t="s">
        <v>43</v>
      </c>
      <c r="E339" s="5" t="s">
        <v>158</v>
      </c>
      <c r="F339" s="5" t="s">
        <v>24</v>
      </c>
      <c r="G339" s="5" t="s">
        <v>25</v>
      </c>
      <c r="H339" s="5">
        <v>191</v>
      </c>
      <c r="I339" s="5">
        <v>10</v>
      </c>
      <c r="J339" s="5" t="s">
        <v>32</v>
      </c>
      <c r="K339" s="5" t="s">
        <v>45</v>
      </c>
      <c r="L339" s="5" t="s">
        <v>40</v>
      </c>
      <c r="M339" s="7" t="s">
        <v>46</v>
      </c>
      <c r="N339" s="26">
        <f t="shared" si="30"/>
        <v>-1</v>
      </c>
      <c r="O339" s="42">
        <f t="shared" si="31"/>
        <v>45176</v>
      </c>
      <c r="P339" s="5" t="str">
        <f t="shared" si="32"/>
        <v>Thursday</v>
      </c>
      <c r="Q339" s="5">
        <f t="shared" si="33"/>
        <v>12</v>
      </c>
      <c r="R339" s="28">
        <f t="shared" si="34"/>
        <v>0.95024875621890548</v>
      </c>
      <c r="S339" s="29">
        <f t="shared" si="35"/>
        <v>95.024875621890544</v>
      </c>
      <c r="T339" s="5" t="str">
        <f>IF(Delivery_Data[[#This Row],[Delays (min)]]&gt;0,"No","Yes")</f>
        <v>No</v>
      </c>
    </row>
    <row r="340" spans="1:20" ht="15.75" customHeight="1" x14ac:dyDescent="0.3">
      <c r="A340" s="4">
        <v>1339</v>
      </c>
      <c r="B340" s="5" t="s">
        <v>471</v>
      </c>
      <c r="C340" s="6">
        <v>45173.606944444444</v>
      </c>
      <c r="D340" s="5" t="s">
        <v>14</v>
      </c>
      <c r="E340" s="5" t="s">
        <v>243</v>
      </c>
      <c r="F340" s="5" t="s">
        <v>38</v>
      </c>
      <c r="G340" s="5" t="s">
        <v>25</v>
      </c>
      <c r="H340" s="5">
        <v>149</v>
      </c>
      <c r="I340" s="5">
        <v>7</v>
      </c>
      <c r="J340" s="5" t="s">
        <v>32</v>
      </c>
      <c r="K340" s="5" t="s">
        <v>19</v>
      </c>
      <c r="L340" s="5" t="s">
        <v>20</v>
      </c>
      <c r="M340" s="7" t="s">
        <v>21</v>
      </c>
      <c r="N340" s="26">
        <f t="shared" si="30"/>
        <v>-1</v>
      </c>
      <c r="O340" s="42">
        <f t="shared" si="31"/>
        <v>45173</v>
      </c>
      <c r="P340" s="5" t="str">
        <f t="shared" si="32"/>
        <v>Monday</v>
      </c>
      <c r="Q340" s="5">
        <f t="shared" si="33"/>
        <v>14</v>
      </c>
      <c r="R340" s="28">
        <f t="shared" si="34"/>
        <v>0.95512820512820518</v>
      </c>
      <c r="S340" s="29">
        <f t="shared" si="35"/>
        <v>95.512820512820511</v>
      </c>
      <c r="T340" s="5" t="str">
        <f>IF(Delivery_Data[[#This Row],[Delays (min)]]&gt;0,"No","Yes")</f>
        <v>No</v>
      </c>
    </row>
    <row r="341" spans="1:20" ht="15.75" customHeight="1" x14ac:dyDescent="0.3">
      <c r="A341" s="4">
        <v>1340</v>
      </c>
      <c r="B341" s="5" t="s">
        <v>472</v>
      </c>
      <c r="C341" s="6">
        <v>45176.540972222225</v>
      </c>
      <c r="D341" s="5" t="s">
        <v>43</v>
      </c>
      <c r="E341" s="5" t="s">
        <v>85</v>
      </c>
      <c r="F341" s="5" t="s">
        <v>38</v>
      </c>
      <c r="G341" s="5" t="s">
        <v>31</v>
      </c>
      <c r="H341" s="5">
        <v>215</v>
      </c>
      <c r="I341" s="5">
        <v>9</v>
      </c>
      <c r="J341" s="5" t="s">
        <v>32</v>
      </c>
      <c r="K341" s="5" t="s">
        <v>19</v>
      </c>
      <c r="L341" s="5" t="s">
        <v>28</v>
      </c>
      <c r="M341" s="7" t="s">
        <v>21</v>
      </c>
      <c r="N341" s="26">
        <f t="shared" si="30"/>
        <v>-1</v>
      </c>
      <c r="O341" s="42">
        <f t="shared" si="31"/>
        <v>45176</v>
      </c>
      <c r="P341" s="5" t="str">
        <f t="shared" si="32"/>
        <v>Thursday</v>
      </c>
      <c r="Q341" s="5">
        <f t="shared" si="33"/>
        <v>12</v>
      </c>
      <c r="R341" s="28">
        <f t="shared" si="34"/>
        <v>0.9598214285714286</v>
      </c>
      <c r="S341" s="29">
        <f t="shared" si="35"/>
        <v>95.982142857142861</v>
      </c>
      <c r="T341" s="5" t="str">
        <f>IF(Delivery_Data[[#This Row],[Delays (min)]]&gt;0,"No","Yes")</f>
        <v>No</v>
      </c>
    </row>
    <row r="342" spans="1:20" ht="15.75" customHeight="1" x14ac:dyDescent="0.3">
      <c r="A342" s="4">
        <v>1341</v>
      </c>
      <c r="B342" s="5" t="s">
        <v>473</v>
      </c>
      <c r="C342" s="6">
        <v>45177.345138888886</v>
      </c>
      <c r="D342" s="5" t="s">
        <v>43</v>
      </c>
      <c r="E342" s="5" t="s">
        <v>51</v>
      </c>
      <c r="F342" s="5" t="s">
        <v>38</v>
      </c>
      <c r="G342" s="5" t="s">
        <v>56</v>
      </c>
      <c r="H342" s="5">
        <v>211</v>
      </c>
      <c r="I342" s="5">
        <v>8</v>
      </c>
      <c r="J342" s="5" t="s">
        <v>18</v>
      </c>
      <c r="K342" s="5" t="s">
        <v>27</v>
      </c>
      <c r="L342" s="5" t="s">
        <v>40</v>
      </c>
      <c r="M342" s="7" t="s">
        <v>41</v>
      </c>
      <c r="N342" s="26">
        <f t="shared" si="30"/>
        <v>0</v>
      </c>
      <c r="O342" s="42">
        <f t="shared" si="31"/>
        <v>45177</v>
      </c>
      <c r="P342" s="5" t="str">
        <f t="shared" si="32"/>
        <v>Friday</v>
      </c>
      <c r="Q342" s="5">
        <f t="shared" si="33"/>
        <v>8</v>
      </c>
      <c r="R342" s="28">
        <f t="shared" si="34"/>
        <v>0.9634703196347032</v>
      </c>
      <c r="S342" s="29">
        <f t="shared" si="35"/>
        <v>96.347031963470315</v>
      </c>
      <c r="T342" s="5" t="str">
        <f>IF(Delivery_Data[[#This Row],[Delays (min)]]&gt;0,"No","Yes")</f>
        <v>No</v>
      </c>
    </row>
    <row r="343" spans="1:20" ht="15.75" customHeight="1" x14ac:dyDescent="0.3">
      <c r="A343" s="4">
        <v>1342</v>
      </c>
      <c r="B343" s="5" t="s">
        <v>474</v>
      </c>
      <c r="C343" s="6">
        <v>45172.679861111108</v>
      </c>
      <c r="D343" s="5" t="s">
        <v>43</v>
      </c>
      <c r="E343" s="5" t="s">
        <v>281</v>
      </c>
      <c r="F343" s="5" t="s">
        <v>16</v>
      </c>
      <c r="G343" s="5" t="s">
        <v>17</v>
      </c>
      <c r="H343" s="5">
        <v>185</v>
      </c>
      <c r="I343" s="5">
        <v>26</v>
      </c>
      <c r="J343" s="5" t="s">
        <v>26</v>
      </c>
      <c r="K343" s="5" t="s">
        <v>27</v>
      </c>
      <c r="L343" s="5" t="s">
        <v>28</v>
      </c>
      <c r="M343" s="7" t="s">
        <v>46</v>
      </c>
      <c r="N343" s="26">
        <f t="shared" si="30"/>
        <v>1</v>
      </c>
      <c r="O343" s="42">
        <f t="shared" si="31"/>
        <v>45172</v>
      </c>
      <c r="P343" s="5" t="str">
        <f t="shared" si="32"/>
        <v>Sunday</v>
      </c>
      <c r="Q343" s="5">
        <f t="shared" si="33"/>
        <v>16</v>
      </c>
      <c r="R343" s="28">
        <f t="shared" si="34"/>
        <v>0.87677725118483407</v>
      </c>
      <c r="S343" s="29">
        <f t="shared" si="35"/>
        <v>87.677725118483409</v>
      </c>
      <c r="T343" s="5" t="str">
        <f>IF(Delivery_Data[[#This Row],[Delays (min)]]&gt;0,"No","Yes")</f>
        <v>No</v>
      </c>
    </row>
    <row r="344" spans="1:20" ht="15.75" customHeight="1" x14ac:dyDescent="0.3">
      <c r="A344" s="4">
        <v>1343</v>
      </c>
      <c r="B344" s="5" t="s">
        <v>475</v>
      </c>
      <c r="C344" s="6">
        <v>45170.394444444442</v>
      </c>
      <c r="D344" s="5" t="s">
        <v>14</v>
      </c>
      <c r="E344" s="5" t="s">
        <v>311</v>
      </c>
      <c r="F344" s="5" t="s">
        <v>16</v>
      </c>
      <c r="G344" s="5" t="s">
        <v>39</v>
      </c>
      <c r="H344" s="5">
        <v>106</v>
      </c>
      <c r="I344" s="5">
        <v>24</v>
      </c>
      <c r="J344" s="5" t="s">
        <v>18</v>
      </c>
      <c r="K344" s="5" t="s">
        <v>27</v>
      </c>
      <c r="L344" s="5" t="s">
        <v>28</v>
      </c>
      <c r="M344" s="7" t="s">
        <v>41</v>
      </c>
      <c r="N344" s="26">
        <f t="shared" si="30"/>
        <v>0</v>
      </c>
      <c r="O344" s="42">
        <f t="shared" si="31"/>
        <v>45170</v>
      </c>
      <c r="P344" s="5" t="str">
        <f t="shared" si="32"/>
        <v>Friday</v>
      </c>
      <c r="Q344" s="5">
        <f t="shared" si="33"/>
        <v>9</v>
      </c>
      <c r="R344" s="28">
        <f t="shared" si="34"/>
        <v>0.81538461538461537</v>
      </c>
      <c r="S344" s="29">
        <f t="shared" si="35"/>
        <v>81.538461538461533</v>
      </c>
      <c r="T344" s="5" t="str">
        <f>IF(Delivery_Data[[#This Row],[Delays (min)]]&gt;0,"No","Yes")</f>
        <v>No</v>
      </c>
    </row>
    <row r="345" spans="1:20" ht="15.75" customHeight="1" x14ac:dyDescent="0.3">
      <c r="A345" s="4">
        <v>1344</v>
      </c>
      <c r="B345" s="5" t="s">
        <v>476</v>
      </c>
      <c r="C345" s="6">
        <v>45175.440972222219</v>
      </c>
      <c r="D345" s="5" t="s">
        <v>43</v>
      </c>
      <c r="E345" s="5" t="s">
        <v>30</v>
      </c>
      <c r="F345" s="5" t="s">
        <v>24</v>
      </c>
      <c r="G345" s="5" t="s">
        <v>25</v>
      </c>
      <c r="H345" s="5">
        <v>156</v>
      </c>
      <c r="I345" s="5">
        <v>15</v>
      </c>
      <c r="J345" s="5" t="s">
        <v>32</v>
      </c>
      <c r="K345" s="5" t="s">
        <v>45</v>
      </c>
      <c r="L345" s="5" t="s">
        <v>20</v>
      </c>
      <c r="M345" s="7" t="s">
        <v>46</v>
      </c>
      <c r="N345" s="26">
        <f t="shared" si="30"/>
        <v>-1</v>
      </c>
      <c r="O345" s="42">
        <f t="shared" si="31"/>
        <v>45175</v>
      </c>
      <c r="P345" s="5" t="str">
        <f t="shared" si="32"/>
        <v>Wednesday</v>
      </c>
      <c r="Q345" s="5">
        <f t="shared" si="33"/>
        <v>10</v>
      </c>
      <c r="R345" s="28">
        <f t="shared" si="34"/>
        <v>0.91228070175438591</v>
      </c>
      <c r="S345" s="29">
        <f t="shared" si="35"/>
        <v>91.228070175438589</v>
      </c>
      <c r="T345" s="5" t="str">
        <f>IF(Delivery_Data[[#This Row],[Delays (min)]]&gt;0,"No","Yes")</f>
        <v>No</v>
      </c>
    </row>
    <row r="346" spans="1:20" ht="15.75" customHeight="1" x14ac:dyDescent="0.3">
      <c r="A346" s="4">
        <v>1345</v>
      </c>
      <c r="B346" s="5" t="s">
        <v>477</v>
      </c>
      <c r="C346" s="6">
        <v>45172.39166666667</v>
      </c>
      <c r="D346" s="5" t="s">
        <v>43</v>
      </c>
      <c r="E346" s="5" t="s">
        <v>468</v>
      </c>
      <c r="F346" s="5" t="s">
        <v>38</v>
      </c>
      <c r="G346" s="5" t="s">
        <v>17</v>
      </c>
      <c r="H346" s="5">
        <v>203</v>
      </c>
      <c r="I346" s="5">
        <v>1</v>
      </c>
      <c r="J346" s="5" t="s">
        <v>32</v>
      </c>
      <c r="K346" s="5" t="s">
        <v>27</v>
      </c>
      <c r="L346" s="5" t="s">
        <v>20</v>
      </c>
      <c r="M346" s="7" t="s">
        <v>21</v>
      </c>
      <c r="N346" s="26">
        <f t="shared" si="30"/>
        <v>-1</v>
      </c>
      <c r="O346" s="42">
        <f t="shared" si="31"/>
        <v>45172</v>
      </c>
      <c r="P346" s="5" t="str">
        <f t="shared" si="32"/>
        <v>Sunday</v>
      </c>
      <c r="Q346" s="5">
        <f t="shared" si="33"/>
        <v>9</v>
      </c>
      <c r="R346" s="28">
        <f t="shared" si="34"/>
        <v>0.99509803921568629</v>
      </c>
      <c r="S346" s="29">
        <f t="shared" si="35"/>
        <v>99.509803921568633</v>
      </c>
      <c r="T346" s="5" t="str">
        <f>IF(Delivery_Data[[#This Row],[Delays (min)]]&gt;0,"No","Yes")</f>
        <v>No</v>
      </c>
    </row>
    <row r="347" spans="1:20" ht="15.75" customHeight="1" x14ac:dyDescent="0.3">
      <c r="A347" s="4">
        <v>1346</v>
      </c>
      <c r="B347" s="5" t="s">
        <v>478</v>
      </c>
      <c r="C347" s="6">
        <v>45175.457638888889</v>
      </c>
      <c r="D347" s="5" t="s">
        <v>14</v>
      </c>
      <c r="E347" s="5" t="s">
        <v>87</v>
      </c>
      <c r="F347" s="5" t="s">
        <v>24</v>
      </c>
      <c r="G347" s="5" t="s">
        <v>56</v>
      </c>
      <c r="H347" s="5">
        <v>110</v>
      </c>
      <c r="I347" s="5">
        <v>12</v>
      </c>
      <c r="J347" s="5" t="s">
        <v>32</v>
      </c>
      <c r="K347" s="5" t="s">
        <v>35</v>
      </c>
      <c r="L347" s="5" t="s">
        <v>20</v>
      </c>
      <c r="M347" s="7" t="s">
        <v>21</v>
      </c>
      <c r="N347" s="26">
        <f t="shared" si="30"/>
        <v>-1</v>
      </c>
      <c r="O347" s="42">
        <f t="shared" si="31"/>
        <v>45175</v>
      </c>
      <c r="P347" s="5" t="str">
        <f t="shared" si="32"/>
        <v>Wednesday</v>
      </c>
      <c r="Q347" s="5">
        <f t="shared" si="33"/>
        <v>10</v>
      </c>
      <c r="R347" s="28">
        <f t="shared" si="34"/>
        <v>0.90163934426229508</v>
      </c>
      <c r="S347" s="29">
        <f t="shared" si="35"/>
        <v>90.163934426229503</v>
      </c>
      <c r="T347" s="5" t="str">
        <f>IF(Delivery_Data[[#This Row],[Delays (min)]]&gt;0,"No","Yes")</f>
        <v>No</v>
      </c>
    </row>
    <row r="348" spans="1:20" ht="15.75" customHeight="1" x14ac:dyDescent="0.3">
      <c r="A348" s="4">
        <v>1347</v>
      </c>
      <c r="B348" s="5" t="s">
        <v>479</v>
      </c>
      <c r="C348" s="6">
        <v>45176.494444444441</v>
      </c>
      <c r="D348" s="5" t="s">
        <v>14</v>
      </c>
      <c r="E348" s="5" t="s">
        <v>99</v>
      </c>
      <c r="F348" s="5" t="s">
        <v>38</v>
      </c>
      <c r="G348" s="5" t="s">
        <v>31</v>
      </c>
      <c r="H348" s="5">
        <v>185</v>
      </c>
      <c r="I348" s="5">
        <v>12</v>
      </c>
      <c r="J348" s="5" t="s">
        <v>26</v>
      </c>
      <c r="K348" s="5" t="s">
        <v>35</v>
      </c>
      <c r="L348" s="5" t="s">
        <v>28</v>
      </c>
      <c r="M348" s="7" t="s">
        <v>46</v>
      </c>
      <c r="N348" s="26">
        <f t="shared" si="30"/>
        <v>1</v>
      </c>
      <c r="O348" s="42">
        <f t="shared" si="31"/>
        <v>45176</v>
      </c>
      <c r="P348" s="5" t="str">
        <f t="shared" si="32"/>
        <v>Thursday</v>
      </c>
      <c r="Q348" s="5">
        <f t="shared" si="33"/>
        <v>11</v>
      </c>
      <c r="R348" s="28">
        <f t="shared" si="34"/>
        <v>0.93908629441624369</v>
      </c>
      <c r="S348" s="29">
        <f t="shared" si="35"/>
        <v>93.90862944162437</v>
      </c>
      <c r="T348" s="5" t="str">
        <f>IF(Delivery_Data[[#This Row],[Delays (min)]]&gt;0,"No","Yes")</f>
        <v>No</v>
      </c>
    </row>
    <row r="349" spans="1:20" ht="15.75" customHeight="1" x14ac:dyDescent="0.3">
      <c r="A349" s="4">
        <v>1348</v>
      </c>
      <c r="B349" s="5" t="s">
        <v>480</v>
      </c>
      <c r="C349" s="6">
        <v>45172.523611111108</v>
      </c>
      <c r="D349" s="5" t="s">
        <v>14</v>
      </c>
      <c r="E349" s="5" t="s">
        <v>34</v>
      </c>
      <c r="F349" s="5" t="s">
        <v>24</v>
      </c>
      <c r="G349" s="5" t="s">
        <v>39</v>
      </c>
      <c r="H349" s="5">
        <v>156</v>
      </c>
      <c r="I349" s="5">
        <v>1</v>
      </c>
      <c r="J349" s="5" t="s">
        <v>32</v>
      </c>
      <c r="K349" s="5" t="s">
        <v>27</v>
      </c>
      <c r="L349" s="5" t="s">
        <v>40</v>
      </c>
      <c r="M349" s="7" t="s">
        <v>41</v>
      </c>
      <c r="N349" s="26">
        <f t="shared" si="30"/>
        <v>-1</v>
      </c>
      <c r="O349" s="42">
        <f t="shared" si="31"/>
        <v>45172</v>
      </c>
      <c r="P349" s="5" t="str">
        <f t="shared" si="32"/>
        <v>Sunday</v>
      </c>
      <c r="Q349" s="5">
        <f t="shared" si="33"/>
        <v>12</v>
      </c>
      <c r="R349" s="28">
        <f t="shared" si="34"/>
        <v>0.99363057324840764</v>
      </c>
      <c r="S349" s="29">
        <f t="shared" si="35"/>
        <v>99.363057324840767</v>
      </c>
      <c r="T349" s="5" t="str">
        <f>IF(Delivery_Data[[#This Row],[Delays (min)]]&gt;0,"No","Yes")</f>
        <v>No</v>
      </c>
    </row>
    <row r="350" spans="1:20" ht="15.75" customHeight="1" x14ac:dyDescent="0.3">
      <c r="A350" s="4">
        <v>1349</v>
      </c>
      <c r="B350" s="5" t="s">
        <v>481</v>
      </c>
      <c r="C350" s="6">
        <v>45173.355555555558</v>
      </c>
      <c r="D350" s="5" t="s">
        <v>43</v>
      </c>
      <c r="E350" s="5" t="s">
        <v>53</v>
      </c>
      <c r="F350" s="5" t="s">
        <v>24</v>
      </c>
      <c r="G350" s="5" t="s">
        <v>17</v>
      </c>
      <c r="H350" s="5">
        <v>237</v>
      </c>
      <c r="I350" s="5">
        <v>6</v>
      </c>
      <c r="J350" s="5" t="s">
        <v>32</v>
      </c>
      <c r="K350" s="5" t="s">
        <v>19</v>
      </c>
      <c r="L350" s="5" t="s">
        <v>20</v>
      </c>
      <c r="M350" s="7" t="s">
        <v>21</v>
      </c>
      <c r="N350" s="26">
        <f t="shared" si="30"/>
        <v>-1</v>
      </c>
      <c r="O350" s="42">
        <f t="shared" si="31"/>
        <v>45173</v>
      </c>
      <c r="P350" s="5" t="str">
        <f t="shared" si="32"/>
        <v>Monday</v>
      </c>
      <c r="Q350" s="5">
        <f t="shared" si="33"/>
        <v>8</v>
      </c>
      <c r="R350" s="28">
        <f t="shared" si="34"/>
        <v>0.97530864197530864</v>
      </c>
      <c r="S350" s="29">
        <f t="shared" si="35"/>
        <v>97.53086419753086</v>
      </c>
      <c r="T350" s="5" t="str">
        <f>IF(Delivery_Data[[#This Row],[Delays (min)]]&gt;0,"No","Yes")</f>
        <v>No</v>
      </c>
    </row>
    <row r="351" spans="1:20" ht="15.75" customHeight="1" x14ac:dyDescent="0.3">
      <c r="A351" s="4">
        <v>1350</v>
      </c>
      <c r="B351" s="5" t="s">
        <v>482</v>
      </c>
      <c r="C351" s="6">
        <v>45176.523611111108</v>
      </c>
      <c r="D351" s="5" t="s">
        <v>43</v>
      </c>
      <c r="E351" s="5" t="s">
        <v>193</v>
      </c>
      <c r="F351" s="5" t="s">
        <v>24</v>
      </c>
      <c r="G351" s="5" t="s">
        <v>25</v>
      </c>
      <c r="H351" s="5">
        <v>107</v>
      </c>
      <c r="I351" s="5">
        <v>26</v>
      </c>
      <c r="J351" s="5" t="s">
        <v>32</v>
      </c>
      <c r="K351" s="5" t="s">
        <v>27</v>
      </c>
      <c r="L351" s="5" t="s">
        <v>28</v>
      </c>
      <c r="M351" s="7" t="s">
        <v>41</v>
      </c>
      <c r="N351" s="26">
        <f t="shared" si="30"/>
        <v>-1</v>
      </c>
      <c r="O351" s="42">
        <f t="shared" si="31"/>
        <v>45176</v>
      </c>
      <c r="P351" s="5" t="str">
        <f t="shared" si="32"/>
        <v>Thursday</v>
      </c>
      <c r="Q351" s="5">
        <f t="shared" si="33"/>
        <v>12</v>
      </c>
      <c r="R351" s="28">
        <f t="shared" si="34"/>
        <v>0.80451127819548873</v>
      </c>
      <c r="S351" s="29">
        <f t="shared" si="35"/>
        <v>80.451127819548873</v>
      </c>
      <c r="T351" s="5" t="str">
        <f>IF(Delivery_Data[[#This Row],[Delays (min)]]&gt;0,"No","Yes")</f>
        <v>No</v>
      </c>
    </row>
    <row r="352" spans="1:20" ht="15.75" customHeight="1" x14ac:dyDescent="0.3">
      <c r="A352" s="4">
        <v>1351</v>
      </c>
      <c r="B352" s="5" t="s">
        <v>483</v>
      </c>
      <c r="C352" s="6">
        <v>45173.697222222225</v>
      </c>
      <c r="D352" s="5" t="s">
        <v>14</v>
      </c>
      <c r="E352" s="5" t="s">
        <v>111</v>
      </c>
      <c r="F352" s="5" t="s">
        <v>38</v>
      </c>
      <c r="G352" s="5" t="s">
        <v>17</v>
      </c>
      <c r="H352" s="5">
        <v>176</v>
      </c>
      <c r="I352" s="5">
        <v>16</v>
      </c>
      <c r="J352" s="5" t="s">
        <v>26</v>
      </c>
      <c r="K352" s="5" t="s">
        <v>49</v>
      </c>
      <c r="L352" s="5" t="s">
        <v>28</v>
      </c>
      <c r="M352" s="7" t="s">
        <v>41</v>
      </c>
      <c r="N352" s="26">
        <f t="shared" si="30"/>
        <v>1</v>
      </c>
      <c r="O352" s="42">
        <f t="shared" si="31"/>
        <v>45173</v>
      </c>
      <c r="P352" s="5" t="str">
        <f t="shared" si="32"/>
        <v>Monday</v>
      </c>
      <c r="Q352" s="5">
        <f t="shared" si="33"/>
        <v>16</v>
      </c>
      <c r="R352" s="28">
        <f t="shared" si="34"/>
        <v>0.91666666666666663</v>
      </c>
      <c r="S352" s="29">
        <f t="shared" si="35"/>
        <v>91.666666666666657</v>
      </c>
      <c r="T352" s="5" t="str">
        <f>IF(Delivery_Data[[#This Row],[Delays (min)]]&gt;0,"No","Yes")</f>
        <v>No</v>
      </c>
    </row>
    <row r="353" spans="1:20" ht="15.75" customHeight="1" x14ac:dyDescent="0.3">
      <c r="A353" s="4">
        <v>1352</v>
      </c>
      <c r="B353" s="5" t="s">
        <v>484</v>
      </c>
      <c r="C353" s="6">
        <v>45176.37222222222</v>
      </c>
      <c r="D353" s="5" t="s">
        <v>14</v>
      </c>
      <c r="E353" s="5" t="s">
        <v>220</v>
      </c>
      <c r="F353" s="5" t="s">
        <v>24</v>
      </c>
      <c r="G353" s="5" t="s">
        <v>56</v>
      </c>
      <c r="H353" s="5">
        <v>130</v>
      </c>
      <c r="I353" s="5">
        <v>14</v>
      </c>
      <c r="J353" s="5" t="s">
        <v>26</v>
      </c>
      <c r="K353" s="5" t="s">
        <v>35</v>
      </c>
      <c r="L353" s="5" t="s">
        <v>40</v>
      </c>
      <c r="M353" s="7" t="s">
        <v>46</v>
      </c>
      <c r="N353" s="26">
        <f t="shared" si="30"/>
        <v>1</v>
      </c>
      <c r="O353" s="42">
        <f t="shared" si="31"/>
        <v>45176</v>
      </c>
      <c r="P353" s="5" t="str">
        <f t="shared" si="32"/>
        <v>Thursday</v>
      </c>
      <c r="Q353" s="5">
        <f t="shared" si="33"/>
        <v>8</v>
      </c>
      <c r="R353" s="28">
        <f t="shared" si="34"/>
        <v>0.90277777777777779</v>
      </c>
      <c r="S353" s="29">
        <f t="shared" si="35"/>
        <v>90.277777777777786</v>
      </c>
      <c r="T353" s="5" t="str">
        <f>IF(Delivery_Data[[#This Row],[Delays (min)]]&gt;0,"No","Yes")</f>
        <v>No</v>
      </c>
    </row>
    <row r="354" spans="1:20" ht="15.75" customHeight="1" x14ac:dyDescent="0.3">
      <c r="A354" s="4">
        <v>1353</v>
      </c>
      <c r="B354" s="5" t="s">
        <v>485</v>
      </c>
      <c r="C354" s="6">
        <v>45176.427777777775</v>
      </c>
      <c r="D354" s="5" t="s">
        <v>14</v>
      </c>
      <c r="E354" s="5" t="s">
        <v>143</v>
      </c>
      <c r="F354" s="5" t="s">
        <v>16</v>
      </c>
      <c r="G354" s="5" t="s">
        <v>56</v>
      </c>
      <c r="H354" s="5">
        <v>83</v>
      </c>
      <c r="I354" s="5">
        <v>19</v>
      </c>
      <c r="J354" s="5" t="s">
        <v>18</v>
      </c>
      <c r="K354" s="5" t="s">
        <v>35</v>
      </c>
      <c r="L354" s="5" t="s">
        <v>20</v>
      </c>
      <c r="M354" s="7" t="s">
        <v>41</v>
      </c>
      <c r="N354" s="26">
        <f t="shared" si="30"/>
        <v>0</v>
      </c>
      <c r="O354" s="42">
        <f t="shared" si="31"/>
        <v>45176</v>
      </c>
      <c r="P354" s="5" t="str">
        <f t="shared" si="32"/>
        <v>Thursday</v>
      </c>
      <c r="Q354" s="5">
        <f t="shared" si="33"/>
        <v>10</v>
      </c>
      <c r="R354" s="28">
        <f t="shared" si="34"/>
        <v>0.81372549019607843</v>
      </c>
      <c r="S354" s="29">
        <f t="shared" si="35"/>
        <v>81.372549019607845</v>
      </c>
      <c r="T354" s="5" t="str">
        <f>IF(Delivery_Data[[#This Row],[Delays (min)]]&gt;0,"No","Yes")</f>
        <v>No</v>
      </c>
    </row>
    <row r="355" spans="1:20" ht="15.75" customHeight="1" x14ac:dyDescent="0.3">
      <c r="A355" s="4">
        <v>1354</v>
      </c>
      <c r="B355" s="5" t="s">
        <v>486</v>
      </c>
      <c r="C355" s="6">
        <v>45177.631249999999</v>
      </c>
      <c r="D355" s="5" t="s">
        <v>43</v>
      </c>
      <c r="E355" s="5" t="s">
        <v>261</v>
      </c>
      <c r="F355" s="5" t="s">
        <v>24</v>
      </c>
      <c r="G355" s="5" t="s">
        <v>31</v>
      </c>
      <c r="H355" s="5">
        <v>146</v>
      </c>
      <c r="I355" s="5">
        <v>17</v>
      </c>
      <c r="J355" s="5" t="s">
        <v>32</v>
      </c>
      <c r="K355" s="5" t="s">
        <v>49</v>
      </c>
      <c r="L355" s="5" t="s">
        <v>28</v>
      </c>
      <c r="M355" s="7" t="s">
        <v>21</v>
      </c>
      <c r="N355" s="26">
        <f t="shared" si="30"/>
        <v>-1</v>
      </c>
      <c r="O355" s="42">
        <f t="shared" si="31"/>
        <v>45177</v>
      </c>
      <c r="P355" s="5" t="str">
        <f t="shared" si="32"/>
        <v>Friday</v>
      </c>
      <c r="Q355" s="5">
        <f t="shared" si="33"/>
        <v>15</v>
      </c>
      <c r="R355" s="28">
        <f t="shared" si="34"/>
        <v>0.89570552147239269</v>
      </c>
      <c r="S355" s="29">
        <f t="shared" si="35"/>
        <v>89.570552147239269</v>
      </c>
      <c r="T355" s="5" t="str">
        <f>IF(Delivery_Data[[#This Row],[Delays (min)]]&gt;0,"No","Yes")</f>
        <v>No</v>
      </c>
    </row>
    <row r="356" spans="1:20" ht="15.75" customHeight="1" x14ac:dyDescent="0.3">
      <c r="A356" s="4">
        <v>1355</v>
      </c>
      <c r="B356" s="5" t="s">
        <v>487</v>
      </c>
      <c r="C356" s="6">
        <v>45170.393750000003</v>
      </c>
      <c r="D356" s="5" t="s">
        <v>14</v>
      </c>
      <c r="E356" s="5" t="s">
        <v>83</v>
      </c>
      <c r="F356" s="5" t="s">
        <v>24</v>
      </c>
      <c r="G356" s="5" t="s">
        <v>31</v>
      </c>
      <c r="H356" s="5">
        <v>126</v>
      </c>
      <c r="I356" s="5">
        <v>9</v>
      </c>
      <c r="J356" s="5" t="s">
        <v>26</v>
      </c>
      <c r="K356" s="5" t="s">
        <v>35</v>
      </c>
      <c r="L356" s="5" t="s">
        <v>20</v>
      </c>
      <c r="M356" s="7" t="s">
        <v>21</v>
      </c>
      <c r="N356" s="26">
        <f t="shared" si="30"/>
        <v>1</v>
      </c>
      <c r="O356" s="42">
        <f t="shared" si="31"/>
        <v>45170</v>
      </c>
      <c r="P356" s="5" t="str">
        <f t="shared" si="32"/>
        <v>Friday</v>
      </c>
      <c r="Q356" s="5">
        <f t="shared" si="33"/>
        <v>9</v>
      </c>
      <c r="R356" s="28">
        <f t="shared" si="34"/>
        <v>0.93333333333333335</v>
      </c>
      <c r="S356" s="29">
        <f t="shared" si="35"/>
        <v>93.333333333333329</v>
      </c>
      <c r="T356" s="5" t="str">
        <f>IF(Delivery_Data[[#This Row],[Delays (min)]]&gt;0,"No","Yes")</f>
        <v>No</v>
      </c>
    </row>
    <row r="357" spans="1:20" ht="15.75" customHeight="1" x14ac:dyDescent="0.3">
      <c r="A357" s="4">
        <v>1356</v>
      </c>
      <c r="B357" s="5" t="s">
        <v>488</v>
      </c>
      <c r="C357" s="6">
        <v>45174.378472222219</v>
      </c>
      <c r="D357" s="5" t="s">
        <v>43</v>
      </c>
      <c r="E357" s="5" t="s">
        <v>51</v>
      </c>
      <c r="F357" s="5" t="s">
        <v>38</v>
      </c>
      <c r="G357" s="5" t="s">
        <v>25</v>
      </c>
      <c r="H357" s="5">
        <v>81</v>
      </c>
      <c r="I357" s="5">
        <v>3</v>
      </c>
      <c r="J357" s="5" t="s">
        <v>32</v>
      </c>
      <c r="K357" s="5" t="s">
        <v>49</v>
      </c>
      <c r="L357" s="5" t="s">
        <v>20</v>
      </c>
      <c r="M357" s="7" t="s">
        <v>41</v>
      </c>
      <c r="N357" s="26">
        <f t="shared" si="30"/>
        <v>-1</v>
      </c>
      <c r="O357" s="42">
        <f t="shared" si="31"/>
        <v>45174</v>
      </c>
      <c r="P357" s="5" t="str">
        <f t="shared" si="32"/>
        <v>Tuesday</v>
      </c>
      <c r="Q357" s="5">
        <f t="shared" si="33"/>
        <v>9</v>
      </c>
      <c r="R357" s="28">
        <f t="shared" si="34"/>
        <v>0.9642857142857143</v>
      </c>
      <c r="S357" s="29">
        <f t="shared" si="35"/>
        <v>96.428571428571431</v>
      </c>
      <c r="T357" s="5" t="str">
        <f>IF(Delivery_Data[[#This Row],[Delays (min)]]&gt;0,"No","Yes")</f>
        <v>No</v>
      </c>
    </row>
    <row r="358" spans="1:20" ht="15.75" customHeight="1" x14ac:dyDescent="0.3">
      <c r="A358" s="4">
        <v>1357</v>
      </c>
      <c r="B358" s="5" t="s">
        <v>489</v>
      </c>
      <c r="C358" s="6">
        <v>45171.384027777778</v>
      </c>
      <c r="D358" s="5" t="s">
        <v>14</v>
      </c>
      <c r="E358" s="5" t="s">
        <v>240</v>
      </c>
      <c r="F358" s="5" t="s">
        <v>24</v>
      </c>
      <c r="G358" s="5" t="s">
        <v>56</v>
      </c>
      <c r="H358" s="5">
        <v>152</v>
      </c>
      <c r="I358" s="5">
        <v>18</v>
      </c>
      <c r="J358" s="5" t="s">
        <v>32</v>
      </c>
      <c r="K358" s="5" t="s">
        <v>49</v>
      </c>
      <c r="L358" s="5" t="s">
        <v>20</v>
      </c>
      <c r="M358" s="7" t="s">
        <v>46</v>
      </c>
      <c r="N358" s="26">
        <f t="shared" si="30"/>
        <v>-1</v>
      </c>
      <c r="O358" s="42">
        <f t="shared" si="31"/>
        <v>45171</v>
      </c>
      <c r="P358" s="5" t="str">
        <f t="shared" si="32"/>
        <v>Saturday</v>
      </c>
      <c r="Q358" s="5">
        <f t="shared" si="33"/>
        <v>9</v>
      </c>
      <c r="R358" s="28">
        <f t="shared" si="34"/>
        <v>0.89411764705882357</v>
      </c>
      <c r="S358" s="29">
        <f t="shared" si="35"/>
        <v>89.411764705882362</v>
      </c>
      <c r="T358" s="5" t="str">
        <f>IF(Delivery_Data[[#This Row],[Delays (min)]]&gt;0,"No","Yes")</f>
        <v>No</v>
      </c>
    </row>
    <row r="359" spans="1:20" ht="15.75" customHeight="1" x14ac:dyDescent="0.3">
      <c r="A359" s="4">
        <v>1358</v>
      </c>
      <c r="B359" s="5" t="s">
        <v>490</v>
      </c>
      <c r="C359" s="6">
        <v>45172.473611111112</v>
      </c>
      <c r="D359" s="5" t="s">
        <v>14</v>
      </c>
      <c r="E359" s="5" t="s">
        <v>177</v>
      </c>
      <c r="F359" s="5" t="s">
        <v>24</v>
      </c>
      <c r="G359" s="5" t="s">
        <v>25</v>
      </c>
      <c r="H359" s="5">
        <v>110</v>
      </c>
      <c r="I359" s="5">
        <v>15</v>
      </c>
      <c r="J359" s="5" t="s">
        <v>32</v>
      </c>
      <c r="K359" s="5" t="s">
        <v>49</v>
      </c>
      <c r="L359" s="5" t="s">
        <v>40</v>
      </c>
      <c r="M359" s="7" t="s">
        <v>41</v>
      </c>
      <c r="N359" s="26">
        <f t="shared" si="30"/>
        <v>-1</v>
      </c>
      <c r="O359" s="42">
        <f t="shared" si="31"/>
        <v>45172</v>
      </c>
      <c r="P359" s="5" t="str">
        <f t="shared" si="32"/>
        <v>Sunday</v>
      </c>
      <c r="Q359" s="5">
        <f t="shared" si="33"/>
        <v>11</v>
      </c>
      <c r="R359" s="28">
        <f t="shared" si="34"/>
        <v>0.88</v>
      </c>
      <c r="S359" s="29">
        <f t="shared" si="35"/>
        <v>88</v>
      </c>
      <c r="T359" s="5" t="str">
        <f>IF(Delivery_Data[[#This Row],[Delays (min)]]&gt;0,"No","Yes")</f>
        <v>No</v>
      </c>
    </row>
    <row r="360" spans="1:20" ht="15.75" customHeight="1" x14ac:dyDescent="0.3">
      <c r="A360" s="4">
        <v>1359</v>
      </c>
      <c r="B360" s="5" t="s">
        <v>491</v>
      </c>
      <c r="C360" s="6">
        <v>45176.489583333336</v>
      </c>
      <c r="D360" s="5" t="s">
        <v>14</v>
      </c>
      <c r="E360" s="5" t="s">
        <v>135</v>
      </c>
      <c r="F360" s="5" t="s">
        <v>38</v>
      </c>
      <c r="G360" s="5" t="s">
        <v>31</v>
      </c>
      <c r="H360" s="5">
        <v>164</v>
      </c>
      <c r="I360" s="5">
        <v>1</v>
      </c>
      <c r="J360" s="5" t="s">
        <v>26</v>
      </c>
      <c r="K360" s="5" t="s">
        <v>35</v>
      </c>
      <c r="L360" s="5" t="s">
        <v>20</v>
      </c>
      <c r="M360" s="7" t="s">
        <v>46</v>
      </c>
      <c r="N360" s="26">
        <f t="shared" si="30"/>
        <v>1</v>
      </c>
      <c r="O360" s="42">
        <f t="shared" si="31"/>
        <v>45176</v>
      </c>
      <c r="P360" s="5" t="str">
        <f t="shared" si="32"/>
        <v>Thursday</v>
      </c>
      <c r="Q360" s="5">
        <f t="shared" si="33"/>
        <v>11</v>
      </c>
      <c r="R360" s="28">
        <f t="shared" si="34"/>
        <v>0.9939393939393939</v>
      </c>
      <c r="S360" s="29">
        <f t="shared" si="35"/>
        <v>99.393939393939391</v>
      </c>
      <c r="T360" s="5" t="str">
        <f>IF(Delivery_Data[[#This Row],[Delays (min)]]&gt;0,"No","Yes")</f>
        <v>No</v>
      </c>
    </row>
    <row r="361" spans="1:20" ht="15.75" customHeight="1" x14ac:dyDescent="0.3">
      <c r="A361" s="4">
        <v>1360</v>
      </c>
      <c r="B361" s="5" t="s">
        <v>492</v>
      </c>
      <c r="C361" s="6">
        <v>45173.384722222225</v>
      </c>
      <c r="D361" s="5" t="s">
        <v>14</v>
      </c>
      <c r="E361" s="5" t="s">
        <v>301</v>
      </c>
      <c r="F361" s="5" t="s">
        <v>16</v>
      </c>
      <c r="G361" s="5" t="s">
        <v>39</v>
      </c>
      <c r="H361" s="5">
        <v>171</v>
      </c>
      <c r="I361" s="5">
        <v>27</v>
      </c>
      <c r="J361" s="5" t="s">
        <v>32</v>
      </c>
      <c r="K361" s="5" t="s">
        <v>35</v>
      </c>
      <c r="L361" s="5" t="s">
        <v>28</v>
      </c>
      <c r="M361" s="7" t="s">
        <v>41</v>
      </c>
      <c r="N361" s="26">
        <f t="shared" si="30"/>
        <v>-1</v>
      </c>
      <c r="O361" s="42">
        <f t="shared" si="31"/>
        <v>45173</v>
      </c>
      <c r="P361" s="5" t="str">
        <f t="shared" si="32"/>
        <v>Monday</v>
      </c>
      <c r="Q361" s="5">
        <f t="shared" si="33"/>
        <v>9</v>
      </c>
      <c r="R361" s="28">
        <f t="shared" si="34"/>
        <v>0.86363636363636365</v>
      </c>
      <c r="S361" s="29">
        <f t="shared" si="35"/>
        <v>86.36363636363636</v>
      </c>
      <c r="T361" s="5" t="str">
        <f>IF(Delivery_Data[[#This Row],[Delays (min)]]&gt;0,"No","Yes")</f>
        <v>No</v>
      </c>
    </row>
    <row r="362" spans="1:20" ht="15.75" customHeight="1" x14ac:dyDescent="0.3">
      <c r="A362" s="4">
        <v>1361</v>
      </c>
      <c r="B362" s="5" t="s">
        <v>493</v>
      </c>
      <c r="C362" s="6">
        <v>45176.656944444447</v>
      </c>
      <c r="D362" s="5" t="s">
        <v>14</v>
      </c>
      <c r="E362" s="5" t="s">
        <v>115</v>
      </c>
      <c r="F362" s="5" t="s">
        <v>16</v>
      </c>
      <c r="G362" s="5" t="s">
        <v>56</v>
      </c>
      <c r="H362" s="5">
        <v>189</v>
      </c>
      <c r="I362" s="5">
        <v>3</v>
      </c>
      <c r="J362" s="5" t="s">
        <v>26</v>
      </c>
      <c r="K362" s="5" t="s">
        <v>19</v>
      </c>
      <c r="L362" s="5" t="s">
        <v>40</v>
      </c>
      <c r="M362" s="7" t="s">
        <v>21</v>
      </c>
      <c r="N362" s="26">
        <f t="shared" si="30"/>
        <v>1</v>
      </c>
      <c r="O362" s="42">
        <f t="shared" si="31"/>
        <v>45176</v>
      </c>
      <c r="P362" s="5" t="str">
        <f t="shared" si="32"/>
        <v>Thursday</v>
      </c>
      <c r="Q362" s="5">
        <f t="shared" si="33"/>
        <v>15</v>
      </c>
      <c r="R362" s="28">
        <f t="shared" si="34"/>
        <v>0.984375</v>
      </c>
      <c r="S362" s="29">
        <f t="shared" si="35"/>
        <v>98.4375</v>
      </c>
      <c r="T362" s="5" t="str">
        <f>IF(Delivery_Data[[#This Row],[Delays (min)]]&gt;0,"No","Yes")</f>
        <v>No</v>
      </c>
    </row>
    <row r="363" spans="1:20" ht="15.75" customHeight="1" x14ac:dyDescent="0.3">
      <c r="A363" s="4">
        <v>1362</v>
      </c>
      <c r="B363" s="5" t="s">
        <v>494</v>
      </c>
      <c r="C363" s="6">
        <v>45172.347916666666</v>
      </c>
      <c r="D363" s="5" t="s">
        <v>14</v>
      </c>
      <c r="E363" s="5" t="s">
        <v>23</v>
      </c>
      <c r="F363" s="5" t="s">
        <v>16</v>
      </c>
      <c r="G363" s="5" t="s">
        <v>31</v>
      </c>
      <c r="H363" s="5">
        <v>136</v>
      </c>
      <c r="I363" s="5">
        <v>14</v>
      </c>
      <c r="J363" s="5" t="s">
        <v>32</v>
      </c>
      <c r="K363" s="5" t="s">
        <v>19</v>
      </c>
      <c r="L363" s="5" t="s">
        <v>28</v>
      </c>
      <c r="M363" s="7" t="s">
        <v>21</v>
      </c>
      <c r="N363" s="26">
        <f t="shared" si="30"/>
        <v>-1</v>
      </c>
      <c r="O363" s="42">
        <f t="shared" si="31"/>
        <v>45172</v>
      </c>
      <c r="P363" s="5" t="str">
        <f t="shared" si="32"/>
        <v>Sunday</v>
      </c>
      <c r="Q363" s="5">
        <f t="shared" si="33"/>
        <v>8</v>
      </c>
      <c r="R363" s="28">
        <f t="shared" si="34"/>
        <v>0.90666666666666662</v>
      </c>
      <c r="S363" s="29">
        <f t="shared" si="35"/>
        <v>90.666666666666657</v>
      </c>
      <c r="T363" s="5" t="str">
        <f>IF(Delivery_Data[[#This Row],[Delays (min)]]&gt;0,"No","Yes")</f>
        <v>No</v>
      </c>
    </row>
    <row r="364" spans="1:20" ht="15.75" customHeight="1" x14ac:dyDescent="0.3">
      <c r="A364" s="4">
        <v>1363</v>
      </c>
      <c r="B364" s="5" t="s">
        <v>495</v>
      </c>
      <c r="C364" s="6">
        <v>45174.459722222222</v>
      </c>
      <c r="D364" s="5" t="s">
        <v>14</v>
      </c>
      <c r="E364" s="5" t="s">
        <v>73</v>
      </c>
      <c r="F364" s="5" t="s">
        <v>38</v>
      </c>
      <c r="G364" s="5" t="s">
        <v>56</v>
      </c>
      <c r="H364" s="5">
        <v>67</v>
      </c>
      <c r="I364" s="5">
        <v>20</v>
      </c>
      <c r="J364" s="5" t="s">
        <v>32</v>
      </c>
      <c r="K364" s="5" t="s">
        <v>49</v>
      </c>
      <c r="L364" s="5" t="s">
        <v>40</v>
      </c>
      <c r="M364" s="7" t="s">
        <v>46</v>
      </c>
      <c r="N364" s="26">
        <f t="shared" si="30"/>
        <v>-1</v>
      </c>
      <c r="O364" s="42">
        <f t="shared" si="31"/>
        <v>45174</v>
      </c>
      <c r="P364" s="5" t="str">
        <f t="shared" si="32"/>
        <v>Tuesday</v>
      </c>
      <c r="Q364" s="5">
        <f t="shared" si="33"/>
        <v>11</v>
      </c>
      <c r="R364" s="28">
        <f t="shared" si="34"/>
        <v>0.77011494252873558</v>
      </c>
      <c r="S364" s="29">
        <f t="shared" si="35"/>
        <v>77.011494252873561</v>
      </c>
      <c r="T364" s="5" t="str">
        <f>IF(Delivery_Data[[#This Row],[Delays (min)]]&gt;0,"No","Yes")</f>
        <v>No</v>
      </c>
    </row>
    <row r="365" spans="1:20" ht="15.75" customHeight="1" x14ac:dyDescent="0.3">
      <c r="A365" s="4">
        <v>1364</v>
      </c>
      <c r="B365" s="5" t="s">
        <v>496</v>
      </c>
      <c r="C365" s="6">
        <v>45171.565972222219</v>
      </c>
      <c r="D365" s="5" t="s">
        <v>14</v>
      </c>
      <c r="E365" s="5" t="s">
        <v>166</v>
      </c>
      <c r="F365" s="5" t="s">
        <v>16</v>
      </c>
      <c r="G365" s="5" t="s">
        <v>31</v>
      </c>
      <c r="H365" s="5">
        <v>171</v>
      </c>
      <c r="I365" s="5">
        <v>20</v>
      </c>
      <c r="J365" s="5" t="s">
        <v>32</v>
      </c>
      <c r="K365" s="5" t="s">
        <v>27</v>
      </c>
      <c r="L365" s="5" t="s">
        <v>28</v>
      </c>
      <c r="M365" s="7" t="s">
        <v>41</v>
      </c>
      <c r="N365" s="26">
        <f t="shared" si="30"/>
        <v>-1</v>
      </c>
      <c r="O365" s="42">
        <f t="shared" si="31"/>
        <v>45171</v>
      </c>
      <c r="P365" s="5" t="str">
        <f t="shared" si="32"/>
        <v>Saturday</v>
      </c>
      <c r="Q365" s="5">
        <f t="shared" si="33"/>
        <v>13</v>
      </c>
      <c r="R365" s="28">
        <f t="shared" si="34"/>
        <v>0.89528795811518325</v>
      </c>
      <c r="S365" s="29">
        <f t="shared" si="35"/>
        <v>89.528795811518322</v>
      </c>
      <c r="T365" s="5" t="str">
        <f>IF(Delivery_Data[[#This Row],[Delays (min)]]&gt;0,"No","Yes")</f>
        <v>No</v>
      </c>
    </row>
    <row r="366" spans="1:20" ht="15.75" customHeight="1" x14ac:dyDescent="0.3">
      <c r="A366" s="4">
        <v>1365</v>
      </c>
      <c r="B366" s="5" t="s">
        <v>497</v>
      </c>
      <c r="C366" s="6">
        <v>45170.597916666666</v>
      </c>
      <c r="D366" s="5" t="s">
        <v>43</v>
      </c>
      <c r="E366" s="5" t="s">
        <v>78</v>
      </c>
      <c r="F366" s="5" t="s">
        <v>24</v>
      </c>
      <c r="G366" s="5" t="s">
        <v>39</v>
      </c>
      <c r="H366" s="5">
        <v>85</v>
      </c>
      <c r="I366" s="5">
        <v>9</v>
      </c>
      <c r="J366" s="5" t="s">
        <v>18</v>
      </c>
      <c r="K366" s="5" t="s">
        <v>45</v>
      </c>
      <c r="L366" s="5" t="s">
        <v>20</v>
      </c>
      <c r="M366" s="7" t="s">
        <v>21</v>
      </c>
      <c r="N366" s="26">
        <f t="shared" si="30"/>
        <v>0</v>
      </c>
      <c r="O366" s="42">
        <f t="shared" si="31"/>
        <v>45170</v>
      </c>
      <c r="P366" s="5" t="str">
        <f t="shared" si="32"/>
        <v>Friday</v>
      </c>
      <c r="Q366" s="5">
        <f t="shared" si="33"/>
        <v>14</v>
      </c>
      <c r="R366" s="28">
        <f t="shared" si="34"/>
        <v>0.9042553191489362</v>
      </c>
      <c r="S366" s="29">
        <f t="shared" si="35"/>
        <v>90.425531914893625</v>
      </c>
      <c r="T366" s="5" t="str">
        <f>IF(Delivery_Data[[#This Row],[Delays (min)]]&gt;0,"No","Yes")</f>
        <v>No</v>
      </c>
    </row>
    <row r="367" spans="1:20" ht="15.75" customHeight="1" x14ac:dyDescent="0.3">
      <c r="A367" s="4">
        <v>1366</v>
      </c>
      <c r="B367" s="5" t="s">
        <v>498</v>
      </c>
      <c r="C367" s="6">
        <v>45174.432638888888</v>
      </c>
      <c r="D367" s="5" t="s">
        <v>43</v>
      </c>
      <c r="E367" s="5" t="s">
        <v>243</v>
      </c>
      <c r="F367" s="5" t="s">
        <v>16</v>
      </c>
      <c r="G367" s="5" t="s">
        <v>31</v>
      </c>
      <c r="H367" s="5">
        <v>62</v>
      </c>
      <c r="I367" s="5">
        <v>19</v>
      </c>
      <c r="J367" s="5" t="s">
        <v>18</v>
      </c>
      <c r="K367" s="5" t="s">
        <v>35</v>
      </c>
      <c r="L367" s="5" t="s">
        <v>40</v>
      </c>
      <c r="M367" s="7" t="s">
        <v>46</v>
      </c>
      <c r="N367" s="26">
        <f t="shared" si="30"/>
        <v>0</v>
      </c>
      <c r="O367" s="42">
        <f t="shared" si="31"/>
        <v>45174</v>
      </c>
      <c r="P367" s="5" t="str">
        <f t="shared" si="32"/>
        <v>Tuesday</v>
      </c>
      <c r="Q367" s="5">
        <f t="shared" si="33"/>
        <v>10</v>
      </c>
      <c r="R367" s="28">
        <f t="shared" si="34"/>
        <v>0.76543209876543206</v>
      </c>
      <c r="S367" s="29">
        <f t="shared" si="35"/>
        <v>76.543209876543202</v>
      </c>
      <c r="T367" s="5" t="str">
        <f>IF(Delivery_Data[[#This Row],[Delays (min)]]&gt;0,"No","Yes")</f>
        <v>No</v>
      </c>
    </row>
    <row r="368" spans="1:20" ht="15.75" customHeight="1" x14ac:dyDescent="0.3">
      <c r="A368" s="4">
        <v>1367</v>
      </c>
      <c r="B368" s="5" t="s">
        <v>499</v>
      </c>
      <c r="C368" s="6">
        <v>45172.521527777775</v>
      </c>
      <c r="D368" s="5" t="s">
        <v>14</v>
      </c>
      <c r="E368" s="5" t="s">
        <v>202</v>
      </c>
      <c r="F368" s="5" t="s">
        <v>16</v>
      </c>
      <c r="G368" s="5" t="s">
        <v>39</v>
      </c>
      <c r="H368" s="5">
        <v>222</v>
      </c>
      <c r="I368" s="5">
        <v>5</v>
      </c>
      <c r="J368" s="5" t="s">
        <v>18</v>
      </c>
      <c r="K368" s="5" t="s">
        <v>45</v>
      </c>
      <c r="L368" s="5" t="s">
        <v>28</v>
      </c>
      <c r="M368" s="7" t="s">
        <v>21</v>
      </c>
      <c r="N368" s="26">
        <f t="shared" si="30"/>
        <v>0</v>
      </c>
      <c r="O368" s="42">
        <f t="shared" si="31"/>
        <v>45172</v>
      </c>
      <c r="P368" s="5" t="str">
        <f t="shared" si="32"/>
        <v>Sunday</v>
      </c>
      <c r="Q368" s="5">
        <f t="shared" si="33"/>
        <v>12</v>
      </c>
      <c r="R368" s="28">
        <f t="shared" si="34"/>
        <v>0.97797356828193838</v>
      </c>
      <c r="S368" s="29">
        <f t="shared" si="35"/>
        <v>97.797356828193841</v>
      </c>
      <c r="T368" s="5" t="str">
        <f>IF(Delivery_Data[[#This Row],[Delays (min)]]&gt;0,"No","Yes")</f>
        <v>No</v>
      </c>
    </row>
    <row r="369" spans="1:20" ht="15.75" customHeight="1" x14ac:dyDescent="0.3">
      <c r="A369" s="4">
        <v>1368</v>
      </c>
      <c r="B369" s="5" t="s">
        <v>500</v>
      </c>
      <c r="C369" s="6">
        <v>45171.504861111112</v>
      </c>
      <c r="D369" s="5" t="s">
        <v>14</v>
      </c>
      <c r="E369" s="5" t="s">
        <v>220</v>
      </c>
      <c r="F369" s="5" t="s">
        <v>38</v>
      </c>
      <c r="G369" s="5" t="s">
        <v>56</v>
      </c>
      <c r="H369" s="5">
        <v>101</v>
      </c>
      <c r="I369" s="5">
        <v>25</v>
      </c>
      <c r="J369" s="5" t="s">
        <v>32</v>
      </c>
      <c r="K369" s="5" t="s">
        <v>49</v>
      </c>
      <c r="L369" s="5" t="s">
        <v>20</v>
      </c>
      <c r="M369" s="7" t="s">
        <v>46</v>
      </c>
      <c r="N369" s="26">
        <f t="shared" si="30"/>
        <v>-1</v>
      </c>
      <c r="O369" s="42">
        <f t="shared" si="31"/>
        <v>45171</v>
      </c>
      <c r="P369" s="5" t="str">
        <f t="shared" si="32"/>
        <v>Saturday</v>
      </c>
      <c r="Q369" s="5">
        <f t="shared" si="33"/>
        <v>12</v>
      </c>
      <c r="R369" s="28">
        <f t="shared" si="34"/>
        <v>0.80158730158730163</v>
      </c>
      <c r="S369" s="29">
        <f t="shared" si="35"/>
        <v>80.158730158730165</v>
      </c>
      <c r="T369" s="5" t="str">
        <f>IF(Delivery_Data[[#This Row],[Delays (min)]]&gt;0,"No","Yes")</f>
        <v>No</v>
      </c>
    </row>
    <row r="370" spans="1:20" ht="15.75" customHeight="1" x14ac:dyDescent="0.3">
      <c r="A370" s="4">
        <v>1369</v>
      </c>
      <c r="B370" s="5" t="s">
        <v>501</v>
      </c>
      <c r="C370" s="6">
        <v>45170.597222222219</v>
      </c>
      <c r="D370" s="5" t="s">
        <v>14</v>
      </c>
      <c r="E370" s="5" t="s">
        <v>55</v>
      </c>
      <c r="F370" s="5" t="s">
        <v>24</v>
      </c>
      <c r="G370" s="5" t="s">
        <v>17</v>
      </c>
      <c r="H370" s="5">
        <v>155</v>
      </c>
      <c r="I370" s="5">
        <v>2</v>
      </c>
      <c r="J370" s="5" t="s">
        <v>32</v>
      </c>
      <c r="K370" s="5" t="s">
        <v>27</v>
      </c>
      <c r="L370" s="5" t="s">
        <v>40</v>
      </c>
      <c r="M370" s="7" t="s">
        <v>46</v>
      </c>
      <c r="N370" s="26">
        <f t="shared" si="30"/>
        <v>-1</v>
      </c>
      <c r="O370" s="42">
        <f t="shared" si="31"/>
        <v>45170</v>
      </c>
      <c r="P370" s="5" t="str">
        <f t="shared" si="32"/>
        <v>Friday</v>
      </c>
      <c r="Q370" s="5">
        <f t="shared" si="33"/>
        <v>14</v>
      </c>
      <c r="R370" s="28">
        <f t="shared" si="34"/>
        <v>0.98726114649681529</v>
      </c>
      <c r="S370" s="29">
        <f t="shared" si="35"/>
        <v>98.726114649681534</v>
      </c>
      <c r="T370" s="5" t="str">
        <f>IF(Delivery_Data[[#This Row],[Delays (min)]]&gt;0,"No","Yes")</f>
        <v>No</v>
      </c>
    </row>
    <row r="371" spans="1:20" ht="15.75" customHeight="1" x14ac:dyDescent="0.3">
      <c r="A371" s="4">
        <v>1370</v>
      </c>
      <c r="B371" s="5" t="s">
        <v>502</v>
      </c>
      <c r="C371" s="6">
        <v>45174.488888888889</v>
      </c>
      <c r="D371" s="5" t="s">
        <v>14</v>
      </c>
      <c r="E371" s="5" t="s">
        <v>154</v>
      </c>
      <c r="F371" s="5" t="s">
        <v>38</v>
      </c>
      <c r="G371" s="5" t="s">
        <v>31</v>
      </c>
      <c r="H371" s="5">
        <v>69</v>
      </c>
      <c r="I371" s="5">
        <v>29</v>
      </c>
      <c r="J371" s="5" t="s">
        <v>32</v>
      </c>
      <c r="K371" s="5" t="s">
        <v>19</v>
      </c>
      <c r="L371" s="5" t="s">
        <v>28</v>
      </c>
      <c r="M371" s="7" t="s">
        <v>46</v>
      </c>
      <c r="N371" s="26">
        <f t="shared" si="30"/>
        <v>-1</v>
      </c>
      <c r="O371" s="42">
        <f t="shared" si="31"/>
        <v>45174</v>
      </c>
      <c r="P371" s="5" t="str">
        <f t="shared" si="32"/>
        <v>Tuesday</v>
      </c>
      <c r="Q371" s="5">
        <f t="shared" si="33"/>
        <v>11</v>
      </c>
      <c r="R371" s="28">
        <f t="shared" si="34"/>
        <v>0.70408163265306123</v>
      </c>
      <c r="S371" s="29">
        <f t="shared" si="35"/>
        <v>70.408163265306129</v>
      </c>
      <c r="T371" s="5" t="str">
        <f>IF(Delivery_Data[[#This Row],[Delays (min)]]&gt;0,"No","Yes")</f>
        <v>No</v>
      </c>
    </row>
    <row r="372" spans="1:20" ht="15.75" customHeight="1" x14ac:dyDescent="0.3">
      <c r="A372" s="4">
        <v>1371</v>
      </c>
      <c r="B372" s="5" t="s">
        <v>503</v>
      </c>
      <c r="C372" s="6">
        <v>45176.500694444447</v>
      </c>
      <c r="D372" s="5" t="s">
        <v>14</v>
      </c>
      <c r="E372" s="5" t="s">
        <v>177</v>
      </c>
      <c r="F372" s="5" t="s">
        <v>38</v>
      </c>
      <c r="G372" s="5" t="s">
        <v>39</v>
      </c>
      <c r="H372" s="5">
        <v>172</v>
      </c>
      <c r="I372" s="5">
        <v>27</v>
      </c>
      <c r="J372" s="5" t="s">
        <v>32</v>
      </c>
      <c r="K372" s="5" t="s">
        <v>45</v>
      </c>
      <c r="L372" s="5" t="s">
        <v>40</v>
      </c>
      <c r="M372" s="7" t="s">
        <v>46</v>
      </c>
      <c r="N372" s="26">
        <f t="shared" si="30"/>
        <v>-1</v>
      </c>
      <c r="O372" s="42">
        <f t="shared" si="31"/>
        <v>45176</v>
      </c>
      <c r="P372" s="5" t="str">
        <f t="shared" si="32"/>
        <v>Thursday</v>
      </c>
      <c r="Q372" s="5">
        <f t="shared" si="33"/>
        <v>12</v>
      </c>
      <c r="R372" s="28">
        <f t="shared" si="34"/>
        <v>0.86432160804020097</v>
      </c>
      <c r="S372" s="29">
        <f t="shared" si="35"/>
        <v>86.4321608040201</v>
      </c>
      <c r="T372" s="5" t="str">
        <f>IF(Delivery_Data[[#This Row],[Delays (min)]]&gt;0,"No","Yes")</f>
        <v>No</v>
      </c>
    </row>
    <row r="373" spans="1:20" ht="15.75" customHeight="1" x14ac:dyDescent="0.3">
      <c r="A373" s="4">
        <v>1372</v>
      </c>
      <c r="B373" s="5" t="s">
        <v>504</v>
      </c>
      <c r="C373" s="6">
        <v>45171.620833333334</v>
      </c>
      <c r="D373" s="5" t="s">
        <v>14</v>
      </c>
      <c r="E373" s="5" t="s">
        <v>154</v>
      </c>
      <c r="F373" s="5" t="s">
        <v>38</v>
      </c>
      <c r="G373" s="5" t="s">
        <v>31</v>
      </c>
      <c r="H373" s="5">
        <v>188</v>
      </c>
      <c r="I373" s="5">
        <v>15</v>
      </c>
      <c r="J373" s="5" t="s">
        <v>26</v>
      </c>
      <c r="K373" s="5" t="s">
        <v>27</v>
      </c>
      <c r="L373" s="5" t="s">
        <v>20</v>
      </c>
      <c r="M373" s="7" t="s">
        <v>41</v>
      </c>
      <c r="N373" s="26">
        <f t="shared" si="30"/>
        <v>1</v>
      </c>
      <c r="O373" s="42">
        <f t="shared" si="31"/>
        <v>45171</v>
      </c>
      <c r="P373" s="5" t="str">
        <f t="shared" si="32"/>
        <v>Saturday</v>
      </c>
      <c r="Q373" s="5">
        <f t="shared" si="33"/>
        <v>14</v>
      </c>
      <c r="R373" s="28">
        <f t="shared" si="34"/>
        <v>0.92610837438423643</v>
      </c>
      <c r="S373" s="29">
        <f t="shared" si="35"/>
        <v>92.610837438423644</v>
      </c>
      <c r="T373" s="5" t="str">
        <f>IF(Delivery_Data[[#This Row],[Delays (min)]]&gt;0,"No","Yes")</f>
        <v>No</v>
      </c>
    </row>
    <row r="374" spans="1:20" ht="15.75" customHeight="1" x14ac:dyDescent="0.3">
      <c r="A374" s="4">
        <v>1373</v>
      </c>
      <c r="B374" s="5" t="s">
        <v>505</v>
      </c>
      <c r="C374" s="6">
        <v>45177.658333333333</v>
      </c>
      <c r="D374" s="5" t="s">
        <v>14</v>
      </c>
      <c r="E374" s="5" t="s">
        <v>193</v>
      </c>
      <c r="F374" s="5" t="s">
        <v>38</v>
      </c>
      <c r="G374" s="5" t="s">
        <v>25</v>
      </c>
      <c r="H374" s="5">
        <v>165</v>
      </c>
      <c r="I374" s="5">
        <v>6</v>
      </c>
      <c r="J374" s="5" t="s">
        <v>18</v>
      </c>
      <c r="K374" s="5" t="s">
        <v>19</v>
      </c>
      <c r="L374" s="5" t="s">
        <v>28</v>
      </c>
      <c r="M374" s="7" t="s">
        <v>46</v>
      </c>
      <c r="N374" s="26">
        <f t="shared" si="30"/>
        <v>0</v>
      </c>
      <c r="O374" s="42">
        <f t="shared" si="31"/>
        <v>45177</v>
      </c>
      <c r="P374" s="5" t="str">
        <f t="shared" si="32"/>
        <v>Friday</v>
      </c>
      <c r="Q374" s="5">
        <f t="shared" si="33"/>
        <v>15</v>
      </c>
      <c r="R374" s="28">
        <f t="shared" si="34"/>
        <v>0.96491228070175439</v>
      </c>
      <c r="S374" s="29">
        <f t="shared" si="35"/>
        <v>96.491228070175438</v>
      </c>
      <c r="T374" s="5" t="str">
        <f>IF(Delivery_Data[[#This Row],[Delays (min)]]&gt;0,"No","Yes")</f>
        <v>No</v>
      </c>
    </row>
    <row r="375" spans="1:20" ht="15.75" customHeight="1" x14ac:dyDescent="0.3">
      <c r="A375" s="4">
        <v>1374</v>
      </c>
      <c r="B375" s="5" t="s">
        <v>506</v>
      </c>
      <c r="C375" s="6">
        <v>45172.40902777778</v>
      </c>
      <c r="D375" s="5" t="s">
        <v>43</v>
      </c>
      <c r="E375" s="5" t="s">
        <v>311</v>
      </c>
      <c r="F375" s="5" t="s">
        <v>16</v>
      </c>
      <c r="G375" s="5" t="s">
        <v>56</v>
      </c>
      <c r="H375" s="5">
        <v>108</v>
      </c>
      <c r="I375" s="5">
        <v>20</v>
      </c>
      <c r="J375" s="5" t="s">
        <v>18</v>
      </c>
      <c r="K375" s="5" t="s">
        <v>19</v>
      </c>
      <c r="L375" s="5" t="s">
        <v>28</v>
      </c>
      <c r="M375" s="7" t="s">
        <v>21</v>
      </c>
      <c r="N375" s="26">
        <f t="shared" si="30"/>
        <v>0</v>
      </c>
      <c r="O375" s="42">
        <f t="shared" si="31"/>
        <v>45172</v>
      </c>
      <c r="P375" s="5" t="str">
        <f t="shared" si="32"/>
        <v>Sunday</v>
      </c>
      <c r="Q375" s="5">
        <f t="shared" si="33"/>
        <v>9</v>
      </c>
      <c r="R375" s="28">
        <f t="shared" si="34"/>
        <v>0.84375</v>
      </c>
      <c r="S375" s="29">
        <f t="shared" si="35"/>
        <v>84.375</v>
      </c>
      <c r="T375" s="5" t="str">
        <f>IF(Delivery_Data[[#This Row],[Delays (min)]]&gt;0,"No","Yes")</f>
        <v>No</v>
      </c>
    </row>
    <row r="376" spans="1:20" ht="15.75" customHeight="1" x14ac:dyDescent="0.3">
      <c r="A376" s="4">
        <v>1375</v>
      </c>
      <c r="B376" s="5" t="s">
        <v>507</v>
      </c>
      <c r="C376" s="6">
        <v>45170.526388888888</v>
      </c>
      <c r="D376" s="5" t="s">
        <v>43</v>
      </c>
      <c r="E376" s="5" t="s">
        <v>234</v>
      </c>
      <c r="F376" s="5" t="s">
        <v>16</v>
      </c>
      <c r="G376" s="5" t="s">
        <v>25</v>
      </c>
      <c r="H376" s="5">
        <v>61</v>
      </c>
      <c r="I376" s="5">
        <v>20</v>
      </c>
      <c r="J376" s="5" t="s">
        <v>32</v>
      </c>
      <c r="K376" s="5" t="s">
        <v>49</v>
      </c>
      <c r="L376" s="5" t="s">
        <v>28</v>
      </c>
      <c r="M376" s="7" t="s">
        <v>41</v>
      </c>
      <c r="N376" s="26">
        <f t="shared" si="30"/>
        <v>-1</v>
      </c>
      <c r="O376" s="42">
        <f t="shared" si="31"/>
        <v>45170</v>
      </c>
      <c r="P376" s="5" t="str">
        <f t="shared" si="32"/>
        <v>Friday</v>
      </c>
      <c r="Q376" s="5">
        <f t="shared" si="33"/>
        <v>12</v>
      </c>
      <c r="R376" s="28">
        <f t="shared" si="34"/>
        <v>0.75308641975308643</v>
      </c>
      <c r="S376" s="29">
        <f t="shared" si="35"/>
        <v>75.308641975308646</v>
      </c>
      <c r="T376" s="5" t="str">
        <f>IF(Delivery_Data[[#This Row],[Delays (min)]]&gt;0,"No","Yes")</f>
        <v>No</v>
      </c>
    </row>
    <row r="377" spans="1:20" ht="15.75" customHeight="1" x14ac:dyDescent="0.3">
      <c r="A377" s="4">
        <v>1376</v>
      </c>
      <c r="B377" s="5" t="s">
        <v>508</v>
      </c>
      <c r="C377" s="6">
        <v>45170.69027777778</v>
      </c>
      <c r="D377" s="5" t="s">
        <v>43</v>
      </c>
      <c r="E377" s="5" t="s">
        <v>76</v>
      </c>
      <c r="F377" s="5" t="s">
        <v>38</v>
      </c>
      <c r="G377" s="5" t="s">
        <v>17</v>
      </c>
      <c r="H377" s="5">
        <v>108</v>
      </c>
      <c r="I377" s="5">
        <v>5</v>
      </c>
      <c r="J377" s="5" t="s">
        <v>26</v>
      </c>
      <c r="K377" s="5" t="s">
        <v>49</v>
      </c>
      <c r="L377" s="5" t="s">
        <v>28</v>
      </c>
      <c r="M377" s="7" t="s">
        <v>21</v>
      </c>
      <c r="N377" s="26">
        <f t="shared" si="30"/>
        <v>1</v>
      </c>
      <c r="O377" s="42">
        <f t="shared" si="31"/>
        <v>45170</v>
      </c>
      <c r="P377" s="5" t="str">
        <f t="shared" si="32"/>
        <v>Friday</v>
      </c>
      <c r="Q377" s="5">
        <f t="shared" si="33"/>
        <v>16</v>
      </c>
      <c r="R377" s="28">
        <f t="shared" si="34"/>
        <v>0.95575221238938057</v>
      </c>
      <c r="S377" s="29">
        <f t="shared" si="35"/>
        <v>95.575221238938056</v>
      </c>
      <c r="T377" s="5" t="str">
        <f>IF(Delivery_Data[[#This Row],[Delays (min)]]&gt;0,"No","Yes")</f>
        <v>No</v>
      </c>
    </row>
    <row r="378" spans="1:20" ht="15.75" customHeight="1" x14ac:dyDescent="0.3">
      <c r="A378" s="4">
        <v>1377</v>
      </c>
      <c r="B378" s="5" t="s">
        <v>509</v>
      </c>
      <c r="C378" s="6">
        <v>45172.603472222225</v>
      </c>
      <c r="D378" s="5" t="s">
        <v>14</v>
      </c>
      <c r="E378" s="5" t="s">
        <v>261</v>
      </c>
      <c r="F378" s="5" t="s">
        <v>24</v>
      </c>
      <c r="G378" s="5" t="s">
        <v>31</v>
      </c>
      <c r="H378" s="5">
        <v>182</v>
      </c>
      <c r="I378" s="5">
        <v>17</v>
      </c>
      <c r="J378" s="5" t="s">
        <v>26</v>
      </c>
      <c r="K378" s="5" t="s">
        <v>49</v>
      </c>
      <c r="L378" s="5" t="s">
        <v>28</v>
      </c>
      <c r="M378" s="7" t="s">
        <v>21</v>
      </c>
      <c r="N378" s="26">
        <f t="shared" si="30"/>
        <v>1</v>
      </c>
      <c r="O378" s="42">
        <f t="shared" si="31"/>
        <v>45172</v>
      </c>
      <c r="P378" s="5" t="str">
        <f t="shared" si="32"/>
        <v>Sunday</v>
      </c>
      <c r="Q378" s="5">
        <f t="shared" si="33"/>
        <v>14</v>
      </c>
      <c r="R378" s="28">
        <f t="shared" si="34"/>
        <v>0.914572864321608</v>
      </c>
      <c r="S378" s="29">
        <f t="shared" si="35"/>
        <v>91.457286432160799</v>
      </c>
      <c r="T378" s="5" t="str">
        <f>IF(Delivery_Data[[#This Row],[Delays (min)]]&gt;0,"No","Yes")</f>
        <v>No</v>
      </c>
    </row>
    <row r="379" spans="1:20" ht="15.75" customHeight="1" x14ac:dyDescent="0.3">
      <c r="A379" s="4">
        <v>1378</v>
      </c>
      <c r="B379" s="5" t="s">
        <v>510</v>
      </c>
      <c r="C379" s="6">
        <v>45171.386805555558</v>
      </c>
      <c r="D379" s="5" t="s">
        <v>14</v>
      </c>
      <c r="E379" s="5" t="s">
        <v>58</v>
      </c>
      <c r="F379" s="5" t="s">
        <v>38</v>
      </c>
      <c r="G379" s="5" t="s">
        <v>25</v>
      </c>
      <c r="H379" s="5">
        <v>134</v>
      </c>
      <c r="I379" s="5">
        <v>16</v>
      </c>
      <c r="J379" s="5" t="s">
        <v>26</v>
      </c>
      <c r="K379" s="5" t="s">
        <v>49</v>
      </c>
      <c r="L379" s="5" t="s">
        <v>20</v>
      </c>
      <c r="M379" s="7" t="s">
        <v>41</v>
      </c>
      <c r="N379" s="26">
        <f t="shared" si="30"/>
        <v>1</v>
      </c>
      <c r="O379" s="42">
        <f t="shared" si="31"/>
        <v>45171</v>
      </c>
      <c r="P379" s="5" t="str">
        <f t="shared" si="32"/>
        <v>Saturday</v>
      </c>
      <c r="Q379" s="5">
        <f t="shared" si="33"/>
        <v>9</v>
      </c>
      <c r="R379" s="28">
        <f t="shared" si="34"/>
        <v>0.89333333333333331</v>
      </c>
      <c r="S379" s="29">
        <f t="shared" si="35"/>
        <v>89.333333333333329</v>
      </c>
      <c r="T379" s="5" t="str">
        <f>IF(Delivery_Data[[#This Row],[Delays (min)]]&gt;0,"No","Yes")</f>
        <v>No</v>
      </c>
    </row>
    <row r="380" spans="1:20" ht="15.75" customHeight="1" x14ac:dyDescent="0.3">
      <c r="A380" s="4">
        <v>1379</v>
      </c>
      <c r="B380" s="5" t="s">
        <v>511</v>
      </c>
      <c r="C380" s="6">
        <v>45176.636805555558</v>
      </c>
      <c r="D380" s="5" t="s">
        <v>14</v>
      </c>
      <c r="E380" s="5" t="s">
        <v>15</v>
      </c>
      <c r="F380" s="5" t="s">
        <v>16</v>
      </c>
      <c r="G380" s="5" t="s">
        <v>31</v>
      </c>
      <c r="H380" s="5">
        <v>97</v>
      </c>
      <c r="I380" s="5">
        <v>28</v>
      </c>
      <c r="J380" s="5" t="s">
        <v>32</v>
      </c>
      <c r="K380" s="5" t="s">
        <v>27</v>
      </c>
      <c r="L380" s="5" t="s">
        <v>40</v>
      </c>
      <c r="M380" s="7" t="s">
        <v>21</v>
      </c>
      <c r="N380" s="26">
        <f t="shared" si="30"/>
        <v>-1</v>
      </c>
      <c r="O380" s="42">
        <f t="shared" si="31"/>
        <v>45176</v>
      </c>
      <c r="P380" s="5" t="str">
        <f t="shared" si="32"/>
        <v>Thursday</v>
      </c>
      <c r="Q380" s="5">
        <f t="shared" si="33"/>
        <v>15</v>
      </c>
      <c r="R380" s="28">
        <f t="shared" si="34"/>
        <v>0.77600000000000002</v>
      </c>
      <c r="S380" s="29">
        <f t="shared" si="35"/>
        <v>77.600000000000009</v>
      </c>
      <c r="T380" s="5" t="str">
        <f>IF(Delivery_Data[[#This Row],[Delays (min)]]&gt;0,"No","Yes")</f>
        <v>No</v>
      </c>
    </row>
    <row r="381" spans="1:20" ht="15.75" customHeight="1" x14ac:dyDescent="0.3">
      <c r="A381" s="4">
        <v>1380</v>
      </c>
      <c r="B381" s="5" t="s">
        <v>512</v>
      </c>
      <c r="C381" s="6">
        <v>45171.70416666667</v>
      </c>
      <c r="D381" s="5" t="s">
        <v>43</v>
      </c>
      <c r="E381" s="5" t="s">
        <v>73</v>
      </c>
      <c r="F381" s="5" t="s">
        <v>38</v>
      </c>
      <c r="G381" s="5" t="s">
        <v>56</v>
      </c>
      <c r="H381" s="5">
        <v>162</v>
      </c>
      <c r="I381" s="5">
        <v>28</v>
      </c>
      <c r="J381" s="5" t="s">
        <v>18</v>
      </c>
      <c r="K381" s="5" t="s">
        <v>49</v>
      </c>
      <c r="L381" s="5" t="s">
        <v>20</v>
      </c>
      <c r="M381" s="7" t="s">
        <v>41</v>
      </c>
      <c r="N381" s="26">
        <f t="shared" si="30"/>
        <v>0</v>
      </c>
      <c r="O381" s="42">
        <f t="shared" si="31"/>
        <v>45171</v>
      </c>
      <c r="P381" s="5" t="str">
        <f t="shared" si="32"/>
        <v>Saturday</v>
      </c>
      <c r="Q381" s="5">
        <f t="shared" si="33"/>
        <v>16</v>
      </c>
      <c r="R381" s="28">
        <f t="shared" si="34"/>
        <v>0.85263157894736841</v>
      </c>
      <c r="S381" s="29">
        <f t="shared" si="35"/>
        <v>85.263157894736835</v>
      </c>
      <c r="T381" s="5" t="str">
        <f>IF(Delivery_Data[[#This Row],[Delays (min)]]&gt;0,"No","Yes")</f>
        <v>No</v>
      </c>
    </row>
    <row r="382" spans="1:20" ht="15.75" customHeight="1" x14ac:dyDescent="0.3">
      <c r="A382" s="4">
        <v>1381</v>
      </c>
      <c r="B382" s="5" t="s">
        <v>513</v>
      </c>
      <c r="C382" s="6">
        <v>45175.495138888888</v>
      </c>
      <c r="D382" s="5" t="s">
        <v>43</v>
      </c>
      <c r="E382" s="5" t="s">
        <v>249</v>
      </c>
      <c r="F382" s="5" t="s">
        <v>24</v>
      </c>
      <c r="G382" s="5" t="s">
        <v>25</v>
      </c>
      <c r="H382" s="5">
        <v>181</v>
      </c>
      <c r="I382" s="5">
        <v>27</v>
      </c>
      <c r="J382" s="5" t="s">
        <v>26</v>
      </c>
      <c r="K382" s="5" t="s">
        <v>19</v>
      </c>
      <c r="L382" s="5" t="s">
        <v>20</v>
      </c>
      <c r="M382" s="7" t="s">
        <v>41</v>
      </c>
      <c r="N382" s="26">
        <f t="shared" si="30"/>
        <v>1</v>
      </c>
      <c r="O382" s="42">
        <f t="shared" si="31"/>
        <v>45175</v>
      </c>
      <c r="P382" s="5" t="str">
        <f t="shared" si="32"/>
        <v>Wednesday</v>
      </c>
      <c r="Q382" s="5">
        <f t="shared" si="33"/>
        <v>11</v>
      </c>
      <c r="R382" s="28">
        <f t="shared" si="34"/>
        <v>0.87019230769230771</v>
      </c>
      <c r="S382" s="29">
        <f t="shared" si="35"/>
        <v>87.019230769230774</v>
      </c>
      <c r="T382" s="5" t="str">
        <f>IF(Delivery_Data[[#This Row],[Delays (min)]]&gt;0,"No","Yes")</f>
        <v>No</v>
      </c>
    </row>
    <row r="383" spans="1:20" ht="15.75" customHeight="1" x14ac:dyDescent="0.3">
      <c r="A383" s="4">
        <v>1382</v>
      </c>
      <c r="B383" s="5" t="s">
        <v>514</v>
      </c>
      <c r="C383" s="6">
        <v>45176.456944444442</v>
      </c>
      <c r="D383" s="5" t="s">
        <v>14</v>
      </c>
      <c r="E383" s="5" t="s">
        <v>62</v>
      </c>
      <c r="F383" s="5" t="s">
        <v>38</v>
      </c>
      <c r="G383" s="5" t="s">
        <v>25</v>
      </c>
      <c r="H383" s="5">
        <v>90</v>
      </c>
      <c r="I383" s="5">
        <v>3</v>
      </c>
      <c r="J383" s="5" t="s">
        <v>26</v>
      </c>
      <c r="K383" s="5" t="s">
        <v>27</v>
      </c>
      <c r="L383" s="5" t="s">
        <v>28</v>
      </c>
      <c r="M383" s="7" t="s">
        <v>46</v>
      </c>
      <c r="N383" s="26">
        <f t="shared" si="30"/>
        <v>1</v>
      </c>
      <c r="O383" s="42">
        <f t="shared" si="31"/>
        <v>45176</v>
      </c>
      <c r="P383" s="5" t="str">
        <f t="shared" si="32"/>
        <v>Thursday</v>
      </c>
      <c r="Q383" s="5">
        <f t="shared" si="33"/>
        <v>10</v>
      </c>
      <c r="R383" s="28">
        <f t="shared" si="34"/>
        <v>0.967741935483871</v>
      </c>
      <c r="S383" s="29">
        <f t="shared" si="35"/>
        <v>96.774193548387103</v>
      </c>
      <c r="T383" s="5" t="str">
        <f>IF(Delivery_Data[[#This Row],[Delays (min)]]&gt;0,"No","Yes")</f>
        <v>No</v>
      </c>
    </row>
    <row r="384" spans="1:20" ht="15.75" customHeight="1" x14ac:dyDescent="0.3">
      <c r="A384" s="4">
        <v>1383</v>
      </c>
      <c r="B384" s="5" t="s">
        <v>515</v>
      </c>
      <c r="C384" s="6">
        <v>45176.594444444447</v>
      </c>
      <c r="D384" s="5" t="s">
        <v>43</v>
      </c>
      <c r="E384" s="5" t="s">
        <v>55</v>
      </c>
      <c r="F384" s="5" t="s">
        <v>16</v>
      </c>
      <c r="G384" s="5" t="s">
        <v>17</v>
      </c>
      <c r="H384" s="5">
        <v>152</v>
      </c>
      <c r="I384" s="5">
        <v>18</v>
      </c>
      <c r="J384" s="5" t="s">
        <v>18</v>
      </c>
      <c r="K384" s="5" t="s">
        <v>35</v>
      </c>
      <c r="L384" s="5" t="s">
        <v>28</v>
      </c>
      <c r="M384" s="7" t="s">
        <v>41</v>
      </c>
      <c r="N384" s="26">
        <f t="shared" si="30"/>
        <v>0</v>
      </c>
      <c r="O384" s="42">
        <f t="shared" si="31"/>
        <v>45176</v>
      </c>
      <c r="P384" s="5" t="str">
        <f t="shared" si="32"/>
        <v>Thursday</v>
      </c>
      <c r="Q384" s="5">
        <f t="shared" si="33"/>
        <v>14</v>
      </c>
      <c r="R384" s="28">
        <f t="shared" si="34"/>
        <v>0.89411764705882357</v>
      </c>
      <c r="S384" s="29">
        <f t="shared" si="35"/>
        <v>89.411764705882362</v>
      </c>
      <c r="T384" s="5" t="str">
        <f>IF(Delivery_Data[[#This Row],[Delays (min)]]&gt;0,"No","Yes")</f>
        <v>No</v>
      </c>
    </row>
    <row r="385" spans="1:20" ht="15.75" customHeight="1" x14ac:dyDescent="0.3">
      <c r="A385" s="4">
        <v>1384</v>
      </c>
      <c r="B385" s="5" t="s">
        <v>516</v>
      </c>
      <c r="C385" s="6">
        <v>45173.693749999999</v>
      </c>
      <c r="D385" s="5" t="s">
        <v>43</v>
      </c>
      <c r="E385" s="5" t="s">
        <v>403</v>
      </c>
      <c r="F385" s="5" t="s">
        <v>16</v>
      </c>
      <c r="G385" s="5" t="s">
        <v>17</v>
      </c>
      <c r="H385" s="5">
        <v>140</v>
      </c>
      <c r="I385" s="5">
        <v>7</v>
      </c>
      <c r="J385" s="5" t="s">
        <v>32</v>
      </c>
      <c r="K385" s="5" t="s">
        <v>35</v>
      </c>
      <c r="L385" s="5" t="s">
        <v>28</v>
      </c>
      <c r="M385" s="7" t="s">
        <v>46</v>
      </c>
      <c r="N385" s="26">
        <f t="shared" si="30"/>
        <v>-1</v>
      </c>
      <c r="O385" s="42">
        <f t="shared" si="31"/>
        <v>45173</v>
      </c>
      <c r="P385" s="5" t="str">
        <f t="shared" si="32"/>
        <v>Monday</v>
      </c>
      <c r="Q385" s="5">
        <f t="shared" si="33"/>
        <v>16</v>
      </c>
      <c r="R385" s="28">
        <f t="shared" si="34"/>
        <v>0.95238095238095233</v>
      </c>
      <c r="S385" s="29">
        <f t="shared" si="35"/>
        <v>95.238095238095227</v>
      </c>
      <c r="T385" s="5" t="str">
        <f>IF(Delivery_Data[[#This Row],[Delays (min)]]&gt;0,"No","Yes")</f>
        <v>No</v>
      </c>
    </row>
    <row r="386" spans="1:20" ht="15.75" customHeight="1" x14ac:dyDescent="0.3">
      <c r="A386" s="4">
        <v>1385</v>
      </c>
      <c r="B386" s="5" t="s">
        <v>517</v>
      </c>
      <c r="C386" s="6">
        <v>45177.613888888889</v>
      </c>
      <c r="D386" s="5" t="s">
        <v>14</v>
      </c>
      <c r="E386" s="5" t="s">
        <v>135</v>
      </c>
      <c r="F386" s="5" t="s">
        <v>16</v>
      </c>
      <c r="G386" s="5" t="s">
        <v>56</v>
      </c>
      <c r="H386" s="5">
        <v>192</v>
      </c>
      <c r="I386" s="5">
        <v>14</v>
      </c>
      <c r="J386" s="5" t="s">
        <v>32</v>
      </c>
      <c r="K386" s="5" t="s">
        <v>19</v>
      </c>
      <c r="L386" s="5" t="s">
        <v>28</v>
      </c>
      <c r="M386" s="7" t="s">
        <v>41</v>
      </c>
      <c r="N386" s="26">
        <f t="shared" ref="N386:N449" si="36">IF(J386="Positive",1,IF(J386="Neutral",0,IF(J386="Negative",-1,"")))</f>
        <v>-1</v>
      </c>
      <c r="O386" s="42">
        <f t="shared" ref="O386:O449" si="37">INT(C386)</f>
        <v>45177</v>
      </c>
      <c r="P386" s="5" t="str">
        <f t="shared" ref="P386:P449" si="38">TEXT(C386,"dddd")</f>
        <v>Friday</v>
      </c>
      <c r="Q386" s="5">
        <f t="shared" ref="Q386:Q449" si="39">HOUR(C386)</f>
        <v>14</v>
      </c>
      <c r="R386" s="28">
        <f t="shared" ref="R386:R449" si="40">H386/(H386+I386)</f>
        <v>0.93203883495145634</v>
      </c>
      <c r="S386" s="29">
        <f t="shared" si="35"/>
        <v>93.203883495145632</v>
      </c>
      <c r="T386" s="5" t="str">
        <f>IF(Delivery_Data[[#This Row],[Delays (min)]]&gt;0,"No","Yes")</f>
        <v>No</v>
      </c>
    </row>
    <row r="387" spans="1:20" ht="15.75" customHeight="1" x14ac:dyDescent="0.3">
      <c r="A387" s="4">
        <v>1386</v>
      </c>
      <c r="B387" s="5" t="s">
        <v>518</v>
      </c>
      <c r="C387" s="6">
        <v>45176.540972222225</v>
      </c>
      <c r="D387" s="5" t="s">
        <v>43</v>
      </c>
      <c r="E387" s="5" t="s">
        <v>270</v>
      </c>
      <c r="F387" s="5" t="s">
        <v>38</v>
      </c>
      <c r="G387" s="5" t="s">
        <v>17</v>
      </c>
      <c r="H387" s="5">
        <v>78</v>
      </c>
      <c r="I387" s="5">
        <v>19</v>
      </c>
      <c r="J387" s="5" t="s">
        <v>26</v>
      </c>
      <c r="K387" s="5" t="s">
        <v>27</v>
      </c>
      <c r="L387" s="5" t="s">
        <v>40</v>
      </c>
      <c r="M387" s="7" t="s">
        <v>21</v>
      </c>
      <c r="N387" s="26">
        <f t="shared" si="36"/>
        <v>1</v>
      </c>
      <c r="O387" s="42">
        <f t="shared" si="37"/>
        <v>45176</v>
      </c>
      <c r="P387" s="5" t="str">
        <f t="shared" si="38"/>
        <v>Thursday</v>
      </c>
      <c r="Q387" s="5">
        <f t="shared" si="39"/>
        <v>12</v>
      </c>
      <c r="R387" s="28">
        <f t="shared" si="40"/>
        <v>0.80412371134020622</v>
      </c>
      <c r="S387" s="29">
        <f t="shared" ref="S387:S450" si="41">IF(H387+I387=0,0,(H387/(H387+I387))*100) + (IFERROR(--J387,0)*10)</f>
        <v>80.412371134020617</v>
      </c>
      <c r="T387" s="5" t="str">
        <f>IF(Delivery_Data[[#This Row],[Delays (min)]]&gt;0,"No","Yes")</f>
        <v>No</v>
      </c>
    </row>
    <row r="388" spans="1:20" ht="15.75" customHeight="1" x14ac:dyDescent="0.3">
      <c r="A388" s="4">
        <v>1387</v>
      </c>
      <c r="B388" s="5" t="s">
        <v>519</v>
      </c>
      <c r="C388" s="6">
        <v>45171.530555555553</v>
      </c>
      <c r="D388" s="5" t="s">
        <v>43</v>
      </c>
      <c r="E388" s="5" t="s">
        <v>200</v>
      </c>
      <c r="F388" s="5" t="s">
        <v>24</v>
      </c>
      <c r="G388" s="5" t="s">
        <v>39</v>
      </c>
      <c r="H388" s="5">
        <v>93</v>
      </c>
      <c r="I388" s="5">
        <v>28</v>
      </c>
      <c r="J388" s="5" t="s">
        <v>32</v>
      </c>
      <c r="K388" s="5" t="s">
        <v>49</v>
      </c>
      <c r="L388" s="5" t="s">
        <v>40</v>
      </c>
      <c r="M388" s="7" t="s">
        <v>21</v>
      </c>
      <c r="N388" s="26">
        <f t="shared" si="36"/>
        <v>-1</v>
      </c>
      <c r="O388" s="42">
        <f t="shared" si="37"/>
        <v>45171</v>
      </c>
      <c r="P388" s="5" t="str">
        <f t="shared" si="38"/>
        <v>Saturday</v>
      </c>
      <c r="Q388" s="5">
        <f t="shared" si="39"/>
        <v>12</v>
      </c>
      <c r="R388" s="28">
        <f t="shared" si="40"/>
        <v>0.76859504132231404</v>
      </c>
      <c r="S388" s="29">
        <f t="shared" si="41"/>
        <v>76.859504132231407</v>
      </c>
      <c r="T388" s="5" t="str">
        <f>IF(Delivery_Data[[#This Row],[Delays (min)]]&gt;0,"No","Yes")</f>
        <v>No</v>
      </c>
    </row>
    <row r="389" spans="1:20" ht="15.75" customHeight="1" x14ac:dyDescent="0.3">
      <c r="A389" s="4">
        <v>1388</v>
      </c>
      <c r="B389" s="5" t="s">
        <v>520</v>
      </c>
      <c r="C389" s="6">
        <v>45174.556250000001</v>
      </c>
      <c r="D389" s="5" t="s">
        <v>43</v>
      </c>
      <c r="E389" s="5" t="s">
        <v>106</v>
      </c>
      <c r="F389" s="5" t="s">
        <v>16</v>
      </c>
      <c r="G389" s="5" t="s">
        <v>39</v>
      </c>
      <c r="H389" s="5">
        <v>143</v>
      </c>
      <c r="I389" s="5">
        <v>17</v>
      </c>
      <c r="J389" s="5" t="s">
        <v>32</v>
      </c>
      <c r="K389" s="5" t="s">
        <v>45</v>
      </c>
      <c r="L389" s="5" t="s">
        <v>20</v>
      </c>
      <c r="M389" s="7" t="s">
        <v>46</v>
      </c>
      <c r="N389" s="26">
        <f t="shared" si="36"/>
        <v>-1</v>
      </c>
      <c r="O389" s="42">
        <f t="shared" si="37"/>
        <v>45174</v>
      </c>
      <c r="P389" s="5" t="str">
        <f t="shared" si="38"/>
        <v>Tuesday</v>
      </c>
      <c r="Q389" s="5">
        <f t="shared" si="39"/>
        <v>13</v>
      </c>
      <c r="R389" s="28">
        <f t="shared" si="40"/>
        <v>0.89375000000000004</v>
      </c>
      <c r="S389" s="29">
        <f t="shared" si="41"/>
        <v>89.375</v>
      </c>
      <c r="T389" s="5" t="str">
        <f>IF(Delivery_Data[[#This Row],[Delays (min)]]&gt;0,"No","Yes")</f>
        <v>No</v>
      </c>
    </row>
    <row r="390" spans="1:20" ht="15.75" customHeight="1" x14ac:dyDescent="0.3">
      <c r="A390" s="4">
        <v>1389</v>
      </c>
      <c r="B390" s="5" t="s">
        <v>521</v>
      </c>
      <c r="C390" s="6">
        <v>45170.57708333333</v>
      </c>
      <c r="D390" s="5" t="s">
        <v>43</v>
      </c>
      <c r="E390" s="5" t="s">
        <v>64</v>
      </c>
      <c r="F390" s="5" t="s">
        <v>38</v>
      </c>
      <c r="G390" s="5" t="s">
        <v>56</v>
      </c>
      <c r="H390" s="5">
        <v>127</v>
      </c>
      <c r="I390" s="5">
        <v>28</v>
      </c>
      <c r="J390" s="5" t="s">
        <v>32</v>
      </c>
      <c r="K390" s="5" t="s">
        <v>35</v>
      </c>
      <c r="L390" s="5" t="s">
        <v>28</v>
      </c>
      <c r="M390" s="7" t="s">
        <v>46</v>
      </c>
      <c r="N390" s="26">
        <f t="shared" si="36"/>
        <v>-1</v>
      </c>
      <c r="O390" s="42">
        <f t="shared" si="37"/>
        <v>45170</v>
      </c>
      <c r="P390" s="5" t="str">
        <f t="shared" si="38"/>
        <v>Friday</v>
      </c>
      <c r="Q390" s="5">
        <f t="shared" si="39"/>
        <v>13</v>
      </c>
      <c r="R390" s="28">
        <f t="shared" si="40"/>
        <v>0.8193548387096774</v>
      </c>
      <c r="S390" s="29">
        <f t="shared" si="41"/>
        <v>81.935483870967744</v>
      </c>
      <c r="T390" s="5" t="str">
        <f>IF(Delivery_Data[[#This Row],[Delays (min)]]&gt;0,"No","Yes")</f>
        <v>No</v>
      </c>
    </row>
    <row r="391" spans="1:20" ht="15.75" customHeight="1" x14ac:dyDescent="0.3">
      <c r="A391" s="4">
        <v>1390</v>
      </c>
      <c r="B391" s="5" t="s">
        <v>522</v>
      </c>
      <c r="C391" s="6">
        <v>45172.379861111112</v>
      </c>
      <c r="D391" s="5" t="s">
        <v>43</v>
      </c>
      <c r="E391" s="5" t="s">
        <v>304</v>
      </c>
      <c r="F391" s="5" t="s">
        <v>24</v>
      </c>
      <c r="G391" s="5" t="s">
        <v>39</v>
      </c>
      <c r="H391" s="5">
        <v>112</v>
      </c>
      <c r="I391" s="5">
        <v>6</v>
      </c>
      <c r="J391" s="5" t="s">
        <v>18</v>
      </c>
      <c r="K391" s="5" t="s">
        <v>19</v>
      </c>
      <c r="L391" s="5" t="s">
        <v>40</v>
      </c>
      <c r="M391" s="7" t="s">
        <v>21</v>
      </c>
      <c r="N391" s="26">
        <f t="shared" si="36"/>
        <v>0</v>
      </c>
      <c r="O391" s="42">
        <f t="shared" si="37"/>
        <v>45172</v>
      </c>
      <c r="P391" s="5" t="str">
        <f t="shared" si="38"/>
        <v>Sunday</v>
      </c>
      <c r="Q391" s="5">
        <f t="shared" si="39"/>
        <v>9</v>
      </c>
      <c r="R391" s="28">
        <f t="shared" si="40"/>
        <v>0.94915254237288138</v>
      </c>
      <c r="S391" s="29">
        <f t="shared" si="41"/>
        <v>94.915254237288138</v>
      </c>
      <c r="T391" s="5" t="str">
        <f>IF(Delivery_Data[[#This Row],[Delays (min)]]&gt;0,"No","Yes")</f>
        <v>No</v>
      </c>
    </row>
    <row r="392" spans="1:20" ht="15.75" customHeight="1" x14ac:dyDescent="0.3">
      <c r="A392" s="4">
        <v>1391</v>
      </c>
      <c r="B392" s="5" t="s">
        <v>523</v>
      </c>
      <c r="C392" s="6">
        <v>45177.418749999997</v>
      </c>
      <c r="D392" s="5" t="s">
        <v>43</v>
      </c>
      <c r="E392" s="5" t="s">
        <v>301</v>
      </c>
      <c r="F392" s="5" t="s">
        <v>24</v>
      </c>
      <c r="G392" s="5" t="s">
        <v>25</v>
      </c>
      <c r="H392" s="5">
        <v>176</v>
      </c>
      <c r="I392" s="5">
        <v>14</v>
      </c>
      <c r="J392" s="5" t="s">
        <v>18</v>
      </c>
      <c r="K392" s="5" t="s">
        <v>45</v>
      </c>
      <c r="L392" s="5" t="s">
        <v>40</v>
      </c>
      <c r="M392" s="7" t="s">
        <v>41</v>
      </c>
      <c r="N392" s="26">
        <f t="shared" si="36"/>
        <v>0</v>
      </c>
      <c r="O392" s="42">
        <f t="shared" si="37"/>
        <v>45177</v>
      </c>
      <c r="P392" s="5" t="str">
        <f t="shared" si="38"/>
        <v>Friday</v>
      </c>
      <c r="Q392" s="5">
        <f t="shared" si="39"/>
        <v>10</v>
      </c>
      <c r="R392" s="28">
        <f t="shared" si="40"/>
        <v>0.9263157894736842</v>
      </c>
      <c r="S392" s="29">
        <f t="shared" si="41"/>
        <v>92.631578947368425</v>
      </c>
      <c r="T392" s="5" t="str">
        <f>IF(Delivery_Data[[#This Row],[Delays (min)]]&gt;0,"No","Yes")</f>
        <v>No</v>
      </c>
    </row>
    <row r="393" spans="1:20" ht="15.75" customHeight="1" x14ac:dyDescent="0.3">
      <c r="A393" s="4">
        <v>1392</v>
      </c>
      <c r="B393" s="5" t="s">
        <v>524</v>
      </c>
      <c r="C393" s="6">
        <v>45176.552083333336</v>
      </c>
      <c r="D393" s="5" t="s">
        <v>14</v>
      </c>
      <c r="E393" s="5" t="s">
        <v>441</v>
      </c>
      <c r="F393" s="5" t="s">
        <v>38</v>
      </c>
      <c r="G393" s="5" t="s">
        <v>56</v>
      </c>
      <c r="H393" s="5">
        <v>193</v>
      </c>
      <c r="I393" s="5">
        <v>16</v>
      </c>
      <c r="J393" s="5" t="s">
        <v>18</v>
      </c>
      <c r="K393" s="5" t="s">
        <v>27</v>
      </c>
      <c r="L393" s="5" t="s">
        <v>28</v>
      </c>
      <c r="M393" s="7" t="s">
        <v>21</v>
      </c>
      <c r="N393" s="26">
        <f t="shared" si="36"/>
        <v>0</v>
      </c>
      <c r="O393" s="42">
        <f t="shared" si="37"/>
        <v>45176</v>
      </c>
      <c r="P393" s="5" t="str">
        <f t="shared" si="38"/>
        <v>Thursday</v>
      </c>
      <c r="Q393" s="5">
        <f t="shared" si="39"/>
        <v>13</v>
      </c>
      <c r="R393" s="28">
        <f t="shared" si="40"/>
        <v>0.92344497607655507</v>
      </c>
      <c r="S393" s="29">
        <f t="shared" si="41"/>
        <v>92.344497607655512</v>
      </c>
      <c r="T393" s="5" t="str">
        <f>IF(Delivery_Data[[#This Row],[Delays (min)]]&gt;0,"No","Yes")</f>
        <v>No</v>
      </c>
    </row>
    <row r="394" spans="1:20" ht="15.75" customHeight="1" x14ac:dyDescent="0.3">
      <c r="A394" s="4">
        <v>1393</v>
      </c>
      <c r="B394" s="5" t="s">
        <v>525</v>
      </c>
      <c r="C394" s="6">
        <v>45171.348611111112</v>
      </c>
      <c r="D394" s="5" t="s">
        <v>14</v>
      </c>
      <c r="E394" s="5" t="s">
        <v>135</v>
      </c>
      <c r="F394" s="5" t="s">
        <v>16</v>
      </c>
      <c r="G394" s="5" t="s">
        <v>56</v>
      </c>
      <c r="H394" s="5">
        <v>205</v>
      </c>
      <c r="I394" s="5">
        <v>15</v>
      </c>
      <c r="J394" s="5" t="s">
        <v>26</v>
      </c>
      <c r="K394" s="5" t="s">
        <v>27</v>
      </c>
      <c r="L394" s="5" t="s">
        <v>28</v>
      </c>
      <c r="M394" s="7" t="s">
        <v>41</v>
      </c>
      <c r="N394" s="26">
        <f t="shared" si="36"/>
        <v>1</v>
      </c>
      <c r="O394" s="42">
        <f t="shared" si="37"/>
        <v>45171</v>
      </c>
      <c r="P394" s="5" t="str">
        <f t="shared" si="38"/>
        <v>Saturday</v>
      </c>
      <c r="Q394" s="5">
        <f t="shared" si="39"/>
        <v>8</v>
      </c>
      <c r="R394" s="28">
        <f t="shared" si="40"/>
        <v>0.93181818181818177</v>
      </c>
      <c r="S394" s="29">
        <f t="shared" si="41"/>
        <v>93.181818181818173</v>
      </c>
      <c r="T394" s="5" t="str">
        <f>IF(Delivery_Data[[#This Row],[Delays (min)]]&gt;0,"No","Yes")</f>
        <v>No</v>
      </c>
    </row>
    <row r="395" spans="1:20" ht="15.75" customHeight="1" x14ac:dyDescent="0.3">
      <c r="A395" s="4">
        <v>1394</v>
      </c>
      <c r="B395" s="5" t="s">
        <v>526</v>
      </c>
      <c r="C395" s="6">
        <v>45171.395833333336</v>
      </c>
      <c r="D395" s="5" t="s">
        <v>43</v>
      </c>
      <c r="E395" s="5" t="s">
        <v>468</v>
      </c>
      <c r="F395" s="5" t="s">
        <v>24</v>
      </c>
      <c r="G395" s="5" t="s">
        <v>25</v>
      </c>
      <c r="H395" s="5">
        <v>92</v>
      </c>
      <c r="I395" s="5">
        <v>5</v>
      </c>
      <c r="J395" s="5" t="s">
        <v>18</v>
      </c>
      <c r="K395" s="5" t="s">
        <v>19</v>
      </c>
      <c r="L395" s="5" t="s">
        <v>28</v>
      </c>
      <c r="M395" s="7" t="s">
        <v>21</v>
      </c>
      <c r="N395" s="26">
        <f t="shared" si="36"/>
        <v>0</v>
      </c>
      <c r="O395" s="42">
        <f t="shared" si="37"/>
        <v>45171</v>
      </c>
      <c r="P395" s="5" t="str">
        <f t="shared" si="38"/>
        <v>Saturday</v>
      </c>
      <c r="Q395" s="5">
        <f t="shared" si="39"/>
        <v>9</v>
      </c>
      <c r="R395" s="28">
        <f t="shared" si="40"/>
        <v>0.94845360824742264</v>
      </c>
      <c r="S395" s="29">
        <f t="shared" si="41"/>
        <v>94.845360824742258</v>
      </c>
      <c r="T395" s="5" t="str">
        <f>IF(Delivery_Data[[#This Row],[Delays (min)]]&gt;0,"No","Yes")</f>
        <v>No</v>
      </c>
    </row>
    <row r="396" spans="1:20" ht="15.75" customHeight="1" x14ac:dyDescent="0.3">
      <c r="A396" s="4">
        <v>1395</v>
      </c>
      <c r="B396" s="5" t="s">
        <v>527</v>
      </c>
      <c r="C396" s="6">
        <v>45170.613194444442</v>
      </c>
      <c r="D396" s="5" t="s">
        <v>43</v>
      </c>
      <c r="E396" s="5" t="s">
        <v>231</v>
      </c>
      <c r="F396" s="5" t="s">
        <v>38</v>
      </c>
      <c r="G396" s="5" t="s">
        <v>25</v>
      </c>
      <c r="H396" s="5">
        <v>185</v>
      </c>
      <c r="I396" s="5">
        <v>12</v>
      </c>
      <c r="J396" s="5" t="s">
        <v>18</v>
      </c>
      <c r="K396" s="5" t="s">
        <v>27</v>
      </c>
      <c r="L396" s="5" t="s">
        <v>40</v>
      </c>
      <c r="M396" s="7" t="s">
        <v>41</v>
      </c>
      <c r="N396" s="26">
        <f t="shared" si="36"/>
        <v>0</v>
      </c>
      <c r="O396" s="42">
        <f t="shared" si="37"/>
        <v>45170</v>
      </c>
      <c r="P396" s="5" t="str">
        <f t="shared" si="38"/>
        <v>Friday</v>
      </c>
      <c r="Q396" s="5">
        <f t="shared" si="39"/>
        <v>14</v>
      </c>
      <c r="R396" s="28">
        <f t="shared" si="40"/>
        <v>0.93908629441624369</v>
      </c>
      <c r="S396" s="29">
        <f t="shared" si="41"/>
        <v>93.90862944162437</v>
      </c>
      <c r="T396" s="5" t="str">
        <f>IF(Delivery_Data[[#This Row],[Delays (min)]]&gt;0,"No","Yes")</f>
        <v>No</v>
      </c>
    </row>
    <row r="397" spans="1:20" ht="15.75" customHeight="1" x14ac:dyDescent="0.3">
      <c r="A397" s="4">
        <v>1396</v>
      </c>
      <c r="B397" s="5" t="s">
        <v>528</v>
      </c>
      <c r="C397" s="6">
        <v>45176.495138888888</v>
      </c>
      <c r="D397" s="5" t="s">
        <v>14</v>
      </c>
      <c r="E397" s="5" t="s">
        <v>306</v>
      </c>
      <c r="F397" s="5" t="s">
        <v>24</v>
      </c>
      <c r="G397" s="5" t="s">
        <v>39</v>
      </c>
      <c r="H397" s="5">
        <v>146</v>
      </c>
      <c r="I397" s="5">
        <v>29</v>
      </c>
      <c r="J397" s="5" t="s">
        <v>26</v>
      </c>
      <c r="K397" s="5" t="s">
        <v>27</v>
      </c>
      <c r="L397" s="5" t="s">
        <v>28</v>
      </c>
      <c r="M397" s="7" t="s">
        <v>21</v>
      </c>
      <c r="N397" s="26">
        <f t="shared" si="36"/>
        <v>1</v>
      </c>
      <c r="O397" s="42">
        <f t="shared" si="37"/>
        <v>45176</v>
      </c>
      <c r="P397" s="5" t="str">
        <f t="shared" si="38"/>
        <v>Thursday</v>
      </c>
      <c r="Q397" s="5">
        <f t="shared" si="39"/>
        <v>11</v>
      </c>
      <c r="R397" s="28">
        <f t="shared" si="40"/>
        <v>0.8342857142857143</v>
      </c>
      <c r="S397" s="29">
        <f t="shared" si="41"/>
        <v>83.428571428571431</v>
      </c>
      <c r="T397" s="5" t="str">
        <f>IF(Delivery_Data[[#This Row],[Delays (min)]]&gt;0,"No","Yes")</f>
        <v>No</v>
      </c>
    </row>
    <row r="398" spans="1:20" ht="15.75" customHeight="1" x14ac:dyDescent="0.3">
      <c r="A398" s="4">
        <v>1397</v>
      </c>
      <c r="B398" s="5" t="s">
        <v>529</v>
      </c>
      <c r="C398" s="6">
        <v>45175.476388888892</v>
      </c>
      <c r="D398" s="5" t="s">
        <v>43</v>
      </c>
      <c r="E398" s="5" t="s">
        <v>132</v>
      </c>
      <c r="F398" s="5" t="s">
        <v>16</v>
      </c>
      <c r="G398" s="5" t="s">
        <v>56</v>
      </c>
      <c r="H398" s="5">
        <v>64</v>
      </c>
      <c r="I398" s="5">
        <v>12</v>
      </c>
      <c r="J398" s="5" t="s">
        <v>26</v>
      </c>
      <c r="K398" s="5" t="s">
        <v>35</v>
      </c>
      <c r="L398" s="5" t="s">
        <v>20</v>
      </c>
      <c r="M398" s="7" t="s">
        <v>21</v>
      </c>
      <c r="N398" s="26">
        <f t="shared" si="36"/>
        <v>1</v>
      </c>
      <c r="O398" s="42">
        <f t="shared" si="37"/>
        <v>45175</v>
      </c>
      <c r="P398" s="5" t="str">
        <f t="shared" si="38"/>
        <v>Wednesday</v>
      </c>
      <c r="Q398" s="5">
        <f t="shared" si="39"/>
        <v>11</v>
      </c>
      <c r="R398" s="28">
        <f t="shared" si="40"/>
        <v>0.84210526315789469</v>
      </c>
      <c r="S398" s="29">
        <f t="shared" si="41"/>
        <v>84.210526315789465</v>
      </c>
      <c r="T398" s="5" t="str">
        <f>IF(Delivery_Data[[#This Row],[Delays (min)]]&gt;0,"No","Yes")</f>
        <v>No</v>
      </c>
    </row>
    <row r="399" spans="1:20" ht="15.75" customHeight="1" x14ac:dyDescent="0.3">
      <c r="A399" s="4">
        <v>1398</v>
      </c>
      <c r="B399" s="5" t="s">
        <v>530</v>
      </c>
      <c r="C399" s="6">
        <v>45172.476388888892</v>
      </c>
      <c r="D399" s="5" t="s">
        <v>43</v>
      </c>
      <c r="E399" s="5" t="s">
        <v>135</v>
      </c>
      <c r="F399" s="5" t="s">
        <v>24</v>
      </c>
      <c r="G399" s="5" t="s">
        <v>39</v>
      </c>
      <c r="H399" s="5">
        <v>84</v>
      </c>
      <c r="I399" s="5">
        <v>24</v>
      </c>
      <c r="J399" s="5" t="s">
        <v>26</v>
      </c>
      <c r="K399" s="5" t="s">
        <v>45</v>
      </c>
      <c r="L399" s="5" t="s">
        <v>40</v>
      </c>
      <c r="M399" s="7" t="s">
        <v>46</v>
      </c>
      <c r="N399" s="26">
        <f t="shared" si="36"/>
        <v>1</v>
      </c>
      <c r="O399" s="42">
        <f t="shared" si="37"/>
        <v>45172</v>
      </c>
      <c r="P399" s="5" t="str">
        <f t="shared" si="38"/>
        <v>Sunday</v>
      </c>
      <c r="Q399" s="5">
        <f t="shared" si="39"/>
        <v>11</v>
      </c>
      <c r="R399" s="28">
        <f t="shared" si="40"/>
        <v>0.77777777777777779</v>
      </c>
      <c r="S399" s="29">
        <f t="shared" si="41"/>
        <v>77.777777777777786</v>
      </c>
      <c r="T399" s="5" t="str">
        <f>IF(Delivery_Data[[#This Row],[Delays (min)]]&gt;0,"No","Yes")</f>
        <v>No</v>
      </c>
    </row>
    <row r="400" spans="1:20" ht="15.75" customHeight="1" x14ac:dyDescent="0.3">
      <c r="A400" s="4">
        <v>1399</v>
      </c>
      <c r="B400" s="5" t="s">
        <v>531</v>
      </c>
      <c r="C400" s="6">
        <v>45174.397222222222</v>
      </c>
      <c r="D400" s="5" t="s">
        <v>14</v>
      </c>
      <c r="E400" s="5" t="s">
        <v>60</v>
      </c>
      <c r="F400" s="5" t="s">
        <v>38</v>
      </c>
      <c r="G400" s="5" t="s">
        <v>39</v>
      </c>
      <c r="H400" s="5">
        <v>96</v>
      </c>
      <c r="I400" s="5">
        <v>18</v>
      </c>
      <c r="J400" s="5" t="s">
        <v>32</v>
      </c>
      <c r="K400" s="5" t="s">
        <v>35</v>
      </c>
      <c r="L400" s="5" t="s">
        <v>28</v>
      </c>
      <c r="M400" s="7" t="s">
        <v>46</v>
      </c>
      <c r="N400" s="26">
        <f t="shared" si="36"/>
        <v>-1</v>
      </c>
      <c r="O400" s="42">
        <f t="shared" si="37"/>
        <v>45174</v>
      </c>
      <c r="P400" s="5" t="str">
        <f t="shared" si="38"/>
        <v>Tuesday</v>
      </c>
      <c r="Q400" s="5">
        <f t="shared" si="39"/>
        <v>9</v>
      </c>
      <c r="R400" s="28">
        <f t="shared" si="40"/>
        <v>0.84210526315789469</v>
      </c>
      <c r="S400" s="29">
        <f t="shared" si="41"/>
        <v>84.210526315789465</v>
      </c>
      <c r="T400" s="5" t="str">
        <f>IF(Delivery_Data[[#This Row],[Delays (min)]]&gt;0,"No","Yes")</f>
        <v>No</v>
      </c>
    </row>
    <row r="401" spans="1:20" ht="15.75" customHeight="1" x14ac:dyDescent="0.3">
      <c r="A401" s="4">
        <v>1400</v>
      </c>
      <c r="B401" s="5" t="s">
        <v>532</v>
      </c>
      <c r="C401" s="6">
        <v>45170.557638888888</v>
      </c>
      <c r="D401" s="5" t="s">
        <v>14</v>
      </c>
      <c r="E401" s="5" t="s">
        <v>301</v>
      </c>
      <c r="F401" s="5" t="s">
        <v>38</v>
      </c>
      <c r="G401" s="5" t="s">
        <v>25</v>
      </c>
      <c r="H401" s="5">
        <v>63</v>
      </c>
      <c r="I401" s="5">
        <v>21</v>
      </c>
      <c r="J401" s="5" t="s">
        <v>26</v>
      </c>
      <c r="K401" s="5" t="s">
        <v>45</v>
      </c>
      <c r="L401" s="5" t="s">
        <v>28</v>
      </c>
      <c r="M401" s="7" t="s">
        <v>41</v>
      </c>
      <c r="N401" s="26">
        <f t="shared" si="36"/>
        <v>1</v>
      </c>
      <c r="O401" s="42">
        <f t="shared" si="37"/>
        <v>45170</v>
      </c>
      <c r="P401" s="5" t="str">
        <f t="shared" si="38"/>
        <v>Friday</v>
      </c>
      <c r="Q401" s="5">
        <f t="shared" si="39"/>
        <v>13</v>
      </c>
      <c r="R401" s="28">
        <f t="shared" si="40"/>
        <v>0.75</v>
      </c>
      <c r="S401" s="29">
        <f t="shared" si="41"/>
        <v>75</v>
      </c>
      <c r="T401" s="5" t="str">
        <f>IF(Delivery_Data[[#This Row],[Delays (min)]]&gt;0,"No","Yes")</f>
        <v>No</v>
      </c>
    </row>
    <row r="402" spans="1:20" ht="15.75" customHeight="1" x14ac:dyDescent="0.3">
      <c r="A402" s="4">
        <v>1401</v>
      </c>
      <c r="B402" s="5" t="s">
        <v>533</v>
      </c>
      <c r="C402" s="6">
        <v>45170.604861111111</v>
      </c>
      <c r="D402" s="5" t="s">
        <v>14</v>
      </c>
      <c r="E402" s="5" t="s">
        <v>130</v>
      </c>
      <c r="F402" s="5" t="s">
        <v>16</v>
      </c>
      <c r="G402" s="5" t="s">
        <v>39</v>
      </c>
      <c r="H402" s="5">
        <v>88</v>
      </c>
      <c r="I402" s="5">
        <v>28</v>
      </c>
      <c r="J402" s="5" t="s">
        <v>18</v>
      </c>
      <c r="K402" s="5" t="s">
        <v>19</v>
      </c>
      <c r="L402" s="5" t="s">
        <v>28</v>
      </c>
      <c r="M402" s="7" t="s">
        <v>46</v>
      </c>
      <c r="N402" s="26">
        <f t="shared" si="36"/>
        <v>0</v>
      </c>
      <c r="O402" s="42">
        <f t="shared" si="37"/>
        <v>45170</v>
      </c>
      <c r="P402" s="5" t="str">
        <f t="shared" si="38"/>
        <v>Friday</v>
      </c>
      <c r="Q402" s="5">
        <f t="shared" si="39"/>
        <v>14</v>
      </c>
      <c r="R402" s="28">
        <f t="shared" si="40"/>
        <v>0.75862068965517238</v>
      </c>
      <c r="S402" s="29">
        <f t="shared" si="41"/>
        <v>75.862068965517238</v>
      </c>
      <c r="T402" s="5" t="str">
        <f>IF(Delivery_Data[[#This Row],[Delays (min)]]&gt;0,"No","Yes")</f>
        <v>No</v>
      </c>
    </row>
    <row r="403" spans="1:20" ht="15.75" customHeight="1" x14ac:dyDescent="0.3">
      <c r="A403" s="4">
        <v>1402</v>
      </c>
      <c r="B403" s="5" t="s">
        <v>534</v>
      </c>
      <c r="C403" s="6">
        <v>45174.334027777775</v>
      </c>
      <c r="D403" s="5" t="s">
        <v>43</v>
      </c>
      <c r="E403" s="5" t="s">
        <v>164</v>
      </c>
      <c r="F403" s="5" t="s">
        <v>16</v>
      </c>
      <c r="G403" s="5" t="s">
        <v>25</v>
      </c>
      <c r="H403" s="5">
        <v>216</v>
      </c>
      <c r="I403" s="5">
        <v>20</v>
      </c>
      <c r="J403" s="5" t="s">
        <v>26</v>
      </c>
      <c r="K403" s="5" t="s">
        <v>19</v>
      </c>
      <c r="L403" s="5" t="s">
        <v>20</v>
      </c>
      <c r="M403" s="7" t="s">
        <v>46</v>
      </c>
      <c r="N403" s="26">
        <f t="shared" si="36"/>
        <v>1</v>
      </c>
      <c r="O403" s="42">
        <f t="shared" si="37"/>
        <v>45174</v>
      </c>
      <c r="P403" s="5" t="str">
        <f t="shared" si="38"/>
        <v>Tuesday</v>
      </c>
      <c r="Q403" s="5">
        <f t="shared" si="39"/>
        <v>8</v>
      </c>
      <c r="R403" s="28">
        <f t="shared" si="40"/>
        <v>0.9152542372881356</v>
      </c>
      <c r="S403" s="29">
        <f t="shared" si="41"/>
        <v>91.525423728813564</v>
      </c>
      <c r="T403" s="5" t="str">
        <f>IF(Delivery_Data[[#This Row],[Delays (min)]]&gt;0,"No","Yes")</f>
        <v>No</v>
      </c>
    </row>
    <row r="404" spans="1:20" ht="15.75" customHeight="1" x14ac:dyDescent="0.3">
      <c r="A404" s="4">
        <v>1403</v>
      </c>
      <c r="B404" s="5" t="s">
        <v>535</v>
      </c>
      <c r="C404" s="6">
        <v>45174.429861111108</v>
      </c>
      <c r="D404" s="5" t="s">
        <v>43</v>
      </c>
      <c r="E404" s="5" t="s">
        <v>151</v>
      </c>
      <c r="F404" s="5" t="s">
        <v>24</v>
      </c>
      <c r="G404" s="5" t="s">
        <v>39</v>
      </c>
      <c r="H404" s="5">
        <v>186</v>
      </c>
      <c r="I404" s="5">
        <v>26</v>
      </c>
      <c r="J404" s="5" t="s">
        <v>18</v>
      </c>
      <c r="K404" s="5" t="s">
        <v>49</v>
      </c>
      <c r="L404" s="5" t="s">
        <v>28</v>
      </c>
      <c r="M404" s="7" t="s">
        <v>46</v>
      </c>
      <c r="N404" s="26">
        <f t="shared" si="36"/>
        <v>0</v>
      </c>
      <c r="O404" s="42">
        <f t="shared" si="37"/>
        <v>45174</v>
      </c>
      <c r="P404" s="5" t="str">
        <f t="shared" si="38"/>
        <v>Tuesday</v>
      </c>
      <c r="Q404" s="5">
        <f t="shared" si="39"/>
        <v>10</v>
      </c>
      <c r="R404" s="28">
        <f t="shared" si="40"/>
        <v>0.87735849056603776</v>
      </c>
      <c r="S404" s="29">
        <f t="shared" si="41"/>
        <v>87.735849056603783</v>
      </c>
      <c r="T404" s="5" t="str">
        <f>IF(Delivery_Data[[#This Row],[Delays (min)]]&gt;0,"No","Yes")</f>
        <v>No</v>
      </c>
    </row>
    <row r="405" spans="1:20" ht="15.75" customHeight="1" x14ac:dyDescent="0.3">
      <c r="A405" s="4">
        <v>1404</v>
      </c>
      <c r="B405" s="5" t="s">
        <v>536</v>
      </c>
      <c r="C405" s="6">
        <v>45174.418749999997</v>
      </c>
      <c r="D405" s="5" t="s">
        <v>43</v>
      </c>
      <c r="E405" s="5" t="s">
        <v>158</v>
      </c>
      <c r="F405" s="5" t="s">
        <v>38</v>
      </c>
      <c r="G405" s="5" t="s">
        <v>56</v>
      </c>
      <c r="H405" s="5">
        <v>203</v>
      </c>
      <c r="I405" s="5">
        <v>7</v>
      </c>
      <c r="J405" s="5" t="s">
        <v>32</v>
      </c>
      <c r="K405" s="5" t="s">
        <v>45</v>
      </c>
      <c r="L405" s="5" t="s">
        <v>20</v>
      </c>
      <c r="M405" s="7" t="s">
        <v>46</v>
      </c>
      <c r="N405" s="26">
        <f t="shared" si="36"/>
        <v>-1</v>
      </c>
      <c r="O405" s="42">
        <f t="shared" si="37"/>
        <v>45174</v>
      </c>
      <c r="P405" s="5" t="str">
        <f t="shared" si="38"/>
        <v>Tuesday</v>
      </c>
      <c r="Q405" s="5">
        <f t="shared" si="39"/>
        <v>10</v>
      </c>
      <c r="R405" s="28">
        <f t="shared" si="40"/>
        <v>0.96666666666666667</v>
      </c>
      <c r="S405" s="29">
        <f t="shared" si="41"/>
        <v>96.666666666666671</v>
      </c>
      <c r="T405" s="5" t="str">
        <f>IF(Delivery_Data[[#This Row],[Delays (min)]]&gt;0,"No","Yes")</f>
        <v>No</v>
      </c>
    </row>
    <row r="406" spans="1:20" ht="15.75" customHeight="1" x14ac:dyDescent="0.3">
      <c r="A406" s="4">
        <v>1405</v>
      </c>
      <c r="B406" s="5" t="s">
        <v>537</v>
      </c>
      <c r="C406" s="6">
        <v>45174.6</v>
      </c>
      <c r="D406" s="5" t="s">
        <v>14</v>
      </c>
      <c r="E406" s="5" t="s">
        <v>70</v>
      </c>
      <c r="F406" s="5" t="s">
        <v>24</v>
      </c>
      <c r="G406" s="5" t="s">
        <v>56</v>
      </c>
      <c r="H406" s="5">
        <v>81</v>
      </c>
      <c r="I406" s="5">
        <v>26</v>
      </c>
      <c r="J406" s="5" t="s">
        <v>26</v>
      </c>
      <c r="K406" s="5" t="s">
        <v>49</v>
      </c>
      <c r="L406" s="5" t="s">
        <v>20</v>
      </c>
      <c r="M406" s="7" t="s">
        <v>46</v>
      </c>
      <c r="N406" s="26">
        <f t="shared" si="36"/>
        <v>1</v>
      </c>
      <c r="O406" s="42">
        <f t="shared" si="37"/>
        <v>45174</v>
      </c>
      <c r="P406" s="5" t="str">
        <f t="shared" si="38"/>
        <v>Tuesday</v>
      </c>
      <c r="Q406" s="5">
        <f t="shared" si="39"/>
        <v>14</v>
      </c>
      <c r="R406" s="28">
        <f t="shared" si="40"/>
        <v>0.7570093457943925</v>
      </c>
      <c r="S406" s="29">
        <f t="shared" si="41"/>
        <v>75.700934579439249</v>
      </c>
      <c r="T406" s="5" t="str">
        <f>IF(Delivery_Data[[#This Row],[Delays (min)]]&gt;0,"No","Yes")</f>
        <v>No</v>
      </c>
    </row>
    <row r="407" spans="1:20" ht="15.75" customHeight="1" x14ac:dyDescent="0.3">
      <c r="A407" s="4">
        <v>1406</v>
      </c>
      <c r="B407" s="5" t="s">
        <v>538</v>
      </c>
      <c r="C407" s="6">
        <v>45176.693749999999</v>
      </c>
      <c r="D407" s="5" t="s">
        <v>43</v>
      </c>
      <c r="E407" s="5" t="s">
        <v>135</v>
      </c>
      <c r="F407" s="5" t="s">
        <v>24</v>
      </c>
      <c r="G407" s="5" t="s">
        <v>25</v>
      </c>
      <c r="H407" s="5">
        <v>220</v>
      </c>
      <c r="I407" s="5">
        <v>27</v>
      </c>
      <c r="J407" s="5" t="s">
        <v>18</v>
      </c>
      <c r="K407" s="5" t="s">
        <v>19</v>
      </c>
      <c r="L407" s="5" t="s">
        <v>20</v>
      </c>
      <c r="M407" s="7" t="s">
        <v>41</v>
      </c>
      <c r="N407" s="26">
        <f t="shared" si="36"/>
        <v>0</v>
      </c>
      <c r="O407" s="42">
        <f t="shared" si="37"/>
        <v>45176</v>
      </c>
      <c r="P407" s="5" t="str">
        <f t="shared" si="38"/>
        <v>Thursday</v>
      </c>
      <c r="Q407" s="5">
        <f t="shared" si="39"/>
        <v>16</v>
      </c>
      <c r="R407" s="28">
        <f t="shared" si="40"/>
        <v>0.89068825910931171</v>
      </c>
      <c r="S407" s="29">
        <f t="shared" si="41"/>
        <v>89.068825910931167</v>
      </c>
      <c r="T407" s="5" t="str">
        <f>IF(Delivery_Data[[#This Row],[Delays (min)]]&gt;0,"No","Yes")</f>
        <v>No</v>
      </c>
    </row>
    <row r="408" spans="1:20" ht="15.75" customHeight="1" x14ac:dyDescent="0.3">
      <c r="A408" s="4">
        <v>1407</v>
      </c>
      <c r="B408" s="5" t="s">
        <v>539</v>
      </c>
      <c r="C408" s="6">
        <v>45176.604861111111</v>
      </c>
      <c r="D408" s="5" t="s">
        <v>43</v>
      </c>
      <c r="E408" s="5" t="s">
        <v>272</v>
      </c>
      <c r="F408" s="5" t="s">
        <v>16</v>
      </c>
      <c r="G408" s="5" t="s">
        <v>17</v>
      </c>
      <c r="H408" s="5">
        <v>141</v>
      </c>
      <c r="I408" s="5">
        <v>29</v>
      </c>
      <c r="J408" s="5" t="s">
        <v>18</v>
      </c>
      <c r="K408" s="5" t="s">
        <v>35</v>
      </c>
      <c r="L408" s="5" t="s">
        <v>28</v>
      </c>
      <c r="M408" s="7" t="s">
        <v>46</v>
      </c>
      <c r="N408" s="26">
        <f t="shared" si="36"/>
        <v>0</v>
      </c>
      <c r="O408" s="42">
        <f t="shared" si="37"/>
        <v>45176</v>
      </c>
      <c r="P408" s="5" t="str">
        <f t="shared" si="38"/>
        <v>Thursday</v>
      </c>
      <c r="Q408" s="5">
        <f t="shared" si="39"/>
        <v>14</v>
      </c>
      <c r="R408" s="28">
        <f t="shared" si="40"/>
        <v>0.8294117647058824</v>
      </c>
      <c r="S408" s="29">
        <f t="shared" si="41"/>
        <v>82.941176470588246</v>
      </c>
      <c r="T408" s="5" t="str">
        <f>IF(Delivery_Data[[#This Row],[Delays (min)]]&gt;0,"No","Yes")</f>
        <v>No</v>
      </c>
    </row>
    <row r="409" spans="1:20" ht="15.75" customHeight="1" x14ac:dyDescent="0.3">
      <c r="A409" s="4">
        <v>1408</v>
      </c>
      <c r="B409" s="5" t="s">
        <v>540</v>
      </c>
      <c r="C409" s="6">
        <v>45176.347222222219</v>
      </c>
      <c r="D409" s="5" t="s">
        <v>14</v>
      </c>
      <c r="E409" s="5" t="s">
        <v>120</v>
      </c>
      <c r="F409" s="5" t="s">
        <v>16</v>
      </c>
      <c r="G409" s="5" t="s">
        <v>25</v>
      </c>
      <c r="H409" s="5">
        <v>178</v>
      </c>
      <c r="I409" s="5">
        <v>5</v>
      </c>
      <c r="J409" s="5" t="s">
        <v>18</v>
      </c>
      <c r="K409" s="5" t="s">
        <v>35</v>
      </c>
      <c r="L409" s="5" t="s">
        <v>20</v>
      </c>
      <c r="M409" s="7" t="s">
        <v>41</v>
      </c>
      <c r="N409" s="26">
        <f t="shared" si="36"/>
        <v>0</v>
      </c>
      <c r="O409" s="42">
        <f t="shared" si="37"/>
        <v>45176</v>
      </c>
      <c r="P409" s="5" t="str">
        <f t="shared" si="38"/>
        <v>Thursday</v>
      </c>
      <c r="Q409" s="5">
        <f t="shared" si="39"/>
        <v>8</v>
      </c>
      <c r="R409" s="28">
        <f t="shared" si="40"/>
        <v>0.97267759562841527</v>
      </c>
      <c r="S409" s="29">
        <f t="shared" si="41"/>
        <v>97.267759562841533</v>
      </c>
      <c r="T409" s="5" t="str">
        <f>IF(Delivery_Data[[#This Row],[Delays (min)]]&gt;0,"No","Yes")</f>
        <v>No</v>
      </c>
    </row>
    <row r="410" spans="1:20" ht="15.75" customHeight="1" x14ac:dyDescent="0.3">
      <c r="A410" s="4">
        <v>1409</v>
      </c>
      <c r="B410" s="5" t="s">
        <v>541</v>
      </c>
      <c r="C410" s="6">
        <v>45170.506944444445</v>
      </c>
      <c r="D410" s="5" t="s">
        <v>43</v>
      </c>
      <c r="E410" s="5" t="s">
        <v>272</v>
      </c>
      <c r="F410" s="5" t="s">
        <v>24</v>
      </c>
      <c r="G410" s="5" t="s">
        <v>39</v>
      </c>
      <c r="H410" s="5">
        <v>190</v>
      </c>
      <c r="I410" s="5">
        <v>23</v>
      </c>
      <c r="J410" s="5" t="s">
        <v>26</v>
      </c>
      <c r="K410" s="5" t="s">
        <v>27</v>
      </c>
      <c r="L410" s="5" t="s">
        <v>40</v>
      </c>
      <c r="M410" s="7" t="s">
        <v>46</v>
      </c>
      <c r="N410" s="26">
        <f t="shared" si="36"/>
        <v>1</v>
      </c>
      <c r="O410" s="42">
        <f t="shared" si="37"/>
        <v>45170</v>
      </c>
      <c r="P410" s="5" t="str">
        <f t="shared" si="38"/>
        <v>Friday</v>
      </c>
      <c r="Q410" s="5">
        <f t="shared" si="39"/>
        <v>12</v>
      </c>
      <c r="R410" s="28">
        <f t="shared" si="40"/>
        <v>0.892018779342723</v>
      </c>
      <c r="S410" s="29">
        <f t="shared" si="41"/>
        <v>89.201877934272304</v>
      </c>
      <c r="T410" s="5" t="str">
        <f>IF(Delivery_Data[[#This Row],[Delays (min)]]&gt;0,"No","Yes")</f>
        <v>No</v>
      </c>
    </row>
    <row r="411" spans="1:20" ht="15.75" customHeight="1" x14ac:dyDescent="0.3">
      <c r="A411" s="4">
        <v>1410</v>
      </c>
      <c r="B411" s="5" t="s">
        <v>542</v>
      </c>
      <c r="C411" s="6">
        <v>45176.513888888891</v>
      </c>
      <c r="D411" s="5" t="s">
        <v>14</v>
      </c>
      <c r="E411" s="5" t="s">
        <v>169</v>
      </c>
      <c r="F411" s="5" t="s">
        <v>16</v>
      </c>
      <c r="G411" s="5" t="s">
        <v>56</v>
      </c>
      <c r="H411" s="5">
        <v>199</v>
      </c>
      <c r="I411" s="5">
        <v>3</v>
      </c>
      <c r="J411" s="5" t="s">
        <v>26</v>
      </c>
      <c r="K411" s="5" t="s">
        <v>35</v>
      </c>
      <c r="L411" s="5" t="s">
        <v>40</v>
      </c>
      <c r="M411" s="7" t="s">
        <v>21</v>
      </c>
      <c r="N411" s="26">
        <f t="shared" si="36"/>
        <v>1</v>
      </c>
      <c r="O411" s="42">
        <f t="shared" si="37"/>
        <v>45176</v>
      </c>
      <c r="P411" s="5" t="str">
        <f t="shared" si="38"/>
        <v>Thursday</v>
      </c>
      <c r="Q411" s="5">
        <f t="shared" si="39"/>
        <v>12</v>
      </c>
      <c r="R411" s="28">
        <f t="shared" si="40"/>
        <v>0.98514851485148514</v>
      </c>
      <c r="S411" s="29">
        <f t="shared" si="41"/>
        <v>98.514851485148512</v>
      </c>
      <c r="T411" s="5" t="str">
        <f>IF(Delivery_Data[[#This Row],[Delays (min)]]&gt;0,"No","Yes")</f>
        <v>No</v>
      </c>
    </row>
    <row r="412" spans="1:20" ht="15.75" customHeight="1" x14ac:dyDescent="0.3">
      <c r="A412" s="4">
        <v>1411</v>
      </c>
      <c r="B412" s="5" t="s">
        <v>543</v>
      </c>
      <c r="C412" s="6">
        <v>45177.563194444447</v>
      </c>
      <c r="D412" s="5" t="s">
        <v>14</v>
      </c>
      <c r="E412" s="5" t="s">
        <v>160</v>
      </c>
      <c r="F412" s="5" t="s">
        <v>38</v>
      </c>
      <c r="G412" s="5" t="s">
        <v>25</v>
      </c>
      <c r="H412" s="5">
        <v>203</v>
      </c>
      <c r="I412" s="5">
        <v>14</v>
      </c>
      <c r="J412" s="5" t="s">
        <v>26</v>
      </c>
      <c r="K412" s="5" t="s">
        <v>27</v>
      </c>
      <c r="L412" s="5" t="s">
        <v>28</v>
      </c>
      <c r="M412" s="7" t="s">
        <v>46</v>
      </c>
      <c r="N412" s="26">
        <f t="shared" si="36"/>
        <v>1</v>
      </c>
      <c r="O412" s="42">
        <f t="shared" si="37"/>
        <v>45177</v>
      </c>
      <c r="P412" s="5" t="str">
        <f t="shared" si="38"/>
        <v>Friday</v>
      </c>
      <c r="Q412" s="5">
        <f t="shared" si="39"/>
        <v>13</v>
      </c>
      <c r="R412" s="28">
        <f t="shared" si="40"/>
        <v>0.93548387096774188</v>
      </c>
      <c r="S412" s="29">
        <f t="shared" si="41"/>
        <v>93.548387096774192</v>
      </c>
      <c r="T412" s="5" t="str">
        <f>IF(Delivery_Data[[#This Row],[Delays (min)]]&gt;0,"No","Yes")</f>
        <v>No</v>
      </c>
    </row>
    <row r="413" spans="1:20" ht="15.75" customHeight="1" x14ac:dyDescent="0.3">
      <c r="A413" s="4">
        <v>1412</v>
      </c>
      <c r="B413" s="5" t="s">
        <v>544</v>
      </c>
      <c r="C413" s="6">
        <v>45170.56527777778</v>
      </c>
      <c r="D413" s="5" t="s">
        <v>14</v>
      </c>
      <c r="E413" s="5" t="s">
        <v>151</v>
      </c>
      <c r="F413" s="5" t="s">
        <v>38</v>
      </c>
      <c r="G413" s="5" t="s">
        <v>17</v>
      </c>
      <c r="H413" s="5">
        <v>183</v>
      </c>
      <c r="I413" s="5">
        <v>21</v>
      </c>
      <c r="J413" s="5" t="s">
        <v>26</v>
      </c>
      <c r="K413" s="5" t="s">
        <v>19</v>
      </c>
      <c r="L413" s="5" t="s">
        <v>28</v>
      </c>
      <c r="M413" s="7" t="s">
        <v>46</v>
      </c>
      <c r="N413" s="26">
        <f t="shared" si="36"/>
        <v>1</v>
      </c>
      <c r="O413" s="42">
        <f t="shared" si="37"/>
        <v>45170</v>
      </c>
      <c r="P413" s="5" t="str">
        <f t="shared" si="38"/>
        <v>Friday</v>
      </c>
      <c r="Q413" s="5">
        <f t="shared" si="39"/>
        <v>13</v>
      </c>
      <c r="R413" s="28">
        <f t="shared" si="40"/>
        <v>0.8970588235294118</v>
      </c>
      <c r="S413" s="29">
        <f t="shared" si="41"/>
        <v>89.705882352941174</v>
      </c>
      <c r="T413" s="5" t="str">
        <f>IF(Delivery_Data[[#This Row],[Delays (min)]]&gt;0,"No","Yes")</f>
        <v>No</v>
      </c>
    </row>
    <row r="414" spans="1:20" ht="15.75" customHeight="1" x14ac:dyDescent="0.3">
      <c r="A414" s="4">
        <v>1413</v>
      </c>
      <c r="B414" s="5" t="s">
        <v>545</v>
      </c>
      <c r="C414" s="6">
        <v>45174.659722222219</v>
      </c>
      <c r="D414" s="5" t="s">
        <v>43</v>
      </c>
      <c r="E414" s="5" t="s">
        <v>249</v>
      </c>
      <c r="F414" s="5" t="s">
        <v>38</v>
      </c>
      <c r="G414" s="5" t="s">
        <v>31</v>
      </c>
      <c r="H414" s="5">
        <v>125</v>
      </c>
      <c r="I414" s="5">
        <v>21</v>
      </c>
      <c r="J414" s="5" t="s">
        <v>18</v>
      </c>
      <c r="K414" s="5" t="s">
        <v>27</v>
      </c>
      <c r="L414" s="5" t="s">
        <v>40</v>
      </c>
      <c r="M414" s="7" t="s">
        <v>21</v>
      </c>
      <c r="N414" s="26">
        <f t="shared" si="36"/>
        <v>0</v>
      </c>
      <c r="O414" s="42">
        <f t="shared" si="37"/>
        <v>45174</v>
      </c>
      <c r="P414" s="5" t="str">
        <f t="shared" si="38"/>
        <v>Tuesday</v>
      </c>
      <c r="Q414" s="5">
        <f t="shared" si="39"/>
        <v>15</v>
      </c>
      <c r="R414" s="28">
        <f t="shared" si="40"/>
        <v>0.85616438356164382</v>
      </c>
      <c r="S414" s="29">
        <f t="shared" si="41"/>
        <v>85.61643835616438</v>
      </c>
      <c r="T414" s="5" t="str">
        <f>IF(Delivery_Data[[#This Row],[Delays (min)]]&gt;0,"No","Yes")</f>
        <v>No</v>
      </c>
    </row>
    <row r="415" spans="1:20" ht="15.75" customHeight="1" x14ac:dyDescent="0.3">
      <c r="A415" s="4">
        <v>1414</v>
      </c>
      <c r="B415" s="5" t="s">
        <v>546</v>
      </c>
      <c r="C415" s="6">
        <v>45173.551388888889</v>
      </c>
      <c r="D415" s="5" t="s">
        <v>14</v>
      </c>
      <c r="E415" s="5" t="s">
        <v>370</v>
      </c>
      <c r="F415" s="5" t="s">
        <v>16</v>
      </c>
      <c r="G415" s="5" t="s">
        <v>31</v>
      </c>
      <c r="H415" s="5">
        <v>89</v>
      </c>
      <c r="I415" s="5">
        <v>1</v>
      </c>
      <c r="J415" s="5" t="s">
        <v>32</v>
      </c>
      <c r="K415" s="5" t="s">
        <v>45</v>
      </c>
      <c r="L415" s="5" t="s">
        <v>20</v>
      </c>
      <c r="M415" s="7" t="s">
        <v>21</v>
      </c>
      <c r="N415" s="26">
        <f t="shared" si="36"/>
        <v>-1</v>
      </c>
      <c r="O415" s="42">
        <f t="shared" si="37"/>
        <v>45173</v>
      </c>
      <c r="P415" s="5" t="str">
        <f t="shared" si="38"/>
        <v>Monday</v>
      </c>
      <c r="Q415" s="5">
        <f t="shared" si="39"/>
        <v>13</v>
      </c>
      <c r="R415" s="28">
        <f t="shared" si="40"/>
        <v>0.98888888888888893</v>
      </c>
      <c r="S415" s="29">
        <f t="shared" si="41"/>
        <v>98.888888888888886</v>
      </c>
      <c r="T415" s="5" t="str">
        <f>IF(Delivery_Data[[#This Row],[Delays (min)]]&gt;0,"No","Yes")</f>
        <v>No</v>
      </c>
    </row>
    <row r="416" spans="1:20" ht="15.75" customHeight="1" x14ac:dyDescent="0.3">
      <c r="A416" s="4">
        <v>1415</v>
      </c>
      <c r="B416" s="5" t="s">
        <v>547</v>
      </c>
      <c r="C416" s="6">
        <v>45170.70208333333</v>
      </c>
      <c r="D416" s="5" t="s">
        <v>14</v>
      </c>
      <c r="E416" s="5" t="s">
        <v>281</v>
      </c>
      <c r="F416" s="5" t="s">
        <v>24</v>
      </c>
      <c r="G416" s="5" t="s">
        <v>17</v>
      </c>
      <c r="H416" s="5">
        <v>203</v>
      </c>
      <c r="I416" s="5">
        <v>28</v>
      </c>
      <c r="J416" s="5" t="s">
        <v>26</v>
      </c>
      <c r="K416" s="5" t="s">
        <v>35</v>
      </c>
      <c r="L416" s="5" t="s">
        <v>20</v>
      </c>
      <c r="M416" s="7" t="s">
        <v>41</v>
      </c>
      <c r="N416" s="26">
        <f t="shared" si="36"/>
        <v>1</v>
      </c>
      <c r="O416" s="42">
        <f t="shared" si="37"/>
        <v>45170</v>
      </c>
      <c r="P416" s="5" t="str">
        <f t="shared" si="38"/>
        <v>Friday</v>
      </c>
      <c r="Q416" s="5">
        <f t="shared" si="39"/>
        <v>16</v>
      </c>
      <c r="R416" s="28">
        <f t="shared" si="40"/>
        <v>0.87878787878787878</v>
      </c>
      <c r="S416" s="29">
        <f t="shared" si="41"/>
        <v>87.878787878787875</v>
      </c>
      <c r="T416" s="5" t="str">
        <f>IF(Delivery_Data[[#This Row],[Delays (min)]]&gt;0,"No","Yes")</f>
        <v>No</v>
      </c>
    </row>
    <row r="417" spans="1:20" ht="15.75" customHeight="1" x14ac:dyDescent="0.3">
      <c r="A417" s="4">
        <v>1416</v>
      </c>
      <c r="B417" s="5" t="s">
        <v>548</v>
      </c>
      <c r="C417" s="6">
        <v>45173.588888888888</v>
      </c>
      <c r="D417" s="5" t="s">
        <v>14</v>
      </c>
      <c r="E417" s="5" t="s">
        <v>261</v>
      </c>
      <c r="F417" s="5" t="s">
        <v>16</v>
      </c>
      <c r="G417" s="5" t="s">
        <v>31</v>
      </c>
      <c r="H417" s="5">
        <v>105</v>
      </c>
      <c r="I417" s="5">
        <v>18</v>
      </c>
      <c r="J417" s="5" t="s">
        <v>18</v>
      </c>
      <c r="K417" s="5" t="s">
        <v>19</v>
      </c>
      <c r="L417" s="5" t="s">
        <v>28</v>
      </c>
      <c r="M417" s="7" t="s">
        <v>46</v>
      </c>
      <c r="N417" s="26">
        <f t="shared" si="36"/>
        <v>0</v>
      </c>
      <c r="O417" s="42">
        <f t="shared" si="37"/>
        <v>45173</v>
      </c>
      <c r="P417" s="5" t="str">
        <f t="shared" si="38"/>
        <v>Monday</v>
      </c>
      <c r="Q417" s="5">
        <f t="shared" si="39"/>
        <v>14</v>
      </c>
      <c r="R417" s="28">
        <f t="shared" si="40"/>
        <v>0.85365853658536583</v>
      </c>
      <c r="S417" s="29">
        <f t="shared" si="41"/>
        <v>85.365853658536579</v>
      </c>
      <c r="T417" s="5" t="str">
        <f>IF(Delivery_Data[[#This Row],[Delays (min)]]&gt;0,"No","Yes")</f>
        <v>No</v>
      </c>
    </row>
    <row r="418" spans="1:20" ht="15.75" customHeight="1" x14ac:dyDescent="0.3">
      <c r="A418" s="4">
        <v>1417</v>
      </c>
      <c r="B418" s="5" t="s">
        <v>549</v>
      </c>
      <c r="C418" s="6">
        <v>45176.552777777775</v>
      </c>
      <c r="D418" s="5" t="s">
        <v>14</v>
      </c>
      <c r="E418" s="5" t="s">
        <v>301</v>
      </c>
      <c r="F418" s="5" t="s">
        <v>38</v>
      </c>
      <c r="G418" s="5" t="s">
        <v>56</v>
      </c>
      <c r="H418" s="5">
        <v>216</v>
      </c>
      <c r="I418" s="5">
        <v>9</v>
      </c>
      <c r="J418" s="5" t="s">
        <v>26</v>
      </c>
      <c r="K418" s="5" t="s">
        <v>45</v>
      </c>
      <c r="L418" s="5" t="s">
        <v>28</v>
      </c>
      <c r="M418" s="7" t="s">
        <v>21</v>
      </c>
      <c r="N418" s="26">
        <f t="shared" si="36"/>
        <v>1</v>
      </c>
      <c r="O418" s="42">
        <f t="shared" si="37"/>
        <v>45176</v>
      </c>
      <c r="P418" s="5" t="str">
        <f t="shared" si="38"/>
        <v>Thursday</v>
      </c>
      <c r="Q418" s="5">
        <f t="shared" si="39"/>
        <v>13</v>
      </c>
      <c r="R418" s="28">
        <f t="shared" si="40"/>
        <v>0.96</v>
      </c>
      <c r="S418" s="29">
        <f t="shared" si="41"/>
        <v>96</v>
      </c>
      <c r="T418" s="5" t="str">
        <f>IF(Delivery_Data[[#This Row],[Delays (min)]]&gt;0,"No","Yes")</f>
        <v>No</v>
      </c>
    </row>
    <row r="419" spans="1:20" ht="15.75" customHeight="1" x14ac:dyDescent="0.3">
      <c r="A419" s="4">
        <v>1418</v>
      </c>
      <c r="B419" s="5" t="s">
        <v>550</v>
      </c>
      <c r="C419" s="6">
        <v>45172.618055555555</v>
      </c>
      <c r="D419" s="5" t="s">
        <v>43</v>
      </c>
      <c r="E419" s="5" t="s">
        <v>53</v>
      </c>
      <c r="F419" s="5" t="s">
        <v>24</v>
      </c>
      <c r="G419" s="5" t="s">
        <v>39</v>
      </c>
      <c r="H419" s="5">
        <v>205</v>
      </c>
      <c r="I419" s="5">
        <v>17</v>
      </c>
      <c r="J419" s="5" t="s">
        <v>18</v>
      </c>
      <c r="K419" s="5" t="s">
        <v>35</v>
      </c>
      <c r="L419" s="5" t="s">
        <v>40</v>
      </c>
      <c r="M419" s="7" t="s">
        <v>41</v>
      </c>
      <c r="N419" s="26">
        <f t="shared" si="36"/>
        <v>0</v>
      </c>
      <c r="O419" s="42">
        <f t="shared" si="37"/>
        <v>45172</v>
      </c>
      <c r="P419" s="5" t="str">
        <f t="shared" si="38"/>
        <v>Sunday</v>
      </c>
      <c r="Q419" s="5">
        <f t="shared" si="39"/>
        <v>14</v>
      </c>
      <c r="R419" s="28">
        <f t="shared" si="40"/>
        <v>0.92342342342342343</v>
      </c>
      <c r="S419" s="29">
        <f t="shared" si="41"/>
        <v>92.342342342342349</v>
      </c>
      <c r="T419" s="5" t="str">
        <f>IF(Delivery_Data[[#This Row],[Delays (min)]]&gt;0,"No","Yes")</f>
        <v>No</v>
      </c>
    </row>
    <row r="420" spans="1:20" ht="15.75" customHeight="1" x14ac:dyDescent="0.3">
      <c r="A420" s="4">
        <v>1419</v>
      </c>
      <c r="B420" s="5" t="s">
        <v>551</v>
      </c>
      <c r="C420" s="6">
        <v>45176.450694444444</v>
      </c>
      <c r="D420" s="5" t="s">
        <v>14</v>
      </c>
      <c r="E420" s="5" t="s">
        <v>204</v>
      </c>
      <c r="F420" s="5" t="s">
        <v>16</v>
      </c>
      <c r="G420" s="5" t="s">
        <v>31</v>
      </c>
      <c r="H420" s="5">
        <v>231</v>
      </c>
      <c r="I420" s="5">
        <v>11</v>
      </c>
      <c r="J420" s="5" t="s">
        <v>32</v>
      </c>
      <c r="K420" s="5" t="s">
        <v>49</v>
      </c>
      <c r="L420" s="5" t="s">
        <v>28</v>
      </c>
      <c r="M420" s="7" t="s">
        <v>21</v>
      </c>
      <c r="N420" s="26">
        <f t="shared" si="36"/>
        <v>-1</v>
      </c>
      <c r="O420" s="42">
        <f t="shared" si="37"/>
        <v>45176</v>
      </c>
      <c r="P420" s="5" t="str">
        <f t="shared" si="38"/>
        <v>Thursday</v>
      </c>
      <c r="Q420" s="5">
        <f t="shared" si="39"/>
        <v>10</v>
      </c>
      <c r="R420" s="28">
        <f t="shared" si="40"/>
        <v>0.95454545454545459</v>
      </c>
      <c r="S420" s="29">
        <f t="shared" si="41"/>
        <v>95.454545454545453</v>
      </c>
      <c r="T420" s="5" t="str">
        <f>IF(Delivery_Data[[#This Row],[Delays (min)]]&gt;0,"No","Yes")</f>
        <v>No</v>
      </c>
    </row>
    <row r="421" spans="1:20" ht="15.75" customHeight="1" x14ac:dyDescent="0.3">
      <c r="A421" s="4">
        <v>1420</v>
      </c>
      <c r="B421" s="5" t="s">
        <v>552</v>
      </c>
      <c r="C421" s="6">
        <v>45174.572222222225</v>
      </c>
      <c r="D421" s="5" t="s">
        <v>14</v>
      </c>
      <c r="E421" s="5" t="s">
        <v>169</v>
      </c>
      <c r="F421" s="5" t="s">
        <v>16</v>
      </c>
      <c r="G421" s="5" t="s">
        <v>17</v>
      </c>
      <c r="H421" s="5">
        <v>228</v>
      </c>
      <c r="I421" s="5">
        <v>21</v>
      </c>
      <c r="J421" s="5" t="s">
        <v>32</v>
      </c>
      <c r="K421" s="5" t="s">
        <v>49</v>
      </c>
      <c r="L421" s="5" t="s">
        <v>20</v>
      </c>
      <c r="M421" s="7" t="s">
        <v>41</v>
      </c>
      <c r="N421" s="26">
        <f t="shared" si="36"/>
        <v>-1</v>
      </c>
      <c r="O421" s="42">
        <f t="shared" si="37"/>
        <v>45174</v>
      </c>
      <c r="P421" s="5" t="str">
        <f t="shared" si="38"/>
        <v>Tuesday</v>
      </c>
      <c r="Q421" s="5">
        <f t="shared" si="39"/>
        <v>13</v>
      </c>
      <c r="R421" s="28">
        <f t="shared" si="40"/>
        <v>0.91566265060240959</v>
      </c>
      <c r="S421" s="29">
        <f t="shared" si="41"/>
        <v>91.566265060240966</v>
      </c>
      <c r="T421" s="5" t="str">
        <f>IF(Delivery_Data[[#This Row],[Delays (min)]]&gt;0,"No","Yes")</f>
        <v>No</v>
      </c>
    </row>
    <row r="422" spans="1:20" ht="15.75" customHeight="1" x14ac:dyDescent="0.3">
      <c r="A422" s="4">
        <v>1421</v>
      </c>
      <c r="B422" s="5" t="s">
        <v>553</v>
      </c>
      <c r="C422" s="6">
        <v>45176.337500000001</v>
      </c>
      <c r="D422" s="5" t="s">
        <v>14</v>
      </c>
      <c r="E422" s="5" t="s">
        <v>99</v>
      </c>
      <c r="F422" s="5" t="s">
        <v>24</v>
      </c>
      <c r="G422" s="5" t="s">
        <v>56</v>
      </c>
      <c r="H422" s="5">
        <v>101</v>
      </c>
      <c r="I422" s="5">
        <v>25</v>
      </c>
      <c r="J422" s="5" t="s">
        <v>26</v>
      </c>
      <c r="K422" s="5" t="s">
        <v>27</v>
      </c>
      <c r="L422" s="5" t="s">
        <v>20</v>
      </c>
      <c r="M422" s="7" t="s">
        <v>46</v>
      </c>
      <c r="N422" s="26">
        <f t="shared" si="36"/>
        <v>1</v>
      </c>
      <c r="O422" s="42">
        <f t="shared" si="37"/>
        <v>45176</v>
      </c>
      <c r="P422" s="5" t="str">
        <f t="shared" si="38"/>
        <v>Thursday</v>
      </c>
      <c r="Q422" s="5">
        <f t="shared" si="39"/>
        <v>8</v>
      </c>
      <c r="R422" s="28">
        <f t="shared" si="40"/>
        <v>0.80158730158730163</v>
      </c>
      <c r="S422" s="29">
        <f t="shared" si="41"/>
        <v>80.158730158730165</v>
      </c>
      <c r="T422" s="5" t="str">
        <f>IF(Delivery_Data[[#This Row],[Delays (min)]]&gt;0,"No","Yes")</f>
        <v>No</v>
      </c>
    </row>
    <row r="423" spans="1:20" ht="15.75" customHeight="1" x14ac:dyDescent="0.3">
      <c r="A423" s="4">
        <v>1422</v>
      </c>
      <c r="B423" s="5" t="s">
        <v>554</v>
      </c>
      <c r="C423" s="6">
        <v>45175.568055555559</v>
      </c>
      <c r="D423" s="5" t="s">
        <v>14</v>
      </c>
      <c r="E423" s="5" t="s">
        <v>149</v>
      </c>
      <c r="F423" s="5" t="s">
        <v>16</v>
      </c>
      <c r="G423" s="5" t="s">
        <v>39</v>
      </c>
      <c r="H423" s="5">
        <v>231</v>
      </c>
      <c r="I423" s="5">
        <v>10</v>
      </c>
      <c r="J423" s="5" t="s">
        <v>18</v>
      </c>
      <c r="K423" s="5" t="s">
        <v>27</v>
      </c>
      <c r="L423" s="5" t="s">
        <v>20</v>
      </c>
      <c r="M423" s="7" t="s">
        <v>46</v>
      </c>
      <c r="N423" s="26">
        <f t="shared" si="36"/>
        <v>0</v>
      </c>
      <c r="O423" s="42">
        <f t="shared" si="37"/>
        <v>45175</v>
      </c>
      <c r="P423" s="5" t="str">
        <f t="shared" si="38"/>
        <v>Wednesday</v>
      </c>
      <c r="Q423" s="5">
        <f t="shared" si="39"/>
        <v>13</v>
      </c>
      <c r="R423" s="28">
        <f t="shared" si="40"/>
        <v>0.95850622406639008</v>
      </c>
      <c r="S423" s="29">
        <f t="shared" si="41"/>
        <v>95.850622406639005</v>
      </c>
      <c r="T423" s="5" t="str">
        <f>IF(Delivery_Data[[#This Row],[Delays (min)]]&gt;0,"No","Yes")</f>
        <v>No</v>
      </c>
    </row>
    <row r="424" spans="1:20" ht="15.75" customHeight="1" x14ac:dyDescent="0.3">
      <c r="A424" s="4">
        <v>1423</v>
      </c>
      <c r="B424" s="5" t="s">
        <v>555</v>
      </c>
      <c r="C424" s="6">
        <v>45170.499305555553</v>
      </c>
      <c r="D424" s="5" t="s">
        <v>14</v>
      </c>
      <c r="E424" s="5" t="s">
        <v>301</v>
      </c>
      <c r="F424" s="5" t="s">
        <v>24</v>
      </c>
      <c r="G424" s="5" t="s">
        <v>39</v>
      </c>
      <c r="H424" s="5">
        <v>192</v>
      </c>
      <c r="I424" s="5">
        <v>16</v>
      </c>
      <c r="J424" s="5" t="s">
        <v>32</v>
      </c>
      <c r="K424" s="5" t="s">
        <v>19</v>
      </c>
      <c r="L424" s="5" t="s">
        <v>28</v>
      </c>
      <c r="M424" s="7" t="s">
        <v>41</v>
      </c>
      <c r="N424" s="26">
        <f t="shared" si="36"/>
        <v>-1</v>
      </c>
      <c r="O424" s="42">
        <f t="shared" si="37"/>
        <v>45170</v>
      </c>
      <c r="P424" s="5" t="str">
        <f t="shared" si="38"/>
        <v>Friday</v>
      </c>
      <c r="Q424" s="5">
        <f t="shared" si="39"/>
        <v>11</v>
      </c>
      <c r="R424" s="28">
        <f t="shared" si="40"/>
        <v>0.92307692307692313</v>
      </c>
      <c r="S424" s="29">
        <f t="shared" si="41"/>
        <v>92.307692307692307</v>
      </c>
      <c r="T424" s="5" t="str">
        <f>IF(Delivery_Data[[#This Row],[Delays (min)]]&gt;0,"No","Yes")</f>
        <v>No</v>
      </c>
    </row>
    <row r="425" spans="1:20" ht="15.75" customHeight="1" x14ac:dyDescent="0.3">
      <c r="A425" s="4">
        <v>1424</v>
      </c>
      <c r="B425" s="5" t="s">
        <v>556</v>
      </c>
      <c r="C425" s="6">
        <v>45176.363888888889</v>
      </c>
      <c r="D425" s="5" t="s">
        <v>14</v>
      </c>
      <c r="E425" s="5" t="s">
        <v>44</v>
      </c>
      <c r="F425" s="5" t="s">
        <v>16</v>
      </c>
      <c r="G425" s="5" t="s">
        <v>56</v>
      </c>
      <c r="H425" s="5">
        <v>69</v>
      </c>
      <c r="I425" s="5">
        <v>8</v>
      </c>
      <c r="J425" s="5" t="s">
        <v>32</v>
      </c>
      <c r="K425" s="5" t="s">
        <v>35</v>
      </c>
      <c r="L425" s="5" t="s">
        <v>40</v>
      </c>
      <c r="M425" s="7" t="s">
        <v>21</v>
      </c>
      <c r="N425" s="26">
        <f t="shared" si="36"/>
        <v>-1</v>
      </c>
      <c r="O425" s="42">
        <f t="shared" si="37"/>
        <v>45176</v>
      </c>
      <c r="P425" s="5" t="str">
        <f t="shared" si="38"/>
        <v>Thursday</v>
      </c>
      <c r="Q425" s="5">
        <f t="shared" si="39"/>
        <v>8</v>
      </c>
      <c r="R425" s="28">
        <f t="shared" si="40"/>
        <v>0.89610389610389607</v>
      </c>
      <c r="S425" s="29">
        <f t="shared" si="41"/>
        <v>89.610389610389603</v>
      </c>
      <c r="T425" s="5" t="str">
        <f>IF(Delivery_Data[[#This Row],[Delays (min)]]&gt;0,"No","Yes")</f>
        <v>No</v>
      </c>
    </row>
    <row r="426" spans="1:20" ht="15.75" customHeight="1" x14ac:dyDescent="0.3">
      <c r="A426" s="4">
        <v>1425</v>
      </c>
      <c r="B426" s="5" t="s">
        <v>557</v>
      </c>
      <c r="C426" s="6">
        <v>45172.45416666667</v>
      </c>
      <c r="D426" s="5" t="s">
        <v>14</v>
      </c>
      <c r="E426" s="5" t="s">
        <v>231</v>
      </c>
      <c r="F426" s="5" t="s">
        <v>16</v>
      </c>
      <c r="G426" s="5" t="s">
        <v>56</v>
      </c>
      <c r="H426" s="5">
        <v>194</v>
      </c>
      <c r="I426" s="5">
        <v>12</v>
      </c>
      <c r="J426" s="5" t="s">
        <v>32</v>
      </c>
      <c r="K426" s="5" t="s">
        <v>35</v>
      </c>
      <c r="L426" s="5" t="s">
        <v>20</v>
      </c>
      <c r="M426" s="7" t="s">
        <v>46</v>
      </c>
      <c r="N426" s="26">
        <f t="shared" si="36"/>
        <v>-1</v>
      </c>
      <c r="O426" s="42">
        <f t="shared" si="37"/>
        <v>45172</v>
      </c>
      <c r="P426" s="5" t="str">
        <f t="shared" si="38"/>
        <v>Sunday</v>
      </c>
      <c r="Q426" s="5">
        <f t="shared" si="39"/>
        <v>10</v>
      </c>
      <c r="R426" s="28">
        <f t="shared" si="40"/>
        <v>0.94174757281553401</v>
      </c>
      <c r="S426" s="29">
        <f t="shared" si="41"/>
        <v>94.174757281553397</v>
      </c>
      <c r="T426" s="5" t="str">
        <f>IF(Delivery_Data[[#This Row],[Delays (min)]]&gt;0,"No","Yes")</f>
        <v>No</v>
      </c>
    </row>
    <row r="427" spans="1:20" ht="15.75" customHeight="1" x14ac:dyDescent="0.3">
      <c r="A427" s="4">
        <v>1426</v>
      </c>
      <c r="B427" s="5" t="s">
        <v>558</v>
      </c>
      <c r="C427" s="6">
        <v>45172.382638888892</v>
      </c>
      <c r="D427" s="5" t="s">
        <v>14</v>
      </c>
      <c r="E427" s="5" t="s">
        <v>189</v>
      </c>
      <c r="F427" s="5" t="s">
        <v>38</v>
      </c>
      <c r="G427" s="5" t="s">
        <v>25</v>
      </c>
      <c r="H427" s="5">
        <v>120</v>
      </c>
      <c r="I427" s="5">
        <v>0</v>
      </c>
      <c r="J427" s="5" t="s">
        <v>32</v>
      </c>
      <c r="K427" s="5" t="s">
        <v>45</v>
      </c>
      <c r="L427" s="5" t="s">
        <v>28</v>
      </c>
      <c r="M427" s="7" t="s">
        <v>41</v>
      </c>
      <c r="N427" s="26">
        <f t="shared" si="36"/>
        <v>-1</v>
      </c>
      <c r="O427" s="42">
        <f t="shared" si="37"/>
        <v>45172</v>
      </c>
      <c r="P427" s="5" t="str">
        <f t="shared" si="38"/>
        <v>Sunday</v>
      </c>
      <c r="Q427" s="5">
        <f t="shared" si="39"/>
        <v>9</v>
      </c>
      <c r="R427" s="28">
        <f t="shared" si="40"/>
        <v>1</v>
      </c>
      <c r="S427" s="29">
        <f t="shared" si="41"/>
        <v>100</v>
      </c>
      <c r="T427" s="5" t="str">
        <f>IF(Delivery_Data[[#This Row],[Delays (min)]]&gt;0,"No","Yes")</f>
        <v>Yes</v>
      </c>
    </row>
    <row r="428" spans="1:20" ht="15.75" customHeight="1" x14ac:dyDescent="0.3">
      <c r="A428" s="4">
        <v>1427</v>
      </c>
      <c r="B428" s="5" t="s">
        <v>559</v>
      </c>
      <c r="C428" s="6">
        <v>45177.507638888892</v>
      </c>
      <c r="D428" s="5" t="s">
        <v>14</v>
      </c>
      <c r="E428" s="5" t="s">
        <v>267</v>
      </c>
      <c r="F428" s="5" t="s">
        <v>24</v>
      </c>
      <c r="G428" s="5" t="s">
        <v>17</v>
      </c>
      <c r="H428" s="5">
        <v>116</v>
      </c>
      <c r="I428" s="5">
        <v>22</v>
      </c>
      <c r="J428" s="5" t="s">
        <v>26</v>
      </c>
      <c r="K428" s="5" t="s">
        <v>35</v>
      </c>
      <c r="L428" s="5" t="s">
        <v>28</v>
      </c>
      <c r="M428" s="7" t="s">
        <v>41</v>
      </c>
      <c r="N428" s="26">
        <f t="shared" si="36"/>
        <v>1</v>
      </c>
      <c r="O428" s="42">
        <f t="shared" si="37"/>
        <v>45177</v>
      </c>
      <c r="P428" s="5" t="str">
        <f t="shared" si="38"/>
        <v>Friday</v>
      </c>
      <c r="Q428" s="5">
        <f t="shared" si="39"/>
        <v>12</v>
      </c>
      <c r="R428" s="28">
        <f t="shared" si="40"/>
        <v>0.84057971014492749</v>
      </c>
      <c r="S428" s="29">
        <f t="shared" si="41"/>
        <v>84.05797101449275</v>
      </c>
      <c r="T428" s="5" t="str">
        <f>IF(Delivery_Data[[#This Row],[Delays (min)]]&gt;0,"No","Yes")</f>
        <v>No</v>
      </c>
    </row>
    <row r="429" spans="1:20" ht="15.75" customHeight="1" x14ac:dyDescent="0.3">
      <c r="A429" s="4">
        <v>1428</v>
      </c>
      <c r="B429" s="5" t="s">
        <v>560</v>
      </c>
      <c r="C429" s="6">
        <v>45177.62222222222</v>
      </c>
      <c r="D429" s="5" t="s">
        <v>14</v>
      </c>
      <c r="E429" s="5" t="s">
        <v>166</v>
      </c>
      <c r="F429" s="5" t="s">
        <v>16</v>
      </c>
      <c r="G429" s="5" t="s">
        <v>17</v>
      </c>
      <c r="H429" s="5">
        <v>166</v>
      </c>
      <c r="I429" s="5">
        <v>10</v>
      </c>
      <c r="J429" s="5" t="s">
        <v>26</v>
      </c>
      <c r="K429" s="5" t="s">
        <v>45</v>
      </c>
      <c r="L429" s="5" t="s">
        <v>20</v>
      </c>
      <c r="M429" s="7" t="s">
        <v>21</v>
      </c>
      <c r="N429" s="26">
        <f t="shared" si="36"/>
        <v>1</v>
      </c>
      <c r="O429" s="42">
        <f t="shared" si="37"/>
        <v>45177</v>
      </c>
      <c r="P429" s="5" t="str">
        <f t="shared" si="38"/>
        <v>Friday</v>
      </c>
      <c r="Q429" s="5">
        <f t="shared" si="39"/>
        <v>14</v>
      </c>
      <c r="R429" s="28">
        <f t="shared" si="40"/>
        <v>0.94318181818181823</v>
      </c>
      <c r="S429" s="29">
        <f t="shared" si="41"/>
        <v>94.318181818181827</v>
      </c>
      <c r="T429" s="5" t="str">
        <f>IF(Delivery_Data[[#This Row],[Delays (min)]]&gt;0,"No","Yes")</f>
        <v>No</v>
      </c>
    </row>
    <row r="430" spans="1:20" ht="15.75" customHeight="1" x14ac:dyDescent="0.3">
      <c r="A430" s="4">
        <v>1429</v>
      </c>
      <c r="B430" s="5" t="s">
        <v>561</v>
      </c>
      <c r="C430" s="6">
        <v>45176.638194444444</v>
      </c>
      <c r="D430" s="5" t="s">
        <v>43</v>
      </c>
      <c r="E430" s="5" t="s">
        <v>285</v>
      </c>
      <c r="F430" s="5" t="s">
        <v>24</v>
      </c>
      <c r="G430" s="5" t="s">
        <v>56</v>
      </c>
      <c r="H430" s="5">
        <v>142</v>
      </c>
      <c r="I430" s="5">
        <v>11</v>
      </c>
      <c r="J430" s="5" t="s">
        <v>32</v>
      </c>
      <c r="K430" s="5" t="s">
        <v>19</v>
      </c>
      <c r="L430" s="5" t="s">
        <v>28</v>
      </c>
      <c r="M430" s="7" t="s">
        <v>21</v>
      </c>
      <c r="N430" s="26">
        <f t="shared" si="36"/>
        <v>-1</v>
      </c>
      <c r="O430" s="42">
        <f t="shared" si="37"/>
        <v>45176</v>
      </c>
      <c r="P430" s="5" t="str">
        <f t="shared" si="38"/>
        <v>Thursday</v>
      </c>
      <c r="Q430" s="5">
        <f t="shared" si="39"/>
        <v>15</v>
      </c>
      <c r="R430" s="28">
        <f t="shared" si="40"/>
        <v>0.92810457516339873</v>
      </c>
      <c r="S430" s="29">
        <f t="shared" si="41"/>
        <v>92.810457516339866</v>
      </c>
      <c r="T430" s="5" t="str">
        <f>IF(Delivery_Data[[#This Row],[Delays (min)]]&gt;0,"No","Yes")</f>
        <v>No</v>
      </c>
    </row>
    <row r="431" spans="1:20" ht="15.75" customHeight="1" x14ac:dyDescent="0.3">
      <c r="A431" s="4">
        <v>1430</v>
      </c>
      <c r="B431" s="5" t="s">
        <v>562</v>
      </c>
      <c r="C431" s="6">
        <v>45175.45</v>
      </c>
      <c r="D431" s="5" t="s">
        <v>43</v>
      </c>
      <c r="E431" s="5" t="s">
        <v>270</v>
      </c>
      <c r="F431" s="5" t="s">
        <v>24</v>
      </c>
      <c r="G431" s="5" t="s">
        <v>39</v>
      </c>
      <c r="H431" s="5">
        <v>134</v>
      </c>
      <c r="I431" s="5">
        <v>21</v>
      </c>
      <c r="J431" s="5" t="s">
        <v>32</v>
      </c>
      <c r="K431" s="5" t="s">
        <v>27</v>
      </c>
      <c r="L431" s="5" t="s">
        <v>20</v>
      </c>
      <c r="M431" s="7" t="s">
        <v>46</v>
      </c>
      <c r="N431" s="26">
        <f t="shared" si="36"/>
        <v>-1</v>
      </c>
      <c r="O431" s="42">
        <f t="shared" si="37"/>
        <v>45175</v>
      </c>
      <c r="P431" s="5" t="str">
        <f t="shared" si="38"/>
        <v>Wednesday</v>
      </c>
      <c r="Q431" s="5">
        <f t="shared" si="39"/>
        <v>10</v>
      </c>
      <c r="R431" s="28">
        <f t="shared" si="40"/>
        <v>0.86451612903225805</v>
      </c>
      <c r="S431" s="29">
        <f t="shared" si="41"/>
        <v>86.451612903225808</v>
      </c>
      <c r="T431" s="5" t="str">
        <f>IF(Delivery_Data[[#This Row],[Delays (min)]]&gt;0,"No","Yes")</f>
        <v>No</v>
      </c>
    </row>
    <row r="432" spans="1:20" ht="15.75" customHeight="1" x14ac:dyDescent="0.3">
      <c r="A432" s="4">
        <v>1431</v>
      </c>
      <c r="B432" s="5" t="s">
        <v>563</v>
      </c>
      <c r="C432" s="6">
        <v>45170.39166666667</v>
      </c>
      <c r="D432" s="5" t="s">
        <v>43</v>
      </c>
      <c r="E432" s="5" t="s">
        <v>304</v>
      </c>
      <c r="F432" s="5" t="s">
        <v>38</v>
      </c>
      <c r="G432" s="5" t="s">
        <v>39</v>
      </c>
      <c r="H432" s="5">
        <v>140</v>
      </c>
      <c r="I432" s="5">
        <v>10</v>
      </c>
      <c r="J432" s="5" t="s">
        <v>18</v>
      </c>
      <c r="K432" s="5" t="s">
        <v>35</v>
      </c>
      <c r="L432" s="5" t="s">
        <v>28</v>
      </c>
      <c r="M432" s="7" t="s">
        <v>21</v>
      </c>
      <c r="N432" s="26">
        <f t="shared" si="36"/>
        <v>0</v>
      </c>
      <c r="O432" s="42">
        <f t="shared" si="37"/>
        <v>45170</v>
      </c>
      <c r="P432" s="5" t="str">
        <f t="shared" si="38"/>
        <v>Friday</v>
      </c>
      <c r="Q432" s="5">
        <f t="shared" si="39"/>
        <v>9</v>
      </c>
      <c r="R432" s="28">
        <f t="shared" si="40"/>
        <v>0.93333333333333335</v>
      </c>
      <c r="S432" s="29">
        <f t="shared" si="41"/>
        <v>93.333333333333329</v>
      </c>
      <c r="T432" s="5" t="str">
        <f>IF(Delivery_Data[[#This Row],[Delays (min)]]&gt;0,"No","Yes")</f>
        <v>No</v>
      </c>
    </row>
    <row r="433" spans="1:20" ht="15.75" customHeight="1" x14ac:dyDescent="0.3">
      <c r="A433" s="4">
        <v>1432</v>
      </c>
      <c r="B433" s="5" t="s">
        <v>564</v>
      </c>
      <c r="C433" s="6">
        <v>45172.378472222219</v>
      </c>
      <c r="D433" s="5" t="s">
        <v>14</v>
      </c>
      <c r="E433" s="5" t="s">
        <v>261</v>
      </c>
      <c r="F433" s="5" t="s">
        <v>16</v>
      </c>
      <c r="G433" s="5" t="s">
        <v>17</v>
      </c>
      <c r="H433" s="5">
        <v>135</v>
      </c>
      <c r="I433" s="5">
        <v>7</v>
      </c>
      <c r="J433" s="5" t="s">
        <v>26</v>
      </c>
      <c r="K433" s="5" t="s">
        <v>45</v>
      </c>
      <c r="L433" s="5" t="s">
        <v>28</v>
      </c>
      <c r="M433" s="7" t="s">
        <v>46</v>
      </c>
      <c r="N433" s="26">
        <f t="shared" si="36"/>
        <v>1</v>
      </c>
      <c r="O433" s="42">
        <f t="shared" si="37"/>
        <v>45172</v>
      </c>
      <c r="P433" s="5" t="str">
        <f t="shared" si="38"/>
        <v>Sunday</v>
      </c>
      <c r="Q433" s="5">
        <f t="shared" si="39"/>
        <v>9</v>
      </c>
      <c r="R433" s="28">
        <f t="shared" si="40"/>
        <v>0.95070422535211263</v>
      </c>
      <c r="S433" s="29">
        <f t="shared" si="41"/>
        <v>95.070422535211264</v>
      </c>
      <c r="T433" s="5" t="str">
        <f>IF(Delivery_Data[[#This Row],[Delays (min)]]&gt;0,"No","Yes")</f>
        <v>No</v>
      </c>
    </row>
    <row r="434" spans="1:20" ht="15.75" customHeight="1" x14ac:dyDescent="0.3">
      <c r="A434" s="4">
        <v>1433</v>
      </c>
      <c r="B434" s="5" t="s">
        <v>565</v>
      </c>
      <c r="C434" s="6">
        <v>45171.53125</v>
      </c>
      <c r="D434" s="5" t="s">
        <v>14</v>
      </c>
      <c r="E434" s="5" t="s">
        <v>55</v>
      </c>
      <c r="F434" s="5" t="s">
        <v>24</v>
      </c>
      <c r="G434" s="5" t="s">
        <v>25</v>
      </c>
      <c r="H434" s="5">
        <v>144</v>
      </c>
      <c r="I434" s="5">
        <v>2</v>
      </c>
      <c r="J434" s="5" t="s">
        <v>32</v>
      </c>
      <c r="K434" s="5" t="s">
        <v>45</v>
      </c>
      <c r="L434" s="5" t="s">
        <v>40</v>
      </c>
      <c r="M434" s="7" t="s">
        <v>21</v>
      </c>
      <c r="N434" s="26">
        <f t="shared" si="36"/>
        <v>-1</v>
      </c>
      <c r="O434" s="42">
        <f t="shared" si="37"/>
        <v>45171</v>
      </c>
      <c r="P434" s="5" t="str">
        <f t="shared" si="38"/>
        <v>Saturday</v>
      </c>
      <c r="Q434" s="5">
        <f t="shared" si="39"/>
        <v>12</v>
      </c>
      <c r="R434" s="28">
        <f t="shared" si="40"/>
        <v>0.98630136986301364</v>
      </c>
      <c r="S434" s="29">
        <f t="shared" si="41"/>
        <v>98.630136986301366</v>
      </c>
      <c r="T434" s="5" t="str">
        <f>IF(Delivery_Data[[#This Row],[Delays (min)]]&gt;0,"No","Yes")</f>
        <v>No</v>
      </c>
    </row>
    <row r="435" spans="1:20" ht="15.75" customHeight="1" x14ac:dyDescent="0.3">
      <c r="A435" s="4">
        <v>1434</v>
      </c>
      <c r="B435" s="5" t="s">
        <v>566</v>
      </c>
      <c r="C435" s="6">
        <v>45174.390972222223</v>
      </c>
      <c r="D435" s="5" t="s">
        <v>14</v>
      </c>
      <c r="E435" s="5" t="s">
        <v>70</v>
      </c>
      <c r="F435" s="5" t="s">
        <v>24</v>
      </c>
      <c r="G435" s="5" t="s">
        <v>17</v>
      </c>
      <c r="H435" s="5">
        <v>224</v>
      </c>
      <c r="I435" s="5">
        <v>23</v>
      </c>
      <c r="J435" s="5" t="s">
        <v>32</v>
      </c>
      <c r="K435" s="5" t="s">
        <v>27</v>
      </c>
      <c r="L435" s="5" t="s">
        <v>20</v>
      </c>
      <c r="M435" s="7" t="s">
        <v>46</v>
      </c>
      <c r="N435" s="26">
        <f t="shared" si="36"/>
        <v>-1</v>
      </c>
      <c r="O435" s="42">
        <f t="shared" si="37"/>
        <v>45174</v>
      </c>
      <c r="P435" s="5" t="str">
        <f t="shared" si="38"/>
        <v>Tuesday</v>
      </c>
      <c r="Q435" s="5">
        <f t="shared" si="39"/>
        <v>9</v>
      </c>
      <c r="R435" s="28">
        <f t="shared" si="40"/>
        <v>0.90688259109311742</v>
      </c>
      <c r="S435" s="29">
        <f t="shared" si="41"/>
        <v>90.688259109311744</v>
      </c>
      <c r="T435" s="5" t="str">
        <f>IF(Delivery_Data[[#This Row],[Delays (min)]]&gt;0,"No","Yes")</f>
        <v>No</v>
      </c>
    </row>
    <row r="436" spans="1:20" ht="15.75" customHeight="1" x14ac:dyDescent="0.3">
      <c r="A436" s="4">
        <v>1435</v>
      </c>
      <c r="B436" s="5" t="s">
        <v>567</v>
      </c>
      <c r="C436" s="6">
        <v>45176.70208333333</v>
      </c>
      <c r="D436" s="5" t="s">
        <v>14</v>
      </c>
      <c r="E436" s="5" t="s">
        <v>51</v>
      </c>
      <c r="F436" s="5" t="s">
        <v>38</v>
      </c>
      <c r="G436" s="5" t="s">
        <v>56</v>
      </c>
      <c r="H436" s="5">
        <v>184</v>
      </c>
      <c r="I436" s="5">
        <v>11</v>
      </c>
      <c r="J436" s="5" t="s">
        <v>32</v>
      </c>
      <c r="K436" s="5" t="s">
        <v>49</v>
      </c>
      <c r="L436" s="5" t="s">
        <v>28</v>
      </c>
      <c r="M436" s="7" t="s">
        <v>41</v>
      </c>
      <c r="N436" s="26">
        <f t="shared" si="36"/>
        <v>-1</v>
      </c>
      <c r="O436" s="42">
        <f t="shared" si="37"/>
        <v>45176</v>
      </c>
      <c r="P436" s="5" t="str">
        <f t="shared" si="38"/>
        <v>Thursday</v>
      </c>
      <c r="Q436" s="5">
        <f t="shared" si="39"/>
        <v>16</v>
      </c>
      <c r="R436" s="28">
        <f t="shared" si="40"/>
        <v>0.94358974358974357</v>
      </c>
      <c r="S436" s="29">
        <f t="shared" si="41"/>
        <v>94.358974358974351</v>
      </c>
      <c r="T436" s="5" t="str">
        <f>IF(Delivery_Data[[#This Row],[Delays (min)]]&gt;0,"No","Yes")</f>
        <v>No</v>
      </c>
    </row>
    <row r="437" spans="1:20" ht="15.75" customHeight="1" x14ac:dyDescent="0.3">
      <c r="A437" s="4">
        <v>1436</v>
      </c>
      <c r="B437" s="5" t="s">
        <v>568</v>
      </c>
      <c r="C437" s="6">
        <v>45170.333333333336</v>
      </c>
      <c r="D437" s="5" t="s">
        <v>14</v>
      </c>
      <c r="E437" s="5" t="s">
        <v>93</v>
      </c>
      <c r="F437" s="5" t="s">
        <v>38</v>
      </c>
      <c r="G437" s="5" t="s">
        <v>25</v>
      </c>
      <c r="H437" s="5">
        <v>212</v>
      </c>
      <c r="I437" s="5">
        <v>20</v>
      </c>
      <c r="J437" s="5" t="s">
        <v>18</v>
      </c>
      <c r="K437" s="5" t="s">
        <v>49</v>
      </c>
      <c r="L437" s="5" t="s">
        <v>20</v>
      </c>
      <c r="M437" s="7" t="s">
        <v>46</v>
      </c>
      <c r="N437" s="26">
        <f t="shared" si="36"/>
        <v>0</v>
      </c>
      <c r="O437" s="42">
        <f t="shared" si="37"/>
        <v>45170</v>
      </c>
      <c r="P437" s="5" t="str">
        <f t="shared" si="38"/>
        <v>Friday</v>
      </c>
      <c r="Q437" s="5">
        <f t="shared" si="39"/>
        <v>8</v>
      </c>
      <c r="R437" s="28">
        <f t="shared" si="40"/>
        <v>0.91379310344827591</v>
      </c>
      <c r="S437" s="29">
        <f t="shared" si="41"/>
        <v>91.379310344827587</v>
      </c>
      <c r="T437" s="5" t="str">
        <f>IF(Delivery_Data[[#This Row],[Delays (min)]]&gt;0,"No","Yes")</f>
        <v>No</v>
      </c>
    </row>
    <row r="438" spans="1:20" ht="15.75" customHeight="1" x14ac:dyDescent="0.3">
      <c r="A438" s="4">
        <v>1437</v>
      </c>
      <c r="B438" s="5" t="s">
        <v>569</v>
      </c>
      <c r="C438" s="6">
        <v>45176.395833333336</v>
      </c>
      <c r="D438" s="5" t="s">
        <v>14</v>
      </c>
      <c r="E438" s="5" t="s">
        <v>187</v>
      </c>
      <c r="F438" s="5" t="s">
        <v>24</v>
      </c>
      <c r="G438" s="5" t="s">
        <v>39</v>
      </c>
      <c r="H438" s="5">
        <v>221</v>
      </c>
      <c r="I438" s="5">
        <v>29</v>
      </c>
      <c r="J438" s="5" t="s">
        <v>18</v>
      </c>
      <c r="K438" s="5" t="s">
        <v>19</v>
      </c>
      <c r="L438" s="5" t="s">
        <v>40</v>
      </c>
      <c r="M438" s="7" t="s">
        <v>41</v>
      </c>
      <c r="N438" s="26">
        <f t="shared" si="36"/>
        <v>0</v>
      </c>
      <c r="O438" s="42">
        <f t="shared" si="37"/>
        <v>45176</v>
      </c>
      <c r="P438" s="5" t="str">
        <f t="shared" si="38"/>
        <v>Thursday</v>
      </c>
      <c r="Q438" s="5">
        <f t="shared" si="39"/>
        <v>9</v>
      </c>
      <c r="R438" s="28">
        <f t="shared" si="40"/>
        <v>0.88400000000000001</v>
      </c>
      <c r="S438" s="29">
        <f t="shared" si="41"/>
        <v>88.4</v>
      </c>
      <c r="T438" s="5" t="str">
        <f>IF(Delivery_Data[[#This Row],[Delays (min)]]&gt;0,"No","Yes")</f>
        <v>No</v>
      </c>
    </row>
    <row r="439" spans="1:20" ht="15.75" customHeight="1" x14ac:dyDescent="0.3">
      <c r="A439" s="4">
        <v>1438</v>
      </c>
      <c r="B439" s="5" t="s">
        <v>570</v>
      </c>
      <c r="C439" s="6">
        <v>45177.65625</v>
      </c>
      <c r="D439" s="5" t="s">
        <v>14</v>
      </c>
      <c r="E439" s="5" t="s">
        <v>106</v>
      </c>
      <c r="F439" s="5" t="s">
        <v>24</v>
      </c>
      <c r="G439" s="5" t="s">
        <v>17</v>
      </c>
      <c r="H439" s="5">
        <v>178</v>
      </c>
      <c r="I439" s="5">
        <v>12</v>
      </c>
      <c r="J439" s="5" t="s">
        <v>26</v>
      </c>
      <c r="K439" s="5" t="s">
        <v>27</v>
      </c>
      <c r="L439" s="5" t="s">
        <v>20</v>
      </c>
      <c r="M439" s="7" t="s">
        <v>41</v>
      </c>
      <c r="N439" s="26">
        <f t="shared" si="36"/>
        <v>1</v>
      </c>
      <c r="O439" s="42">
        <f t="shared" si="37"/>
        <v>45177</v>
      </c>
      <c r="P439" s="5" t="str">
        <f t="shared" si="38"/>
        <v>Friday</v>
      </c>
      <c r="Q439" s="5">
        <f t="shared" si="39"/>
        <v>15</v>
      </c>
      <c r="R439" s="28">
        <f t="shared" si="40"/>
        <v>0.93684210526315792</v>
      </c>
      <c r="S439" s="29">
        <f t="shared" si="41"/>
        <v>93.684210526315795</v>
      </c>
      <c r="T439" s="5" t="str">
        <f>IF(Delivery_Data[[#This Row],[Delays (min)]]&gt;0,"No","Yes")</f>
        <v>No</v>
      </c>
    </row>
    <row r="440" spans="1:20" ht="15.75" customHeight="1" x14ac:dyDescent="0.3">
      <c r="A440" s="4">
        <v>1439</v>
      </c>
      <c r="B440" s="5" t="s">
        <v>571</v>
      </c>
      <c r="C440" s="6">
        <v>45173.672222222223</v>
      </c>
      <c r="D440" s="5" t="s">
        <v>14</v>
      </c>
      <c r="E440" s="5" t="s">
        <v>245</v>
      </c>
      <c r="F440" s="5" t="s">
        <v>38</v>
      </c>
      <c r="G440" s="5" t="s">
        <v>31</v>
      </c>
      <c r="H440" s="5">
        <v>200</v>
      </c>
      <c r="I440" s="5">
        <v>20</v>
      </c>
      <c r="J440" s="5" t="s">
        <v>26</v>
      </c>
      <c r="K440" s="5" t="s">
        <v>27</v>
      </c>
      <c r="L440" s="5" t="s">
        <v>40</v>
      </c>
      <c r="M440" s="7" t="s">
        <v>41</v>
      </c>
      <c r="N440" s="26">
        <f t="shared" si="36"/>
        <v>1</v>
      </c>
      <c r="O440" s="42">
        <f t="shared" si="37"/>
        <v>45173</v>
      </c>
      <c r="P440" s="5" t="str">
        <f t="shared" si="38"/>
        <v>Monday</v>
      </c>
      <c r="Q440" s="5">
        <f t="shared" si="39"/>
        <v>16</v>
      </c>
      <c r="R440" s="28">
        <f t="shared" si="40"/>
        <v>0.90909090909090906</v>
      </c>
      <c r="S440" s="29">
        <f t="shared" si="41"/>
        <v>90.909090909090907</v>
      </c>
      <c r="T440" s="5" t="str">
        <f>IF(Delivery_Data[[#This Row],[Delays (min)]]&gt;0,"No","Yes")</f>
        <v>No</v>
      </c>
    </row>
    <row r="441" spans="1:20" ht="15.75" customHeight="1" x14ac:dyDescent="0.3">
      <c r="A441" s="4">
        <v>1440</v>
      </c>
      <c r="B441" s="5" t="s">
        <v>572</v>
      </c>
      <c r="C441" s="6">
        <v>45175.382638888892</v>
      </c>
      <c r="D441" s="5" t="s">
        <v>14</v>
      </c>
      <c r="E441" s="5" t="s">
        <v>122</v>
      </c>
      <c r="F441" s="5" t="s">
        <v>38</v>
      </c>
      <c r="G441" s="5" t="s">
        <v>31</v>
      </c>
      <c r="H441" s="5">
        <v>107</v>
      </c>
      <c r="I441" s="5">
        <v>9</v>
      </c>
      <c r="J441" s="5" t="s">
        <v>18</v>
      </c>
      <c r="K441" s="5" t="s">
        <v>27</v>
      </c>
      <c r="L441" s="5" t="s">
        <v>20</v>
      </c>
      <c r="M441" s="7" t="s">
        <v>41</v>
      </c>
      <c r="N441" s="26">
        <f t="shared" si="36"/>
        <v>0</v>
      </c>
      <c r="O441" s="42">
        <f t="shared" si="37"/>
        <v>45175</v>
      </c>
      <c r="P441" s="5" t="str">
        <f t="shared" si="38"/>
        <v>Wednesday</v>
      </c>
      <c r="Q441" s="5">
        <f t="shared" si="39"/>
        <v>9</v>
      </c>
      <c r="R441" s="28">
        <f t="shared" si="40"/>
        <v>0.92241379310344829</v>
      </c>
      <c r="S441" s="29">
        <f t="shared" si="41"/>
        <v>92.241379310344826</v>
      </c>
      <c r="T441" s="5" t="str">
        <f>IF(Delivery_Data[[#This Row],[Delays (min)]]&gt;0,"No","Yes")</f>
        <v>No</v>
      </c>
    </row>
    <row r="442" spans="1:20" ht="15.75" customHeight="1" x14ac:dyDescent="0.3">
      <c r="A442" s="4">
        <v>1441</v>
      </c>
      <c r="B442" s="5" t="s">
        <v>573</v>
      </c>
      <c r="C442" s="6">
        <v>45170.665972222225</v>
      </c>
      <c r="D442" s="5" t="s">
        <v>14</v>
      </c>
      <c r="E442" s="5" t="s">
        <v>23</v>
      </c>
      <c r="F442" s="5" t="s">
        <v>24</v>
      </c>
      <c r="G442" s="5" t="s">
        <v>25</v>
      </c>
      <c r="H442" s="5">
        <v>170</v>
      </c>
      <c r="I442" s="5">
        <v>1</v>
      </c>
      <c r="J442" s="5" t="s">
        <v>18</v>
      </c>
      <c r="K442" s="5" t="s">
        <v>35</v>
      </c>
      <c r="L442" s="5" t="s">
        <v>40</v>
      </c>
      <c r="M442" s="7" t="s">
        <v>46</v>
      </c>
      <c r="N442" s="26">
        <f t="shared" si="36"/>
        <v>0</v>
      </c>
      <c r="O442" s="42">
        <f t="shared" si="37"/>
        <v>45170</v>
      </c>
      <c r="P442" s="5" t="str">
        <f t="shared" si="38"/>
        <v>Friday</v>
      </c>
      <c r="Q442" s="5">
        <f t="shared" si="39"/>
        <v>15</v>
      </c>
      <c r="R442" s="28">
        <f t="shared" si="40"/>
        <v>0.99415204678362568</v>
      </c>
      <c r="S442" s="29">
        <f t="shared" si="41"/>
        <v>99.415204678362571</v>
      </c>
      <c r="T442" s="5" t="str">
        <f>IF(Delivery_Data[[#This Row],[Delays (min)]]&gt;0,"No","Yes")</f>
        <v>No</v>
      </c>
    </row>
    <row r="443" spans="1:20" ht="15.75" customHeight="1" x14ac:dyDescent="0.3">
      <c r="A443" s="4">
        <v>1442</v>
      </c>
      <c r="B443" s="5" t="s">
        <v>574</v>
      </c>
      <c r="C443" s="6">
        <v>45172.519444444442</v>
      </c>
      <c r="D443" s="5" t="s">
        <v>14</v>
      </c>
      <c r="E443" s="5" t="s">
        <v>149</v>
      </c>
      <c r="F443" s="5" t="s">
        <v>24</v>
      </c>
      <c r="G443" s="5" t="s">
        <v>31</v>
      </c>
      <c r="H443" s="5">
        <v>208</v>
      </c>
      <c r="I443" s="5">
        <v>23</v>
      </c>
      <c r="J443" s="5" t="s">
        <v>26</v>
      </c>
      <c r="K443" s="5" t="s">
        <v>19</v>
      </c>
      <c r="L443" s="5" t="s">
        <v>28</v>
      </c>
      <c r="M443" s="7" t="s">
        <v>41</v>
      </c>
      <c r="N443" s="26">
        <f t="shared" si="36"/>
        <v>1</v>
      </c>
      <c r="O443" s="42">
        <f t="shared" si="37"/>
        <v>45172</v>
      </c>
      <c r="P443" s="5" t="str">
        <f t="shared" si="38"/>
        <v>Sunday</v>
      </c>
      <c r="Q443" s="5">
        <f t="shared" si="39"/>
        <v>12</v>
      </c>
      <c r="R443" s="28">
        <f t="shared" si="40"/>
        <v>0.90043290043290047</v>
      </c>
      <c r="S443" s="29">
        <f t="shared" si="41"/>
        <v>90.043290043290042</v>
      </c>
      <c r="T443" s="5" t="str">
        <f>IF(Delivery_Data[[#This Row],[Delays (min)]]&gt;0,"No","Yes")</f>
        <v>No</v>
      </c>
    </row>
    <row r="444" spans="1:20" ht="15.75" customHeight="1" x14ac:dyDescent="0.3">
      <c r="A444" s="4">
        <v>1443</v>
      </c>
      <c r="B444" s="5" t="s">
        <v>575</v>
      </c>
      <c r="C444" s="6">
        <v>45174.618055555555</v>
      </c>
      <c r="D444" s="5" t="s">
        <v>43</v>
      </c>
      <c r="E444" s="5" t="s">
        <v>126</v>
      </c>
      <c r="F444" s="5" t="s">
        <v>38</v>
      </c>
      <c r="G444" s="5" t="s">
        <v>31</v>
      </c>
      <c r="H444" s="5">
        <v>87</v>
      </c>
      <c r="I444" s="5">
        <v>7</v>
      </c>
      <c r="J444" s="5" t="s">
        <v>32</v>
      </c>
      <c r="K444" s="5" t="s">
        <v>45</v>
      </c>
      <c r="L444" s="5" t="s">
        <v>40</v>
      </c>
      <c r="M444" s="7" t="s">
        <v>21</v>
      </c>
      <c r="N444" s="26">
        <f t="shared" si="36"/>
        <v>-1</v>
      </c>
      <c r="O444" s="42">
        <f t="shared" si="37"/>
        <v>45174</v>
      </c>
      <c r="P444" s="5" t="str">
        <f t="shared" si="38"/>
        <v>Tuesday</v>
      </c>
      <c r="Q444" s="5">
        <f t="shared" si="39"/>
        <v>14</v>
      </c>
      <c r="R444" s="28">
        <f t="shared" si="40"/>
        <v>0.92553191489361697</v>
      </c>
      <c r="S444" s="29">
        <f t="shared" si="41"/>
        <v>92.553191489361694</v>
      </c>
      <c r="T444" s="5" t="str">
        <f>IF(Delivery_Data[[#This Row],[Delays (min)]]&gt;0,"No","Yes")</f>
        <v>No</v>
      </c>
    </row>
    <row r="445" spans="1:20" ht="15.75" customHeight="1" x14ac:dyDescent="0.3">
      <c r="A445" s="4">
        <v>1444</v>
      </c>
      <c r="B445" s="5" t="s">
        <v>576</v>
      </c>
      <c r="C445" s="6">
        <v>45176.444444444445</v>
      </c>
      <c r="D445" s="5" t="s">
        <v>14</v>
      </c>
      <c r="E445" s="5" t="s">
        <v>151</v>
      </c>
      <c r="F445" s="5" t="s">
        <v>24</v>
      </c>
      <c r="G445" s="5" t="s">
        <v>31</v>
      </c>
      <c r="H445" s="5">
        <v>167</v>
      </c>
      <c r="I445" s="5">
        <v>8</v>
      </c>
      <c r="J445" s="5" t="s">
        <v>18</v>
      </c>
      <c r="K445" s="5" t="s">
        <v>49</v>
      </c>
      <c r="L445" s="5" t="s">
        <v>40</v>
      </c>
      <c r="M445" s="7" t="s">
        <v>46</v>
      </c>
      <c r="N445" s="26">
        <f t="shared" si="36"/>
        <v>0</v>
      </c>
      <c r="O445" s="42">
        <f t="shared" si="37"/>
        <v>45176</v>
      </c>
      <c r="P445" s="5" t="str">
        <f t="shared" si="38"/>
        <v>Thursday</v>
      </c>
      <c r="Q445" s="5">
        <f t="shared" si="39"/>
        <v>10</v>
      </c>
      <c r="R445" s="28">
        <f t="shared" si="40"/>
        <v>0.95428571428571429</v>
      </c>
      <c r="S445" s="29">
        <f t="shared" si="41"/>
        <v>95.428571428571431</v>
      </c>
      <c r="T445" s="5" t="str">
        <f>IF(Delivery_Data[[#This Row],[Delays (min)]]&gt;0,"No","Yes")</f>
        <v>No</v>
      </c>
    </row>
    <row r="446" spans="1:20" ht="15.75" customHeight="1" x14ac:dyDescent="0.3">
      <c r="A446" s="4">
        <v>1445</v>
      </c>
      <c r="B446" s="5" t="s">
        <v>577</v>
      </c>
      <c r="C446" s="6">
        <v>45171.381249999999</v>
      </c>
      <c r="D446" s="5" t="s">
        <v>43</v>
      </c>
      <c r="E446" s="5" t="s">
        <v>211</v>
      </c>
      <c r="F446" s="5" t="s">
        <v>38</v>
      </c>
      <c r="G446" s="5" t="s">
        <v>17</v>
      </c>
      <c r="H446" s="5">
        <v>81</v>
      </c>
      <c r="I446" s="5">
        <v>2</v>
      </c>
      <c r="J446" s="5" t="s">
        <v>32</v>
      </c>
      <c r="K446" s="5" t="s">
        <v>45</v>
      </c>
      <c r="L446" s="5" t="s">
        <v>28</v>
      </c>
      <c r="M446" s="7" t="s">
        <v>41</v>
      </c>
      <c r="N446" s="26">
        <f t="shared" si="36"/>
        <v>-1</v>
      </c>
      <c r="O446" s="42">
        <f t="shared" si="37"/>
        <v>45171</v>
      </c>
      <c r="P446" s="5" t="str">
        <f t="shared" si="38"/>
        <v>Saturday</v>
      </c>
      <c r="Q446" s="5">
        <f t="shared" si="39"/>
        <v>9</v>
      </c>
      <c r="R446" s="28">
        <f t="shared" si="40"/>
        <v>0.97590361445783136</v>
      </c>
      <c r="S446" s="29">
        <f t="shared" si="41"/>
        <v>97.590361445783131</v>
      </c>
      <c r="T446" s="5" t="str">
        <f>IF(Delivery_Data[[#This Row],[Delays (min)]]&gt;0,"No","Yes")</f>
        <v>No</v>
      </c>
    </row>
    <row r="447" spans="1:20" ht="15.75" customHeight="1" x14ac:dyDescent="0.3">
      <c r="A447" s="4">
        <v>1446</v>
      </c>
      <c r="B447" s="5" t="s">
        <v>578</v>
      </c>
      <c r="C447" s="6">
        <v>45173.418749999997</v>
      </c>
      <c r="D447" s="5" t="s">
        <v>14</v>
      </c>
      <c r="E447" s="5" t="s">
        <v>182</v>
      </c>
      <c r="F447" s="5" t="s">
        <v>24</v>
      </c>
      <c r="G447" s="5" t="s">
        <v>56</v>
      </c>
      <c r="H447" s="5">
        <v>179</v>
      </c>
      <c r="I447" s="5">
        <v>25</v>
      </c>
      <c r="J447" s="5" t="s">
        <v>32</v>
      </c>
      <c r="K447" s="5" t="s">
        <v>19</v>
      </c>
      <c r="L447" s="5" t="s">
        <v>20</v>
      </c>
      <c r="M447" s="7" t="s">
        <v>41</v>
      </c>
      <c r="N447" s="26">
        <f t="shared" si="36"/>
        <v>-1</v>
      </c>
      <c r="O447" s="42">
        <f t="shared" si="37"/>
        <v>45173</v>
      </c>
      <c r="P447" s="5" t="str">
        <f t="shared" si="38"/>
        <v>Monday</v>
      </c>
      <c r="Q447" s="5">
        <f t="shared" si="39"/>
        <v>10</v>
      </c>
      <c r="R447" s="28">
        <f t="shared" si="40"/>
        <v>0.87745098039215685</v>
      </c>
      <c r="S447" s="29">
        <f t="shared" si="41"/>
        <v>87.745098039215691</v>
      </c>
      <c r="T447" s="5" t="str">
        <f>IF(Delivery_Data[[#This Row],[Delays (min)]]&gt;0,"No","Yes")</f>
        <v>No</v>
      </c>
    </row>
    <row r="448" spans="1:20" ht="15.75" customHeight="1" x14ac:dyDescent="0.3">
      <c r="A448" s="4">
        <v>1447</v>
      </c>
      <c r="B448" s="5" t="s">
        <v>579</v>
      </c>
      <c r="C448" s="6">
        <v>45173.677777777775</v>
      </c>
      <c r="D448" s="5" t="s">
        <v>43</v>
      </c>
      <c r="E448" s="5" t="s">
        <v>267</v>
      </c>
      <c r="F448" s="5" t="s">
        <v>38</v>
      </c>
      <c r="G448" s="5" t="s">
        <v>56</v>
      </c>
      <c r="H448" s="5">
        <v>170</v>
      </c>
      <c r="I448" s="5">
        <v>13</v>
      </c>
      <c r="J448" s="5" t="s">
        <v>32</v>
      </c>
      <c r="K448" s="5" t="s">
        <v>49</v>
      </c>
      <c r="L448" s="5" t="s">
        <v>20</v>
      </c>
      <c r="M448" s="7" t="s">
        <v>46</v>
      </c>
      <c r="N448" s="26">
        <f t="shared" si="36"/>
        <v>-1</v>
      </c>
      <c r="O448" s="42">
        <f t="shared" si="37"/>
        <v>45173</v>
      </c>
      <c r="P448" s="5" t="str">
        <f t="shared" si="38"/>
        <v>Monday</v>
      </c>
      <c r="Q448" s="5">
        <f t="shared" si="39"/>
        <v>16</v>
      </c>
      <c r="R448" s="28">
        <f t="shared" si="40"/>
        <v>0.92896174863387981</v>
      </c>
      <c r="S448" s="29">
        <f t="shared" si="41"/>
        <v>92.896174863387984</v>
      </c>
      <c r="T448" s="5" t="str">
        <f>IF(Delivery_Data[[#This Row],[Delays (min)]]&gt;0,"No","Yes")</f>
        <v>No</v>
      </c>
    </row>
    <row r="449" spans="1:20" ht="15.75" customHeight="1" x14ac:dyDescent="0.3">
      <c r="A449" s="4">
        <v>1448</v>
      </c>
      <c r="B449" s="5" t="s">
        <v>580</v>
      </c>
      <c r="C449" s="6">
        <v>45173.63958333333</v>
      </c>
      <c r="D449" s="5" t="s">
        <v>14</v>
      </c>
      <c r="E449" s="5" t="s">
        <v>160</v>
      </c>
      <c r="F449" s="5" t="s">
        <v>16</v>
      </c>
      <c r="G449" s="5" t="s">
        <v>56</v>
      </c>
      <c r="H449" s="5">
        <v>206</v>
      </c>
      <c r="I449" s="5">
        <v>3</v>
      </c>
      <c r="J449" s="5" t="s">
        <v>18</v>
      </c>
      <c r="K449" s="5" t="s">
        <v>45</v>
      </c>
      <c r="L449" s="5" t="s">
        <v>28</v>
      </c>
      <c r="M449" s="7" t="s">
        <v>46</v>
      </c>
      <c r="N449" s="26">
        <f t="shared" si="36"/>
        <v>0</v>
      </c>
      <c r="O449" s="42">
        <f t="shared" si="37"/>
        <v>45173</v>
      </c>
      <c r="P449" s="5" t="str">
        <f t="shared" si="38"/>
        <v>Monday</v>
      </c>
      <c r="Q449" s="5">
        <f t="shared" si="39"/>
        <v>15</v>
      </c>
      <c r="R449" s="28">
        <f t="shared" si="40"/>
        <v>0.9856459330143541</v>
      </c>
      <c r="S449" s="29">
        <f t="shared" si="41"/>
        <v>98.564593301435409</v>
      </c>
      <c r="T449" s="5" t="str">
        <f>IF(Delivery_Data[[#This Row],[Delays (min)]]&gt;0,"No","Yes")</f>
        <v>No</v>
      </c>
    </row>
    <row r="450" spans="1:20" ht="15.75" customHeight="1" x14ac:dyDescent="0.3">
      <c r="A450" s="4">
        <v>1449</v>
      </c>
      <c r="B450" s="5" t="s">
        <v>581</v>
      </c>
      <c r="C450" s="6">
        <v>45176.598611111112</v>
      </c>
      <c r="D450" s="5" t="s">
        <v>14</v>
      </c>
      <c r="E450" s="5" t="s">
        <v>34</v>
      </c>
      <c r="F450" s="5" t="s">
        <v>24</v>
      </c>
      <c r="G450" s="5" t="s">
        <v>56</v>
      </c>
      <c r="H450" s="5">
        <v>176</v>
      </c>
      <c r="I450" s="5">
        <v>16</v>
      </c>
      <c r="J450" s="5" t="s">
        <v>26</v>
      </c>
      <c r="K450" s="5" t="s">
        <v>27</v>
      </c>
      <c r="L450" s="5" t="s">
        <v>40</v>
      </c>
      <c r="M450" s="7" t="s">
        <v>21</v>
      </c>
      <c r="N450" s="26">
        <f t="shared" ref="N450:N513" si="42">IF(J450="Positive",1,IF(J450="Neutral",0,IF(J450="Negative",-1,"")))</f>
        <v>1</v>
      </c>
      <c r="O450" s="42">
        <f t="shared" ref="O450:O513" si="43">INT(C450)</f>
        <v>45176</v>
      </c>
      <c r="P450" s="5" t="str">
        <f t="shared" ref="P450:P513" si="44">TEXT(C450,"dddd")</f>
        <v>Thursday</v>
      </c>
      <c r="Q450" s="5">
        <f t="shared" ref="Q450:Q513" si="45">HOUR(C450)</f>
        <v>14</v>
      </c>
      <c r="R450" s="28">
        <f t="shared" ref="R450:R513" si="46">H450/(H450+I450)</f>
        <v>0.91666666666666663</v>
      </c>
      <c r="S450" s="29">
        <f t="shared" si="41"/>
        <v>91.666666666666657</v>
      </c>
      <c r="T450" s="5" t="str">
        <f>IF(Delivery_Data[[#This Row],[Delays (min)]]&gt;0,"No","Yes")</f>
        <v>No</v>
      </c>
    </row>
    <row r="451" spans="1:20" ht="15.75" customHeight="1" x14ac:dyDescent="0.3">
      <c r="A451" s="4">
        <v>1450</v>
      </c>
      <c r="B451" s="5" t="s">
        <v>582</v>
      </c>
      <c r="C451" s="6">
        <v>45177.668749999997</v>
      </c>
      <c r="D451" s="5" t="s">
        <v>43</v>
      </c>
      <c r="E451" s="5" t="s">
        <v>211</v>
      </c>
      <c r="F451" s="5" t="s">
        <v>24</v>
      </c>
      <c r="G451" s="5" t="s">
        <v>17</v>
      </c>
      <c r="H451" s="5">
        <v>75</v>
      </c>
      <c r="I451" s="5">
        <v>7</v>
      </c>
      <c r="J451" s="5" t="s">
        <v>18</v>
      </c>
      <c r="K451" s="5" t="s">
        <v>45</v>
      </c>
      <c r="L451" s="5" t="s">
        <v>20</v>
      </c>
      <c r="M451" s="7" t="s">
        <v>46</v>
      </c>
      <c r="N451" s="26">
        <f t="shared" si="42"/>
        <v>0</v>
      </c>
      <c r="O451" s="42">
        <f t="shared" si="43"/>
        <v>45177</v>
      </c>
      <c r="P451" s="5" t="str">
        <f t="shared" si="44"/>
        <v>Friday</v>
      </c>
      <c r="Q451" s="5">
        <f t="shared" si="45"/>
        <v>16</v>
      </c>
      <c r="R451" s="28">
        <f t="shared" si="46"/>
        <v>0.91463414634146345</v>
      </c>
      <c r="S451" s="29">
        <f t="shared" ref="S451:S514" si="47">IF(H451+I451=0,0,(H451/(H451+I451))*100) + (IFERROR(--J451,0)*10)</f>
        <v>91.463414634146346</v>
      </c>
      <c r="T451" s="5" t="str">
        <f>IF(Delivery_Data[[#This Row],[Delays (min)]]&gt;0,"No","Yes")</f>
        <v>No</v>
      </c>
    </row>
    <row r="452" spans="1:20" ht="15.75" customHeight="1" x14ac:dyDescent="0.3">
      <c r="A452" s="4">
        <v>1451</v>
      </c>
      <c r="B452" s="5" t="s">
        <v>583</v>
      </c>
      <c r="C452" s="6">
        <v>45172.681944444441</v>
      </c>
      <c r="D452" s="5" t="s">
        <v>43</v>
      </c>
      <c r="E452" s="5" t="s">
        <v>154</v>
      </c>
      <c r="F452" s="5" t="s">
        <v>16</v>
      </c>
      <c r="G452" s="5" t="s">
        <v>17</v>
      </c>
      <c r="H452" s="5">
        <v>105</v>
      </c>
      <c r="I452" s="5">
        <v>12</v>
      </c>
      <c r="J452" s="5" t="s">
        <v>18</v>
      </c>
      <c r="K452" s="5" t="s">
        <v>19</v>
      </c>
      <c r="L452" s="5" t="s">
        <v>40</v>
      </c>
      <c r="M452" s="7" t="s">
        <v>21</v>
      </c>
      <c r="N452" s="26">
        <f t="shared" si="42"/>
        <v>0</v>
      </c>
      <c r="O452" s="42">
        <f t="shared" si="43"/>
        <v>45172</v>
      </c>
      <c r="P452" s="5" t="str">
        <f t="shared" si="44"/>
        <v>Sunday</v>
      </c>
      <c r="Q452" s="5">
        <f t="shared" si="45"/>
        <v>16</v>
      </c>
      <c r="R452" s="28">
        <f t="shared" si="46"/>
        <v>0.89743589743589747</v>
      </c>
      <c r="S452" s="29">
        <f t="shared" si="47"/>
        <v>89.743589743589752</v>
      </c>
      <c r="T452" s="5" t="str">
        <f>IF(Delivery_Data[[#This Row],[Delays (min)]]&gt;0,"No","Yes")</f>
        <v>No</v>
      </c>
    </row>
    <row r="453" spans="1:20" ht="15.75" customHeight="1" x14ac:dyDescent="0.3">
      <c r="A453" s="4">
        <v>1452</v>
      </c>
      <c r="B453" s="5" t="s">
        <v>584</v>
      </c>
      <c r="C453" s="6">
        <v>45172.552777777775</v>
      </c>
      <c r="D453" s="5" t="s">
        <v>43</v>
      </c>
      <c r="E453" s="5" t="s">
        <v>53</v>
      </c>
      <c r="F453" s="5" t="s">
        <v>24</v>
      </c>
      <c r="G453" s="5" t="s">
        <v>17</v>
      </c>
      <c r="H453" s="5">
        <v>136</v>
      </c>
      <c r="I453" s="5">
        <v>18</v>
      </c>
      <c r="J453" s="5" t="s">
        <v>26</v>
      </c>
      <c r="K453" s="5" t="s">
        <v>19</v>
      </c>
      <c r="L453" s="5" t="s">
        <v>20</v>
      </c>
      <c r="M453" s="7" t="s">
        <v>46</v>
      </c>
      <c r="N453" s="26">
        <f t="shared" si="42"/>
        <v>1</v>
      </c>
      <c r="O453" s="42">
        <f t="shared" si="43"/>
        <v>45172</v>
      </c>
      <c r="P453" s="5" t="str">
        <f t="shared" si="44"/>
        <v>Sunday</v>
      </c>
      <c r="Q453" s="5">
        <f t="shared" si="45"/>
        <v>13</v>
      </c>
      <c r="R453" s="28">
        <f t="shared" si="46"/>
        <v>0.88311688311688308</v>
      </c>
      <c r="S453" s="29">
        <f t="shared" si="47"/>
        <v>88.311688311688314</v>
      </c>
      <c r="T453" s="5" t="str">
        <f>IF(Delivery_Data[[#This Row],[Delays (min)]]&gt;0,"No","Yes")</f>
        <v>No</v>
      </c>
    </row>
    <row r="454" spans="1:20" ht="15.75" customHeight="1" x14ac:dyDescent="0.3">
      <c r="A454" s="4">
        <v>1453</v>
      </c>
      <c r="B454" s="5" t="s">
        <v>585</v>
      </c>
      <c r="C454" s="6">
        <v>45171.505555555559</v>
      </c>
      <c r="D454" s="5" t="s">
        <v>43</v>
      </c>
      <c r="E454" s="5" t="s">
        <v>85</v>
      </c>
      <c r="F454" s="5" t="s">
        <v>24</v>
      </c>
      <c r="G454" s="5" t="s">
        <v>31</v>
      </c>
      <c r="H454" s="5">
        <v>235</v>
      </c>
      <c r="I454" s="5">
        <v>27</v>
      </c>
      <c r="J454" s="5" t="s">
        <v>32</v>
      </c>
      <c r="K454" s="5" t="s">
        <v>35</v>
      </c>
      <c r="L454" s="5" t="s">
        <v>40</v>
      </c>
      <c r="M454" s="7" t="s">
        <v>21</v>
      </c>
      <c r="N454" s="26">
        <f t="shared" si="42"/>
        <v>-1</v>
      </c>
      <c r="O454" s="42">
        <f t="shared" si="43"/>
        <v>45171</v>
      </c>
      <c r="P454" s="5" t="str">
        <f t="shared" si="44"/>
        <v>Saturday</v>
      </c>
      <c r="Q454" s="5">
        <f t="shared" si="45"/>
        <v>12</v>
      </c>
      <c r="R454" s="28">
        <f t="shared" si="46"/>
        <v>0.89694656488549618</v>
      </c>
      <c r="S454" s="29">
        <f t="shared" si="47"/>
        <v>89.694656488549612</v>
      </c>
      <c r="T454" s="5" t="str">
        <f>IF(Delivery_Data[[#This Row],[Delays (min)]]&gt;0,"No","Yes")</f>
        <v>No</v>
      </c>
    </row>
    <row r="455" spans="1:20" ht="15.75" customHeight="1" x14ac:dyDescent="0.3">
      <c r="A455" s="4">
        <v>1454</v>
      </c>
      <c r="B455" s="5" t="s">
        <v>586</v>
      </c>
      <c r="C455" s="6">
        <v>45173.697222222225</v>
      </c>
      <c r="D455" s="5" t="s">
        <v>43</v>
      </c>
      <c r="E455" s="5" t="s">
        <v>304</v>
      </c>
      <c r="F455" s="5" t="s">
        <v>24</v>
      </c>
      <c r="G455" s="5" t="s">
        <v>39</v>
      </c>
      <c r="H455" s="5">
        <v>79</v>
      </c>
      <c r="I455" s="5">
        <v>3</v>
      </c>
      <c r="J455" s="5" t="s">
        <v>18</v>
      </c>
      <c r="K455" s="5" t="s">
        <v>27</v>
      </c>
      <c r="L455" s="5" t="s">
        <v>40</v>
      </c>
      <c r="M455" s="7" t="s">
        <v>41</v>
      </c>
      <c r="N455" s="26">
        <f t="shared" si="42"/>
        <v>0</v>
      </c>
      <c r="O455" s="42">
        <f t="shared" si="43"/>
        <v>45173</v>
      </c>
      <c r="P455" s="5" t="str">
        <f t="shared" si="44"/>
        <v>Monday</v>
      </c>
      <c r="Q455" s="5">
        <f t="shared" si="45"/>
        <v>16</v>
      </c>
      <c r="R455" s="28">
        <f t="shared" si="46"/>
        <v>0.96341463414634143</v>
      </c>
      <c r="S455" s="29">
        <f t="shared" si="47"/>
        <v>96.341463414634148</v>
      </c>
      <c r="T455" s="5" t="str">
        <f>IF(Delivery_Data[[#This Row],[Delays (min)]]&gt;0,"No","Yes")</f>
        <v>No</v>
      </c>
    </row>
    <row r="456" spans="1:20" ht="15.75" customHeight="1" x14ac:dyDescent="0.3">
      <c r="A456" s="4">
        <v>1455</v>
      </c>
      <c r="B456" s="5" t="s">
        <v>587</v>
      </c>
      <c r="C456" s="6">
        <v>45174.680555555555</v>
      </c>
      <c r="D456" s="5" t="s">
        <v>14</v>
      </c>
      <c r="E456" s="5" t="s">
        <v>87</v>
      </c>
      <c r="F456" s="5" t="s">
        <v>16</v>
      </c>
      <c r="G456" s="5" t="s">
        <v>25</v>
      </c>
      <c r="H456" s="5">
        <v>182</v>
      </c>
      <c r="I456" s="5">
        <v>15</v>
      </c>
      <c r="J456" s="5" t="s">
        <v>32</v>
      </c>
      <c r="K456" s="5" t="s">
        <v>45</v>
      </c>
      <c r="L456" s="5" t="s">
        <v>20</v>
      </c>
      <c r="M456" s="7" t="s">
        <v>21</v>
      </c>
      <c r="N456" s="26">
        <f t="shared" si="42"/>
        <v>-1</v>
      </c>
      <c r="O456" s="42">
        <f t="shared" si="43"/>
        <v>45174</v>
      </c>
      <c r="P456" s="5" t="str">
        <f t="shared" si="44"/>
        <v>Tuesday</v>
      </c>
      <c r="Q456" s="5">
        <f t="shared" si="45"/>
        <v>16</v>
      </c>
      <c r="R456" s="28">
        <f t="shared" si="46"/>
        <v>0.92385786802030456</v>
      </c>
      <c r="S456" s="29">
        <f t="shared" si="47"/>
        <v>92.385786802030452</v>
      </c>
      <c r="T456" s="5" t="str">
        <f>IF(Delivery_Data[[#This Row],[Delays (min)]]&gt;0,"No","Yes")</f>
        <v>No</v>
      </c>
    </row>
    <row r="457" spans="1:20" ht="15.75" customHeight="1" x14ac:dyDescent="0.3">
      <c r="A457" s="4">
        <v>1456</v>
      </c>
      <c r="B457" s="5" t="s">
        <v>588</v>
      </c>
      <c r="C457" s="6">
        <v>45174.57708333333</v>
      </c>
      <c r="D457" s="5" t="s">
        <v>43</v>
      </c>
      <c r="E457" s="5" t="s">
        <v>87</v>
      </c>
      <c r="F457" s="5" t="s">
        <v>24</v>
      </c>
      <c r="G457" s="5" t="s">
        <v>39</v>
      </c>
      <c r="H457" s="5">
        <v>212</v>
      </c>
      <c r="I457" s="5">
        <v>20</v>
      </c>
      <c r="J457" s="5" t="s">
        <v>18</v>
      </c>
      <c r="K457" s="5" t="s">
        <v>19</v>
      </c>
      <c r="L457" s="5" t="s">
        <v>40</v>
      </c>
      <c r="M457" s="7" t="s">
        <v>41</v>
      </c>
      <c r="N457" s="26">
        <f t="shared" si="42"/>
        <v>0</v>
      </c>
      <c r="O457" s="42">
        <f t="shared" si="43"/>
        <v>45174</v>
      </c>
      <c r="P457" s="5" t="str">
        <f t="shared" si="44"/>
        <v>Tuesday</v>
      </c>
      <c r="Q457" s="5">
        <f t="shared" si="45"/>
        <v>13</v>
      </c>
      <c r="R457" s="28">
        <f t="shared" si="46"/>
        <v>0.91379310344827591</v>
      </c>
      <c r="S457" s="29">
        <f t="shared" si="47"/>
        <v>91.379310344827587</v>
      </c>
      <c r="T457" s="5" t="str">
        <f>IF(Delivery_Data[[#This Row],[Delays (min)]]&gt;0,"No","Yes")</f>
        <v>No</v>
      </c>
    </row>
    <row r="458" spans="1:20" ht="15.75" customHeight="1" x14ac:dyDescent="0.3">
      <c r="A458" s="4">
        <v>1457</v>
      </c>
      <c r="B458" s="5" t="s">
        <v>589</v>
      </c>
      <c r="C458" s="6">
        <v>45176.334722222222</v>
      </c>
      <c r="D458" s="5" t="s">
        <v>43</v>
      </c>
      <c r="E458" s="5" t="s">
        <v>171</v>
      </c>
      <c r="F458" s="5" t="s">
        <v>24</v>
      </c>
      <c r="G458" s="5" t="s">
        <v>17</v>
      </c>
      <c r="H458" s="5">
        <v>198</v>
      </c>
      <c r="I458" s="5">
        <v>28</v>
      </c>
      <c r="J458" s="5" t="s">
        <v>26</v>
      </c>
      <c r="K458" s="5" t="s">
        <v>35</v>
      </c>
      <c r="L458" s="5" t="s">
        <v>20</v>
      </c>
      <c r="M458" s="7" t="s">
        <v>46</v>
      </c>
      <c r="N458" s="26">
        <f t="shared" si="42"/>
        <v>1</v>
      </c>
      <c r="O458" s="42">
        <f t="shared" si="43"/>
        <v>45176</v>
      </c>
      <c r="P458" s="5" t="str">
        <f t="shared" si="44"/>
        <v>Thursday</v>
      </c>
      <c r="Q458" s="5">
        <f t="shared" si="45"/>
        <v>8</v>
      </c>
      <c r="R458" s="28">
        <f t="shared" si="46"/>
        <v>0.87610619469026552</v>
      </c>
      <c r="S458" s="29">
        <f t="shared" si="47"/>
        <v>87.610619469026545</v>
      </c>
      <c r="T458" s="5" t="str">
        <f>IF(Delivery_Data[[#This Row],[Delays (min)]]&gt;0,"No","Yes")</f>
        <v>No</v>
      </c>
    </row>
    <row r="459" spans="1:20" ht="15.75" customHeight="1" x14ac:dyDescent="0.3">
      <c r="A459" s="4">
        <v>1458</v>
      </c>
      <c r="B459" s="5" t="s">
        <v>590</v>
      </c>
      <c r="C459" s="6">
        <v>45175.513194444444</v>
      </c>
      <c r="D459" s="5" t="s">
        <v>43</v>
      </c>
      <c r="E459" s="5" t="s">
        <v>120</v>
      </c>
      <c r="F459" s="5" t="s">
        <v>38</v>
      </c>
      <c r="G459" s="5" t="s">
        <v>25</v>
      </c>
      <c r="H459" s="5">
        <v>229</v>
      </c>
      <c r="I459" s="5">
        <v>27</v>
      </c>
      <c r="J459" s="5" t="s">
        <v>26</v>
      </c>
      <c r="K459" s="5" t="s">
        <v>27</v>
      </c>
      <c r="L459" s="5" t="s">
        <v>40</v>
      </c>
      <c r="M459" s="7" t="s">
        <v>41</v>
      </c>
      <c r="N459" s="26">
        <f t="shared" si="42"/>
        <v>1</v>
      </c>
      <c r="O459" s="42">
        <f t="shared" si="43"/>
        <v>45175</v>
      </c>
      <c r="P459" s="5" t="str">
        <f t="shared" si="44"/>
        <v>Wednesday</v>
      </c>
      <c r="Q459" s="5">
        <f t="shared" si="45"/>
        <v>12</v>
      </c>
      <c r="R459" s="28">
        <f t="shared" si="46"/>
        <v>0.89453125</v>
      </c>
      <c r="S459" s="29">
        <f t="shared" si="47"/>
        <v>89.453125</v>
      </c>
      <c r="T459" s="5" t="str">
        <f>IF(Delivery_Data[[#This Row],[Delays (min)]]&gt;0,"No","Yes")</f>
        <v>No</v>
      </c>
    </row>
    <row r="460" spans="1:20" ht="15.75" customHeight="1" x14ac:dyDescent="0.3">
      <c r="A460" s="4">
        <v>1459</v>
      </c>
      <c r="B460" s="5" t="s">
        <v>591</v>
      </c>
      <c r="C460" s="6">
        <v>45177.52847222222</v>
      </c>
      <c r="D460" s="5" t="s">
        <v>14</v>
      </c>
      <c r="E460" s="5" t="s">
        <v>154</v>
      </c>
      <c r="F460" s="5" t="s">
        <v>24</v>
      </c>
      <c r="G460" s="5" t="s">
        <v>56</v>
      </c>
      <c r="H460" s="5">
        <v>141</v>
      </c>
      <c r="I460" s="5">
        <v>9</v>
      </c>
      <c r="J460" s="5" t="s">
        <v>26</v>
      </c>
      <c r="K460" s="5" t="s">
        <v>27</v>
      </c>
      <c r="L460" s="5" t="s">
        <v>28</v>
      </c>
      <c r="M460" s="7" t="s">
        <v>21</v>
      </c>
      <c r="N460" s="26">
        <f t="shared" si="42"/>
        <v>1</v>
      </c>
      <c r="O460" s="42">
        <f t="shared" si="43"/>
        <v>45177</v>
      </c>
      <c r="P460" s="5" t="str">
        <f t="shared" si="44"/>
        <v>Friday</v>
      </c>
      <c r="Q460" s="5">
        <f t="shared" si="45"/>
        <v>12</v>
      </c>
      <c r="R460" s="28">
        <f t="shared" si="46"/>
        <v>0.94</v>
      </c>
      <c r="S460" s="29">
        <f t="shared" si="47"/>
        <v>94</v>
      </c>
      <c r="T460" s="5" t="str">
        <f>IF(Delivery_Data[[#This Row],[Delays (min)]]&gt;0,"No","Yes")</f>
        <v>No</v>
      </c>
    </row>
    <row r="461" spans="1:20" ht="15.75" customHeight="1" x14ac:dyDescent="0.3">
      <c r="A461" s="4">
        <v>1460</v>
      </c>
      <c r="B461" s="5" t="s">
        <v>592</v>
      </c>
      <c r="C461" s="6">
        <v>45172.574305555558</v>
      </c>
      <c r="D461" s="5" t="s">
        <v>14</v>
      </c>
      <c r="E461" s="5" t="s">
        <v>166</v>
      </c>
      <c r="F461" s="5" t="s">
        <v>38</v>
      </c>
      <c r="G461" s="5" t="s">
        <v>39</v>
      </c>
      <c r="H461" s="5">
        <v>60</v>
      </c>
      <c r="I461" s="5">
        <v>21</v>
      </c>
      <c r="J461" s="5" t="s">
        <v>18</v>
      </c>
      <c r="K461" s="5" t="s">
        <v>45</v>
      </c>
      <c r="L461" s="5" t="s">
        <v>20</v>
      </c>
      <c r="M461" s="7" t="s">
        <v>21</v>
      </c>
      <c r="N461" s="26">
        <f t="shared" si="42"/>
        <v>0</v>
      </c>
      <c r="O461" s="42">
        <f t="shared" si="43"/>
        <v>45172</v>
      </c>
      <c r="P461" s="5" t="str">
        <f t="shared" si="44"/>
        <v>Sunday</v>
      </c>
      <c r="Q461" s="5">
        <f t="shared" si="45"/>
        <v>13</v>
      </c>
      <c r="R461" s="28">
        <f t="shared" si="46"/>
        <v>0.7407407407407407</v>
      </c>
      <c r="S461" s="29">
        <f t="shared" si="47"/>
        <v>74.074074074074076</v>
      </c>
      <c r="T461" s="5" t="str">
        <f>IF(Delivery_Data[[#This Row],[Delays (min)]]&gt;0,"No","Yes")</f>
        <v>No</v>
      </c>
    </row>
    <row r="462" spans="1:20" ht="15.75" customHeight="1" x14ac:dyDescent="0.3">
      <c r="A462" s="4">
        <v>1461</v>
      </c>
      <c r="B462" s="5" t="s">
        <v>593</v>
      </c>
      <c r="C462" s="6">
        <v>45171.495833333334</v>
      </c>
      <c r="D462" s="5" t="s">
        <v>43</v>
      </c>
      <c r="E462" s="5" t="s">
        <v>103</v>
      </c>
      <c r="F462" s="5" t="s">
        <v>24</v>
      </c>
      <c r="G462" s="5" t="s">
        <v>31</v>
      </c>
      <c r="H462" s="5">
        <v>174</v>
      </c>
      <c r="I462" s="5">
        <v>19</v>
      </c>
      <c r="J462" s="5" t="s">
        <v>26</v>
      </c>
      <c r="K462" s="5" t="s">
        <v>27</v>
      </c>
      <c r="L462" s="5" t="s">
        <v>20</v>
      </c>
      <c r="M462" s="7" t="s">
        <v>46</v>
      </c>
      <c r="N462" s="26">
        <f t="shared" si="42"/>
        <v>1</v>
      </c>
      <c r="O462" s="42">
        <f t="shared" si="43"/>
        <v>45171</v>
      </c>
      <c r="P462" s="5" t="str">
        <f t="shared" si="44"/>
        <v>Saturday</v>
      </c>
      <c r="Q462" s="5">
        <f t="shared" si="45"/>
        <v>11</v>
      </c>
      <c r="R462" s="28">
        <f t="shared" si="46"/>
        <v>0.9015544041450777</v>
      </c>
      <c r="S462" s="29">
        <f t="shared" si="47"/>
        <v>90.155440414507765</v>
      </c>
      <c r="T462" s="5" t="str">
        <f>IF(Delivery_Data[[#This Row],[Delays (min)]]&gt;0,"No","Yes")</f>
        <v>No</v>
      </c>
    </row>
    <row r="463" spans="1:20" ht="15.75" customHeight="1" x14ac:dyDescent="0.3">
      <c r="A463" s="4">
        <v>1462</v>
      </c>
      <c r="B463" s="5" t="s">
        <v>594</v>
      </c>
      <c r="C463" s="6">
        <v>45173.380555555559</v>
      </c>
      <c r="D463" s="5" t="s">
        <v>14</v>
      </c>
      <c r="E463" s="5" t="s">
        <v>160</v>
      </c>
      <c r="F463" s="5" t="s">
        <v>16</v>
      </c>
      <c r="G463" s="5" t="s">
        <v>17</v>
      </c>
      <c r="H463" s="5">
        <v>122</v>
      </c>
      <c r="I463" s="5">
        <v>0</v>
      </c>
      <c r="J463" s="5" t="s">
        <v>18</v>
      </c>
      <c r="K463" s="5" t="s">
        <v>45</v>
      </c>
      <c r="L463" s="5" t="s">
        <v>28</v>
      </c>
      <c r="M463" s="7" t="s">
        <v>46</v>
      </c>
      <c r="N463" s="26">
        <f t="shared" si="42"/>
        <v>0</v>
      </c>
      <c r="O463" s="42">
        <f t="shared" si="43"/>
        <v>45173</v>
      </c>
      <c r="P463" s="5" t="str">
        <f t="shared" si="44"/>
        <v>Monday</v>
      </c>
      <c r="Q463" s="5">
        <f t="shared" si="45"/>
        <v>9</v>
      </c>
      <c r="R463" s="28">
        <f t="shared" si="46"/>
        <v>1</v>
      </c>
      <c r="S463" s="29">
        <f t="shared" si="47"/>
        <v>100</v>
      </c>
      <c r="T463" s="5" t="str">
        <f>IF(Delivery_Data[[#This Row],[Delays (min)]]&gt;0,"No","Yes")</f>
        <v>Yes</v>
      </c>
    </row>
    <row r="464" spans="1:20" ht="15.75" customHeight="1" x14ac:dyDescent="0.3">
      <c r="A464" s="4">
        <v>1463</v>
      </c>
      <c r="B464" s="5" t="s">
        <v>595</v>
      </c>
      <c r="C464" s="6">
        <v>45177.457638888889</v>
      </c>
      <c r="D464" s="5" t="s">
        <v>43</v>
      </c>
      <c r="E464" s="5" t="s">
        <v>468</v>
      </c>
      <c r="F464" s="5" t="s">
        <v>38</v>
      </c>
      <c r="G464" s="5" t="s">
        <v>39</v>
      </c>
      <c r="H464" s="5">
        <v>176</v>
      </c>
      <c r="I464" s="5">
        <v>29</v>
      </c>
      <c r="J464" s="5" t="s">
        <v>32</v>
      </c>
      <c r="K464" s="5" t="s">
        <v>19</v>
      </c>
      <c r="L464" s="5" t="s">
        <v>28</v>
      </c>
      <c r="M464" s="7" t="s">
        <v>46</v>
      </c>
      <c r="N464" s="26">
        <f t="shared" si="42"/>
        <v>-1</v>
      </c>
      <c r="O464" s="42">
        <f t="shared" si="43"/>
        <v>45177</v>
      </c>
      <c r="P464" s="5" t="str">
        <f t="shared" si="44"/>
        <v>Friday</v>
      </c>
      <c r="Q464" s="5">
        <f t="shared" si="45"/>
        <v>10</v>
      </c>
      <c r="R464" s="28">
        <f t="shared" si="46"/>
        <v>0.85853658536585364</v>
      </c>
      <c r="S464" s="29">
        <f t="shared" si="47"/>
        <v>85.853658536585371</v>
      </c>
      <c r="T464" s="5" t="str">
        <f>IF(Delivery_Data[[#This Row],[Delays (min)]]&gt;0,"No","Yes")</f>
        <v>No</v>
      </c>
    </row>
    <row r="465" spans="1:20" ht="15.75" customHeight="1" x14ac:dyDescent="0.3">
      <c r="A465" s="4">
        <v>1464</v>
      </c>
      <c r="B465" s="5" t="s">
        <v>596</v>
      </c>
      <c r="C465" s="6">
        <v>45177.53402777778</v>
      </c>
      <c r="D465" s="5" t="s">
        <v>14</v>
      </c>
      <c r="E465" s="5" t="s">
        <v>311</v>
      </c>
      <c r="F465" s="5" t="s">
        <v>16</v>
      </c>
      <c r="G465" s="5" t="s">
        <v>31</v>
      </c>
      <c r="H465" s="5">
        <v>95</v>
      </c>
      <c r="I465" s="5">
        <v>10</v>
      </c>
      <c r="J465" s="5" t="s">
        <v>18</v>
      </c>
      <c r="K465" s="5" t="s">
        <v>45</v>
      </c>
      <c r="L465" s="5" t="s">
        <v>28</v>
      </c>
      <c r="M465" s="7" t="s">
        <v>46</v>
      </c>
      <c r="N465" s="26">
        <f t="shared" si="42"/>
        <v>0</v>
      </c>
      <c r="O465" s="42">
        <f t="shared" si="43"/>
        <v>45177</v>
      </c>
      <c r="P465" s="5" t="str">
        <f t="shared" si="44"/>
        <v>Friday</v>
      </c>
      <c r="Q465" s="5">
        <f t="shared" si="45"/>
        <v>12</v>
      </c>
      <c r="R465" s="28">
        <f t="shared" si="46"/>
        <v>0.90476190476190477</v>
      </c>
      <c r="S465" s="29">
        <f t="shared" si="47"/>
        <v>90.476190476190482</v>
      </c>
      <c r="T465" s="5" t="str">
        <f>IF(Delivery_Data[[#This Row],[Delays (min)]]&gt;0,"No","Yes")</f>
        <v>No</v>
      </c>
    </row>
    <row r="466" spans="1:20" ht="15.75" customHeight="1" x14ac:dyDescent="0.3">
      <c r="A466" s="4">
        <v>1465</v>
      </c>
      <c r="B466" s="5" t="s">
        <v>597</v>
      </c>
      <c r="C466" s="6">
        <v>45177.394444444442</v>
      </c>
      <c r="D466" s="5" t="s">
        <v>43</v>
      </c>
      <c r="E466" s="5" t="s">
        <v>410</v>
      </c>
      <c r="F466" s="5" t="s">
        <v>16</v>
      </c>
      <c r="G466" s="5" t="s">
        <v>39</v>
      </c>
      <c r="H466" s="5">
        <v>80</v>
      </c>
      <c r="I466" s="5">
        <v>9</v>
      </c>
      <c r="J466" s="5" t="s">
        <v>18</v>
      </c>
      <c r="K466" s="5" t="s">
        <v>45</v>
      </c>
      <c r="L466" s="5" t="s">
        <v>28</v>
      </c>
      <c r="M466" s="7" t="s">
        <v>21</v>
      </c>
      <c r="N466" s="26">
        <f t="shared" si="42"/>
        <v>0</v>
      </c>
      <c r="O466" s="42">
        <f t="shared" si="43"/>
        <v>45177</v>
      </c>
      <c r="P466" s="5" t="str">
        <f t="shared" si="44"/>
        <v>Friday</v>
      </c>
      <c r="Q466" s="5">
        <f t="shared" si="45"/>
        <v>9</v>
      </c>
      <c r="R466" s="28">
        <f t="shared" si="46"/>
        <v>0.898876404494382</v>
      </c>
      <c r="S466" s="29">
        <f t="shared" si="47"/>
        <v>89.887640449438194</v>
      </c>
      <c r="T466" s="5" t="str">
        <f>IF(Delivery_Data[[#This Row],[Delays (min)]]&gt;0,"No","Yes")</f>
        <v>No</v>
      </c>
    </row>
    <row r="467" spans="1:20" ht="15.75" customHeight="1" x14ac:dyDescent="0.3">
      <c r="A467" s="4">
        <v>1466</v>
      </c>
      <c r="B467" s="5" t="s">
        <v>598</v>
      </c>
      <c r="C467" s="6">
        <v>45173.616666666669</v>
      </c>
      <c r="D467" s="5" t="s">
        <v>43</v>
      </c>
      <c r="E467" s="5" t="s">
        <v>34</v>
      </c>
      <c r="F467" s="5" t="s">
        <v>16</v>
      </c>
      <c r="G467" s="5" t="s">
        <v>25</v>
      </c>
      <c r="H467" s="5">
        <v>178</v>
      </c>
      <c r="I467" s="5">
        <v>2</v>
      </c>
      <c r="J467" s="5" t="s">
        <v>18</v>
      </c>
      <c r="K467" s="5" t="s">
        <v>45</v>
      </c>
      <c r="L467" s="5" t="s">
        <v>28</v>
      </c>
      <c r="M467" s="7" t="s">
        <v>41</v>
      </c>
      <c r="N467" s="26">
        <f t="shared" si="42"/>
        <v>0</v>
      </c>
      <c r="O467" s="42">
        <f t="shared" si="43"/>
        <v>45173</v>
      </c>
      <c r="P467" s="5" t="str">
        <f t="shared" si="44"/>
        <v>Monday</v>
      </c>
      <c r="Q467" s="5">
        <f t="shared" si="45"/>
        <v>14</v>
      </c>
      <c r="R467" s="28">
        <f t="shared" si="46"/>
        <v>0.98888888888888893</v>
      </c>
      <c r="S467" s="29">
        <f t="shared" si="47"/>
        <v>98.888888888888886</v>
      </c>
      <c r="T467" s="5" t="str">
        <f>IF(Delivery_Data[[#This Row],[Delays (min)]]&gt;0,"No","Yes")</f>
        <v>No</v>
      </c>
    </row>
    <row r="468" spans="1:20" ht="15.75" customHeight="1" x14ac:dyDescent="0.3">
      <c r="A468" s="4">
        <v>1467</v>
      </c>
      <c r="B468" s="5" t="s">
        <v>599</v>
      </c>
      <c r="C468" s="6">
        <v>45174.487500000003</v>
      </c>
      <c r="D468" s="5" t="s">
        <v>43</v>
      </c>
      <c r="E468" s="5" t="s">
        <v>179</v>
      </c>
      <c r="F468" s="5" t="s">
        <v>38</v>
      </c>
      <c r="G468" s="5" t="s">
        <v>17</v>
      </c>
      <c r="H468" s="5">
        <v>207</v>
      </c>
      <c r="I468" s="5">
        <v>18</v>
      </c>
      <c r="J468" s="5" t="s">
        <v>26</v>
      </c>
      <c r="K468" s="5" t="s">
        <v>45</v>
      </c>
      <c r="L468" s="5" t="s">
        <v>40</v>
      </c>
      <c r="M468" s="7" t="s">
        <v>46</v>
      </c>
      <c r="N468" s="26">
        <f t="shared" si="42"/>
        <v>1</v>
      </c>
      <c r="O468" s="42">
        <f t="shared" si="43"/>
        <v>45174</v>
      </c>
      <c r="P468" s="5" t="str">
        <f t="shared" si="44"/>
        <v>Tuesday</v>
      </c>
      <c r="Q468" s="5">
        <f t="shared" si="45"/>
        <v>11</v>
      </c>
      <c r="R468" s="28">
        <f t="shared" si="46"/>
        <v>0.92</v>
      </c>
      <c r="S468" s="29">
        <f t="shared" si="47"/>
        <v>92</v>
      </c>
      <c r="T468" s="5" t="str">
        <f>IF(Delivery_Data[[#This Row],[Delays (min)]]&gt;0,"No","Yes")</f>
        <v>No</v>
      </c>
    </row>
    <row r="469" spans="1:20" ht="15.75" customHeight="1" x14ac:dyDescent="0.3">
      <c r="A469" s="4">
        <v>1468</v>
      </c>
      <c r="B469" s="5" t="s">
        <v>600</v>
      </c>
      <c r="C469" s="6">
        <v>45172.438194444447</v>
      </c>
      <c r="D469" s="5" t="s">
        <v>43</v>
      </c>
      <c r="E469" s="5" t="s">
        <v>158</v>
      </c>
      <c r="F469" s="5" t="s">
        <v>38</v>
      </c>
      <c r="G469" s="5" t="s">
        <v>39</v>
      </c>
      <c r="H469" s="5">
        <v>78</v>
      </c>
      <c r="I469" s="5">
        <v>15</v>
      </c>
      <c r="J469" s="5" t="s">
        <v>26</v>
      </c>
      <c r="K469" s="5" t="s">
        <v>19</v>
      </c>
      <c r="L469" s="5" t="s">
        <v>20</v>
      </c>
      <c r="M469" s="7" t="s">
        <v>46</v>
      </c>
      <c r="N469" s="26">
        <f t="shared" si="42"/>
        <v>1</v>
      </c>
      <c r="O469" s="42">
        <f t="shared" si="43"/>
        <v>45172</v>
      </c>
      <c r="P469" s="5" t="str">
        <f t="shared" si="44"/>
        <v>Sunday</v>
      </c>
      <c r="Q469" s="5">
        <f t="shared" si="45"/>
        <v>10</v>
      </c>
      <c r="R469" s="28">
        <f t="shared" si="46"/>
        <v>0.83870967741935487</v>
      </c>
      <c r="S469" s="29">
        <f t="shared" si="47"/>
        <v>83.870967741935488</v>
      </c>
      <c r="T469" s="5" t="str">
        <f>IF(Delivery_Data[[#This Row],[Delays (min)]]&gt;0,"No","Yes")</f>
        <v>No</v>
      </c>
    </row>
    <row r="470" spans="1:20" ht="15.75" customHeight="1" x14ac:dyDescent="0.3">
      <c r="A470" s="4">
        <v>1469</v>
      </c>
      <c r="B470" s="5" t="s">
        <v>601</v>
      </c>
      <c r="C470" s="6">
        <v>45176.341666666667</v>
      </c>
      <c r="D470" s="5" t="s">
        <v>14</v>
      </c>
      <c r="E470" s="5" t="s">
        <v>91</v>
      </c>
      <c r="F470" s="5" t="s">
        <v>16</v>
      </c>
      <c r="G470" s="5" t="s">
        <v>17</v>
      </c>
      <c r="H470" s="5">
        <v>70</v>
      </c>
      <c r="I470" s="5">
        <v>8</v>
      </c>
      <c r="J470" s="5" t="s">
        <v>32</v>
      </c>
      <c r="K470" s="5" t="s">
        <v>49</v>
      </c>
      <c r="L470" s="5" t="s">
        <v>20</v>
      </c>
      <c r="M470" s="7" t="s">
        <v>41</v>
      </c>
      <c r="N470" s="26">
        <f t="shared" si="42"/>
        <v>-1</v>
      </c>
      <c r="O470" s="42">
        <f t="shared" si="43"/>
        <v>45176</v>
      </c>
      <c r="P470" s="5" t="str">
        <f t="shared" si="44"/>
        <v>Thursday</v>
      </c>
      <c r="Q470" s="5">
        <f t="shared" si="45"/>
        <v>8</v>
      </c>
      <c r="R470" s="28">
        <f t="shared" si="46"/>
        <v>0.89743589743589747</v>
      </c>
      <c r="S470" s="29">
        <f t="shared" si="47"/>
        <v>89.743589743589752</v>
      </c>
      <c r="T470" s="5" t="str">
        <f>IF(Delivery_Data[[#This Row],[Delays (min)]]&gt;0,"No","Yes")</f>
        <v>No</v>
      </c>
    </row>
    <row r="471" spans="1:20" ht="15.75" customHeight="1" x14ac:dyDescent="0.3">
      <c r="A471" s="4">
        <v>1470</v>
      </c>
      <c r="B471" s="5" t="s">
        <v>602</v>
      </c>
      <c r="C471" s="6">
        <v>45171.452777777777</v>
      </c>
      <c r="D471" s="5" t="s">
        <v>14</v>
      </c>
      <c r="E471" s="5" t="s">
        <v>277</v>
      </c>
      <c r="F471" s="5" t="s">
        <v>38</v>
      </c>
      <c r="G471" s="5" t="s">
        <v>39</v>
      </c>
      <c r="H471" s="5">
        <v>86</v>
      </c>
      <c r="I471" s="5">
        <v>18</v>
      </c>
      <c r="J471" s="5" t="s">
        <v>26</v>
      </c>
      <c r="K471" s="5" t="s">
        <v>45</v>
      </c>
      <c r="L471" s="5" t="s">
        <v>28</v>
      </c>
      <c r="M471" s="7" t="s">
        <v>41</v>
      </c>
      <c r="N471" s="26">
        <f t="shared" si="42"/>
        <v>1</v>
      </c>
      <c r="O471" s="42">
        <f t="shared" si="43"/>
        <v>45171</v>
      </c>
      <c r="P471" s="5" t="str">
        <f t="shared" si="44"/>
        <v>Saturday</v>
      </c>
      <c r="Q471" s="5">
        <f t="shared" si="45"/>
        <v>10</v>
      </c>
      <c r="R471" s="28">
        <f t="shared" si="46"/>
        <v>0.82692307692307687</v>
      </c>
      <c r="S471" s="29">
        <f t="shared" si="47"/>
        <v>82.692307692307693</v>
      </c>
      <c r="T471" s="5" t="str">
        <f>IF(Delivery_Data[[#This Row],[Delays (min)]]&gt;0,"No","Yes")</f>
        <v>No</v>
      </c>
    </row>
    <row r="472" spans="1:20" ht="15.75" customHeight="1" x14ac:dyDescent="0.3">
      <c r="A472" s="4">
        <v>1471</v>
      </c>
      <c r="B472" s="5" t="s">
        <v>603</v>
      </c>
      <c r="C472" s="6">
        <v>45170.640277777777</v>
      </c>
      <c r="D472" s="5" t="s">
        <v>14</v>
      </c>
      <c r="E472" s="5" t="s">
        <v>272</v>
      </c>
      <c r="F472" s="5" t="s">
        <v>16</v>
      </c>
      <c r="G472" s="5" t="s">
        <v>17</v>
      </c>
      <c r="H472" s="5">
        <v>204</v>
      </c>
      <c r="I472" s="5">
        <v>8</v>
      </c>
      <c r="J472" s="5" t="s">
        <v>26</v>
      </c>
      <c r="K472" s="5" t="s">
        <v>27</v>
      </c>
      <c r="L472" s="5" t="s">
        <v>40</v>
      </c>
      <c r="M472" s="7" t="s">
        <v>21</v>
      </c>
      <c r="N472" s="26">
        <f t="shared" si="42"/>
        <v>1</v>
      </c>
      <c r="O472" s="42">
        <f t="shared" si="43"/>
        <v>45170</v>
      </c>
      <c r="P472" s="5" t="str">
        <f t="shared" si="44"/>
        <v>Friday</v>
      </c>
      <c r="Q472" s="5">
        <f t="shared" si="45"/>
        <v>15</v>
      </c>
      <c r="R472" s="28">
        <f t="shared" si="46"/>
        <v>0.96226415094339623</v>
      </c>
      <c r="S472" s="29">
        <f t="shared" si="47"/>
        <v>96.226415094339629</v>
      </c>
      <c r="T472" s="5" t="str">
        <f>IF(Delivery_Data[[#This Row],[Delays (min)]]&gt;0,"No","Yes")</f>
        <v>No</v>
      </c>
    </row>
    <row r="473" spans="1:20" ht="15.75" customHeight="1" x14ac:dyDescent="0.3">
      <c r="A473" s="4">
        <v>1472</v>
      </c>
      <c r="B473" s="5" t="s">
        <v>604</v>
      </c>
      <c r="C473" s="6">
        <v>45171.668749999997</v>
      </c>
      <c r="D473" s="5" t="s">
        <v>43</v>
      </c>
      <c r="E473" s="5" t="s">
        <v>187</v>
      </c>
      <c r="F473" s="5" t="s">
        <v>38</v>
      </c>
      <c r="G473" s="5" t="s">
        <v>17</v>
      </c>
      <c r="H473" s="5">
        <v>204</v>
      </c>
      <c r="I473" s="5">
        <v>5</v>
      </c>
      <c r="J473" s="5" t="s">
        <v>32</v>
      </c>
      <c r="K473" s="5" t="s">
        <v>35</v>
      </c>
      <c r="L473" s="5" t="s">
        <v>28</v>
      </c>
      <c r="M473" s="7" t="s">
        <v>41</v>
      </c>
      <c r="N473" s="26">
        <f t="shared" si="42"/>
        <v>-1</v>
      </c>
      <c r="O473" s="42">
        <f t="shared" si="43"/>
        <v>45171</v>
      </c>
      <c r="P473" s="5" t="str">
        <f t="shared" si="44"/>
        <v>Saturday</v>
      </c>
      <c r="Q473" s="5">
        <f t="shared" si="45"/>
        <v>16</v>
      </c>
      <c r="R473" s="28">
        <f t="shared" si="46"/>
        <v>0.97607655502392343</v>
      </c>
      <c r="S473" s="29">
        <f t="shared" si="47"/>
        <v>97.607655502392348</v>
      </c>
      <c r="T473" s="5" t="str">
        <f>IF(Delivery_Data[[#This Row],[Delays (min)]]&gt;0,"No","Yes")</f>
        <v>No</v>
      </c>
    </row>
    <row r="474" spans="1:20" ht="15.75" customHeight="1" x14ac:dyDescent="0.3">
      <c r="A474" s="4">
        <v>1473</v>
      </c>
      <c r="B474" s="5" t="s">
        <v>460</v>
      </c>
      <c r="C474" s="6">
        <v>45170.59375</v>
      </c>
      <c r="D474" s="5" t="s">
        <v>43</v>
      </c>
      <c r="E474" s="5" t="s">
        <v>103</v>
      </c>
      <c r="F474" s="5" t="s">
        <v>24</v>
      </c>
      <c r="G474" s="5" t="s">
        <v>56</v>
      </c>
      <c r="H474" s="5">
        <v>104</v>
      </c>
      <c r="I474" s="5">
        <v>19</v>
      </c>
      <c r="J474" s="5" t="s">
        <v>26</v>
      </c>
      <c r="K474" s="5" t="s">
        <v>27</v>
      </c>
      <c r="L474" s="5" t="s">
        <v>20</v>
      </c>
      <c r="M474" s="7" t="s">
        <v>41</v>
      </c>
      <c r="N474" s="26">
        <f t="shared" si="42"/>
        <v>1</v>
      </c>
      <c r="O474" s="42">
        <f t="shared" si="43"/>
        <v>45170</v>
      </c>
      <c r="P474" s="5" t="str">
        <f t="shared" si="44"/>
        <v>Friday</v>
      </c>
      <c r="Q474" s="5">
        <f t="shared" si="45"/>
        <v>14</v>
      </c>
      <c r="R474" s="28">
        <f t="shared" si="46"/>
        <v>0.84552845528455289</v>
      </c>
      <c r="S474" s="29">
        <f t="shared" si="47"/>
        <v>84.552845528455293</v>
      </c>
      <c r="T474" s="5" t="str">
        <f>IF(Delivery_Data[[#This Row],[Delays (min)]]&gt;0,"No","Yes")</f>
        <v>No</v>
      </c>
    </row>
    <row r="475" spans="1:20" ht="15.75" customHeight="1" x14ac:dyDescent="0.3">
      <c r="A475" s="4">
        <v>1474</v>
      </c>
      <c r="B475" s="5" t="s">
        <v>605</v>
      </c>
      <c r="C475" s="6">
        <v>45173.51458333333</v>
      </c>
      <c r="D475" s="5" t="s">
        <v>43</v>
      </c>
      <c r="E475" s="5" t="s">
        <v>55</v>
      </c>
      <c r="F475" s="5" t="s">
        <v>24</v>
      </c>
      <c r="G475" s="5" t="s">
        <v>17</v>
      </c>
      <c r="H475" s="5">
        <v>97</v>
      </c>
      <c r="I475" s="5">
        <v>23</v>
      </c>
      <c r="J475" s="5" t="s">
        <v>32</v>
      </c>
      <c r="K475" s="5" t="s">
        <v>45</v>
      </c>
      <c r="L475" s="5" t="s">
        <v>40</v>
      </c>
      <c r="M475" s="7" t="s">
        <v>46</v>
      </c>
      <c r="N475" s="26">
        <f t="shared" si="42"/>
        <v>-1</v>
      </c>
      <c r="O475" s="42">
        <f t="shared" si="43"/>
        <v>45173</v>
      </c>
      <c r="P475" s="5" t="str">
        <f t="shared" si="44"/>
        <v>Monday</v>
      </c>
      <c r="Q475" s="5">
        <f t="shared" si="45"/>
        <v>12</v>
      </c>
      <c r="R475" s="28">
        <f t="shared" si="46"/>
        <v>0.80833333333333335</v>
      </c>
      <c r="S475" s="29">
        <f t="shared" si="47"/>
        <v>80.833333333333329</v>
      </c>
      <c r="T475" s="5" t="str">
        <f>IF(Delivery_Data[[#This Row],[Delays (min)]]&gt;0,"No","Yes")</f>
        <v>No</v>
      </c>
    </row>
    <row r="476" spans="1:20" ht="15.75" customHeight="1" x14ac:dyDescent="0.3">
      <c r="A476" s="4">
        <v>1475</v>
      </c>
      <c r="B476" s="5" t="s">
        <v>606</v>
      </c>
      <c r="C476" s="6">
        <v>45173.35</v>
      </c>
      <c r="D476" s="5" t="s">
        <v>14</v>
      </c>
      <c r="E476" s="5" t="s">
        <v>73</v>
      </c>
      <c r="F476" s="5" t="s">
        <v>16</v>
      </c>
      <c r="G476" s="5" t="s">
        <v>56</v>
      </c>
      <c r="H476" s="5">
        <v>79</v>
      </c>
      <c r="I476" s="5">
        <v>10</v>
      </c>
      <c r="J476" s="5" t="s">
        <v>18</v>
      </c>
      <c r="K476" s="5" t="s">
        <v>27</v>
      </c>
      <c r="L476" s="5" t="s">
        <v>40</v>
      </c>
      <c r="M476" s="7" t="s">
        <v>21</v>
      </c>
      <c r="N476" s="26">
        <f t="shared" si="42"/>
        <v>0</v>
      </c>
      <c r="O476" s="42">
        <f t="shared" si="43"/>
        <v>45173</v>
      </c>
      <c r="P476" s="5" t="str">
        <f t="shared" si="44"/>
        <v>Monday</v>
      </c>
      <c r="Q476" s="5">
        <f t="shared" si="45"/>
        <v>8</v>
      </c>
      <c r="R476" s="28">
        <f t="shared" si="46"/>
        <v>0.88764044943820219</v>
      </c>
      <c r="S476" s="29">
        <f t="shared" si="47"/>
        <v>88.764044943820224</v>
      </c>
      <c r="T476" s="5" t="str">
        <f>IF(Delivery_Data[[#This Row],[Delays (min)]]&gt;0,"No","Yes")</f>
        <v>No</v>
      </c>
    </row>
    <row r="477" spans="1:20" ht="15.75" customHeight="1" x14ac:dyDescent="0.3">
      <c r="A477" s="4">
        <v>1476</v>
      </c>
      <c r="B477" s="5" t="s">
        <v>607</v>
      </c>
      <c r="C477" s="6">
        <v>45172.573611111111</v>
      </c>
      <c r="D477" s="5" t="s">
        <v>14</v>
      </c>
      <c r="E477" s="5" t="s">
        <v>355</v>
      </c>
      <c r="F477" s="5" t="s">
        <v>16</v>
      </c>
      <c r="G477" s="5" t="s">
        <v>39</v>
      </c>
      <c r="H477" s="5">
        <v>71</v>
      </c>
      <c r="I477" s="5">
        <v>14</v>
      </c>
      <c r="J477" s="5" t="s">
        <v>18</v>
      </c>
      <c r="K477" s="5" t="s">
        <v>27</v>
      </c>
      <c r="L477" s="5" t="s">
        <v>28</v>
      </c>
      <c r="M477" s="7" t="s">
        <v>46</v>
      </c>
      <c r="N477" s="26">
        <f t="shared" si="42"/>
        <v>0</v>
      </c>
      <c r="O477" s="42">
        <f t="shared" si="43"/>
        <v>45172</v>
      </c>
      <c r="P477" s="5" t="str">
        <f t="shared" si="44"/>
        <v>Sunday</v>
      </c>
      <c r="Q477" s="5">
        <f t="shared" si="45"/>
        <v>13</v>
      </c>
      <c r="R477" s="28">
        <f t="shared" si="46"/>
        <v>0.83529411764705885</v>
      </c>
      <c r="S477" s="29">
        <f t="shared" si="47"/>
        <v>83.529411764705884</v>
      </c>
      <c r="T477" s="5" t="str">
        <f>IF(Delivery_Data[[#This Row],[Delays (min)]]&gt;0,"No","Yes")</f>
        <v>No</v>
      </c>
    </row>
    <row r="478" spans="1:20" ht="15.75" customHeight="1" x14ac:dyDescent="0.3">
      <c r="A478" s="4">
        <v>1477</v>
      </c>
      <c r="B478" s="5" t="s">
        <v>608</v>
      </c>
      <c r="C478" s="6">
        <v>45173.527083333334</v>
      </c>
      <c r="D478" s="5" t="s">
        <v>43</v>
      </c>
      <c r="E478" s="5" t="s">
        <v>122</v>
      </c>
      <c r="F478" s="5" t="s">
        <v>38</v>
      </c>
      <c r="G478" s="5" t="s">
        <v>31</v>
      </c>
      <c r="H478" s="5">
        <v>178</v>
      </c>
      <c r="I478" s="5">
        <v>25</v>
      </c>
      <c r="J478" s="5" t="s">
        <v>18</v>
      </c>
      <c r="K478" s="5" t="s">
        <v>19</v>
      </c>
      <c r="L478" s="5" t="s">
        <v>20</v>
      </c>
      <c r="M478" s="7" t="s">
        <v>46</v>
      </c>
      <c r="N478" s="26">
        <f t="shared" si="42"/>
        <v>0</v>
      </c>
      <c r="O478" s="42">
        <f t="shared" si="43"/>
        <v>45173</v>
      </c>
      <c r="P478" s="5" t="str">
        <f t="shared" si="44"/>
        <v>Monday</v>
      </c>
      <c r="Q478" s="5">
        <f t="shared" si="45"/>
        <v>12</v>
      </c>
      <c r="R478" s="28">
        <f t="shared" si="46"/>
        <v>0.87684729064039413</v>
      </c>
      <c r="S478" s="29">
        <f t="shared" si="47"/>
        <v>87.684729064039416</v>
      </c>
      <c r="T478" s="5" t="str">
        <f>IF(Delivery_Data[[#This Row],[Delays (min)]]&gt;0,"No","Yes")</f>
        <v>No</v>
      </c>
    </row>
    <row r="479" spans="1:20" ht="15.75" customHeight="1" x14ac:dyDescent="0.3">
      <c r="A479" s="4">
        <v>1478</v>
      </c>
      <c r="B479" s="5" t="s">
        <v>609</v>
      </c>
      <c r="C479" s="6">
        <v>45173.57916666667</v>
      </c>
      <c r="D479" s="5" t="s">
        <v>14</v>
      </c>
      <c r="E479" s="5" t="s">
        <v>140</v>
      </c>
      <c r="F479" s="5" t="s">
        <v>24</v>
      </c>
      <c r="G479" s="5" t="s">
        <v>31</v>
      </c>
      <c r="H479" s="5">
        <v>121</v>
      </c>
      <c r="I479" s="5">
        <v>3</v>
      </c>
      <c r="J479" s="5" t="s">
        <v>26</v>
      </c>
      <c r="K479" s="5" t="s">
        <v>19</v>
      </c>
      <c r="L479" s="5" t="s">
        <v>28</v>
      </c>
      <c r="M479" s="7" t="s">
        <v>41</v>
      </c>
      <c r="N479" s="26">
        <f t="shared" si="42"/>
        <v>1</v>
      </c>
      <c r="O479" s="42">
        <f t="shared" si="43"/>
        <v>45173</v>
      </c>
      <c r="P479" s="5" t="str">
        <f t="shared" si="44"/>
        <v>Monday</v>
      </c>
      <c r="Q479" s="5">
        <f t="shared" si="45"/>
        <v>13</v>
      </c>
      <c r="R479" s="28">
        <f t="shared" si="46"/>
        <v>0.97580645161290325</v>
      </c>
      <c r="S479" s="29">
        <f t="shared" si="47"/>
        <v>97.58064516129032</v>
      </c>
      <c r="T479" s="5" t="str">
        <f>IF(Delivery_Data[[#This Row],[Delays (min)]]&gt;0,"No","Yes")</f>
        <v>No</v>
      </c>
    </row>
    <row r="480" spans="1:20" ht="15.75" customHeight="1" x14ac:dyDescent="0.3">
      <c r="A480" s="4">
        <v>1479</v>
      </c>
      <c r="B480" s="5" t="s">
        <v>610</v>
      </c>
      <c r="C480" s="6">
        <v>45170.5</v>
      </c>
      <c r="D480" s="5" t="s">
        <v>43</v>
      </c>
      <c r="E480" s="5" t="s">
        <v>143</v>
      </c>
      <c r="F480" s="5" t="s">
        <v>16</v>
      </c>
      <c r="G480" s="5" t="s">
        <v>56</v>
      </c>
      <c r="H480" s="5">
        <v>184</v>
      </c>
      <c r="I480" s="5">
        <v>19</v>
      </c>
      <c r="J480" s="5" t="s">
        <v>18</v>
      </c>
      <c r="K480" s="5" t="s">
        <v>19</v>
      </c>
      <c r="L480" s="5" t="s">
        <v>28</v>
      </c>
      <c r="M480" s="7" t="s">
        <v>21</v>
      </c>
      <c r="N480" s="26">
        <f t="shared" si="42"/>
        <v>0</v>
      </c>
      <c r="O480" s="42">
        <f t="shared" si="43"/>
        <v>45170</v>
      </c>
      <c r="P480" s="5" t="str">
        <f t="shared" si="44"/>
        <v>Friday</v>
      </c>
      <c r="Q480" s="5">
        <f t="shared" si="45"/>
        <v>12</v>
      </c>
      <c r="R480" s="28">
        <f t="shared" si="46"/>
        <v>0.90640394088669951</v>
      </c>
      <c r="S480" s="29">
        <f t="shared" si="47"/>
        <v>90.64039408866995</v>
      </c>
      <c r="T480" s="5" t="str">
        <f>IF(Delivery_Data[[#This Row],[Delays (min)]]&gt;0,"No","Yes")</f>
        <v>No</v>
      </c>
    </row>
    <row r="481" spans="1:20" ht="15.75" customHeight="1" x14ac:dyDescent="0.3">
      <c r="A481" s="4">
        <v>1480</v>
      </c>
      <c r="B481" s="5" t="s">
        <v>611</v>
      </c>
      <c r="C481" s="6">
        <v>45171.397222222222</v>
      </c>
      <c r="D481" s="5" t="s">
        <v>43</v>
      </c>
      <c r="E481" s="5" t="s">
        <v>149</v>
      </c>
      <c r="F481" s="5" t="s">
        <v>24</v>
      </c>
      <c r="G481" s="5" t="s">
        <v>31</v>
      </c>
      <c r="H481" s="5">
        <v>77</v>
      </c>
      <c r="I481" s="5">
        <v>28</v>
      </c>
      <c r="J481" s="5" t="s">
        <v>18</v>
      </c>
      <c r="K481" s="5" t="s">
        <v>19</v>
      </c>
      <c r="L481" s="5" t="s">
        <v>28</v>
      </c>
      <c r="M481" s="7" t="s">
        <v>41</v>
      </c>
      <c r="N481" s="26">
        <f t="shared" si="42"/>
        <v>0</v>
      </c>
      <c r="O481" s="42">
        <f t="shared" si="43"/>
        <v>45171</v>
      </c>
      <c r="P481" s="5" t="str">
        <f t="shared" si="44"/>
        <v>Saturday</v>
      </c>
      <c r="Q481" s="5">
        <f t="shared" si="45"/>
        <v>9</v>
      </c>
      <c r="R481" s="28">
        <f t="shared" si="46"/>
        <v>0.73333333333333328</v>
      </c>
      <c r="S481" s="29">
        <f t="shared" si="47"/>
        <v>73.333333333333329</v>
      </c>
      <c r="T481" s="5" t="str">
        <f>IF(Delivery_Data[[#This Row],[Delays (min)]]&gt;0,"No","Yes")</f>
        <v>No</v>
      </c>
    </row>
    <row r="482" spans="1:20" ht="15.75" customHeight="1" x14ac:dyDescent="0.3">
      <c r="A482" s="4">
        <v>1481</v>
      </c>
      <c r="B482" s="5" t="s">
        <v>612</v>
      </c>
      <c r="C482" s="6">
        <v>45177.602777777778</v>
      </c>
      <c r="D482" s="5" t="s">
        <v>43</v>
      </c>
      <c r="E482" s="5" t="s">
        <v>44</v>
      </c>
      <c r="F482" s="5" t="s">
        <v>16</v>
      </c>
      <c r="G482" s="5" t="s">
        <v>56</v>
      </c>
      <c r="H482" s="5">
        <v>128</v>
      </c>
      <c r="I482" s="5">
        <v>13</v>
      </c>
      <c r="J482" s="5" t="s">
        <v>32</v>
      </c>
      <c r="K482" s="5" t="s">
        <v>45</v>
      </c>
      <c r="L482" s="5" t="s">
        <v>28</v>
      </c>
      <c r="M482" s="7" t="s">
        <v>41</v>
      </c>
      <c r="N482" s="26">
        <f t="shared" si="42"/>
        <v>-1</v>
      </c>
      <c r="O482" s="42">
        <f t="shared" si="43"/>
        <v>45177</v>
      </c>
      <c r="P482" s="5" t="str">
        <f t="shared" si="44"/>
        <v>Friday</v>
      </c>
      <c r="Q482" s="5">
        <f t="shared" si="45"/>
        <v>14</v>
      </c>
      <c r="R482" s="28">
        <f t="shared" si="46"/>
        <v>0.90780141843971629</v>
      </c>
      <c r="S482" s="29">
        <f t="shared" si="47"/>
        <v>90.780141843971634</v>
      </c>
      <c r="T482" s="5" t="str">
        <f>IF(Delivery_Data[[#This Row],[Delays (min)]]&gt;0,"No","Yes")</f>
        <v>No</v>
      </c>
    </row>
    <row r="483" spans="1:20" ht="15.75" customHeight="1" x14ac:dyDescent="0.3">
      <c r="A483" s="4">
        <v>1482</v>
      </c>
      <c r="B483" s="5" t="s">
        <v>613</v>
      </c>
      <c r="C483" s="6">
        <v>45171.679166666669</v>
      </c>
      <c r="D483" s="5" t="s">
        <v>43</v>
      </c>
      <c r="E483" s="5" t="s">
        <v>304</v>
      </c>
      <c r="F483" s="5" t="s">
        <v>16</v>
      </c>
      <c r="G483" s="5" t="s">
        <v>25</v>
      </c>
      <c r="H483" s="5">
        <v>222</v>
      </c>
      <c r="I483" s="5">
        <v>10</v>
      </c>
      <c r="J483" s="5" t="s">
        <v>18</v>
      </c>
      <c r="K483" s="5" t="s">
        <v>45</v>
      </c>
      <c r="L483" s="5" t="s">
        <v>40</v>
      </c>
      <c r="M483" s="7" t="s">
        <v>46</v>
      </c>
      <c r="N483" s="26">
        <f t="shared" si="42"/>
        <v>0</v>
      </c>
      <c r="O483" s="42">
        <f t="shared" si="43"/>
        <v>45171</v>
      </c>
      <c r="P483" s="5" t="str">
        <f t="shared" si="44"/>
        <v>Saturday</v>
      </c>
      <c r="Q483" s="5">
        <f t="shared" si="45"/>
        <v>16</v>
      </c>
      <c r="R483" s="28">
        <f t="shared" si="46"/>
        <v>0.9568965517241379</v>
      </c>
      <c r="S483" s="29">
        <f t="shared" si="47"/>
        <v>95.689655172413794</v>
      </c>
      <c r="T483" s="5" t="str">
        <f>IF(Delivery_Data[[#This Row],[Delays (min)]]&gt;0,"No","Yes")</f>
        <v>No</v>
      </c>
    </row>
    <row r="484" spans="1:20" ht="15.75" customHeight="1" x14ac:dyDescent="0.3">
      <c r="A484" s="4">
        <v>1483</v>
      </c>
      <c r="B484" s="5" t="s">
        <v>614</v>
      </c>
      <c r="C484" s="6">
        <v>45172.598611111112</v>
      </c>
      <c r="D484" s="5" t="s">
        <v>43</v>
      </c>
      <c r="E484" s="5" t="s">
        <v>130</v>
      </c>
      <c r="F484" s="5" t="s">
        <v>38</v>
      </c>
      <c r="G484" s="5" t="s">
        <v>17</v>
      </c>
      <c r="H484" s="5">
        <v>69</v>
      </c>
      <c r="I484" s="5">
        <v>22</v>
      </c>
      <c r="J484" s="5" t="s">
        <v>18</v>
      </c>
      <c r="K484" s="5" t="s">
        <v>45</v>
      </c>
      <c r="L484" s="5" t="s">
        <v>28</v>
      </c>
      <c r="M484" s="7" t="s">
        <v>21</v>
      </c>
      <c r="N484" s="26">
        <f t="shared" si="42"/>
        <v>0</v>
      </c>
      <c r="O484" s="42">
        <f t="shared" si="43"/>
        <v>45172</v>
      </c>
      <c r="P484" s="5" t="str">
        <f t="shared" si="44"/>
        <v>Sunday</v>
      </c>
      <c r="Q484" s="5">
        <f t="shared" si="45"/>
        <v>14</v>
      </c>
      <c r="R484" s="28">
        <f t="shared" si="46"/>
        <v>0.75824175824175821</v>
      </c>
      <c r="S484" s="29">
        <f t="shared" si="47"/>
        <v>75.824175824175825</v>
      </c>
      <c r="T484" s="5" t="str">
        <f>IF(Delivery_Data[[#This Row],[Delays (min)]]&gt;0,"No","Yes")</f>
        <v>No</v>
      </c>
    </row>
    <row r="485" spans="1:20" ht="15.75" customHeight="1" x14ac:dyDescent="0.3">
      <c r="A485" s="4">
        <v>1484</v>
      </c>
      <c r="B485" s="5" t="s">
        <v>615</v>
      </c>
      <c r="C485" s="6">
        <v>45174.511111111111</v>
      </c>
      <c r="D485" s="5" t="s">
        <v>43</v>
      </c>
      <c r="E485" s="5" t="s">
        <v>93</v>
      </c>
      <c r="F485" s="5" t="s">
        <v>38</v>
      </c>
      <c r="G485" s="5" t="s">
        <v>39</v>
      </c>
      <c r="H485" s="5">
        <v>89</v>
      </c>
      <c r="I485" s="5">
        <v>28</v>
      </c>
      <c r="J485" s="5" t="s">
        <v>18</v>
      </c>
      <c r="K485" s="5" t="s">
        <v>27</v>
      </c>
      <c r="L485" s="5" t="s">
        <v>20</v>
      </c>
      <c r="M485" s="7" t="s">
        <v>41</v>
      </c>
      <c r="N485" s="26">
        <f t="shared" si="42"/>
        <v>0</v>
      </c>
      <c r="O485" s="42">
        <f t="shared" si="43"/>
        <v>45174</v>
      </c>
      <c r="P485" s="5" t="str">
        <f t="shared" si="44"/>
        <v>Tuesday</v>
      </c>
      <c r="Q485" s="5">
        <f t="shared" si="45"/>
        <v>12</v>
      </c>
      <c r="R485" s="28">
        <f t="shared" si="46"/>
        <v>0.76068376068376065</v>
      </c>
      <c r="S485" s="29">
        <f t="shared" si="47"/>
        <v>76.068376068376068</v>
      </c>
      <c r="T485" s="5" t="str">
        <f>IF(Delivery_Data[[#This Row],[Delays (min)]]&gt;0,"No","Yes")</f>
        <v>No</v>
      </c>
    </row>
    <row r="486" spans="1:20" ht="15.75" customHeight="1" x14ac:dyDescent="0.3">
      <c r="A486" s="4">
        <v>1485</v>
      </c>
      <c r="B486" s="5" t="s">
        <v>616</v>
      </c>
      <c r="C486" s="6">
        <v>45174.552777777775</v>
      </c>
      <c r="D486" s="5" t="s">
        <v>14</v>
      </c>
      <c r="E486" s="5" t="s">
        <v>53</v>
      </c>
      <c r="F486" s="5" t="s">
        <v>38</v>
      </c>
      <c r="G486" s="5" t="s">
        <v>31</v>
      </c>
      <c r="H486" s="5">
        <v>183</v>
      </c>
      <c r="I486" s="5">
        <v>15</v>
      </c>
      <c r="J486" s="5" t="s">
        <v>26</v>
      </c>
      <c r="K486" s="5" t="s">
        <v>45</v>
      </c>
      <c r="L486" s="5" t="s">
        <v>20</v>
      </c>
      <c r="M486" s="7" t="s">
        <v>46</v>
      </c>
      <c r="N486" s="26">
        <f t="shared" si="42"/>
        <v>1</v>
      </c>
      <c r="O486" s="42">
        <f t="shared" si="43"/>
        <v>45174</v>
      </c>
      <c r="P486" s="5" t="str">
        <f t="shared" si="44"/>
        <v>Tuesday</v>
      </c>
      <c r="Q486" s="5">
        <f t="shared" si="45"/>
        <v>13</v>
      </c>
      <c r="R486" s="28">
        <f t="shared" si="46"/>
        <v>0.9242424242424242</v>
      </c>
      <c r="S486" s="29">
        <f t="shared" si="47"/>
        <v>92.424242424242422</v>
      </c>
      <c r="T486" s="5" t="str">
        <f>IF(Delivery_Data[[#This Row],[Delays (min)]]&gt;0,"No","Yes")</f>
        <v>No</v>
      </c>
    </row>
    <row r="487" spans="1:20" ht="15.75" customHeight="1" x14ac:dyDescent="0.3">
      <c r="A487" s="4">
        <v>1486</v>
      </c>
      <c r="B487" s="5" t="s">
        <v>617</v>
      </c>
      <c r="C487" s="6">
        <v>45173.585416666669</v>
      </c>
      <c r="D487" s="5" t="s">
        <v>43</v>
      </c>
      <c r="E487" s="5" t="s">
        <v>333</v>
      </c>
      <c r="F487" s="5" t="s">
        <v>16</v>
      </c>
      <c r="G487" s="5" t="s">
        <v>31</v>
      </c>
      <c r="H487" s="5">
        <v>116</v>
      </c>
      <c r="I487" s="5">
        <v>11</v>
      </c>
      <c r="J487" s="5" t="s">
        <v>32</v>
      </c>
      <c r="K487" s="5" t="s">
        <v>27</v>
      </c>
      <c r="L487" s="5" t="s">
        <v>28</v>
      </c>
      <c r="M487" s="7" t="s">
        <v>41</v>
      </c>
      <c r="N487" s="26">
        <f t="shared" si="42"/>
        <v>-1</v>
      </c>
      <c r="O487" s="42">
        <f t="shared" si="43"/>
        <v>45173</v>
      </c>
      <c r="P487" s="5" t="str">
        <f t="shared" si="44"/>
        <v>Monday</v>
      </c>
      <c r="Q487" s="5">
        <f t="shared" si="45"/>
        <v>14</v>
      </c>
      <c r="R487" s="28">
        <f t="shared" si="46"/>
        <v>0.91338582677165359</v>
      </c>
      <c r="S487" s="29">
        <f t="shared" si="47"/>
        <v>91.338582677165363</v>
      </c>
      <c r="T487" s="5" t="str">
        <f>IF(Delivery_Data[[#This Row],[Delays (min)]]&gt;0,"No","Yes")</f>
        <v>No</v>
      </c>
    </row>
    <row r="488" spans="1:20" ht="15.75" customHeight="1" x14ac:dyDescent="0.3">
      <c r="A488" s="4">
        <v>1487</v>
      </c>
      <c r="B488" s="5" t="s">
        <v>618</v>
      </c>
      <c r="C488" s="6">
        <v>45175.705555555556</v>
      </c>
      <c r="D488" s="5" t="s">
        <v>14</v>
      </c>
      <c r="E488" s="5" t="s">
        <v>132</v>
      </c>
      <c r="F488" s="5" t="s">
        <v>24</v>
      </c>
      <c r="G488" s="5" t="s">
        <v>56</v>
      </c>
      <c r="H488" s="5">
        <v>186</v>
      </c>
      <c r="I488" s="5">
        <v>4</v>
      </c>
      <c r="J488" s="5" t="s">
        <v>26</v>
      </c>
      <c r="K488" s="5" t="s">
        <v>35</v>
      </c>
      <c r="L488" s="5" t="s">
        <v>28</v>
      </c>
      <c r="M488" s="7" t="s">
        <v>21</v>
      </c>
      <c r="N488" s="26">
        <f t="shared" si="42"/>
        <v>1</v>
      </c>
      <c r="O488" s="42">
        <f t="shared" si="43"/>
        <v>45175</v>
      </c>
      <c r="P488" s="5" t="str">
        <f t="shared" si="44"/>
        <v>Wednesday</v>
      </c>
      <c r="Q488" s="5">
        <f t="shared" si="45"/>
        <v>16</v>
      </c>
      <c r="R488" s="28">
        <f t="shared" si="46"/>
        <v>0.97894736842105268</v>
      </c>
      <c r="S488" s="29">
        <f t="shared" si="47"/>
        <v>97.894736842105274</v>
      </c>
      <c r="T488" s="5" t="str">
        <f>IF(Delivery_Data[[#This Row],[Delays (min)]]&gt;0,"No","Yes")</f>
        <v>No</v>
      </c>
    </row>
    <row r="489" spans="1:20" ht="15.75" customHeight="1" x14ac:dyDescent="0.3">
      <c r="A489" s="4">
        <v>1488</v>
      </c>
      <c r="B489" s="5" t="s">
        <v>619</v>
      </c>
      <c r="C489" s="6">
        <v>45173.395833333336</v>
      </c>
      <c r="D489" s="5" t="s">
        <v>43</v>
      </c>
      <c r="E489" s="5" t="s">
        <v>197</v>
      </c>
      <c r="F489" s="5" t="s">
        <v>24</v>
      </c>
      <c r="G489" s="5" t="s">
        <v>17</v>
      </c>
      <c r="H489" s="5">
        <v>193</v>
      </c>
      <c r="I489" s="5">
        <v>28</v>
      </c>
      <c r="J489" s="5" t="s">
        <v>26</v>
      </c>
      <c r="K489" s="5" t="s">
        <v>49</v>
      </c>
      <c r="L489" s="5" t="s">
        <v>40</v>
      </c>
      <c r="M489" s="7" t="s">
        <v>21</v>
      </c>
      <c r="N489" s="26">
        <f t="shared" si="42"/>
        <v>1</v>
      </c>
      <c r="O489" s="42">
        <f t="shared" si="43"/>
        <v>45173</v>
      </c>
      <c r="P489" s="5" t="str">
        <f t="shared" si="44"/>
        <v>Monday</v>
      </c>
      <c r="Q489" s="5">
        <f t="shared" si="45"/>
        <v>9</v>
      </c>
      <c r="R489" s="28">
        <f t="shared" si="46"/>
        <v>0.87330316742081449</v>
      </c>
      <c r="S489" s="29">
        <f t="shared" si="47"/>
        <v>87.33031674208145</v>
      </c>
      <c r="T489" s="5" t="str">
        <f>IF(Delivery_Data[[#This Row],[Delays (min)]]&gt;0,"No","Yes")</f>
        <v>No</v>
      </c>
    </row>
    <row r="490" spans="1:20" ht="15.75" customHeight="1" x14ac:dyDescent="0.3">
      <c r="A490" s="4">
        <v>1489</v>
      </c>
      <c r="B490" s="5" t="s">
        <v>620</v>
      </c>
      <c r="C490" s="6">
        <v>45171.65625</v>
      </c>
      <c r="D490" s="5" t="s">
        <v>43</v>
      </c>
      <c r="E490" s="5" t="s">
        <v>156</v>
      </c>
      <c r="F490" s="5" t="s">
        <v>38</v>
      </c>
      <c r="G490" s="5" t="s">
        <v>56</v>
      </c>
      <c r="H490" s="5">
        <v>172</v>
      </c>
      <c r="I490" s="5">
        <v>12</v>
      </c>
      <c r="J490" s="5" t="s">
        <v>26</v>
      </c>
      <c r="K490" s="5" t="s">
        <v>19</v>
      </c>
      <c r="L490" s="5" t="s">
        <v>28</v>
      </c>
      <c r="M490" s="7" t="s">
        <v>21</v>
      </c>
      <c r="N490" s="26">
        <f t="shared" si="42"/>
        <v>1</v>
      </c>
      <c r="O490" s="42">
        <f t="shared" si="43"/>
        <v>45171</v>
      </c>
      <c r="P490" s="5" t="str">
        <f t="shared" si="44"/>
        <v>Saturday</v>
      </c>
      <c r="Q490" s="5">
        <f t="shared" si="45"/>
        <v>15</v>
      </c>
      <c r="R490" s="28">
        <f t="shared" si="46"/>
        <v>0.93478260869565222</v>
      </c>
      <c r="S490" s="29">
        <f t="shared" si="47"/>
        <v>93.478260869565219</v>
      </c>
      <c r="T490" s="5" t="str">
        <f>IF(Delivery_Data[[#This Row],[Delays (min)]]&gt;0,"No","Yes")</f>
        <v>No</v>
      </c>
    </row>
    <row r="491" spans="1:20" ht="15.75" customHeight="1" x14ac:dyDescent="0.3">
      <c r="A491" s="4">
        <v>1490</v>
      </c>
      <c r="B491" s="5" t="s">
        <v>621</v>
      </c>
      <c r="C491" s="6">
        <v>45175.361805555556</v>
      </c>
      <c r="D491" s="5" t="s">
        <v>14</v>
      </c>
      <c r="E491" s="5" t="s">
        <v>151</v>
      </c>
      <c r="F491" s="5" t="s">
        <v>38</v>
      </c>
      <c r="G491" s="5" t="s">
        <v>39</v>
      </c>
      <c r="H491" s="5">
        <v>190</v>
      </c>
      <c r="I491" s="5">
        <v>12</v>
      </c>
      <c r="J491" s="5" t="s">
        <v>26</v>
      </c>
      <c r="K491" s="5" t="s">
        <v>35</v>
      </c>
      <c r="L491" s="5" t="s">
        <v>20</v>
      </c>
      <c r="M491" s="7" t="s">
        <v>46</v>
      </c>
      <c r="N491" s="26">
        <f t="shared" si="42"/>
        <v>1</v>
      </c>
      <c r="O491" s="42">
        <f t="shared" si="43"/>
        <v>45175</v>
      </c>
      <c r="P491" s="5" t="str">
        <f t="shared" si="44"/>
        <v>Wednesday</v>
      </c>
      <c r="Q491" s="5">
        <f t="shared" si="45"/>
        <v>8</v>
      </c>
      <c r="R491" s="28">
        <f t="shared" si="46"/>
        <v>0.94059405940594054</v>
      </c>
      <c r="S491" s="29">
        <f t="shared" si="47"/>
        <v>94.059405940594047</v>
      </c>
      <c r="T491" s="5" t="str">
        <f>IF(Delivery_Data[[#This Row],[Delays (min)]]&gt;0,"No","Yes")</f>
        <v>No</v>
      </c>
    </row>
    <row r="492" spans="1:20" ht="15.75" customHeight="1" x14ac:dyDescent="0.3">
      <c r="A492" s="4">
        <v>1491</v>
      </c>
      <c r="B492" s="5" t="s">
        <v>622</v>
      </c>
      <c r="C492" s="6">
        <v>45171.486805555556</v>
      </c>
      <c r="D492" s="5" t="s">
        <v>43</v>
      </c>
      <c r="E492" s="5" t="s">
        <v>249</v>
      </c>
      <c r="F492" s="5" t="s">
        <v>24</v>
      </c>
      <c r="G492" s="5" t="s">
        <v>39</v>
      </c>
      <c r="H492" s="5">
        <v>211</v>
      </c>
      <c r="I492" s="5">
        <v>22</v>
      </c>
      <c r="J492" s="5" t="s">
        <v>32</v>
      </c>
      <c r="K492" s="5" t="s">
        <v>45</v>
      </c>
      <c r="L492" s="5" t="s">
        <v>28</v>
      </c>
      <c r="M492" s="7" t="s">
        <v>21</v>
      </c>
      <c r="N492" s="26">
        <f t="shared" si="42"/>
        <v>-1</v>
      </c>
      <c r="O492" s="42">
        <f t="shared" si="43"/>
        <v>45171</v>
      </c>
      <c r="P492" s="5" t="str">
        <f t="shared" si="44"/>
        <v>Saturday</v>
      </c>
      <c r="Q492" s="5">
        <f t="shared" si="45"/>
        <v>11</v>
      </c>
      <c r="R492" s="28">
        <f t="shared" si="46"/>
        <v>0.90557939914163088</v>
      </c>
      <c r="S492" s="29">
        <f t="shared" si="47"/>
        <v>90.557939914163086</v>
      </c>
      <c r="T492" s="5" t="str">
        <f>IF(Delivery_Data[[#This Row],[Delays (min)]]&gt;0,"No","Yes")</f>
        <v>No</v>
      </c>
    </row>
    <row r="493" spans="1:20" ht="15.75" customHeight="1" x14ac:dyDescent="0.3">
      <c r="A493" s="4">
        <v>1492</v>
      </c>
      <c r="B493" s="5" t="s">
        <v>623</v>
      </c>
      <c r="C493" s="6">
        <v>45177.44027777778</v>
      </c>
      <c r="D493" s="5" t="s">
        <v>43</v>
      </c>
      <c r="E493" s="5" t="s">
        <v>15</v>
      </c>
      <c r="F493" s="5" t="s">
        <v>38</v>
      </c>
      <c r="G493" s="5" t="s">
        <v>56</v>
      </c>
      <c r="H493" s="5">
        <v>235</v>
      </c>
      <c r="I493" s="5">
        <v>1</v>
      </c>
      <c r="J493" s="5" t="s">
        <v>18</v>
      </c>
      <c r="K493" s="5" t="s">
        <v>45</v>
      </c>
      <c r="L493" s="5" t="s">
        <v>28</v>
      </c>
      <c r="M493" s="7" t="s">
        <v>46</v>
      </c>
      <c r="N493" s="26">
        <f t="shared" si="42"/>
        <v>0</v>
      </c>
      <c r="O493" s="42">
        <f t="shared" si="43"/>
        <v>45177</v>
      </c>
      <c r="P493" s="5" t="str">
        <f t="shared" si="44"/>
        <v>Friday</v>
      </c>
      <c r="Q493" s="5">
        <f t="shared" si="45"/>
        <v>10</v>
      </c>
      <c r="R493" s="28">
        <f t="shared" si="46"/>
        <v>0.99576271186440679</v>
      </c>
      <c r="S493" s="29">
        <f t="shared" si="47"/>
        <v>99.576271186440678</v>
      </c>
      <c r="T493" s="5" t="str">
        <f>IF(Delivery_Data[[#This Row],[Delays (min)]]&gt;0,"No","Yes")</f>
        <v>No</v>
      </c>
    </row>
    <row r="494" spans="1:20" ht="15.75" customHeight="1" x14ac:dyDescent="0.3">
      <c r="A494" s="4">
        <v>1493</v>
      </c>
      <c r="B494" s="5" t="s">
        <v>624</v>
      </c>
      <c r="C494" s="6">
        <v>45174.688888888886</v>
      </c>
      <c r="D494" s="5" t="s">
        <v>14</v>
      </c>
      <c r="E494" s="5" t="s">
        <v>109</v>
      </c>
      <c r="F494" s="5" t="s">
        <v>16</v>
      </c>
      <c r="G494" s="5" t="s">
        <v>39</v>
      </c>
      <c r="H494" s="5">
        <v>218</v>
      </c>
      <c r="I494" s="5">
        <v>4</v>
      </c>
      <c r="J494" s="5" t="s">
        <v>26</v>
      </c>
      <c r="K494" s="5" t="s">
        <v>35</v>
      </c>
      <c r="L494" s="5" t="s">
        <v>28</v>
      </c>
      <c r="M494" s="7" t="s">
        <v>41</v>
      </c>
      <c r="N494" s="26">
        <f t="shared" si="42"/>
        <v>1</v>
      </c>
      <c r="O494" s="42">
        <f t="shared" si="43"/>
        <v>45174</v>
      </c>
      <c r="P494" s="5" t="str">
        <f t="shared" si="44"/>
        <v>Tuesday</v>
      </c>
      <c r="Q494" s="5">
        <f t="shared" si="45"/>
        <v>16</v>
      </c>
      <c r="R494" s="28">
        <f t="shared" si="46"/>
        <v>0.98198198198198194</v>
      </c>
      <c r="S494" s="29">
        <f t="shared" si="47"/>
        <v>98.198198198198199</v>
      </c>
      <c r="T494" s="5" t="str">
        <f>IF(Delivery_Data[[#This Row],[Delays (min)]]&gt;0,"No","Yes")</f>
        <v>No</v>
      </c>
    </row>
    <row r="495" spans="1:20" ht="15.75" customHeight="1" x14ac:dyDescent="0.3">
      <c r="A495" s="4">
        <v>1494</v>
      </c>
      <c r="B495" s="5" t="s">
        <v>625</v>
      </c>
      <c r="C495" s="6">
        <v>45176.699305555558</v>
      </c>
      <c r="D495" s="5" t="s">
        <v>43</v>
      </c>
      <c r="E495" s="5" t="s">
        <v>23</v>
      </c>
      <c r="F495" s="5" t="s">
        <v>16</v>
      </c>
      <c r="G495" s="5" t="s">
        <v>39</v>
      </c>
      <c r="H495" s="5">
        <v>67</v>
      </c>
      <c r="I495" s="5">
        <v>24</v>
      </c>
      <c r="J495" s="5" t="s">
        <v>18</v>
      </c>
      <c r="K495" s="5" t="s">
        <v>19</v>
      </c>
      <c r="L495" s="5" t="s">
        <v>20</v>
      </c>
      <c r="M495" s="7" t="s">
        <v>41</v>
      </c>
      <c r="N495" s="26">
        <f t="shared" si="42"/>
        <v>0</v>
      </c>
      <c r="O495" s="42">
        <f t="shared" si="43"/>
        <v>45176</v>
      </c>
      <c r="P495" s="5" t="str">
        <f t="shared" si="44"/>
        <v>Thursday</v>
      </c>
      <c r="Q495" s="5">
        <f t="shared" si="45"/>
        <v>16</v>
      </c>
      <c r="R495" s="28">
        <f t="shared" si="46"/>
        <v>0.73626373626373631</v>
      </c>
      <c r="S495" s="29">
        <f t="shared" si="47"/>
        <v>73.626373626373635</v>
      </c>
      <c r="T495" s="5" t="str">
        <f>IF(Delivery_Data[[#This Row],[Delays (min)]]&gt;0,"No","Yes")</f>
        <v>No</v>
      </c>
    </row>
    <row r="496" spans="1:20" ht="15.75" customHeight="1" x14ac:dyDescent="0.3">
      <c r="A496" s="4">
        <v>1495</v>
      </c>
      <c r="B496" s="5" t="s">
        <v>626</v>
      </c>
      <c r="C496" s="6">
        <v>45172.609027777777</v>
      </c>
      <c r="D496" s="5" t="s">
        <v>43</v>
      </c>
      <c r="E496" s="5" t="s">
        <v>143</v>
      </c>
      <c r="F496" s="5" t="s">
        <v>24</v>
      </c>
      <c r="G496" s="5" t="s">
        <v>25</v>
      </c>
      <c r="H496" s="5">
        <v>118</v>
      </c>
      <c r="I496" s="5">
        <v>29</v>
      </c>
      <c r="J496" s="5" t="s">
        <v>18</v>
      </c>
      <c r="K496" s="5" t="s">
        <v>19</v>
      </c>
      <c r="L496" s="5" t="s">
        <v>40</v>
      </c>
      <c r="M496" s="7" t="s">
        <v>41</v>
      </c>
      <c r="N496" s="26">
        <f t="shared" si="42"/>
        <v>0</v>
      </c>
      <c r="O496" s="42">
        <f t="shared" si="43"/>
        <v>45172</v>
      </c>
      <c r="P496" s="5" t="str">
        <f t="shared" si="44"/>
        <v>Sunday</v>
      </c>
      <c r="Q496" s="5">
        <f t="shared" si="45"/>
        <v>14</v>
      </c>
      <c r="R496" s="28">
        <f t="shared" si="46"/>
        <v>0.80272108843537415</v>
      </c>
      <c r="S496" s="29">
        <f t="shared" si="47"/>
        <v>80.27210884353741</v>
      </c>
      <c r="T496" s="5" t="str">
        <f>IF(Delivery_Data[[#This Row],[Delays (min)]]&gt;0,"No","Yes")</f>
        <v>No</v>
      </c>
    </row>
    <row r="497" spans="1:20" ht="15.75" customHeight="1" x14ac:dyDescent="0.3">
      <c r="A497" s="4">
        <v>1496</v>
      </c>
      <c r="B497" s="5" t="s">
        <v>627</v>
      </c>
      <c r="C497" s="6">
        <v>45175.34652777778</v>
      </c>
      <c r="D497" s="5" t="s">
        <v>43</v>
      </c>
      <c r="E497" s="5" t="s">
        <v>220</v>
      </c>
      <c r="F497" s="5" t="s">
        <v>16</v>
      </c>
      <c r="G497" s="5" t="s">
        <v>17</v>
      </c>
      <c r="H497" s="5">
        <v>231</v>
      </c>
      <c r="I497" s="5">
        <v>10</v>
      </c>
      <c r="J497" s="5" t="s">
        <v>18</v>
      </c>
      <c r="K497" s="5" t="s">
        <v>45</v>
      </c>
      <c r="L497" s="5" t="s">
        <v>28</v>
      </c>
      <c r="M497" s="7" t="s">
        <v>46</v>
      </c>
      <c r="N497" s="26">
        <f t="shared" si="42"/>
        <v>0</v>
      </c>
      <c r="O497" s="42">
        <f t="shared" si="43"/>
        <v>45175</v>
      </c>
      <c r="P497" s="5" t="str">
        <f t="shared" si="44"/>
        <v>Wednesday</v>
      </c>
      <c r="Q497" s="5">
        <f t="shared" si="45"/>
        <v>8</v>
      </c>
      <c r="R497" s="28">
        <f t="shared" si="46"/>
        <v>0.95850622406639008</v>
      </c>
      <c r="S497" s="29">
        <f t="shared" si="47"/>
        <v>95.850622406639005</v>
      </c>
      <c r="T497" s="5" t="str">
        <f>IF(Delivery_Data[[#This Row],[Delays (min)]]&gt;0,"No","Yes")</f>
        <v>No</v>
      </c>
    </row>
    <row r="498" spans="1:20" ht="15.75" customHeight="1" x14ac:dyDescent="0.3">
      <c r="A498" s="4">
        <v>1497</v>
      </c>
      <c r="B498" s="5" t="s">
        <v>628</v>
      </c>
      <c r="C498" s="6">
        <v>45172.650694444441</v>
      </c>
      <c r="D498" s="5" t="s">
        <v>14</v>
      </c>
      <c r="E498" s="5" t="s">
        <v>162</v>
      </c>
      <c r="F498" s="5" t="s">
        <v>16</v>
      </c>
      <c r="G498" s="5" t="s">
        <v>31</v>
      </c>
      <c r="H498" s="5">
        <v>182</v>
      </c>
      <c r="I498" s="5">
        <v>14</v>
      </c>
      <c r="J498" s="5" t="s">
        <v>18</v>
      </c>
      <c r="K498" s="5" t="s">
        <v>35</v>
      </c>
      <c r="L498" s="5" t="s">
        <v>28</v>
      </c>
      <c r="M498" s="7" t="s">
        <v>46</v>
      </c>
      <c r="N498" s="26">
        <f t="shared" si="42"/>
        <v>0</v>
      </c>
      <c r="O498" s="42">
        <f t="shared" si="43"/>
        <v>45172</v>
      </c>
      <c r="P498" s="5" t="str">
        <f t="shared" si="44"/>
        <v>Sunday</v>
      </c>
      <c r="Q498" s="5">
        <f t="shared" si="45"/>
        <v>15</v>
      </c>
      <c r="R498" s="28">
        <f t="shared" si="46"/>
        <v>0.9285714285714286</v>
      </c>
      <c r="S498" s="29">
        <f t="shared" si="47"/>
        <v>92.857142857142861</v>
      </c>
      <c r="T498" s="5" t="str">
        <f>IF(Delivery_Data[[#This Row],[Delays (min)]]&gt;0,"No","Yes")</f>
        <v>No</v>
      </c>
    </row>
    <row r="499" spans="1:20" ht="15.75" customHeight="1" x14ac:dyDescent="0.3">
      <c r="A499" s="4">
        <v>1498</v>
      </c>
      <c r="B499" s="5" t="s">
        <v>629</v>
      </c>
      <c r="C499" s="6">
        <v>45174.629166666666</v>
      </c>
      <c r="D499" s="5" t="s">
        <v>14</v>
      </c>
      <c r="E499" s="5" t="s">
        <v>263</v>
      </c>
      <c r="F499" s="5" t="s">
        <v>16</v>
      </c>
      <c r="G499" s="5" t="s">
        <v>56</v>
      </c>
      <c r="H499" s="5">
        <v>181</v>
      </c>
      <c r="I499" s="5">
        <v>2</v>
      </c>
      <c r="J499" s="5" t="s">
        <v>32</v>
      </c>
      <c r="K499" s="5" t="s">
        <v>27</v>
      </c>
      <c r="L499" s="5" t="s">
        <v>40</v>
      </c>
      <c r="M499" s="7" t="s">
        <v>46</v>
      </c>
      <c r="N499" s="26">
        <f t="shared" si="42"/>
        <v>-1</v>
      </c>
      <c r="O499" s="42">
        <f t="shared" si="43"/>
        <v>45174</v>
      </c>
      <c r="P499" s="5" t="str">
        <f t="shared" si="44"/>
        <v>Tuesday</v>
      </c>
      <c r="Q499" s="5">
        <f t="shared" si="45"/>
        <v>15</v>
      </c>
      <c r="R499" s="28">
        <f t="shared" si="46"/>
        <v>0.98907103825136611</v>
      </c>
      <c r="S499" s="29">
        <f t="shared" si="47"/>
        <v>98.907103825136616</v>
      </c>
      <c r="T499" s="5" t="str">
        <f>IF(Delivery_Data[[#This Row],[Delays (min)]]&gt;0,"No","Yes")</f>
        <v>No</v>
      </c>
    </row>
    <row r="500" spans="1:20" ht="15.75" customHeight="1" x14ac:dyDescent="0.3">
      <c r="A500" s="4">
        <v>1499</v>
      </c>
      <c r="B500" s="5" t="s">
        <v>630</v>
      </c>
      <c r="C500" s="6">
        <v>45172.654861111114</v>
      </c>
      <c r="D500" s="5" t="s">
        <v>14</v>
      </c>
      <c r="E500" s="5" t="s">
        <v>185</v>
      </c>
      <c r="F500" s="5" t="s">
        <v>16</v>
      </c>
      <c r="G500" s="5" t="s">
        <v>17</v>
      </c>
      <c r="H500" s="5">
        <v>90</v>
      </c>
      <c r="I500" s="5">
        <v>23</v>
      </c>
      <c r="J500" s="5" t="s">
        <v>18</v>
      </c>
      <c r="K500" s="5" t="s">
        <v>19</v>
      </c>
      <c r="L500" s="5" t="s">
        <v>40</v>
      </c>
      <c r="M500" s="7" t="s">
        <v>41</v>
      </c>
      <c r="N500" s="26">
        <f t="shared" si="42"/>
        <v>0</v>
      </c>
      <c r="O500" s="42">
        <f t="shared" si="43"/>
        <v>45172</v>
      </c>
      <c r="P500" s="5" t="str">
        <f t="shared" si="44"/>
        <v>Sunday</v>
      </c>
      <c r="Q500" s="5">
        <f t="shared" si="45"/>
        <v>15</v>
      </c>
      <c r="R500" s="28">
        <f t="shared" si="46"/>
        <v>0.79646017699115046</v>
      </c>
      <c r="S500" s="29">
        <f t="shared" si="47"/>
        <v>79.646017699115049</v>
      </c>
      <c r="T500" s="5" t="str">
        <f>IF(Delivery_Data[[#This Row],[Delays (min)]]&gt;0,"No","Yes")</f>
        <v>No</v>
      </c>
    </row>
    <row r="501" spans="1:20" ht="15.75" customHeight="1" x14ac:dyDescent="0.3">
      <c r="A501" s="4">
        <v>1500</v>
      </c>
      <c r="B501" s="5" t="s">
        <v>631</v>
      </c>
      <c r="C501" s="6">
        <v>45173.51666666667</v>
      </c>
      <c r="D501" s="5" t="s">
        <v>43</v>
      </c>
      <c r="E501" s="5" t="s">
        <v>122</v>
      </c>
      <c r="F501" s="5" t="s">
        <v>16</v>
      </c>
      <c r="G501" s="5" t="s">
        <v>56</v>
      </c>
      <c r="H501" s="5">
        <v>85</v>
      </c>
      <c r="I501" s="5">
        <v>7</v>
      </c>
      <c r="J501" s="5" t="s">
        <v>26</v>
      </c>
      <c r="K501" s="5" t="s">
        <v>49</v>
      </c>
      <c r="L501" s="5" t="s">
        <v>20</v>
      </c>
      <c r="M501" s="7" t="s">
        <v>21</v>
      </c>
      <c r="N501" s="26">
        <f t="shared" si="42"/>
        <v>1</v>
      </c>
      <c r="O501" s="42">
        <f t="shared" si="43"/>
        <v>45173</v>
      </c>
      <c r="P501" s="5" t="str">
        <f t="shared" si="44"/>
        <v>Monday</v>
      </c>
      <c r="Q501" s="5">
        <f t="shared" si="45"/>
        <v>12</v>
      </c>
      <c r="R501" s="28">
        <f t="shared" si="46"/>
        <v>0.92391304347826086</v>
      </c>
      <c r="S501" s="29">
        <f t="shared" si="47"/>
        <v>92.391304347826093</v>
      </c>
      <c r="T501" s="5" t="str">
        <f>IF(Delivery_Data[[#This Row],[Delays (min)]]&gt;0,"No","Yes")</f>
        <v>No</v>
      </c>
    </row>
    <row r="502" spans="1:20" ht="15.75" customHeight="1" x14ac:dyDescent="0.3">
      <c r="A502" s="4">
        <v>1501</v>
      </c>
      <c r="B502" s="5" t="s">
        <v>632</v>
      </c>
      <c r="C502" s="6">
        <v>45171.368750000001</v>
      </c>
      <c r="D502" s="5" t="s">
        <v>43</v>
      </c>
      <c r="E502" s="5" t="s">
        <v>468</v>
      </c>
      <c r="F502" s="5" t="s">
        <v>38</v>
      </c>
      <c r="G502" s="5" t="s">
        <v>56</v>
      </c>
      <c r="H502" s="5">
        <v>197</v>
      </c>
      <c r="I502" s="5">
        <v>19</v>
      </c>
      <c r="J502" s="5" t="s">
        <v>32</v>
      </c>
      <c r="K502" s="5" t="s">
        <v>35</v>
      </c>
      <c r="L502" s="5" t="s">
        <v>28</v>
      </c>
      <c r="M502" s="7" t="s">
        <v>46</v>
      </c>
      <c r="N502" s="26">
        <f t="shared" si="42"/>
        <v>-1</v>
      </c>
      <c r="O502" s="42">
        <f t="shared" si="43"/>
        <v>45171</v>
      </c>
      <c r="P502" s="5" t="str">
        <f t="shared" si="44"/>
        <v>Saturday</v>
      </c>
      <c r="Q502" s="5">
        <f t="shared" si="45"/>
        <v>8</v>
      </c>
      <c r="R502" s="28">
        <f t="shared" si="46"/>
        <v>0.91203703703703709</v>
      </c>
      <c r="S502" s="29">
        <f t="shared" si="47"/>
        <v>91.203703703703709</v>
      </c>
      <c r="T502" s="5" t="str">
        <f>IF(Delivery_Data[[#This Row],[Delays (min)]]&gt;0,"No","Yes")</f>
        <v>No</v>
      </c>
    </row>
    <row r="503" spans="1:20" ht="15.75" customHeight="1" x14ac:dyDescent="0.3">
      <c r="A503" s="4">
        <v>1502</v>
      </c>
      <c r="B503" s="5" t="s">
        <v>633</v>
      </c>
      <c r="C503" s="6">
        <v>45176.699305555558</v>
      </c>
      <c r="D503" s="5" t="s">
        <v>43</v>
      </c>
      <c r="E503" s="5" t="s">
        <v>193</v>
      </c>
      <c r="F503" s="5" t="s">
        <v>24</v>
      </c>
      <c r="G503" s="5" t="s">
        <v>56</v>
      </c>
      <c r="H503" s="5">
        <v>125</v>
      </c>
      <c r="I503" s="5">
        <v>16</v>
      </c>
      <c r="J503" s="5" t="s">
        <v>32</v>
      </c>
      <c r="K503" s="5" t="s">
        <v>35</v>
      </c>
      <c r="L503" s="5" t="s">
        <v>40</v>
      </c>
      <c r="M503" s="7" t="s">
        <v>21</v>
      </c>
      <c r="N503" s="26">
        <f t="shared" si="42"/>
        <v>-1</v>
      </c>
      <c r="O503" s="42">
        <f t="shared" si="43"/>
        <v>45176</v>
      </c>
      <c r="P503" s="5" t="str">
        <f t="shared" si="44"/>
        <v>Thursday</v>
      </c>
      <c r="Q503" s="5">
        <f t="shared" si="45"/>
        <v>16</v>
      </c>
      <c r="R503" s="28">
        <f t="shared" si="46"/>
        <v>0.88652482269503541</v>
      </c>
      <c r="S503" s="29">
        <f t="shared" si="47"/>
        <v>88.652482269503537</v>
      </c>
      <c r="T503" s="5" t="str">
        <f>IF(Delivery_Data[[#This Row],[Delays (min)]]&gt;0,"No","Yes")</f>
        <v>No</v>
      </c>
    </row>
    <row r="504" spans="1:20" ht="15.75" customHeight="1" x14ac:dyDescent="0.3">
      <c r="A504" s="4">
        <v>1503</v>
      </c>
      <c r="B504" s="5" t="s">
        <v>634</v>
      </c>
      <c r="C504" s="6">
        <v>45174.507638888892</v>
      </c>
      <c r="D504" s="5" t="s">
        <v>14</v>
      </c>
      <c r="E504" s="5" t="s">
        <v>154</v>
      </c>
      <c r="F504" s="5" t="s">
        <v>16</v>
      </c>
      <c r="G504" s="5" t="s">
        <v>39</v>
      </c>
      <c r="H504" s="5">
        <v>122</v>
      </c>
      <c r="I504" s="5">
        <v>1</v>
      </c>
      <c r="J504" s="5" t="s">
        <v>18</v>
      </c>
      <c r="K504" s="5" t="s">
        <v>45</v>
      </c>
      <c r="L504" s="5" t="s">
        <v>20</v>
      </c>
      <c r="M504" s="7" t="s">
        <v>41</v>
      </c>
      <c r="N504" s="26">
        <f t="shared" si="42"/>
        <v>0</v>
      </c>
      <c r="O504" s="42">
        <f t="shared" si="43"/>
        <v>45174</v>
      </c>
      <c r="P504" s="5" t="str">
        <f t="shared" si="44"/>
        <v>Tuesday</v>
      </c>
      <c r="Q504" s="5">
        <f t="shared" si="45"/>
        <v>12</v>
      </c>
      <c r="R504" s="28">
        <f t="shared" si="46"/>
        <v>0.99186991869918695</v>
      </c>
      <c r="S504" s="29">
        <f t="shared" si="47"/>
        <v>99.1869918699187</v>
      </c>
      <c r="T504" s="5" t="str">
        <f>IF(Delivery_Data[[#This Row],[Delays (min)]]&gt;0,"No","Yes")</f>
        <v>No</v>
      </c>
    </row>
    <row r="505" spans="1:20" ht="15.75" customHeight="1" x14ac:dyDescent="0.3">
      <c r="A505" s="4">
        <v>1504</v>
      </c>
      <c r="B505" s="5" t="s">
        <v>635</v>
      </c>
      <c r="C505" s="6">
        <v>45173.456250000003</v>
      </c>
      <c r="D505" s="5" t="s">
        <v>43</v>
      </c>
      <c r="E505" s="5" t="s">
        <v>171</v>
      </c>
      <c r="F505" s="5" t="s">
        <v>24</v>
      </c>
      <c r="G505" s="5" t="s">
        <v>25</v>
      </c>
      <c r="H505" s="5">
        <v>75</v>
      </c>
      <c r="I505" s="5">
        <v>28</v>
      </c>
      <c r="J505" s="5" t="s">
        <v>32</v>
      </c>
      <c r="K505" s="5" t="s">
        <v>45</v>
      </c>
      <c r="L505" s="5" t="s">
        <v>40</v>
      </c>
      <c r="M505" s="7" t="s">
        <v>41</v>
      </c>
      <c r="N505" s="26">
        <f t="shared" si="42"/>
        <v>-1</v>
      </c>
      <c r="O505" s="42">
        <f t="shared" si="43"/>
        <v>45173</v>
      </c>
      <c r="P505" s="5" t="str">
        <f t="shared" si="44"/>
        <v>Monday</v>
      </c>
      <c r="Q505" s="5">
        <f t="shared" si="45"/>
        <v>10</v>
      </c>
      <c r="R505" s="28">
        <f t="shared" si="46"/>
        <v>0.72815533980582525</v>
      </c>
      <c r="S505" s="29">
        <f t="shared" si="47"/>
        <v>72.815533980582529</v>
      </c>
      <c r="T505" s="5" t="str">
        <f>IF(Delivery_Data[[#This Row],[Delays (min)]]&gt;0,"No","Yes")</f>
        <v>No</v>
      </c>
    </row>
    <row r="506" spans="1:20" ht="15.75" customHeight="1" x14ac:dyDescent="0.3">
      <c r="A506" s="4">
        <v>1505</v>
      </c>
      <c r="B506" s="5" t="s">
        <v>636</v>
      </c>
      <c r="C506" s="6">
        <v>45173.695138888892</v>
      </c>
      <c r="D506" s="5" t="s">
        <v>14</v>
      </c>
      <c r="E506" s="5" t="s">
        <v>85</v>
      </c>
      <c r="F506" s="5" t="s">
        <v>38</v>
      </c>
      <c r="G506" s="5" t="s">
        <v>25</v>
      </c>
      <c r="H506" s="5">
        <v>77</v>
      </c>
      <c r="I506" s="5">
        <v>5</v>
      </c>
      <c r="J506" s="5" t="s">
        <v>26</v>
      </c>
      <c r="K506" s="5" t="s">
        <v>35</v>
      </c>
      <c r="L506" s="5" t="s">
        <v>20</v>
      </c>
      <c r="M506" s="7" t="s">
        <v>41</v>
      </c>
      <c r="N506" s="26">
        <f t="shared" si="42"/>
        <v>1</v>
      </c>
      <c r="O506" s="42">
        <f t="shared" si="43"/>
        <v>45173</v>
      </c>
      <c r="P506" s="5" t="str">
        <f t="shared" si="44"/>
        <v>Monday</v>
      </c>
      <c r="Q506" s="5">
        <f t="shared" si="45"/>
        <v>16</v>
      </c>
      <c r="R506" s="28">
        <f t="shared" si="46"/>
        <v>0.93902439024390238</v>
      </c>
      <c r="S506" s="29">
        <f t="shared" si="47"/>
        <v>93.902439024390233</v>
      </c>
      <c r="T506" s="5" t="str">
        <f>IF(Delivery_Data[[#This Row],[Delays (min)]]&gt;0,"No","Yes")</f>
        <v>No</v>
      </c>
    </row>
    <row r="507" spans="1:20" ht="15.75" customHeight="1" x14ac:dyDescent="0.3">
      <c r="A507" s="4">
        <v>1506</v>
      </c>
      <c r="B507" s="5" t="s">
        <v>637</v>
      </c>
      <c r="C507" s="6">
        <v>45173.631944444445</v>
      </c>
      <c r="D507" s="5" t="s">
        <v>14</v>
      </c>
      <c r="E507" s="5" t="s">
        <v>128</v>
      </c>
      <c r="F507" s="5" t="s">
        <v>16</v>
      </c>
      <c r="G507" s="5" t="s">
        <v>17</v>
      </c>
      <c r="H507" s="5">
        <v>74</v>
      </c>
      <c r="I507" s="5">
        <v>28</v>
      </c>
      <c r="J507" s="5" t="s">
        <v>32</v>
      </c>
      <c r="K507" s="5" t="s">
        <v>19</v>
      </c>
      <c r="L507" s="5" t="s">
        <v>20</v>
      </c>
      <c r="M507" s="7" t="s">
        <v>41</v>
      </c>
      <c r="N507" s="26">
        <f t="shared" si="42"/>
        <v>-1</v>
      </c>
      <c r="O507" s="42">
        <f t="shared" si="43"/>
        <v>45173</v>
      </c>
      <c r="P507" s="5" t="str">
        <f t="shared" si="44"/>
        <v>Monday</v>
      </c>
      <c r="Q507" s="5">
        <f t="shared" si="45"/>
        <v>15</v>
      </c>
      <c r="R507" s="28">
        <f t="shared" si="46"/>
        <v>0.72549019607843135</v>
      </c>
      <c r="S507" s="29">
        <f t="shared" si="47"/>
        <v>72.549019607843135</v>
      </c>
      <c r="T507" s="5" t="str">
        <f>IF(Delivery_Data[[#This Row],[Delays (min)]]&gt;0,"No","Yes")</f>
        <v>No</v>
      </c>
    </row>
    <row r="508" spans="1:20" ht="15.75" customHeight="1" x14ac:dyDescent="0.3">
      <c r="A508" s="4">
        <v>1507</v>
      </c>
      <c r="B508" s="5" t="s">
        <v>541</v>
      </c>
      <c r="C508" s="6">
        <v>45171.48333333333</v>
      </c>
      <c r="D508" s="5" t="s">
        <v>43</v>
      </c>
      <c r="E508" s="5" t="s">
        <v>64</v>
      </c>
      <c r="F508" s="5" t="s">
        <v>24</v>
      </c>
      <c r="G508" s="5" t="s">
        <v>56</v>
      </c>
      <c r="H508" s="5">
        <v>221</v>
      </c>
      <c r="I508" s="5">
        <v>24</v>
      </c>
      <c r="J508" s="5" t="s">
        <v>26</v>
      </c>
      <c r="K508" s="5" t="s">
        <v>19</v>
      </c>
      <c r="L508" s="5" t="s">
        <v>28</v>
      </c>
      <c r="M508" s="7" t="s">
        <v>41</v>
      </c>
      <c r="N508" s="26">
        <f t="shared" si="42"/>
        <v>1</v>
      </c>
      <c r="O508" s="42">
        <f t="shared" si="43"/>
        <v>45171</v>
      </c>
      <c r="P508" s="5" t="str">
        <f t="shared" si="44"/>
        <v>Saturday</v>
      </c>
      <c r="Q508" s="5">
        <f t="shared" si="45"/>
        <v>11</v>
      </c>
      <c r="R508" s="28">
        <f t="shared" si="46"/>
        <v>0.90204081632653066</v>
      </c>
      <c r="S508" s="29">
        <f t="shared" si="47"/>
        <v>90.204081632653072</v>
      </c>
      <c r="T508" s="5" t="str">
        <f>IF(Delivery_Data[[#This Row],[Delays (min)]]&gt;0,"No","Yes")</f>
        <v>No</v>
      </c>
    </row>
    <row r="509" spans="1:20" ht="15.75" customHeight="1" x14ac:dyDescent="0.3">
      <c r="A509" s="4">
        <v>1508</v>
      </c>
      <c r="B509" s="5" t="s">
        <v>638</v>
      </c>
      <c r="C509" s="6">
        <v>45177.421527777777</v>
      </c>
      <c r="D509" s="5" t="s">
        <v>43</v>
      </c>
      <c r="E509" s="5" t="s">
        <v>89</v>
      </c>
      <c r="F509" s="5" t="s">
        <v>16</v>
      </c>
      <c r="G509" s="5" t="s">
        <v>39</v>
      </c>
      <c r="H509" s="5">
        <v>69</v>
      </c>
      <c r="I509" s="5">
        <v>9</v>
      </c>
      <c r="J509" s="5" t="s">
        <v>32</v>
      </c>
      <c r="K509" s="5" t="s">
        <v>35</v>
      </c>
      <c r="L509" s="5" t="s">
        <v>28</v>
      </c>
      <c r="M509" s="7" t="s">
        <v>46</v>
      </c>
      <c r="N509" s="26">
        <f t="shared" si="42"/>
        <v>-1</v>
      </c>
      <c r="O509" s="42">
        <f t="shared" si="43"/>
        <v>45177</v>
      </c>
      <c r="P509" s="5" t="str">
        <f t="shared" si="44"/>
        <v>Friday</v>
      </c>
      <c r="Q509" s="5">
        <f t="shared" si="45"/>
        <v>10</v>
      </c>
      <c r="R509" s="28">
        <f t="shared" si="46"/>
        <v>0.88461538461538458</v>
      </c>
      <c r="S509" s="29">
        <f t="shared" si="47"/>
        <v>88.461538461538453</v>
      </c>
      <c r="T509" s="5" t="str">
        <f>IF(Delivery_Data[[#This Row],[Delays (min)]]&gt;0,"No","Yes")</f>
        <v>No</v>
      </c>
    </row>
    <row r="510" spans="1:20" ht="15.75" customHeight="1" x14ac:dyDescent="0.3">
      <c r="A510" s="4">
        <v>1509</v>
      </c>
      <c r="B510" s="5" t="s">
        <v>639</v>
      </c>
      <c r="C510" s="6">
        <v>45172.350694444445</v>
      </c>
      <c r="D510" s="5" t="s">
        <v>43</v>
      </c>
      <c r="E510" s="5" t="s">
        <v>193</v>
      </c>
      <c r="F510" s="5" t="s">
        <v>38</v>
      </c>
      <c r="G510" s="5" t="s">
        <v>31</v>
      </c>
      <c r="H510" s="5">
        <v>62</v>
      </c>
      <c r="I510" s="5">
        <v>28</v>
      </c>
      <c r="J510" s="5" t="s">
        <v>18</v>
      </c>
      <c r="K510" s="5" t="s">
        <v>49</v>
      </c>
      <c r="L510" s="5" t="s">
        <v>40</v>
      </c>
      <c r="M510" s="7" t="s">
        <v>41</v>
      </c>
      <c r="N510" s="26">
        <f t="shared" si="42"/>
        <v>0</v>
      </c>
      <c r="O510" s="42">
        <f t="shared" si="43"/>
        <v>45172</v>
      </c>
      <c r="P510" s="5" t="str">
        <f t="shared" si="44"/>
        <v>Sunday</v>
      </c>
      <c r="Q510" s="5">
        <f t="shared" si="45"/>
        <v>8</v>
      </c>
      <c r="R510" s="28">
        <f t="shared" si="46"/>
        <v>0.68888888888888888</v>
      </c>
      <c r="S510" s="29">
        <f t="shared" si="47"/>
        <v>68.888888888888886</v>
      </c>
      <c r="T510" s="5" t="str">
        <f>IF(Delivery_Data[[#This Row],[Delays (min)]]&gt;0,"No","Yes")</f>
        <v>No</v>
      </c>
    </row>
    <row r="511" spans="1:20" ht="15.75" customHeight="1" x14ac:dyDescent="0.3">
      <c r="A511" s="4">
        <v>1510</v>
      </c>
      <c r="B511" s="5" t="s">
        <v>640</v>
      </c>
      <c r="C511" s="6">
        <v>45170.46597222222</v>
      </c>
      <c r="D511" s="5" t="s">
        <v>43</v>
      </c>
      <c r="E511" s="5" t="s">
        <v>304</v>
      </c>
      <c r="F511" s="5" t="s">
        <v>16</v>
      </c>
      <c r="G511" s="5" t="s">
        <v>56</v>
      </c>
      <c r="H511" s="5">
        <v>209</v>
      </c>
      <c r="I511" s="5">
        <v>9</v>
      </c>
      <c r="J511" s="5" t="s">
        <v>32</v>
      </c>
      <c r="K511" s="5" t="s">
        <v>45</v>
      </c>
      <c r="L511" s="5" t="s">
        <v>40</v>
      </c>
      <c r="M511" s="7" t="s">
        <v>21</v>
      </c>
      <c r="N511" s="26">
        <f t="shared" si="42"/>
        <v>-1</v>
      </c>
      <c r="O511" s="42">
        <f t="shared" si="43"/>
        <v>45170</v>
      </c>
      <c r="P511" s="5" t="str">
        <f t="shared" si="44"/>
        <v>Friday</v>
      </c>
      <c r="Q511" s="5">
        <f t="shared" si="45"/>
        <v>11</v>
      </c>
      <c r="R511" s="28">
        <f t="shared" si="46"/>
        <v>0.95871559633027525</v>
      </c>
      <c r="S511" s="29">
        <f t="shared" si="47"/>
        <v>95.87155963302753</v>
      </c>
      <c r="T511" s="5" t="str">
        <f>IF(Delivery_Data[[#This Row],[Delays (min)]]&gt;0,"No","Yes")</f>
        <v>No</v>
      </c>
    </row>
    <row r="512" spans="1:20" ht="15.75" customHeight="1" x14ac:dyDescent="0.3">
      <c r="A512" s="4">
        <v>1511</v>
      </c>
      <c r="B512" s="5" t="s">
        <v>641</v>
      </c>
      <c r="C512" s="6">
        <v>45173.707638888889</v>
      </c>
      <c r="D512" s="5" t="s">
        <v>14</v>
      </c>
      <c r="E512" s="5" t="s">
        <v>70</v>
      </c>
      <c r="F512" s="5" t="s">
        <v>24</v>
      </c>
      <c r="G512" s="5" t="s">
        <v>39</v>
      </c>
      <c r="H512" s="5">
        <v>87</v>
      </c>
      <c r="I512" s="5">
        <v>9</v>
      </c>
      <c r="J512" s="5" t="s">
        <v>18</v>
      </c>
      <c r="K512" s="5" t="s">
        <v>35</v>
      </c>
      <c r="L512" s="5" t="s">
        <v>40</v>
      </c>
      <c r="M512" s="7" t="s">
        <v>46</v>
      </c>
      <c r="N512" s="26">
        <f t="shared" si="42"/>
        <v>0</v>
      </c>
      <c r="O512" s="42">
        <f t="shared" si="43"/>
        <v>45173</v>
      </c>
      <c r="P512" s="5" t="str">
        <f t="shared" si="44"/>
        <v>Monday</v>
      </c>
      <c r="Q512" s="5">
        <f t="shared" si="45"/>
        <v>16</v>
      </c>
      <c r="R512" s="28">
        <f t="shared" si="46"/>
        <v>0.90625</v>
      </c>
      <c r="S512" s="29">
        <f t="shared" si="47"/>
        <v>90.625</v>
      </c>
      <c r="T512" s="5" t="str">
        <f>IF(Delivery_Data[[#This Row],[Delays (min)]]&gt;0,"No","Yes")</f>
        <v>No</v>
      </c>
    </row>
    <row r="513" spans="1:20" ht="15.75" customHeight="1" x14ac:dyDescent="0.3">
      <c r="A513" s="4">
        <v>1512</v>
      </c>
      <c r="B513" s="5" t="s">
        <v>642</v>
      </c>
      <c r="C513" s="6">
        <v>45171.42291666667</v>
      </c>
      <c r="D513" s="5" t="s">
        <v>43</v>
      </c>
      <c r="E513" s="5" t="s">
        <v>410</v>
      </c>
      <c r="F513" s="5" t="s">
        <v>16</v>
      </c>
      <c r="G513" s="5" t="s">
        <v>31</v>
      </c>
      <c r="H513" s="5">
        <v>129</v>
      </c>
      <c r="I513" s="5">
        <v>8</v>
      </c>
      <c r="J513" s="5" t="s">
        <v>32</v>
      </c>
      <c r="K513" s="5" t="s">
        <v>49</v>
      </c>
      <c r="L513" s="5" t="s">
        <v>28</v>
      </c>
      <c r="M513" s="7" t="s">
        <v>41</v>
      </c>
      <c r="N513" s="26">
        <f t="shared" si="42"/>
        <v>-1</v>
      </c>
      <c r="O513" s="42">
        <f t="shared" si="43"/>
        <v>45171</v>
      </c>
      <c r="P513" s="5" t="str">
        <f t="shared" si="44"/>
        <v>Saturday</v>
      </c>
      <c r="Q513" s="5">
        <f t="shared" si="45"/>
        <v>10</v>
      </c>
      <c r="R513" s="28">
        <f t="shared" si="46"/>
        <v>0.94160583941605835</v>
      </c>
      <c r="S513" s="29">
        <f t="shared" si="47"/>
        <v>94.160583941605836</v>
      </c>
      <c r="T513" s="5" t="str">
        <f>IF(Delivery_Data[[#This Row],[Delays (min)]]&gt;0,"No","Yes")</f>
        <v>No</v>
      </c>
    </row>
    <row r="514" spans="1:20" ht="15.75" customHeight="1" x14ac:dyDescent="0.3">
      <c r="A514" s="4">
        <v>1513</v>
      </c>
      <c r="B514" s="5" t="s">
        <v>643</v>
      </c>
      <c r="C514" s="6">
        <v>45171.369444444441</v>
      </c>
      <c r="D514" s="5" t="s">
        <v>14</v>
      </c>
      <c r="E514" s="5" t="s">
        <v>106</v>
      </c>
      <c r="F514" s="5" t="s">
        <v>38</v>
      </c>
      <c r="G514" s="5" t="s">
        <v>56</v>
      </c>
      <c r="H514" s="5">
        <v>133</v>
      </c>
      <c r="I514" s="5">
        <v>22</v>
      </c>
      <c r="J514" s="5" t="s">
        <v>18</v>
      </c>
      <c r="K514" s="5" t="s">
        <v>45</v>
      </c>
      <c r="L514" s="5" t="s">
        <v>40</v>
      </c>
      <c r="M514" s="7" t="s">
        <v>21</v>
      </c>
      <c r="N514" s="26">
        <f t="shared" ref="N514:N577" si="48">IF(J514="Positive",1,IF(J514="Neutral",0,IF(J514="Negative",-1,"")))</f>
        <v>0</v>
      </c>
      <c r="O514" s="42">
        <f t="shared" ref="O514:O577" si="49">INT(C514)</f>
        <v>45171</v>
      </c>
      <c r="P514" s="5" t="str">
        <f t="shared" ref="P514:P577" si="50">TEXT(C514,"dddd")</f>
        <v>Saturday</v>
      </c>
      <c r="Q514" s="5">
        <f t="shared" ref="Q514:Q577" si="51">HOUR(C514)</f>
        <v>8</v>
      </c>
      <c r="R514" s="28">
        <f t="shared" ref="R514:R577" si="52">H514/(H514+I514)</f>
        <v>0.85806451612903223</v>
      </c>
      <c r="S514" s="29">
        <f t="shared" si="47"/>
        <v>85.806451612903217</v>
      </c>
      <c r="T514" s="5" t="str">
        <f>IF(Delivery_Data[[#This Row],[Delays (min)]]&gt;0,"No","Yes")</f>
        <v>No</v>
      </c>
    </row>
    <row r="515" spans="1:20" ht="15.75" customHeight="1" x14ac:dyDescent="0.3">
      <c r="A515" s="4">
        <v>1514</v>
      </c>
      <c r="B515" s="5" t="s">
        <v>644</v>
      </c>
      <c r="C515" s="6">
        <v>45173.34097222222</v>
      </c>
      <c r="D515" s="5" t="s">
        <v>14</v>
      </c>
      <c r="E515" s="5" t="s">
        <v>111</v>
      </c>
      <c r="F515" s="5" t="s">
        <v>24</v>
      </c>
      <c r="G515" s="5" t="s">
        <v>17</v>
      </c>
      <c r="H515" s="5">
        <v>201</v>
      </c>
      <c r="I515" s="5">
        <v>25</v>
      </c>
      <c r="J515" s="5" t="s">
        <v>26</v>
      </c>
      <c r="K515" s="5" t="s">
        <v>27</v>
      </c>
      <c r="L515" s="5" t="s">
        <v>20</v>
      </c>
      <c r="M515" s="7" t="s">
        <v>41</v>
      </c>
      <c r="N515" s="26">
        <f t="shared" si="48"/>
        <v>1</v>
      </c>
      <c r="O515" s="42">
        <f t="shared" si="49"/>
        <v>45173</v>
      </c>
      <c r="P515" s="5" t="str">
        <f t="shared" si="50"/>
        <v>Monday</v>
      </c>
      <c r="Q515" s="5">
        <f t="shared" si="51"/>
        <v>8</v>
      </c>
      <c r="R515" s="28">
        <f t="shared" si="52"/>
        <v>0.88938053097345138</v>
      </c>
      <c r="S515" s="29">
        <f t="shared" ref="S515:S578" si="53">IF(H515+I515=0,0,(H515/(H515+I515))*100) + (IFERROR(--J515,0)*10)</f>
        <v>88.938053097345133</v>
      </c>
      <c r="T515" s="5" t="str">
        <f>IF(Delivery_Data[[#This Row],[Delays (min)]]&gt;0,"No","Yes")</f>
        <v>No</v>
      </c>
    </row>
    <row r="516" spans="1:20" ht="15.75" customHeight="1" x14ac:dyDescent="0.3">
      <c r="A516" s="4">
        <v>1515</v>
      </c>
      <c r="B516" s="5" t="s">
        <v>645</v>
      </c>
      <c r="C516" s="6">
        <v>45170.455555555556</v>
      </c>
      <c r="D516" s="5" t="s">
        <v>43</v>
      </c>
      <c r="E516" s="5" t="s">
        <v>403</v>
      </c>
      <c r="F516" s="5" t="s">
        <v>16</v>
      </c>
      <c r="G516" s="5" t="s">
        <v>31</v>
      </c>
      <c r="H516" s="5">
        <v>188</v>
      </c>
      <c r="I516" s="5">
        <v>16</v>
      </c>
      <c r="J516" s="5" t="s">
        <v>18</v>
      </c>
      <c r="K516" s="5" t="s">
        <v>35</v>
      </c>
      <c r="L516" s="5" t="s">
        <v>40</v>
      </c>
      <c r="M516" s="7" t="s">
        <v>41</v>
      </c>
      <c r="N516" s="26">
        <f t="shared" si="48"/>
        <v>0</v>
      </c>
      <c r="O516" s="42">
        <f t="shared" si="49"/>
        <v>45170</v>
      </c>
      <c r="P516" s="5" t="str">
        <f t="shared" si="50"/>
        <v>Friday</v>
      </c>
      <c r="Q516" s="5">
        <f t="shared" si="51"/>
        <v>10</v>
      </c>
      <c r="R516" s="28">
        <f t="shared" si="52"/>
        <v>0.92156862745098034</v>
      </c>
      <c r="S516" s="29">
        <f t="shared" si="53"/>
        <v>92.156862745098039</v>
      </c>
      <c r="T516" s="5" t="str">
        <f>IF(Delivery_Data[[#This Row],[Delays (min)]]&gt;0,"No","Yes")</f>
        <v>No</v>
      </c>
    </row>
    <row r="517" spans="1:20" ht="15.75" customHeight="1" x14ac:dyDescent="0.3">
      <c r="A517" s="4">
        <v>1516</v>
      </c>
      <c r="B517" s="5" t="s">
        <v>646</v>
      </c>
      <c r="C517" s="6">
        <v>45176.336111111108</v>
      </c>
      <c r="D517" s="5" t="s">
        <v>14</v>
      </c>
      <c r="E517" s="5" t="s">
        <v>179</v>
      </c>
      <c r="F517" s="5" t="s">
        <v>16</v>
      </c>
      <c r="G517" s="5" t="s">
        <v>56</v>
      </c>
      <c r="H517" s="5">
        <v>172</v>
      </c>
      <c r="I517" s="5">
        <v>3</v>
      </c>
      <c r="J517" s="5" t="s">
        <v>32</v>
      </c>
      <c r="K517" s="5" t="s">
        <v>45</v>
      </c>
      <c r="L517" s="5" t="s">
        <v>20</v>
      </c>
      <c r="M517" s="7" t="s">
        <v>46</v>
      </c>
      <c r="N517" s="26">
        <f t="shared" si="48"/>
        <v>-1</v>
      </c>
      <c r="O517" s="42">
        <f t="shared" si="49"/>
        <v>45176</v>
      </c>
      <c r="P517" s="5" t="str">
        <f t="shared" si="50"/>
        <v>Thursday</v>
      </c>
      <c r="Q517" s="5">
        <f t="shared" si="51"/>
        <v>8</v>
      </c>
      <c r="R517" s="28">
        <f t="shared" si="52"/>
        <v>0.98285714285714287</v>
      </c>
      <c r="S517" s="29">
        <f t="shared" si="53"/>
        <v>98.285714285714292</v>
      </c>
      <c r="T517" s="5" t="str">
        <f>IF(Delivery_Data[[#This Row],[Delays (min)]]&gt;0,"No","Yes")</f>
        <v>No</v>
      </c>
    </row>
    <row r="518" spans="1:20" ht="15.75" customHeight="1" x14ac:dyDescent="0.3">
      <c r="A518" s="4">
        <v>1517</v>
      </c>
      <c r="B518" s="5" t="s">
        <v>647</v>
      </c>
      <c r="C518" s="6">
        <v>45176.643750000003</v>
      </c>
      <c r="D518" s="5" t="s">
        <v>43</v>
      </c>
      <c r="E518" s="5" t="s">
        <v>171</v>
      </c>
      <c r="F518" s="5" t="s">
        <v>16</v>
      </c>
      <c r="G518" s="5" t="s">
        <v>17</v>
      </c>
      <c r="H518" s="5">
        <v>231</v>
      </c>
      <c r="I518" s="5">
        <v>16</v>
      </c>
      <c r="J518" s="5" t="s">
        <v>18</v>
      </c>
      <c r="K518" s="5" t="s">
        <v>19</v>
      </c>
      <c r="L518" s="5" t="s">
        <v>40</v>
      </c>
      <c r="M518" s="7" t="s">
        <v>46</v>
      </c>
      <c r="N518" s="26">
        <f t="shared" si="48"/>
        <v>0</v>
      </c>
      <c r="O518" s="42">
        <f t="shared" si="49"/>
        <v>45176</v>
      </c>
      <c r="P518" s="5" t="str">
        <f t="shared" si="50"/>
        <v>Thursday</v>
      </c>
      <c r="Q518" s="5">
        <f t="shared" si="51"/>
        <v>15</v>
      </c>
      <c r="R518" s="28">
        <f t="shared" si="52"/>
        <v>0.93522267206477738</v>
      </c>
      <c r="S518" s="29">
        <f t="shared" si="53"/>
        <v>93.522267206477736</v>
      </c>
      <c r="T518" s="5" t="str">
        <f>IF(Delivery_Data[[#This Row],[Delays (min)]]&gt;0,"No","Yes")</f>
        <v>No</v>
      </c>
    </row>
    <row r="519" spans="1:20" ht="15.75" customHeight="1" x14ac:dyDescent="0.3">
      <c r="A519" s="4">
        <v>1518</v>
      </c>
      <c r="B519" s="5" t="s">
        <v>648</v>
      </c>
      <c r="C519" s="6">
        <v>45170.376388888886</v>
      </c>
      <c r="D519" s="5" t="s">
        <v>43</v>
      </c>
      <c r="E519" s="5" t="s">
        <v>370</v>
      </c>
      <c r="F519" s="5" t="s">
        <v>24</v>
      </c>
      <c r="G519" s="5" t="s">
        <v>39</v>
      </c>
      <c r="H519" s="5">
        <v>226</v>
      </c>
      <c r="I519" s="5">
        <v>14</v>
      </c>
      <c r="J519" s="5" t="s">
        <v>26</v>
      </c>
      <c r="K519" s="5" t="s">
        <v>45</v>
      </c>
      <c r="L519" s="5" t="s">
        <v>20</v>
      </c>
      <c r="M519" s="7" t="s">
        <v>41</v>
      </c>
      <c r="N519" s="26">
        <f t="shared" si="48"/>
        <v>1</v>
      </c>
      <c r="O519" s="42">
        <f t="shared" si="49"/>
        <v>45170</v>
      </c>
      <c r="P519" s="5" t="str">
        <f t="shared" si="50"/>
        <v>Friday</v>
      </c>
      <c r="Q519" s="5">
        <f t="shared" si="51"/>
        <v>9</v>
      </c>
      <c r="R519" s="28">
        <f t="shared" si="52"/>
        <v>0.94166666666666665</v>
      </c>
      <c r="S519" s="29">
        <f t="shared" si="53"/>
        <v>94.166666666666671</v>
      </c>
      <c r="T519" s="5" t="str">
        <f>IF(Delivery_Data[[#This Row],[Delays (min)]]&gt;0,"No","Yes")</f>
        <v>No</v>
      </c>
    </row>
    <row r="520" spans="1:20" ht="15.75" customHeight="1" x14ac:dyDescent="0.3">
      <c r="A520" s="4">
        <v>1519</v>
      </c>
      <c r="B520" s="5" t="s">
        <v>649</v>
      </c>
      <c r="C520" s="6">
        <v>45177.703472222223</v>
      </c>
      <c r="D520" s="5" t="s">
        <v>43</v>
      </c>
      <c r="E520" s="5" t="s">
        <v>245</v>
      </c>
      <c r="F520" s="5" t="s">
        <v>38</v>
      </c>
      <c r="G520" s="5" t="s">
        <v>56</v>
      </c>
      <c r="H520" s="5">
        <v>172</v>
      </c>
      <c r="I520" s="5">
        <v>27</v>
      </c>
      <c r="J520" s="5" t="s">
        <v>26</v>
      </c>
      <c r="K520" s="5" t="s">
        <v>45</v>
      </c>
      <c r="L520" s="5" t="s">
        <v>20</v>
      </c>
      <c r="M520" s="7" t="s">
        <v>21</v>
      </c>
      <c r="N520" s="26">
        <f t="shared" si="48"/>
        <v>1</v>
      </c>
      <c r="O520" s="42">
        <f t="shared" si="49"/>
        <v>45177</v>
      </c>
      <c r="P520" s="5" t="str">
        <f t="shared" si="50"/>
        <v>Friday</v>
      </c>
      <c r="Q520" s="5">
        <f t="shared" si="51"/>
        <v>16</v>
      </c>
      <c r="R520" s="28">
        <f t="shared" si="52"/>
        <v>0.86432160804020097</v>
      </c>
      <c r="S520" s="29">
        <f t="shared" si="53"/>
        <v>86.4321608040201</v>
      </c>
      <c r="T520" s="5" t="str">
        <f>IF(Delivery_Data[[#This Row],[Delays (min)]]&gt;0,"No","Yes")</f>
        <v>No</v>
      </c>
    </row>
    <row r="521" spans="1:20" ht="15.75" customHeight="1" x14ac:dyDescent="0.3">
      <c r="A521" s="4">
        <v>1520</v>
      </c>
      <c r="B521" s="5" t="s">
        <v>650</v>
      </c>
      <c r="C521" s="6">
        <v>45170.588194444441</v>
      </c>
      <c r="D521" s="5" t="s">
        <v>14</v>
      </c>
      <c r="E521" s="5" t="s">
        <v>200</v>
      </c>
      <c r="F521" s="5" t="s">
        <v>38</v>
      </c>
      <c r="G521" s="5" t="s">
        <v>25</v>
      </c>
      <c r="H521" s="5">
        <v>206</v>
      </c>
      <c r="I521" s="5">
        <v>0</v>
      </c>
      <c r="J521" s="5" t="s">
        <v>26</v>
      </c>
      <c r="K521" s="5" t="s">
        <v>19</v>
      </c>
      <c r="L521" s="5" t="s">
        <v>20</v>
      </c>
      <c r="M521" s="7" t="s">
        <v>41</v>
      </c>
      <c r="N521" s="26">
        <f t="shared" si="48"/>
        <v>1</v>
      </c>
      <c r="O521" s="42">
        <f t="shared" si="49"/>
        <v>45170</v>
      </c>
      <c r="P521" s="5" t="str">
        <f t="shared" si="50"/>
        <v>Friday</v>
      </c>
      <c r="Q521" s="5">
        <f t="shared" si="51"/>
        <v>14</v>
      </c>
      <c r="R521" s="28">
        <f t="shared" si="52"/>
        <v>1</v>
      </c>
      <c r="S521" s="29">
        <f t="shared" si="53"/>
        <v>100</v>
      </c>
      <c r="T521" s="5" t="str">
        <f>IF(Delivery_Data[[#This Row],[Delays (min)]]&gt;0,"No","Yes")</f>
        <v>Yes</v>
      </c>
    </row>
    <row r="522" spans="1:20" ht="15.75" customHeight="1" x14ac:dyDescent="0.3">
      <c r="A522" s="4">
        <v>1521</v>
      </c>
      <c r="B522" s="5" t="s">
        <v>651</v>
      </c>
      <c r="C522" s="6">
        <v>45174.670138888891</v>
      </c>
      <c r="D522" s="5" t="s">
        <v>14</v>
      </c>
      <c r="E522" s="5" t="s">
        <v>156</v>
      </c>
      <c r="F522" s="5" t="s">
        <v>38</v>
      </c>
      <c r="G522" s="5" t="s">
        <v>25</v>
      </c>
      <c r="H522" s="5">
        <v>205</v>
      </c>
      <c r="I522" s="5">
        <v>15</v>
      </c>
      <c r="J522" s="5" t="s">
        <v>32</v>
      </c>
      <c r="K522" s="5" t="s">
        <v>19</v>
      </c>
      <c r="L522" s="5" t="s">
        <v>40</v>
      </c>
      <c r="M522" s="7" t="s">
        <v>41</v>
      </c>
      <c r="N522" s="26">
        <f t="shared" si="48"/>
        <v>-1</v>
      </c>
      <c r="O522" s="42">
        <f t="shared" si="49"/>
        <v>45174</v>
      </c>
      <c r="P522" s="5" t="str">
        <f t="shared" si="50"/>
        <v>Tuesday</v>
      </c>
      <c r="Q522" s="5">
        <f t="shared" si="51"/>
        <v>16</v>
      </c>
      <c r="R522" s="28">
        <f t="shared" si="52"/>
        <v>0.93181818181818177</v>
      </c>
      <c r="S522" s="29">
        <f t="shared" si="53"/>
        <v>93.181818181818173</v>
      </c>
      <c r="T522" s="5" t="str">
        <f>IF(Delivery_Data[[#This Row],[Delays (min)]]&gt;0,"No","Yes")</f>
        <v>No</v>
      </c>
    </row>
    <row r="523" spans="1:20" ht="15.75" customHeight="1" x14ac:dyDescent="0.3">
      <c r="A523" s="4">
        <v>1522</v>
      </c>
      <c r="B523" s="5" t="s">
        <v>652</v>
      </c>
      <c r="C523" s="6">
        <v>45176.474305555559</v>
      </c>
      <c r="D523" s="5" t="s">
        <v>14</v>
      </c>
      <c r="E523" s="5" t="s">
        <v>48</v>
      </c>
      <c r="F523" s="5" t="s">
        <v>24</v>
      </c>
      <c r="G523" s="5" t="s">
        <v>56</v>
      </c>
      <c r="H523" s="5">
        <v>136</v>
      </c>
      <c r="I523" s="5">
        <v>25</v>
      </c>
      <c r="J523" s="5" t="s">
        <v>32</v>
      </c>
      <c r="K523" s="5" t="s">
        <v>35</v>
      </c>
      <c r="L523" s="5" t="s">
        <v>40</v>
      </c>
      <c r="M523" s="7" t="s">
        <v>46</v>
      </c>
      <c r="N523" s="26">
        <f t="shared" si="48"/>
        <v>-1</v>
      </c>
      <c r="O523" s="42">
        <f t="shared" si="49"/>
        <v>45176</v>
      </c>
      <c r="P523" s="5" t="str">
        <f t="shared" si="50"/>
        <v>Thursday</v>
      </c>
      <c r="Q523" s="5">
        <f t="shared" si="51"/>
        <v>11</v>
      </c>
      <c r="R523" s="28">
        <f t="shared" si="52"/>
        <v>0.84472049689440998</v>
      </c>
      <c r="S523" s="29">
        <f t="shared" si="53"/>
        <v>84.472049689440993</v>
      </c>
      <c r="T523" s="5" t="str">
        <f>IF(Delivery_Data[[#This Row],[Delays (min)]]&gt;0,"No","Yes")</f>
        <v>No</v>
      </c>
    </row>
    <row r="524" spans="1:20" ht="15.75" customHeight="1" x14ac:dyDescent="0.3">
      <c r="A524" s="4">
        <v>1523</v>
      </c>
      <c r="B524" s="5" t="s">
        <v>653</v>
      </c>
      <c r="C524" s="6">
        <v>45170.387499999997</v>
      </c>
      <c r="D524" s="5" t="s">
        <v>43</v>
      </c>
      <c r="E524" s="5" t="s">
        <v>228</v>
      </c>
      <c r="F524" s="5" t="s">
        <v>38</v>
      </c>
      <c r="G524" s="5" t="s">
        <v>56</v>
      </c>
      <c r="H524" s="5">
        <v>100</v>
      </c>
      <c r="I524" s="5">
        <v>22</v>
      </c>
      <c r="J524" s="5" t="s">
        <v>26</v>
      </c>
      <c r="K524" s="5" t="s">
        <v>27</v>
      </c>
      <c r="L524" s="5" t="s">
        <v>20</v>
      </c>
      <c r="M524" s="7" t="s">
        <v>46</v>
      </c>
      <c r="N524" s="26">
        <f t="shared" si="48"/>
        <v>1</v>
      </c>
      <c r="O524" s="42">
        <f t="shared" si="49"/>
        <v>45170</v>
      </c>
      <c r="P524" s="5" t="str">
        <f t="shared" si="50"/>
        <v>Friday</v>
      </c>
      <c r="Q524" s="5">
        <f t="shared" si="51"/>
        <v>9</v>
      </c>
      <c r="R524" s="28">
        <f t="shared" si="52"/>
        <v>0.81967213114754101</v>
      </c>
      <c r="S524" s="29">
        <f t="shared" si="53"/>
        <v>81.967213114754102</v>
      </c>
      <c r="T524" s="5" t="str">
        <f>IF(Delivery_Data[[#This Row],[Delays (min)]]&gt;0,"No","Yes")</f>
        <v>No</v>
      </c>
    </row>
    <row r="525" spans="1:20" ht="15.75" customHeight="1" x14ac:dyDescent="0.3">
      <c r="A525" s="4">
        <v>1524</v>
      </c>
      <c r="B525" s="5" t="s">
        <v>654</v>
      </c>
      <c r="C525" s="6">
        <v>45174.497916666667</v>
      </c>
      <c r="D525" s="5" t="s">
        <v>14</v>
      </c>
      <c r="E525" s="5" t="s">
        <v>306</v>
      </c>
      <c r="F525" s="5" t="s">
        <v>24</v>
      </c>
      <c r="G525" s="5" t="s">
        <v>56</v>
      </c>
      <c r="H525" s="5">
        <v>79</v>
      </c>
      <c r="I525" s="5">
        <v>29</v>
      </c>
      <c r="J525" s="5" t="s">
        <v>32</v>
      </c>
      <c r="K525" s="5" t="s">
        <v>49</v>
      </c>
      <c r="L525" s="5" t="s">
        <v>20</v>
      </c>
      <c r="M525" s="7" t="s">
        <v>46</v>
      </c>
      <c r="N525" s="26">
        <f t="shared" si="48"/>
        <v>-1</v>
      </c>
      <c r="O525" s="42">
        <f t="shared" si="49"/>
        <v>45174</v>
      </c>
      <c r="P525" s="5" t="str">
        <f t="shared" si="50"/>
        <v>Tuesday</v>
      </c>
      <c r="Q525" s="5">
        <f t="shared" si="51"/>
        <v>11</v>
      </c>
      <c r="R525" s="28">
        <f t="shared" si="52"/>
        <v>0.73148148148148151</v>
      </c>
      <c r="S525" s="29">
        <f t="shared" si="53"/>
        <v>73.148148148148152</v>
      </c>
      <c r="T525" s="5" t="str">
        <f>IF(Delivery_Data[[#This Row],[Delays (min)]]&gt;0,"No","Yes")</f>
        <v>No</v>
      </c>
    </row>
    <row r="526" spans="1:20" ht="15.75" customHeight="1" x14ac:dyDescent="0.3">
      <c r="A526" s="4">
        <v>1525</v>
      </c>
      <c r="B526" s="5" t="s">
        <v>13</v>
      </c>
      <c r="C526" s="6">
        <v>45173.570138888892</v>
      </c>
      <c r="D526" s="5" t="s">
        <v>14</v>
      </c>
      <c r="E526" s="5" t="s">
        <v>187</v>
      </c>
      <c r="F526" s="5" t="s">
        <v>38</v>
      </c>
      <c r="G526" s="5" t="s">
        <v>39</v>
      </c>
      <c r="H526" s="5">
        <v>120</v>
      </c>
      <c r="I526" s="5">
        <v>18</v>
      </c>
      <c r="J526" s="5" t="s">
        <v>32</v>
      </c>
      <c r="K526" s="5" t="s">
        <v>35</v>
      </c>
      <c r="L526" s="5" t="s">
        <v>40</v>
      </c>
      <c r="M526" s="7" t="s">
        <v>21</v>
      </c>
      <c r="N526" s="26">
        <f t="shared" si="48"/>
        <v>-1</v>
      </c>
      <c r="O526" s="42">
        <f t="shared" si="49"/>
        <v>45173</v>
      </c>
      <c r="P526" s="5" t="str">
        <f t="shared" si="50"/>
        <v>Monday</v>
      </c>
      <c r="Q526" s="5">
        <f t="shared" si="51"/>
        <v>13</v>
      </c>
      <c r="R526" s="28">
        <f t="shared" si="52"/>
        <v>0.86956521739130432</v>
      </c>
      <c r="S526" s="29">
        <f t="shared" si="53"/>
        <v>86.956521739130437</v>
      </c>
      <c r="T526" s="5" t="str">
        <f>IF(Delivery_Data[[#This Row],[Delays (min)]]&gt;0,"No","Yes")</f>
        <v>No</v>
      </c>
    </row>
    <row r="527" spans="1:20" ht="15.75" customHeight="1" x14ac:dyDescent="0.3">
      <c r="A527" s="4">
        <v>1526</v>
      </c>
      <c r="B527" s="5" t="s">
        <v>655</v>
      </c>
      <c r="C527" s="6">
        <v>45170.400694444441</v>
      </c>
      <c r="D527" s="5" t="s">
        <v>43</v>
      </c>
      <c r="E527" s="5" t="s">
        <v>272</v>
      </c>
      <c r="F527" s="5" t="s">
        <v>38</v>
      </c>
      <c r="G527" s="5" t="s">
        <v>25</v>
      </c>
      <c r="H527" s="5">
        <v>230</v>
      </c>
      <c r="I527" s="5">
        <v>11</v>
      </c>
      <c r="J527" s="5" t="s">
        <v>32</v>
      </c>
      <c r="K527" s="5" t="s">
        <v>49</v>
      </c>
      <c r="L527" s="5" t="s">
        <v>20</v>
      </c>
      <c r="M527" s="7" t="s">
        <v>21</v>
      </c>
      <c r="N527" s="26">
        <f t="shared" si="48"/>
        <v>-1</v>
      </c>
      <c r="O527" s="42">
        <f t="shared" si="49"/>
        <v>45170</v>
      </c>
      <c r="P527" s="5" t="str">
        <f t="shared" si="50"/>
        <v>Friday</v>
      </c>
      <c r="Q527" s="5">
        <f t="shared" si="51"/>
        <v>9</v>
      </c>
      <c r="R527" s="28">
        <f t="shared" si="52"/>
        <v>0.9543568464730291</v>
      </c>
      <c r="S527" s="29">
        <f t="shared" si="53"/>
        <v>95.435684647302907</v>
      </c>
      <c r="T527" s="5" t="str">
        <f>IF(Delivery_Data[[#This Row],[Delays (min)]]&gt;0,"No","Yes")</f>
        <v>No</v>
      </c>
    </row>
    <row r="528" spans="1:20" ht="15.75" customHeight="1" x14ac:dyDescent="0.3">
      <c r="A528" s="4">
        <v>1527</v>
      </c>
      <c r="B528" s="5" t="s">
        <v>656</v>
      </c>
      <c r="C528" s="6">
        <v>45176.636805555558</v>
      </c>
      <c r="D528" s="5" t="s">
        <v>14</v>
      </c>
      <c r="E528" s="5" t="s">
        <v>189</v>
      </c>
      <c r="F528" s="5" t="s">
        <v>38</v>
      </c>
      <c r="G528" s="5" t="s">
        <v>39</v>
      </c>
      <c r="H528" s="5">
        <v>159</v>
      </c>
      <c r="I528" s="5">
        <v>27</v>
      </c>
      <c r="J528" s="5" t="s">
        <v>32</v>
      </c>
      <c r="K528" s="5" t="s">
        <v>49</v>
      </c>
      <c r="L528" s="5" t="s">
        <v>28</v>
      </c>
      <c r="M528" s="7" t="s">
        <v>46</v>
      </c>
      <c r="N528" s="26">
        <f t="shared" si="48"/>
        <v>-1</v>
      </c>
      <c r="O528" s="42">
        <f t="shared" si="49"/>
        <v>45176</v>
      </c>
      <c r="P528" s="5" t="str">
        <f t="shared" si="50"/>
        <v>Thursday</v>
      </c>
      <c r="Q528" s="5">
        <f t="shared" si="51"/>
        <v>15</v>
      </c>
      <c r="R528" s="28">
        <f t="shared" si="52"/>
        <v>0.85483870967741937</v>
      </c>
      <c r="S528" s="29">
        <f t="shared" si="53"/>
        <v>85.483870967741936</v>
      </c>
      <c r="T528" s="5" t="str">
        <f>IF(Delivery_Data[[#This Row],[Delays (min)]]&gt;0,"No","Yes")</f>
        <v>No</v>
      </c>
    </row>
    <row r="529" spans="1:20" ht="15.75" customHeight="1" x14ac:dyDescent="0.3">
      <c r="A529" s="4">
        <v>1528</v>
      </c>
      <c r="B529" s="5" t="s">
        <v>657</v>
      </c>
      <c r="C529" s="6">
        <v>45172.695138888892</v>
      </c>
      <c r="D529" s="5" t="s">
        <v>43</v>
      </c>
      <c r="E529" s="5" t="s">
        <v>304</v>
      </c>
      <c r="F529" s="5" t="s">
        <v>16</v>
      </c>
      <c r="G529" s="5" t="s">
        <v>17</v>
      </c>
      <c r="H529" s="5">
        <v>124</v>
      </c>
      <c r="I529" s="5">
        <v>19</v>
      </c>
      <c r="J529" s="5" t="s">
        <v>32</v>
      </c>
      <c r="K529" s="5" t="s">
        <v>45</v>
      </c>
      <c r="L529" s="5" t="s">
        <v>28</v>
      </c>
      <c r="M529" s="7" t="s">
        <v>46</v>
      </c>
      <c r="N529" s="26">
        <f t="shared" si="48"/>
        <v>-1</v>
      </c>
      <c r="O529" s="42">
        <f t="shared" si="49"/>
        <v>45172</v>
      </c>
      <c r="P529" s="5" t="str">
        <f t="shared" si="50"/>
        <v>Sunday</v>
      </c>
      <c r="Q529" s="5">
        <f t="shared" si="51"/>
        <v>16</v>
      </c>
      <c r="R529" s="28">
        <f t="shared" si="52"/>
        <v>0.86713286713286708</v>
      </c>
      <c r="S529" s="29">
        <f t="shared" si="53"/>
        <v>86.713286713286706</v>
      </c>
      <c r="T529" s="5" t="str">
        <f>IF(Delivery_Data[[#This Row],[Delays (min)]]&gt;0,"No","Yes")</f>
        <v>No</v>
      </c>
    </row>
    <row r="530" spans="1:20" ht="15.75" customHeight="1" x14ac:dyDescent="0.3">
      <c r="A530" s="4">
        <v>1529</v>
      </c>
      <c r="B530" s="5" t="s">
        <v>658</v>
      </c>
      <c r="C530" s="6">
        <v>45174.472222222219</v>
      </c>
      <c r="D530" s="5" t="s">
        <v>43</v>
      </c>
      <c r="E530" s="5" t="s">
        <v>228</v>
      </c>
      <c r="F530" s="5" t="s">
        <v>38</v>
      </c>
      <c r="G530" s="5" t="s">
        <v>17</v>
      </c>
      <c r="H530" s="5">
        <v>213</v>
      </c>
      <c r="I530" s="5">
        <v>1</v>
      </c>
      <c r="J530" s="5" t="s">
        <v>18</v>
      </c>
      <c r="K530" s="5" t="s">
        <v>27</v>
      </c>
      <c r="L530" s="5" t="s">
        <v>40</v>
      </c>
      <c r="M530" s="7" t="s">
        <v>21</v>
      </c>
      <c r="N530" s="26">
        <f t="shared" si="48"/>
        <v>0</v>
      </c>
      <c r="O530" s="42">
        <f t="shared" si="49"/>
        <v>45174</v>
      </c>
      <c r="P530" s="5" t="str">
        <f t="shared" si="50"/>
        <v>Tuesday</v>
      </c>
      <c r="Q530" s="5">
        <f t="shared" si="51"/>
        <v>11</v>
      </c>
      <c r="R530" s="28">
        <f t="shared" si="52"/>
        <v>0.99532710280373837</v>
      </c>
      <c r="S530" s="29">
        <f t="shared" si="53"/>
        <v>99.532710280373834</v>
      </c>
      <c r="T530" s="5" t="str">
        <f>IF(Delivery_Data[[#This Row],[Delays (min)]]&gt;0,"No","Yes")</f>
        <v>No</v>
      </c>
    </row>
    <row r="531" spans="1:20" ht="15.75" customHeight="1" x14ac:dyDescent="0.3">
      <c r="A531" s="4">
        <v>1530</v>
      </c>
      <c r="B531" s="5" t="s">
        <v>195</v>
      </c>
      <c r="C531" s="6">
        <v>45175.621527777781</v>
      </c>
      <c r="D531" s="5" t="s">
        <v>43</v>
      </c>
      <c r="E531" s="5" t="s">
        <v>95</v>
      </c>
      <c r="F531" s="5" t="s">
        <v>24</v>
      </c>
      <c r="G531" s="5" t="s">
        <v>56</v>
      </c>
      <c r="H531" s="5">
        <v>72</v>
      </c>
      <c r="I531" s="5">
        <v>22</v>
      </c>
      <c r="J531" s="5" t="s">
        <v>26</v>
      </c>
      <c r="K531" s="5" t="s">
        <v>49</v>
      </c>
      <c r="L531" s="5" t="s">
        <v>20</v>
      </c>
      <c r="M531" s="7" t="s">
        <v>21</v>
      </c>
      <c r="N531" s="26">
        <f t="shared" si="48"/>
        <v>1</v>
      </c>
      <c r="O531" s="42">
        <f t="shared" si="49"/>
        <v>45175</v>
      </c>
      <c r="P531" s="5" t="str">
        <f t="shared" si="50"/>
        <v>Wednesday</v>
      </c>
      <c r="Q531" s="5">
        <f t="shared" si="51"/>
        <v>14</v>
      </c>
      <c r="R531" s="28">
        <f t="shared" si="52"/>
        <v>0.76595744680851063</v>
      </c>
      <c r="S531" s="29">
        <f t="shared" si="53"/>
        <v>76.59574468085107</v>
      </c>
      <c r="T531" s="5" t="str">
        <f>IF(Delivery_Data[[#This Row],[Delays (min)]]&gt;0,"No","Yes")</f>
        <v>No</v>
      </c>
    </row>
    <row r="532" spans="1:20" ht="15.75" customHeight="1" x14ac:dyDescent="0.3">
      <c r="A532" s="4">
        <v>1531</v>
      </c>
      <c r="B532" s="5" t="s">
        <v>659</v>
      </c>
      <c r="C532" s="6">
        <v>45170.376388888886</v>
      </c>
      <c r="D532" s="5" t="s">
        <v>43</v>
      </c>
      <c r="E532" s="5" t="s">
        <v>162</v>
      </c>
      <c r="F532" s="5" t="s">
        <v>16</v>
      </c>
      <c r="G532" s="5" t="s">
        <v>17</v>
      </c>
      <c r="H532" s="5">
        <v>193</v>
      </c>
      <c r="I532" s="5">
        <v>10</v>
      </c>
      <c r="J532" s="5" t="s">
        <v>18</v>
      </c>
      <c r="K532" s="5" t="s">
        <v>35</v>
      </c>
      <c r="L532" s="5" t="s">
        <v>20</v>
      </c>
      <c r="M532" s="7" t="s">
        <v>41</v>
      </c>
      <c r="N532" s="26">
        <f t="shared" si="48"/>
        <v>0</v>
      </c>
      <c r="O532" s="42">
        <f t="shared" si="49"/>
        <v>45170</v>
      </c>
      <c r="P532" s="5" t="str">
        <f t="shared" si="50"/>
        <v>Friday</v>
      </c>
      <c r="Q532" s="5">
        <f t="shared" si="51"/>
        <v>9</v>
      </c>
      <c r="R532" s="28">
        <f t="shared" si="52"/>
        <v>0.95073891625615758</v>
      </c>
      <c r="S532" s="29">
        <f t="shared" si="53"/>
        <v>95.073891625615758</v>
      </c>
      <c r="T532" s="5" t="str">
        <f>IF(Delivery_Data[[#This Row],[Delays (min)]]&gt;0,"No","Yes")</f>
        <v>No</v>
      </c>
    </row>
    <row r="533" spans="1:20" ht="15.75" customHeight="1" x14ac:dyDescent="0.3">
      <c r="A533" s="4">
        <v>1532</v>
      </c>
      <c r="B533" s="5" t="s">
        <v>660</v>
      </c>
      <c r="C533" s="6">
        <v>45170.490277777775</v>
      </c>
      <c r="D533" s="5" t="s">
        <v>43</v>
      </c>
      <c r="E533" s="5" t="s">
        <v>202</v>
      </c>
      <c r="F533" s="5" t="s">
        <v>38</v>
      </c>
      <c r="G533" s="5" t="s">
        <v>25</v>
      </c>
      <c r="H533" s="5">
        <v>78</v>
      </c>
      <c r="I533" s="5">
        <v>7</v>
      </c>
      <c r="J533" s="5" t="s">
        <v>26</v>
      </c>
      <c r="K533" s="5" t="s">
        <v>27</v>
      </c>
      <c r="L533" s="5" t="s">
        <v>20</v>
      </c>
      <c r="M533" s="7" t="s">
        <v>46</v>
      </c>
      <c r="N533" s="26">
        <f t="shared" si="48"/>
        <v>1</v>
      </c>
      <c r="O533" s="42">
        <f t="shared" si="49"/>
        <v>45170</v>
      </c>
      <c r="P533" s="5" t="str">
        <f t="shared" si="50"/>
        <v>Friday</v>
      </c>
      <c r="Q533" s="5">
        <f t="shared" si="51"/>
        <v>11</v>
      </c>
      <c r="R533" s="28">
        <f t="shared" si="52"/>
        <v>0.91764705882352937</v>
      </c>
      <c r="S533" s="29">
        <f t="shared" si="53"/>
        <v>91.764705882352942</v>
      </c>
      <c r="T533" s="5" t="str">
        <f>IF(Delivery_Data[[#This Row],[Delays (min)]]&gt;0,"No","Yes")</f>
        <v>No</v>
      </c>
    </row>
    <row r="534" spans="1:20" ht="15.75" customHeight="1" x14ac:dyDescent="0.3">
      <c r="A534" s="4">
        <v>1533</v>
      </c>
      <c r="B534" s="5" t="s">
        <v>661</v>
      </c>
      <c r="C534" s="6">
        <v>45176.661805555559</v>
      </c>
      <c r="D534" s="5" t="s">
        <v>43</v>
      </c>
      <c r="E534" s="5" t="s">
        <v>34</v>
      </c>
      <c r="F534" s="5" t="s">
        <v>24</v>
      </c>
      <c r="G534" s="5" t="s">
        <v>25</v>
      </c>
      <c r="H534" s="5">
        <v>208</v>
      </c>
      <c r="I534" s="5">
        <v>10</v>
      </c>
      <c r="J534" s="5" t="s">
        <v>32</v>
      </c>
      <c r="K534" s="5" t="s">
        <v>27</v>
      </c>
      <c r="L534" s="5" t="s">
        <v>28</v>
      </c>
      <c r="M534" s="7" t="s">
        <v>21</v>
      </c>
      <c r="N534" s="26">
        <f t="shared" si="48"/>
        <v>-1</v>
      </c>
      <c r="O534" s="42">
        <f t="shared" si="49"/>
        <v>45176</v>
      </c>
      <c r="P534" s="5" t="str">
        <f t="shared" si="50"/>
        <v>Thursday</v>
      </c>
      <c r="Q534" s="5">
        <f t="shared" si="51"/>
        <v>15</v>
      </c>
      <c r="R534" s="28">
        <f t="shared" si="52"/>
        <v>0.95412844036697253</v>
      </c>
      <c r="S534" s="29">
        <f t="shared" si="53"/>
        <v>95.412844036697251</v>
      </c>
      <c r="T534" s="5" t="str">
        <f>IF(Delivery_Data[[#This Row],[Delays (min)]]&gt;0,"No","Yes")</f>
        <v>No</v>
      </c>
    </row>
    <row r="535" spans="1:20" ht="15.75" customHeight="1" x14ac:dyDescent="0.3">
      <c r="A535" s="4">
        <v>1534</v>
      </c>
      <c r="B535" s="5" t="s">
        <v>662</v>
      </c>
      <c r="C535" s="6">
        <v>45175.416666666664</v>
      </c>
      <c r="D535" s="5" t="s">
        <v>14</v>
      </c>
      <c r="E535" s="5" t="s">
        <v>151</v>
      </c>
      <c r="F535" s="5" t="s">
        <v>16</v>
      </c>
      <c r="G535" s="5" t="s">
        <v>17</v>
      </c>
      <c r="H535" s="5">
        <v>205</v>
      </c>
      <c r="I535" s="5">
        <v>12</v>
      </c>
      <c r="J535" s="5" t="s">
        <v>18</v>
      </c>
      <c r="K535" s="5" t="s">
        <v>19</v>
      </c>
      <c r="L535" s="5" t="s">
        <v>40</v>
      </c>
      <c r="M535" s="7" t="s">
        <v>21</v>
      </c>
      <c r="N535" s="26">
        <f t="shared" si="48"/>
        <v>0</v>
      </c>
      <c r="O535" s="42">
        <f t="shared" si="49"/>
        <v>45175</v>
      </c>
      <c r="P535" s="5" t="str">
        <f t="shared" si="50"/>
        <v>Wednesday</v>
      </c>
      <c r="Q535" s="5">
        <f t="shared" si="51"/>
        <v>10</v>
      </c>
      <c r="R535" s="28">
        <f t="shared" si="52"/>
        <v>0.9447004608294931</v>
      </c>
      <c r="S535" s="29">
        <f t="shared" si="53"/>
        <v>94.47004608294931</v>
      </c>
      <c r="T535" s="5" t="str">
        <f>IF(Delivery_Data[[#This Row],[Delays (min)]]&gt;0,"No","Yes")</f>
        <v>No</v>
      </c>
    </row>
    <row r="536" spans="1:20" ht="15.75" customHeight="1" x14ac:dyDescent="0.3">
      <c r="A536" s="4">
        <v>1535</v>
      </c>
      <c r="B536" s="5" t="s">
        <v>663</v>
      </c>
      <c r="C536" s="6">
        <v>45176.51458333333</v>
      </c>
      <c r="D536" s="5" t="s">
        <v>14</v>
      </c>
      <c r="E536" s="5" t="s">
        <v>143</v>
      </c>
      <c r="F536" s="5" t="s">
        <v>24</v>
      </c>
      <c r="G536" s="5" t="s">
        <v>31</v>
      </c>
      <c r="H536" s="5">
        <v>228</v>
      </c>
      <c r="I536" s="5">
        <v>11</v>
      </c>
      <c r="J536" s="5" t="s">
        <v>18</v>
      </c>
      <c r="K536" s="5" t="s">
        <v>45</v>
      </c>
      <c r="L536" s="5" t="s">
        <v>28</v>
      </c>
      <c r="M536" s="7" t="s">
        <v>46</v>
      </c>
      <c r="N536" s="26">
        <f t="shared" si="48"/>
        <v>0</v>
      </c>
      <c r="O536" s="42">
        <f t="shared" si="49"/>
        <v>45176</v>
      </c>
      <c r="P536" s="5" t="str">
        <f t="shared" si="50"/>
        <v>Thursday</v>
      </c>
      <c r="Q536" s="5">
        <f t="shared" si="51"/>
        <v>12</v>
      </c>
      <c r="R536" s="28">
        <f t="shared" si="52"/>
        <v>0.95397489539748959</v>
      </c>
      <c r="S536" s="29">
        <f t="shared" si="53"/>
        <v>95.39748953974896</v>
      </c>
      <c r="T536" s="5" t="str">
        <f>IF(Delivery_Data[[#This Row],[Delays (min)]]&gt;0,"No","Yes")</f>
        <v>No</v>
      </c>
    </row>
    <row r="537" spans="1:20" ht="15.75" customHeight="1" x14ac:dyDescent="0.3">
      <c r="A537" s="4">
        <v>1536</v>
      </c>
      <c r="B537" s="5" t="s">
        <v>664</v>
      </c>
      <c r="C537" s="6">
        <v>45171.661805555559</v>
      </c>
      <c r="D537" s="5" t="s">
        <v>14</v>
      </c>
      <c r="E537" s="5" t="s">
        <v>410</v>
      </c>
      <c r="F537" s="5" t="s">
        <v>24</v>
      </c>
      <c r="G537" s="5" t="s">
        <v>31</v>
      </c>
      <c r="H537" s="5">
        <v>191</v>
      </c>
      <c r="I537" s="5">
        <v>7</v>
      </c>
      <c r="J537" s="5" t="s">
        <v>26</v>
      </c>
      <c r="K537" s="5" t="s">
        <v>27</v>
      </c>
      <c r="L537" s="5" t="s">
        <v>40</v>
      </c>
      <c r="M537" s="7" t="s">
        <v>41</v>
      </c>
      <c r="N537" s="26">
        <f t="shared" si="48"/>
        <v>1</v>
      </c>
      <c r="O537" s="42">
        <f t="shared" si="49"/>
        <v>45171</v>
      </c>
      <c r="P537" s="5" t="str">
        <f t="shared" si="50"/>
        <v>Saturday</v>
      </c>
      <c r="Q537" s="5">
        <f t="shared" si="51"/>
        <v>15</v>
      </c>
      <c r="R537" s="28">
        <f t="shared" si="52"/>
        <v>0.96464646464646464</v>
      </c>
      <c r="S537" s="29">
        <f t="shared" si="53"/>
        <v>96.464646464646464</v>
      </c>
      <c r="T537" s="5" t="str">
        <f>IF(Delivery_Data[[#This Row],[Delays (min)]]&gt;0,"No","Yes")</f>
        <v>No</v>
      </c>
    </row>
    <row r="538" spans="1:20" ht="15.75" customHeight="1" x14ac:dyDescent="0.3">
      <c r="A538" s="4">
        <v>1537</v>
      </c>
      <c r="B538" s="5" t="s">
        <v>665</v>
      </c>
      <c r="C538" s="6">
        <v>45170.542361111111</v>
      </c>
      <c r="D538" s="5" t="s">
        <v>14</v>
      </c>
      <c r="E538" s="5" t="s">
        <v>151</v>
      </c>
      <c r="F538" s="5" t="s">
        <v>38</v>
      </c>
      <c r="G538" s="5" t="s">
        <v>56</v>
      </c>
      <c r="H538" s="5">
        <v>195</v>
      </c>
      <c r="I538" s="5">
        <v>23</v>
      </c>
      <c r="J538" s="5" t="s">
        <v>18</v>
      </c>
      <c r="K538" s="5" t="s">
        <v>35</v>
      </c>
      <c r="L538" s="5" t="s">
        <v>20</v>
      </c>
      <c r="M538" s="7" t="s">
        <v>21</v>
      </c>
      <c r="N538" s="26">
        <f t="shared" si="48"/>
        <v>0</v>
      </c>
      <c r="O538" s="42">
        <f t="shared" si="49"/>
        <v>45170</v>
      </c>
      <c r="P538" s="5" t="str">
        <f t="shared" si="50"/>
        <v>Friday</v>
      </c>
      <c r="Q538" s="5">
        <f t="shared" si="51"/>
        <v>13</v>
      </c>
      <c r="R538" s="28">
        <f t="shared" si="52"/>
        <v>0.89449541284403666</v>
      </c>
      <c r="S538" s="29">
        <f t="shared" si="53"/>
        <v>89.449541284403665</v>
      </c>
      <c r="T538" s="5" t="str">
        <f>IF(Delivery_Data[[#This Row],[Delays (min)]]&gt;0,"No","Yes")</f>
        <v>No</v>
      </c>
    </row>
    <row r="539" spans="1:20" ht="15.75" customHeight="1" x14ac:dyDescent="0.3">
      <c r="A539" s="4">
        <v>1538</v>
      </c>
      <c r="B539" s="5" t="s">
        <v>666</v>
      </c>
      <c r="C539" s="6">
        <v>45176.602083333331</v>
      </c>
      <c r="D539" s="5" t="s">
        <v>14</v>
      </c>
      <c r="E539" s="5" t="s">
        <v>281</v>
      </c>
      <c r="F539" s="5" t="s">
        <v>16</v>
      </c>
      <c r="G539" s="5" t="s">
        <v>31</v>
      </c>
      <c r="H539" s="5">
        <v>192</v>
      </c>
      <c r="I539" s="5">
        <v>14</v>
      </c>
      <c r="J539" s="5" t="s">
        <v>18</v>
      </c>
      <c r="K539" s="5" t="s">
        <v>45</v>
      </c>
      <c r="L539" s="5" t="s">
        <v>20</v>
      </c>
      <c r="M539" s="7" t="s">
        <v>21</v>
      </c>
      <c r="N539" s="26">
        <f t="shared" si="48"/>
        <v>0</v>
      </c>
      <c r="O539" s="42">
        <f t="shared" si="49"/>
        <v>45176</v>
      </c>
      <c r="P539" s="5" t="str">
        <f t="shared" si="50"/>
        <v>Thursday</v>
      </c>
      <c r="Q539" s="5">
        <f t="shared" si="51"/>
        <v>14</v>
      </c>
      <c r="R539" s="28">
        <f t="shared" si="52"/>
        <v>0.93203883495145634</v>
      </c>
      <c r="S539" s="29">
        <f t="shared" si="53"/>
        <v>93.203883495145632</v>
      </c>
      <c r="T539" s="5" t="str">
        <f>IF(Delivery_Data[[#This Row],[Delays (min)]]&gt;0,"No","Yes")</f>
        <v>No</v>
      </c>
    </row>
    <row r="540" spans="1:20" ht="15.75" customHeight="1" x14ac:dyDescent="0.3">
      <c r="A540" s="4">
        <v>1539</v>
      </c>
      <c r="B540" s="5" t="s">
        <v>667</v>
      </c>
      <c r="C540" s="6">
        <v>45171.595138888886</v>
      </c>
      <c r="D540" s="5" t="s">
        <v>43</v>
      </c>
      <c r="E540" s="5" t="s">
        <v>111</v>
      </c>
      <c r="F540" s="5" t="s">
        <v>38</v>
      </c>
      <c r="G540" s="5" t="s">
        <v>25</v>
      </c>
      <c r="H540" s="5">
        <v>173</v>
      </c>
      <c r="I540" s="5">
        <v>17</v>
      </c>
      <c r="J540" s="5" t="s">
        <v>18</v>
      </c>
      <c r="K540" s="5" t="s">
        <v>49</v>
      </c>
      <c r="L540" s="5" t="s">
        <v>28</v>
      </c>
      <c r="M540" s="7" t="s">
        <v>21</v>
      </c>
      <c r="N540" s="26">
        <f t="shared" si="48"/>
        <v>0</v>
      </c>
      <c r="O540" s="42">
        <f t="shared" si="49"/>
        <v>45171</v>
      </c>
      <c r="P540" s="5" t="str">
        <f t="shared" si="50"/>
        <v>Saturday</v>
      </c>
      <c r="Q540" s="5">
        <f t="shared" si="51"/>
        <v>14</v>
      </c>
      <c r="R540" s="28">
        <f t="shared" si="52"/>
        <v>0.91052631578947374</v>
      </c>
      <c r="S540" s="29">
        <f t="shared" si="53"/>
        <v>91.05263157894737</v>
      </c>
      <c r="T540" s="5" t="str">
        <f>IF(Delivery_Data[[#This Row],[Delays (min)]]&gt;0,"No","Yes")</f>
        <v>No</v>
      </c>
    </row>
    <row r="541" spans="1:20" ht="15.75" customHeight="1" x14ac:dyDescent="0.3">
      <c r="A541" s="4">
        <v>1540</v>
      </c>
      <c r="B541" s="5" t="s">
        <v>668</v>
      </c>
      <c r="C541" s="6">
        <v>45176.375</v>
      </c>
      <c r="D541" s="5" t="s">
        <v>43</v>
      </c>
      <c r="E541" s="5" t="s">
        <v>197</v>
      </c>
      <c r="F541" s="5" t="s">
        <v>16</v>
      </c>
      <c r="G541" s="5" t="s">
        <v>56</v>
      </c>
      <c r="H541" s="5">
        <v>231</v>
      </c>
      <c r="I541" s="5">
        <v>16</v>
      </c>
      <c r="J541" s="5" t="s">
        <v>26</v>
      </c>
      <c r="K541" s="5" t="s">
        <v>19</v>
      </c>
      <c r="L541" s="5" t="s">
        <v>40</v>
      </c>
      <c r="M541" s="7" t="s">
        <v>41</v>
      </c>
      <c r="N541" s="26">
        <f t="shared" si="48"/>
        <v>1</v>
      </c>
      <c r="O541" s="42">
        <f t="shared" si="49"/>
        <v>45176</v>
      </c>
      <c r="P541" s="5" t="str">
        <f t="shared" si="50"/>
        <v>Thursday</v>
      </c>
      <c r="Q541" s="5">
        <f t="shared" si="51"/>
        <v>9</v>
      </c>
      <c r="R541" s="28">
        <f t="shared" si="52"/>
        <v>0.93522267206477738</v>
      </c>
      <c r="S541" s="29">
        <f t="shared" si="53"/>
        <v>93.522267206477736</v>
      </c>
      <c r="T541" s="5" t="str">
        <f>IF(Delivery_Data[[#This Row],[Delays (min)]]&gt;0,"No","Yes")</f>
        <v>No</v>
      </c>
    </row>
    <row r="542" spans="1:20" ht="15.75" customHeight="1" x14ac:dyDescent="0.3">
      <c r="A542" s="4">
        <v>1541</v>
      </c>
      <c r="B542" s="5" t="s">
        <v>669</v>
      </c>
      <c r="C542" s="6">
        <v>45171.554861111108</v>
      </c>
      <c r="D542" s="5" t="s">
        <v>43</v>
      </c>
      <c r="E542" s="5" t="s">
        <v>30</v>
      </c>
      <c r="F542" s="5" t="s">
        <v>38</v>
      </c>
      <c r="G542" s="5" t="s">
        <v>31</v>
      </c>
      <c r="H542" s="5">
        <v>138</v>
      </c>
      <c r="I542" s="5">
        <v>3</v>
      </c>
      <c r="J542" s="5" t="s">
        <v>18</v>
      </c>
      <c r="K542" s="5" t="s">
        <v>45</v>
      </c>
      <c r="L542" s="5" t="s">
        <v>20</v>
      </c>
      <c r="M542" s="7" t="s">
        <v>46</v>
      </c>
      <c r="N542" s="26">
        <f t="shared" si="48"/>
        <v>0</v>
      </c>
      <c r="O542" s="42">
        <f t="shared" si="49"/>
        <v>45171</v>
      </c>
      <c r="P542" s="5" t="str">
        <f t="shared" si="50"/>
        <v>Saturday</v>
      </c>
      <c r="Q542" s="5">
        <f t="shared" si="51"/>
        <v>13</v>
      </c>
      <c r="R542" s="28">
        <f t="shared" si="52"/>
        <v>0.97872340425531912</v>
      </c>
      <c r="S542" s="29">
        <f t="shared" si="53"/>
        <v>97.872340425531917</v>
      </c>
      <c r="T542" s="5" t="str">
        <f>IF(Delivery_Data[[#This Row],[Delays (min)]]&gt;0,"No","Yes")</f>
        <v>No</v>
      </c>
    </row>
    <row r="543" spans="1:20" ht="15.75" customHeight="1" x14ac:dyDescent="0.3">
      <c r="A543" s="4">
        <v>1542</v>
      </c>
      <c r="B543" s="5" t="s">
        <v>670</v>
      </c>
      <c r="C543" s="6">
        <v>45173.40625</v>
      </c>
      <c r="D543" s="5" t="s">
        <v>43</v>
      </c>
      <c r="E543" s="5" t="s">
        <v>115</v>
      </c>
      <c r="F543" s="5" t="s">
        <v>24</v>
      </c>
      <c r="G543" s="5" t="s">
        <v>31</v>
      </c>
      <c r="H543" s="5">
        <v>87</v>
      </c>
      <c r="I543" s="5">
        <v>28</v>
      </c>
      <c r="J543" s="5" t="s">
        <v>32</v>
      </c>
      <c r="K543" s="5" t="s">
        <v>19</v>
      </c>
      <c r="L543" s="5" t="s">
        <v>28</v>
      </c>
      <c r="M543" s="7" t="s">
        <v>46</v>
      </c>
      <c r="N543" s="26">
        <f t="shared" si="48"/>
        <v>-1</v>
      </c>
      <c r="O543" s="42">
        <f t="shared" si="49"/>
        <v>45173</v>
      </c>
      <c r="P543" s="5" t="str">
        <f t="shared" si="50"/>
        <v>Monday</v>
      </c>
      <c r="Q543" s="5">
        <f t="shared" si="51"/>
        <v>9</v>
      </c>
      <c r="R543" s="28">
        <f t="shared" si="52"/>
        <v>0.75652173913043474</v>
      </c>
      <c r="S543" s="29">
        <f t="shared" si="53"/>
        <v>75.65217391304347</v>
      </c>
      <c r="T543" s="5" t="str">
        <f>IF(Delivery_Data[[#This Row],[Delays (min)]]&gt;0,"No","Yes")</f>
        <v>No</v>
      </c>
    </row>
    <row r="544" spans="1:20" ht="15.75" customHeight="1" x14ac:dyDescent="0.3">
      <c r="A544" s="4">
        <v>1543</v>
      </c>
      <c r="B544" s="5" t="s">
        <v>671</v>
      </c>
      <c r="C544" s="6">
        <v>45177.5</v>
      </c>
      <c r="D544" s="5" t="s">
        <v>14</v>
      </c>
      <c r="E544" s="5" t="s">
        <v>270</v>
      </c>
      <c r="F544" s="5" t="s">
        <v>16</v>
      </c>
      <c r="G544" s="5" t="s">
        <v>25</v>
      </c>
      <c r="H544" s="5">
        <v>123</v>
      </c>
      <c r="I544" s="5">
        <v>10</v>
      </c>
      <c r="J544" s="5" t="s">
        <v>32</v>
      </c>
      <c r="K544" s="5" t="s">
        <v>27</v>
      </c>
      <c r="L544" s="5" t="s">
        <v>40</v>
      </c>
      <c r="M544" s="7" t="s">
        <v>46</v>
      </c>
      <c r="N544" s="26">
        <f t="shared" si="48"/>
        <v>-1</v>
      </c>
      <c r="O544" s="42">
        <f t="shared" si="49"/>
        <v>45177</v>
      </c>
      <c r="P544" s="5" t="str">
        <f t="shared" si="50"/>
        <v>Friday</v>
      </c>
      <c r="Q544" s="5">
        <f t="shared" si="51"/>
        <v>12</v>
      </c>
      <c r="R544" s="28">
        <f t="shared" si="52"/>
        <v>0.92481203007518797</v>
      </c>
      <c r="S544" s="29">
        <f t="shared" si="53"/>
        <v>92.481203007518801</v>
      </c>
      <c r="T544" s="5" t="str">
        <f>IF(Delivery_Data[[#This Row],[Delays (min)]]&gt;0,"No","Yes")</f>
        <v>No</v>
      </c>
    </row>
    <row r="545" spans="1:20" ht="15.75" customHeight="1" x14ac:dyDescent="0.3">
      <c r="A545" s="4">
        <v>1544</v>
      </c>
      <c r="B545" s="5" t="s">
        <v>672</v>
      </c>
      <c r="C545" s="6">
        <v>45171.680555555555</v>
      </c>
      <c r="D545" s="5" t="s">
        <v>14</v>
      </c>
      <c r="E545" s="5" t="s">
        <v>171</v>
      </c>
      <c r="F545" s="5" t="s">
        <v>38</v>
      </c>
      <c r="G545" s="5" t="s">
        <v>39</v>
      </c>
      <c r="H545" s="5">
        <v>179</v>
      </c>
      <c r="I545" s="5">
        <v>9</v>
      </c>
      <c r="J545" s="5" t="s">
        <v>32</v>
      </c>
      <c r="K545" s="5" t="s">
        <v>49</v>
      </c>
      <c r="L545" s="5" t="s">
        <v>20</v>
      </c>
      <c r="M545" s="7" t="s">
        <v>46</v>
      </c>
      <c r="N545" s="26">
        <f t="shared" si="48"/>
        <v>-1</v>
      </c>
      <c r="O545" s="42">
        <f t="shared" si="49"/>
        <v>45171</v>
      </c>
      <c r="P545" s="5" t="str">
        <f t="shared" si="50"/>
        <v>Saturday</v>
      </c>
      <c r="Q545" s="5">
        <f t="shared" si="51"/>
        <v>16</v>
      </c>
      <c r="R545" s="28">
        <f t="shared" si="52"/>
        <v>0.9521276595744681</v>
      </c>
      <c r="S545" s="29">
        <f t="shared" si="53"/>
        <v>95.212765957446805</v>
      </c>
      <c r="T545" s="5" t="str">
        <f>IF(Delivery_Data[[#This Row],[Delays (min)]]&gt;0,"No","Yes")</f>
        <v>No</v>
      </c>
    </row>
    <row r="546" spans="1:20" ht="15.75" customHeight="1" x14ac:dyDescent="0.3">
      <c r="A546" s="4">
        <v>1545</v>
      </c>
      <c r="B546" s="5" t="s">
        <v>673</v>
      </c>
      <c r="C546" s="6">
        <v>45174.61041666667</v>
      </c>
      <c r="D546" s="5" t="s">
        <v>43</v>
      </c>
      <c r="E546" s="5" t="s">
        <v>156</v>
      </c>
      <c r="F546" s="5" t="s">
        <v>38</v>
      </c>
      <c r="G546" s="5" t="s">
        <v>39</v>
      </c>
      <c r="H546" s="5">
        <v>198</v>
      </c>
      <c r="I546" s="5">
        <v>0</v>
      </c>
      <c r="J546" s="5" t="s">
        <v>18</v>
      </c>
      <c r="K546" s="5" t="s">
        <v>49</v>
      </c>
      <c r="L546" s="5" t="s">
        <v>20</v>
      </c>
      <c r="M546" s="7" t="s">
        <v>21</v>
      </c>
      <c r="N546" s="26">
        <f t="shared" si="48"/>
        <v>0</v>
      </c>
      <c r="O546" s="42">
        <f t="shared" si="49"/>
        <v>45174</v>
      </c>
      <c r="P546" s="5" t="str">
        <f t="shared" si="50"/>
        <v>Tuesday</v>
      </c>
      <c r="Q546" s="5">
        <f t="shared" si="51"/>
        <v>14</v>
      </c>
      <c r="R546" s="28">
        <f t="shared" si="52"/>
        <v>1</v>
      </c>
      <c r="S546" s="29">
        <f t="shared" si="53"/>
        <v>100</v>
      </c>
      <c r="T546" s="5" t="str">
        <f>IF(Delivery_Data[[#This Row],[Delays (min)]]&gt;0,"No","Yes")</f>
        <v>Yes</v>
      </c>
    </row>
    <row r="547" spans="1:20" ht="15.75" customHeight="1" x14ac:dyDescent="0.3">
      <c r="A547" s="4">
        <v>1546</v>
      </c>
      <c r="B547" s="5" t="s">
        <v>674</v>
      </c>
      <c r="C547" s="6">
        <v>45170.626388888886</v>
      </c>
      <c r="D547" s="5" t="s">
        <v>43</v>
      </c>
      <c r="E547" s="5" t="s">
        <v>55</v>
      </c>
      <c r="F547" s="5" t="s">
        <v>24</v>
      </c>
      <c r="G547" s="5" t="s">
        <v>25</v>
      </c>
      <c r="H547" s="5">
        <v>130</v>
      </c>
      <c r="I547" s="5">
        <v>3</v>
      </c>
      <c r="J547" s="5" t="s">
        <v>18</v>
      </c>
      <c r="K547" s="5" t="s">
        <v>19</v>
      </c>
      <c r="L547" s="5" t="s">
        <v>40</v>
      </c>
      <c r="M547" s="7" t="s">
        <v>41</v>
      </c>
      <c r="N547" s="26">
        <f t="shared" si="48"/>
        <v>0</v>
      </c>
      <c r="O547" s="42">
        <f t="shared" si="49"/>
        <v>45170</v>
      </c>
      <c r="P547" s="5" t="str">
        <f t="shared" si="50"/>
        <v>Friday</v>
      </c>
      <c r="Q547" s="5">
        <f t="shared" si="51"/>
        <v>15</v>
      </c>
      <c r="R547" s="28">
        <f t="shared" si="52"/>
        <v>0.97744360902255634</v>
      </c>
      <c r="S547" s="29">
        <f t="shared" si="53"/>
        <v>97.744360902255636</v>
      </c>
      <c r="T547" s="5" t="str">
        <f>IF(Delivery_Data[[#This Row],[Delays (min)]]&gt;0,"No","Yes")</f>
        <v>No</v>
      </c>
    </row>
    <row r="548" spans="1:20" ht="15.75" customHeight="1" x14ac:dyDescent="0.3">
      <c r="A548" s="4">
        <v>1547</v>
      </c>
      <c r="B548" s="5" t="s">
        <v>675</v>
      </c>
      <c r="C548" s="6">
        <v>45173.575694444444</v>
      </c>
      <c r="D548" s="5" t="s">
        <v>14</v>
      </c>
      <c r="E548" s="5" t="s">
        <v>166</v>
      </c>
      <c r="F548" s="5" t="s">
        <v>38</v>
      </c>
      <c r="G548" s="5" t="s">
        <v>17</v>
      </c>
      <c r="H548" s="5">
        <v>205</v>
      </c>
      <c r="I548" s="5">
        <v>29</v>
      </c>
      <c r="J548" s="5" t="s">
        <v>18</v>
      </c>
      <c r="K548" s="5" t="s">
        <v>45</v>
      </c>
      <c r="L548" s="5" t="s">
        <v>40</v>
      </c>
      <c r="M548" s="7" t="s">
        <v>21</v>
      </c>
      <c r="N548" s="26">
        <f t="shared" si="48"/>
        <v>0</v>
      </c>
      <c r="O548" s="42">
        <f t="shared" si="49"/>
        <v>45173</v>
      </c>
      <c r="P548" s="5" t="str">
        <f t="shared" si="50"/>
        <v>Monday</v>
      </c>
      <c r="Q548" s="5">
        <f t="shared" si="51"/>
        <v>13</v>
      </c>
      <c r="R548" s="28">
        <f t="shared" si="52"/>
        <v>0.87606837606837606</v>
      </c>
      <c r="S548" s="29">
        <f t="shared" si="53"/>
        <v>87.606837606837601</v>
      </c>
      <c r="T548" s="5" t="str">
        <f>IF(Delivery_Data[[#This Row],[Delays (min)]]&gt;0,"No","Yes")</f>
        <v>No</v>
      </c>
    </row>
    <row r="549" spans="1:20" ht="15.75" customHeight="1" x14ac:dyDescent="0.3">
      <c r="A549" s="4">
        <v>1548</v>
      </c>
      <c r="B549" s="5" t="s">
        <v>676</v>
      </c>
      <c r="C549" s="6">
        <v>45173.601388888892</v>
      </c>
      <c r="D549" s="5" t="s">
        <v>14</v>
      </c>
      <c r="E549" s="5" t="s">
        <v>202</v>
      </c>
      <c r="F549" s="5" t="s">
        <v>38</v>
      </c>
      <c r="G549" s="5" t="s">
        <v>39</v>
      </c>
      <c r="H549" s="5">
        <v>62</v>
      </c>
      <c r="I549" s="5">
        <v>25</v>
      </c>
      <c r="J549" s="5" t="s">
        <v>32</v>
      </c>
      <c r="K549" s="5" t="s">
        <v>49</v>
      </c>
      <c r="L549" s="5" t="s">
        <v>28</v>
      </c>
      <c r="M549" s="7" t="s">
        <v>46</v>
      </c>
      <c r="N549" s="26">
        <f t="shared" si="48"/>
        <v>-1</v>
      </c>
      <c r="O549" s="42">
        <f t="shared" si="49"/>
        <v>45173</v>
      </c>
      <c r="P549" s="5" t="str">
        <f t="shared" si="50"/>
        <v>Monday</v>
      </c>
      <c r="Q549" s="5">
        <f t="shared" si="51"/>
        <v>14</v>
      </c>
      <c r="R549" s="28">
        <f t="shared" si="52"/>
        <v>0.71264367816091956</v>
      </c>
      <c r="S549" s="29">
        <f t="shared" si="53"/>
        <v>71.264367816091962</v>
      </c>
      <c r="T549" s="5" t="str">
        <f>IF(Delivery_Data[[#This Row],[Delays (min)]]&gt;0,"No","Yes")</f>
        <v>No</v>
      </c>
    </row>
    <row r="550" spans="1:20" ht="15.75" customHeight="1" x14ac:dyDescent="0.3">
      <c r="A550" s="4">
        <v>1549</v>
      </c>
      <c r="B550" s="5" t="s">
        <v>677</v>
      </c>
      <c r="C550" s="6">
        <v>45172.524305555555</v>
      </c>
      <c r="D550" s="5" t="s">
        <v>43</v>
      </c>
      <c r="E550" s="5" t="s">
        <v>410</v>
      </c>
      <c r="F550" s="5" t="s">
        <v>38</v>
      </c>
      <c r="G550" s="5" t="s">
        <v>31</v>
      </c>
      <c r="H550" s="5">
        <v>75</v>
      </c>
      <c r="I550" s="5">
        <v>4</v>
      </c>
      <c r="J550" s="5" t="s">
        <v>32</v>
      </c>
      <c r="K550" s="5" t="s">
        <v>35</v>
      </c>
      <c r="L550" s="5" t="s">
        <v>28</v>
      </c>
      <c r="M550" s="7" t="s">
        <v>41</v>
      </c>
      <c r="N550" s="26">
        <f t="shared" si="48"/>
        <v>-1</v>
      </c>
      <c r="O550" s="42">
        <f t="shared" si="49"/>
        <v>45172</v>
      </c>
      <c r="P550" s="5" t="str">
        <f t="shared" si="50"/>
        <v>Sunday</v>
      </c>
      <c r="Q550" s="5">
        <f t="shared" si="51"/>
        <v>12</v>
      </c>
      <c r="R550" s="28">
        <f t="shared" si="52"/>
        <v>0.94936708860759489</v>
      </c>
      <c r="S550" s="29">
        <f t="shared" si="53"/>
        <v>94.936708860759495</v>
      </c>
      <c r="T550" s="5" t="str">
        <f>IF(Delivery_Data[[#This Row],[Delays (min)]]&gt;0,"No","Yes")</f>
        <v>No</v>
      </c>
    </row>
    <row r="551" spans="1:20" ht="15.75" customHeight="1" x14ac:dyDescent="0.3">
      <c r="A551" s="4">
        <v>1550</v>
      </c>
      <c r="B551" s="5" t="s">
        <v>678</v>
      </c>
      <c r="C551" s="6">
        <v>45176.606944444444</v>
      </c>
      <c r="D551" s="5" t="s">
        <v>14</v>
      </c>
      <c r="E551" s="5" t="s">
        <v>301</v>
      </c>
      <c r="F551" s="5" t="s">
        <v>38</v>
      </c>
      <c r="G551" s="5" t="s">
        <v>56</v>
      </c>
      <c r="H551" s="5">
        <v>72</v>
      </c>
      <c r="I551" s="5">
        <v>26</v>
      </c>
      <c r="J551" s="5" t="s">
        <v>26</v>
      </c>
      <c r="K551" s="5" t="s">
        <v>19</v>
      </c>
      <c r="L551" s="5" t="s">
        <v>20</v>
      </c>
      <c r="M551" s="7" t="s">
        <v>41</v>
      </c>
      <c r="N551" s="26">
        <f t="shared" si="48"/>
        <v>1</v>
      </c>
      <c r="O551" s="42">
        <f t="shared" si="49"/>
        <v>45176</v>
      </c>
      <c r="P551" s="5" t="str">
        <f t="shared" si="50"/>
        <v>Thursday</v>
      </c>
      <c r="Q551" s="5">
        <f t="shared" si="51"/>
        <v>14</v>
      </c>
      <c r="R551" s="28">
        <f t="shared" si="52"/>
        <v>0.73469387755102045</v>
      </c>
      <c r="S551" s="29">
        <f t="shared" si="53"/>
        <v>73.469387755102048</v>
      </c>
      <c r="T551" s="5" t="str">
        <f>IF(Delivery_Data[[#This Row],[Delays (min)]]&gt;0,"No","Yes")</f>
        <v>No</v>
      </c>
    </row>
    <row r="552" spans="1:20" ht="15.75" customHeight="1" x14ac:dyDescent="0.3">
      <c r="A552" s="4">
        <v>1551</v>
      </c>
      <c r="B552" s="5" t="s">
        <v>679</v>
      </c>
      <c r="C552" s="6">
        <v>45177.433333333334</v>
      </c>
      <c r="D552" s="5" t="s">
        <v>43</v>
      </c>
      <c r="E552" s="5" t="s">
        <v>135</v>
      </c>
      <c r="F552" s="5" t="s">
        <v>16</v>
      </c>
      <c r="G552" s="5" t="s">
        <v>56</v>
      </c>
      <c r="H552" s="5">
        <v>173</v>
      </c>
      <c r="I552" s="5">
        <v>4</v>
      </c>
      <c r="J552" s="5" t="s">
        <v>32</v>
      </c>
      <c r="K552" s="5" t="s">
        <v>27</v>
      </c>
      <c r="L552" s="5" t="s">
        <v>40</v>
      </c>
      <c r="M552" s="7" t="s">
        <v>21</v>
      </c>
      <c r="N552" s="26">
        <f t="shared" si="48"/>
        <v>-1</v>
      </c>
      <c r="O552" s="42">
        <f t="shared" si="49"/>
        <v>45177</v>
      </c>
      <c r="P552" s="5" t="str">
        <f t="shared" si="50"/>
        <v>Friday</v>
      </c>
      <c r="Q552" s="5">
        <f t="shared" si="51"/>
        <v>10</v>
      </c>
      <c r="R552" s="28">
        <f t="shared" si="52"/>
        <v>0.97740112994350281</v>
      </c>
      <c r="S552" s="29">
        <f t="shared" si="53"/>
        <v>97.740112994350284</v>
      </c>
      <c r="T552" s="5" t="str">
        <f>IF(Delivery_Data[[#This Row],[Delays (min)]]&gt;0,"No","Yes")</f>
        <v>No</v>
      </c>
    </row>
    <row r="553" spans="1:20" ht="15.75" customHeight="1" x14ac:dyDescent="0.3">
      <c r="A553" s="4">
        <v>1552</v>
      </c>
      <c r="B553" s="5" t="s">
        <v>680</v>
      </c>
      <c r="C553" s="6">
        <v>45173.356249999997</v>
      </c>
      <c r="D553" s="5" t="s">
        <v>14</v>
      </c>
      <c r="E553" s="5" t="s">
        <v>288</v>
      </c>
      <c r="F553" s="5" t="s">
        <v>38</v>
      </c>
      <c r="G553" s="5" t="s">
        <v>25</v>
      </c>
      <c r="H553" s="5">
        <v>101</v>
      </c>
      <c r="I553" s="5">
        <v>8</v>
      </c>
      <c r="J553" s="5" t="s">
        <v>26</v>
      </c>
      <c r="K553" s="5" t="s">
        <v>45</v>
      </c>
      <c r="L553" s="5" t="s">
        <v>40</v>
      </c>
      <c r="M553" s="7" t="s">
        <v>21</v>
      </c>
      <c r="N553" s="26">
        <f t="shared" si="48"/>
        <v>1</v>
      </c>
      <c r="O553" s="42">
        <f t="shared" si="49"/>
        <v>45173</v>
      </c>
      <c r="P553" s="5" t="str">
        <f t="shared" si="50"/>
        <v>Monday</v>
      </c>
      <c r="Q553" s="5">
        <f t="shared" si="51"/>
        <v>8</v>
      </c>
      <c r="R553" s="28">
        <f t="shared" si="52"/>
        <v>0.92660550458715596</v>
      </c>
      <c r="S553" s="29">
        <f t="shared" si="53"/>
        <v>92.660550458715591</v>
      </c>
      <c r="T553" s="5" t="str">
        <f>IF(Delivery_Data[[#This Row],[Delays (min)]]&gt;0,"No","Yes")</f>
        <v>No</v>
      </c>
    </row>
    <row r="554" spans="1:20" ht="15.75" customHeight="1" x14ac:dyDescent="0.3">
      <c r="A554" s="4">
        <v>1553</v>
      </c>
      <c r="B554" s="5" t="s">
        <v>681</v>
      </c>
      <c r="C554" s="6">
        <v>45171.685416666667</v>
      </c>
      <c r="D554" s="5" t="s">
        <v>14</v>
      </c>
      <c r="E554" s="5" t="s">
        <v>132</v>
      </c>
      <c r="F554" s="5" t="s">
        <v>38</v>
      </c>
      <c r="G554" s="5" t="s">
        <v>31</v>
      </c>
      <c r="H554" s="5">
        <v>187</v>
      </c>
      <c r="I554" s="5">
        <v>2</v>
      </c>
      <c r="J554" s="5" t="s">
        <v>32</v>
      </c>
      <c r="K554" s="5" t="s">
        <v>45</v>
      </c>
      <c r="L554" s="5" t="s">
        <v>20</v>
      </c>
      <c r="M554" s="7" t="s">
        <v>21</v>
      </c>
      <c r="N554" s="26">
        <f t="shared" si="48"/>
        <v>-1</v>
      </c>
      <c r="O554" s="42">
        <f t="shared" si="49"/>
        <v>45171</v>
      </c>
      <c r="P554" s="5" t="str">
        <f t="shared" si="50"/>
        <v>Saturday</v>
      </c>
      <c r="Q554" s="5">
        <f t="shared" si="51"/>
        <v>16</v>
      </c>
      <c r="R554" s="28">
        <f t="shared" si="52"/>
        <v>0.98941798941798942</v>
      </c>
      <c r="S554" s="29">
        <f t="shared" si="53"/>
        <v>98.941798941798936</v>
      </c>
      <c r="T554" s="5" t="str">
        <f>IF(Delivery_Data[[#This Row],[Delays (min)]]&gt;0,"No","Yes")</f>
        <v>No</v>
      </c>
    </row>
    <row r="555" spans="1:20" ht="15.75" customHeight="1" x14ac:dyDescent="0.3">
      <c r="A555" s="4">
        <v>1554</v>
      </c>
      <c r="B555" s="5" t="s">
        <v>682</v>
      </c>
      <c r="C555" s="6">
        <v>45177.647916666669</v>
      </c>
      <c r="D555" s="5" t="s">
        <v>43</v>
      </c>
      <c r="E555" s="5" t="s">
        <v>311</v>
      </c>
      <c r="F555" s="5" t="s">
        <v>38</v>
      </c>
      <c r="G555" s="5" t="s">
        <v>39</v>
      </c>
      <c r="H555" s="5">
        <v>179</v>
      </c>
      <c r="I555" s="5">
        <v>0</v>
      </c>
      <c r="J555" s="5" t="s">
        <v>18</v>
      </c>
      <c r="K555" s="5" t="s">
        <v>19</v>
      </c>
      <c r="L555" s="5" t="s">
        <v>40</v>
      </c>
      <c r="M555" s="7" t="s">
        <v>46</v>
      </c>
      <c r="N555" s="26">
        <f t="shared" si="48"/>
        <v>0</v>
      </c>
      <c r="O555" s="42">
        <f t="shared" si="49"/>
        <v>45177</v>
      </c>
      <c r="P555" s="5" t="str">
        <f t="shared" si="50"/>
        <v>Friday</v>
      </c>
      <c r="Q555" s="5">
        <f t="shared" si="51"/>
        <v>15</v>
      </c>
      <c r="R555" s="28">
        <f t="shared" si="52"/>
        <v>1</v>
      </c>
      <c r="S555" s="29">
        <f t="shared" si="53"/>
        <v>100</v>
      </c>
      <c r="T555" s="5" t="str">
        <f>IF(Delivery_Data[[#This Row],[Delays (min)]]&gt;0,"No","Yes")</f>
        <v>Yes</v>
      </c>
    </row>
    <row r="556" spans="1:20" ht="15.75" customHeight="1" x14ac:dyDescent="0.3">
      <c r="A556" s="4">
        <v>1555</v>
      </c>
      <c r="B556" s="5" t="s">
        <v>683</v>
      </c>
      <c r="C556" s="6">
        <v>45170.390972222223</v>
      </c>
      <c r="D556" s="5" t="s">
        <v>14</v>
      </c>
      <c r="E556" s="5" t="s">
        <v>76</v>
      </c>
      <c r="F556" s="5" t="s">
        <v>24</v>
      </c>
      <c r="G556" s="5" t="s">
        <v>25</v>
      </c>
      <c r="H556" s="5">
        <v>222</v>
      </c>
      <c r="I556" s="5">
        <v>2</v>
      </c>
      <c r="J556" s="5" t="s">
        <v>32</v>
      </c>
      <c r="K556" s="5" t="s">
        <v>27</v>
      </c>
      <c r="L556" s="5" t="s">
        <v>20</v>
      </c>
      <c r="M556" s="7" t="s">
        <v>41</v>
      </c>
      <c r="N556" s="26">
        <f t="shared" si="48"/>
        <v>-1</v>
      </c>
      <c r="O556" s="42">
        <f t="shared" si="49"/>
        <v>45170</v>
      </c>
      <c r="P556" s="5" t="str">
        <f t="shared" si="50"/>
        <v>Friday</v>
      </c>
      <c r="Q556" s="5">
        <f t="shared" si="51"/>
        <v>9</v>
      </c>
      <c r="R556" s="28">
        <f t="shared" si="52"/>
        <v>0.9910714285714286</v>
      </c>
      <c r="S556" s="29">
        <f t="shared" si="53"/>
        <v>99.107142857142861</v>
      </c>
      <c r="T556" s="5" t="str">
        <f>IF(Delivery_Data[[#This Row],[Delays (min)]]&gt;0,"No","Yes")</f>
        <v>No</v>
      </c>
    </row>
    <row r="557" spans="1:20" ht="15.75" customHeight="1" x14ac:dyDescent="0.3">
      <c r="A557" s="4">
        <v>1556</v>
      </c>
      <c r="B557" s="5" t="s">
        <v>684</v>
      </c>
      <c r="C557" s="6">
        <v>45176.57708333333</v>
      </c>
      <c r="D557" s="5" t="s">
        <v>14</v>
      </c>
      <c r="E557" s="5" t="s">
        <v>311</v>
      </c>
      <c r="F557" s="5" t="s">
        <v>38</v>
      </c>
      <c r="G557" s="5" t="s">
        <v>25</v>
      </c>
      <c r="H557" s="5">
        <v>106</v>
      </c>
      <c r="I557" s="5">
        <v>13</v>
      </c>
      <c r="J557" s="5" t="s">
        <v>32</v>
      </c>
      <c r="K557" s="5" t="s">
        <v>35</v>
      </c>
      <c r="L557" s="5" t="s">
        <v>40</v>
      </c>
      <c r="M557" s="7" t="s">
        <v>41</v>
      </c>
      <c r="N557" s="26">
        <f t="shared" si="48"/>
        <v>-1</v>
      </c>
      <c r="O557" s="42">
        <f t="shared" si="49"/>
        <v>45176</v>
      </c>
      <c r="P557" s="5" t="str">
        <f t="shared" si="50"/>
        <v>Thursday</v>
      </c>
      <c r="Q557" s="5">
        <f t="shared" si="51"/>
        <v>13</v>
      </c>
      <c r="R557" s="28">
        <f t="shared" si="52"/>
        <v>0.89075630252100846</v>
      </c>
      <c r="S557" s="29">
        <f t="shared" si="53"/>
        <v>89.075630252100851</v>
      </c>
      <c r="T557" s="5" t="str">
        <f>IF(Delivery_Data[[#This Row],[Delays (min)]]&gt;0,"No","Yes")</f>
        <v>No</v>
      </c>
    </row>
    <row r="558" spans="1:20" ht="15.75" customHeight="1" x14ac:dyDescent="0.3">
      <c r="A558" s="4">
        <v>1557</v>
      </c>
      <c r="B558" s="5" t="s">
        <v>685</v>
      </c>
      <c r="C558" s="6">
        <v>45177.432638888888</v>
      </c>
      <c r="D558" s="5" t="s">
        <v>43</v>
      </c>
      <c r="E558" s="5" t="s">
        <v>228</v>
      </c>
      <c r="F558" s="5" t="s">
        <v>16</v>
      </c>
      <c r="G558" s="5" t="s">
        <v>56</v>
      </c>
      <c r="H558" s="5">
        <v>75</v>
      </c>
      <c r="I558" s="5">
        <v>13</v>
      </c>
      <c r="J558" s="5" t="s">
        <v>18</v>
      </c>
      <c r="K558" s="5" t="s">
        <v>27</v>
      </c>
      <c r="L558" s="5" t="s">
        <v>20</v>
      </c>
      <c r="M558" s="7" t="s">
        <v>41</v>
      </c>
      <c r="N558" s="26">
        <f t="shared" si="48"/>
        <v>0</v>
      </c>
      <c r="O558" s="42">
        <f t="shared" si="49"/>
        <v>45177</v>
      </c>
      <c r="P558" s="5" t="str">
        <f t="shared" si="50"/>
        <v>Friday</v>
      </c>
      <c r="Q558" s="5">
        <f t="shared" si="51"/>
        <v>10</v>
      </c>
      <c r="R558" s="28">
        <f t="shared" si="52"/>
        <v>0.85227272727272729</v>
      </c>
      <c r="S558" s="29">
        <f t="shared" si="53"/>
        <v>85.227272727272734</v>
      </c>
      <c r="T558" s="5" t="str">
        <f>IF(Delivery_Data[[#This Row],[Delays (min)]]&gt;0,"No","Yes")</f>
        <v>No</v>
      </c>
    </row>
    <row r="559" spans="1:20" ht="15.75" customHeight="1" x14ac:dyDescent="0.3">
      <c r="A559" s="4">
        <v>1558</v>
      </c>
      <c r="B559" s="5" t="s">
        <v>686</v>
      </c>
      <c r="C559" s="6">
        <v>45177.4</v>
      </c>
      <c r="D559" s="5" t="s">
        <v>14</v>
      </c>
      <c r="E559" s="5" t="s">
        <v>220</v>
      </c>
      <c r="F559" s="5" t="s">
        <v>38</v>
      </c>
      <c r="G559" s="5" t="s">
        <v>17</v>
      </c>
      <c r="H559" s="5">
        <v>170</v>
      </c>
      <c r="I559" s="5">
        <v>29</v>
      </c>
      <c r="J559" s="5" t="s">
        <v>32</v>
      </c>
      <c r="K559" s="5" t="s">
        <v>27</v>
      </c>
      <c r="L559" s="5" t="s">
        <v>28</v>
      </c>
      <c r="M559" s="7" t="s">
        <v>41</v>
      </c>
      <c r="N559" s="26">
        <f t="shared" si="48"/>
        <v>-1</v>
      </c>
      <c r="O559" s="42">
        <f t="shared" si="49"/>
        <v>45177</v>
      </c>
      <c r="P559" s="5" t="str">
        <f t="shared" si="50"/>
        <v>Friday</v>
      </c>
      <c r="Q559" s="5">
        <f t="shared" si="51"/>
        <v>9</v>
      </c>
      <c r="R559" s="28">
        <f t="shared" si="52"/>
        <v>0.85427135678391963</v>
      </c>
      <c r="S559" s="29">
        <f t="shared" si="53"/>
        <v>85.427135678391963</v>
      </c>
      <c r="T559" s="5" t="str">
        <f>IF(Delivery_Data[[#This Row],[Delays (min)]]&gt;0,"No","Yes")</f>
        <v>No</v>
      </c>
    </row>
    <row r="560" spans="1:20" ht="15.75" customHeight="1" x14ac:dyDescent="0.3">
      <c r="A560" s="4">
        <v>1559</v>
      </c>
      <c r="B560" s="5" t="s">
        <v>687</v>
      </c>
      <c r="C560" s="6">
        <v>45173.584027777775</v>
      </c>
      <c r="D560" s="5" t="s">
        <v>43</v>
      </c>
      <c r="E560" s="5" t="s">
        <v>272</v>
      </c>
      <c r="F560" s="5" t="s">
        <v>38</v>
      </c>
      <c r="G560" s="5" t="s">
        <v>25</v>
      </c>
      <c r="H560" s="5">
        <v>195</v>
      </c>
      <c r="I560" s="5">
        <v>23</v>
      </c>
      <c r="J560" s="5" t="s">
        <v>32</v>
      </c>
      <c r="K560" s="5" t="s">
        <v>35</v>
      </c>
      <c r="L560" s="5" t="s">
        <v>28</v>
      </c>
      <c r="M560" s="7" t="s">
        <v>41</v>
      </c>
      <c r="N560" s="26">
        <f t="shared" si="48"/>
        <v>-1</v>
      </c>
      <c r="O560" s="42">
        <f t="shared" si="49"/>
        <v>45173</v>
      </c>
      <c r="P560" s="5" t="str">
        <f t="shared" si="50"/>
        <v>Monday</v>
      </c>
      <c r="Q560" s="5">
        <f t="shared" si="51"/>
        <v>14</v>
      </c>
      <c r="R560" s="28">
        <f t="shared" si="52"/>
        <v>0.89449541284403666</v>
      </c>
      <c r="S560" s="29">
        <f t="shared" si="53"/>
        <v>89.449541284403665</v>
      </c>
      <c r="T560" s="5" t="str">
        <f>IF(Delivery_Data[[#This Row],[Delays (min)]]&gt;0,"No","Yes")</f>
        <v>No</v>
      </c>
    </row>
    <row r="561" spans="1:20" ht="15.75" customHeight="1" x14ac:dyDescent="0.3">
      <c r="A561" s="4">
        <v>1560</v>
      </c>
      <c r="B561" s="5" t="s">
        <v>688</v>
      </c>
      <c r="C561" s="6">
        <v>45171.417361111111</v>
      </c>
      <c r="D561" s="5" t="s">
        <v>14</v>
      </c>
      <c r="E561" s="5" t="s">
        <v>128</v>
      </c>
      <c r="F561" s="5" t="s">
        <v>24</v>
      </c>
      <c r="G561" s="5" t="s">
        <v>25</v>
      </c>
      <c r="H561" s="5">
        <v>217</v>
      </c>
      <c r="I561" s="5">
        <v>19</v>
      </c>
      <c r="J561" s="5" t="s">
        <v>26</v>
      </c>
      <c r="K561" s="5" t="s">
        <v>49</v>
      </c>
      <c r="L561" s="5" t="s">
        <v>20</v>
      </c>
      <c r="M561" s="7" t="s">
        <v>41</v>
      </c>
      <c r="N561" s="26">
        <f t="shared" si="48"/>
        <v>1</v>
      </c>
      <c r="O561" s="42">
        <f t="shared" si="49"/>
        <v>45171</v>
      </c>
      <c r="P561" s="5" t="str">
        <f t="shared" si="50"/>
        <v>Saturday</v>
      </c>
      <c r="Q561" s="5">
        <f t="shared" si="51"/>
        <v>10</v>
      </c>
      <c r="R561" s="28">
        <f t="shared" si="52"/>
        <v>0.91949152542372881</v>
      </c>
      <c r="S561" s="29">
        <f t="shared" si="53"/>
        <v>91.949152542372886</v>
      </c>
      <c r="T561" s="5" t="str">
        <f>IF(Delivery_Data[[#This Row],[Delays (min)]]&gt;0,"No","Yes")</f>
        <v>No</v>
      </c>
    </row>
    <row r="562" spans="1:20" ht="15.75" customHeight="1" x14ac:dyDescent="0.3">
      <c r="A562" s="4">
        <v>1561</v>
      </c>
      <c r="B562" s="5" t="s">
        <v>689</v>
      </c>
      <c r="C562" s="6">
        <v>45175.435416666667</v>
      </c>
      <c r="D562" s="5" t="s">
        <v>14</v>
      </c>
      <c r="E562" s="5" t="s">
        <v>80</v>
      </c>
      <c r="F562" s="5" t="s">
        <v>24</v>
      </c>
      <c r="G562" s="5" t="s">
        <v>25</v>
      </c>
      <c r="H562" s="5">
        <v>176</v>
      </c>
      <c r="I562" s="5">
        <v>18</v>
      </c>
      <c r="J562" s="5" t="s">
        <v>32</v>
      </c>
      <c r="K562" s="5" t="s">
        <v>19</v>
      </c>
      <c r="L562" s="5" t="s">
        <v>40</v>
      </c>
      <c r="M562" s="7" t="s">
        <v>41</v>
      </c>
      <c r="N562" s="26">
        <f t="shared" si="48"/>
        <v>-1</v>
      </c>
      <c r="O562" s="42">
        <f t="shared" si="49"/>
        <v>45175</v>
      </c>
      <c r="P562" s="5" t="str">
        <f t="shared" si="50"/>
        <v>Wednesday</v>
      </c>
      <c r="Q562" s="5">
        <f t="shared" si="51"/>
        <v>10</v>
      </c>
      <c r="R562" s="28">
        <f t="shared" si="52"/>
        <v>0.90721649484536082</v>
      </c>
      <c r="S562" s="29">
        <f t="shared" si="53"/>
        <v>90.721649484536087</v>
      </c>
      <c r="T562" s="5" t="str">
        <f>IF(Delivery_Data[[#This Row],[Delays (min)]]&gt;0,"No","Yes")</f>
        <v>No</v>
      </c>
    </row>
    <row r="563" spans="1:20" ht="15.75" customHeight="1" x14ac:dyDescent="0.3">
      <c r="A563" s="4">
        <v>1562</v>
      </c>
      <c r="B563" s="5" t="s">
        <v>690</v>
      </c>
      <c r="C563" s="6">
        <v>45172.662499999999</v>
      </c>
      <c r="D563" s="5" t="s">
        <v>43</v>
      </c>
      <c r="E563" s="5" t="s">
        <v>220</v>
      </c>
      <c r="F563" s="5" t="s">
        <v>16</v>
      </c>
      <c r="G563" s="5" t="s">
        <v>17</v>
      </c>
      <c r="H563" s="5">
        <v>135</v>
      </c>
      <c r="I563" s="5">
        <v>3</v>
      </c>
      <c r="J563" s="5" t="s">
        <v>32</v>
      </c>
      <c r="K563" s="5" t="s">
        <v>49</v>
      </c>
      <c r="L563" s="5" t="s">
        <v>20</v>
      </c>
      <c r="M563" s="7" t="s">
        <v>46</v>
      </c>
      <c r="N563" s="26">
        <f t="shared" si="48"/>
        <v>-1</v>
      </c>
      <c r="O563" s="42">
        <f t="shared" si="49"/>
        <v>45172</v>
      </c>
      <c r="P563" s="5" t="str">
        <f t="shared" si="50"/>
        <v>Sunday</v>
      </c>
      <c r="Q563" s="5">
        <f t="shared" si="51"/>
        <v>15</v>
      </c>
      <c r="R563" s="28">
        <f t="shared" si="52"/>
        <v>0.97826086956521741</v>
      </c>
      <c r="S563" s="29">
        <f t="shared" si="53"/>
        <v>97.826086956521735</v>
      </c>
      <c r="T563" s="5" t="str">
        <f>IF(Delivery_Data[[#This Row],[Delays (min)]]&gt;0,"No","Yes")</f>
        <v>No</v>
      </c>
    </row>
    <row r="564" spans="1:20" ht="15.75" customHeight="1" x14ac:dyDescent="0.3">
      <c r="A564" s="4">
        <v>1563</v>
      </c>
      <c r="B564" s="5" t="s">
        <v>691</v>
      </c>
      <c r="C564" s="6">
        <v>45174.583333333336</v>
      </c>
      <c r="D564" s="5" t="s">
        <v>14</v>
      </c>
      <c r="E564" s="5" t="s">
        <v>135</v>
      </c>
      <c r="F564" s="5" t="s">
        <v>16</v>
      </c>
      <c r="G564" s="5" t="s">
        <v>56</v>
      </c>
      <c r="H564" s="5">
        <v>69</v>
      </c>
      <c r="I564" s="5">
        <v>14</v>
      </c>
      <c r="J564" s="5" t="s">
        <v>32</v>
      </c>
      <c r="K564" s="5" t="s">
        <v>19</v>
      </c>
      <c r="L564" s="5" t="s">
        <v>20</v>
      </c>
      <c r="M564" s="7" t="s">
        <v>41</v>
      </c>
      <c r="N564" s="26">
        <f t="shared" si="48"/>
        <v>-1</v>
      </c>
      <c r="O564" s="42">
        <f t="shared" si="49"/>
        <v>45174</v>
      </c>
      <c r="P564" s="5" t="str">
        <f t="shared" si="50"/>
        <v>Tuesday</v>
      </c>
      <c r="Q564" s="5">
        <f t="shared" si="51"/>
        <v>14</v>
      </c>
      <c r="R564" s="28">
        <f t="shared" si="52"/>
        <v>0.83132530120481929</v>
      </c>
      <c r="S564" s="29">
        <f t="shared" si="53"/>
        <v>83.132530120481931</v>
      </c>
      <c r="T564" s="5" t="str">
        <f>IF(Delivery_Data[[#This Row],[Delays (min)]]&gt;0,"No","Yes")</f>
        <v>No</v>
      </c>
    </row>
    <row r="565" spans="1:20" ht="15.75" customHeight="1" x14ac:dyDescent="0.3">
      <c r="A565" s="4">
        <v>1564</v>
      </c>
      <c r="B565" s="5" t="s">
        <v>692</v>
      </c>
      <c r="C565" s="6">
        <v>45170.399305555555</v>
      </c>
      <c r="D565" s="5" t="s">
        <v>43</v>
      </c>
      <c r="E565" s="5" t="s">
        <v>132</v>
      </c>
      <c r="F565" s="5" t="s">
        <v>16</v>
      </c>
      <c r="G565" s="5" t="s">
        <v>56</v>
      </c>
      <c r="H565" s="5">
        <v>210</v>
      </c>
      <c r="I565" s="5">
        <v>1</v>
      </c>
      <c r="J565" s="5" t="s">
        <v>18</v>
      </c>
      <c r="K565" s="5" t="s">
        <v>19</v>
      </c>
      <c r="L565" s="5" t="s">
        <v>20</v>
      </c>
      <c r="M565" s="7" t="s">
        <v>46</v>
      </c>
      <c r="N565" s="26">
        <f t="shared" si="48"/>
        <v>0</v>
      </c>
      <c r="O565" s="42">
        <f t="shared" si="49"/>
        <v>45170</v>
      </c>
      <c r="P565" s="5" t="str">
        <f t="shared" si="50"/>
        <v>Friday</v>
      </c>
      <c r="Q565" s="5">
        <f t="shared" si="51"/>
        <v>9</v>
      </c>
      <c r="R565" s="28">
        <f t="shared" si="52"/>
        <v>0.99526066350710896</v>
      </c>
      <c r="S565" s="29">
        <f t="shared" si="53"/>
        <v>99.526066350710892</v>
      </c>
      <c r="T565" s="5" t="str">
        <f>IF(Delivery_Data[[#This Row],[Delays (min)]]&gt;0,"No","Yes")</f>
        <v>No</v>
      </c>
    </row>
    <row r="566" spans="1:20" ht="15.75" customHeight="1" x14ac:dyDescent="0.3">
      <c r="A566" s="4">
        <v>1565</v>
      </c>
      <c r="B566" s="5" t="s">
        <v>693</v>
      </c>
      <c r="C566" s="6">
        <v>45172.582638888889</v>
      </c>
      <c r="D566" s="5" t="s">
        <v>43</v>
      </c>
      <c r="E566" s="5" t="s">
        <v>267</v>
      </c>
      <c r="F566" s="5" t="s">
        <v>38</v>
      </c>
      <c r="G566" s="5" t="s">
        <v>39</v>
      </c>
      <c r="H566" s="5">
        <v>202</v>
      </c>
      <c r="I566" s="5">
        <v>27</v>
      </c>
      <c r="J566" s="5" t="s">
        <v>18</v>
      </c>
      <c r="K566" s="5" t="s">
        <v>49</v>
      </c>
      <c r="L566" s="5" t="s">
        <v>40</v>
      </c>
      <c r="M566" s="7" t="s">
        <v>41</v>
      </c>
      <c r="N566" s="26">
        <f t="shared" si="48"/>
        <v>0</v>
      </c>
      <c r="O566" s="42">
        <f t="shared" si="49"/>
        <v>45172</v>
      </c>
      <c r="P566" s="5" t="str">
        <f t="shared" si="50"/>
        <v>Sunday</v>
      </c>
      <c r="Q566" s="5">
        <f t="shared" si="51"/>
        <v>13</v>
      </c>
      <c r="R566" s="28">
        <f t="shared" si="52"/>
        <v>0.88209606986899558</v>
      </c>
      <c r="S566" s="29">
        <f t="shared" si="53"/>
        <v>88.209606986899558</v>
      </c>
      <c r="T566" s="5" t="str">
        <f>IF(Delivery_Data[[#This Row],[Delays (min)]]&gt;0,"No","Yes")</f>
        <v>No</v>
      </c>
    </row>
    <row r="567" spans="1:20" ht="15.75" customHeight="1" x14ac:dyDescent="0.3">
      <c r="A567" s="4">
        <v>1566</v>
      </c>
      <c r="B567" s="5" t="s">
        <v>694</v>
      </c>
      <c r="C567" s="6">
        <v>45177.409722222219</v>
      </c>
      <c r="D567" s="5" t="s">
        <v>43</v>
      </c>
      <c r="E567" s="5" t="s">
        <v>101</v>
      </c>
      <c r="F567" s="5" t="s">
        <v>38</v>
      </c>
      <c r="G567" s="5" t="s">
        <v>56</v>
      </c>
      <c r="H567" s="5">
        <v>75</v>
      </c>
      <c r="I567" s="5">
        <v>20</v>
      </c>
      <c r="J567" s="5" t="s">
        <v>18</v>
      </c>
      <c r="K567" s="5" t="s">
        <v>49</v>
      </c>
      <c r="L567" s="5" t="s">
        <v>20</v>
      </c>
      <c r="M567" s="7" t="s">
        <v>46</v>
      </c>
      <c r="N567" s="26">
        <f t="shared" si="48"/>
        <v>0</v>
      </c>
      <c r="O567" s="42">
        <f t="shared" si="49"/>
        <v>45177</v>
      </c>
      <c r="P567" s="5" t="str">
        <f t="shared" si="50"/>
        <v>Friday</v>
      </c>
      <c r="Q567" s="5">
        <f t="shared" si="51"/>
        <v>9</v>
      </c>
      <c r="R567" s="28">
        <f t="shared" si="52"/>
        <v>0.78947368421052633</v>
      </c>
      <c r="S567" s="29">
        <f t="shared" si="53"/>
        <v>78.94736842105263</v>
      </c>
      <c r="T567" s="5" t="str">
        <f>IF(Delivery_Data[[#This Row],[Delays (min)]]&gt;0,"No","Yes")</f>
        <v>No</v>
      </c>
    </row>
    <row r="568" spans="1:20" ht="15.75" customHeight="1" x14ac:dyDescent="0.3">
      <c r="A568" s="4">
        <v>1567</v>
      </c>
      <c r="B568" s="5" t="s">
        <v>695</v>
      </c>
      <c r="C568" s="6">
        <v>45175.556250000001</v>
      </c>
      <c r="D568" s="5" t="s">
        <v>14</v>
      </c>
      <c r="E568" s="5" t="s">
        <v>58</v>
      </c>
      <c r="F568" s="5" t="s">
        <v>38</v>
      </c>
      <c r="G568" s="5" t="s">
        <v>17</v>
      </c>
      <c r="H568" s="5">
        <v>168</v>
      </c>
      <c r="I568" s="5">
        <v>19</v>
      </c>
      <c r="J568" s="5" t="s">
        <v>32</v>
      </c>
      <c r="K568" s="5" t="s">
        <v>19</v>
      </c>
      <c r="L568" s="5" t="s">
        <v>28</v>
      </c>
      <c r="M568" s="7" t="s">
        <v>21</v>
      </c>
      <c r="N568" s="26">
        <f t="shared" si="48"/>
        <v>-1</v>
      </c>
      <c r="O568" s="42">
        <f t="shared" si="49"/>
        <v>45175</v>
      </c>
      <c r="P568" s="5" t="str">
        <f t="shared" si="50"/>
        <v>Wednesday</v>
      </c>
      <c r="Q568" s="5">
        <f t="shared" si="51"/>
        <v>13</v>
      </c>
      <c r="R568" s="28">
        <f t="shared" si="52"/>
        <v>0.89839572192513373</v>
      </c>
      <c r="S568" s="29">
        <f t="shared" si="53"/>
        <v>89.839572192513373</v>
      </c>
      <c r="T568" s="5" t="str">
        <f>IF(Delivery_Data[[#This Row],[Delays (min)]]&gt;0,"No","Yes")</f>
        <v>No</v>
      </c>
    </row>
    <row r="569" spans="1:20" ht="15.75" customHeight="1" x14ac:dyDescent="0.3">
      <c r="A569" s="4">
        <v>1568</v>
      </c>
      <c r="B569" s="5" t="s">
        <v>696</v>
      </c>
      <c r="C569" s="6">
        <v>45177.395138888889</v>
      </c>
      <c r="D569" s="5" t="s">
        <v>43</v>
      </c>
      <c r="E569" s="5" t="s">
        <v>99</v>
      </c>
      <c r="F569" s="5" t="s">
        <v>16</v>
      </c>
      <c r="G569" s="5" t="s">
        <v>17</v>
      </c>
      <c r="H569" s="5">
        <v>228</v>
      </c>
      <c r="I569" s="5">
        <v>6</v>
      </c>
      <c r="J569" s="5" t="s">
        <v>32</v>
      </c>
      <c r="K569" s="5" t="s">
        <v>35</v>
      </c>
      <c r="L569" s="5" t="s">
        <v>40</v>
      </c>
      <c r="M569" s="7" t="s">
        <v>41</v>
      </c>
      <c r="N569" s="26">
        <f t="shared" si="48"/>
        <v>-1</v>
      </c>
      <c r="O569" s="42">
        <f t="shared" si="49"/>
        <v>45177</v>
      </c>
      <c r="P569" s="5" t="str">
        <f t="shared" si="50"/>
        <v>Friday</v>
      </c>
      <c r="Q569" s="5">
        <f t="shared" si="51"/>
        <v>9</v>
      </c>
      <c r="R569" s="28">
        <f t="shared" si="52"/>
        <v>0.97435897435897434</v>
      </c>
      <c r="S569" s="29">
        <f t="shared" si="53"/>
        <v>97.435897435897431</v>
      </c>
      <c r="T569" s="5" t="str">
        <f>IF(Delivery_Data[[#This Row],[Delays (min)]]&gt;0,"No","Yes")</f>
        <v>No</v>
      </c>
    </row>
    <row r="570" spans="1:20" ht="15.75" customHeight="1" x14ac:dyDescent="0.3">
      <c r="A570" s="4">
        <v>1569</v>
      </c>
      <c r="B570" s="5" t="s">
        <v>697</v>
      </c>
      <c r="C570" s="6">
        <v>45171.637499999997</v>
      </c>
      <c r="D570" s="5" t="s">
        <v>14</v>
      </c>
      <c r="E570" s="5" t="s">
        <v>200</v>
      </c>
      <c r="F570" s="5" t="s">
        <v>24</v>
      </c>
      <c r="G570" s="5" t="s">
        <v>56</v>
      </c>
      <c r="H570" s="5">
        <v>230</v>
      </c>
      <c r="I570" s="5">
        <v>14</v>
      </c>
      <c r="J570" s="5" t="s">
        <v>26</v>
      </c>
      <c r="K570" s="5" t="s">
        <v>19</v>
      </c>
      <c r="L570" s="5" t="s">
        <v>28</v>
      </c>
      <c r="M570" s="7" t="s">
        <v>46</v>
      </c>
      <c r="N570" s="26">
        <f t="shared" si="48"/>
        <v>1</v>
      </c>
      <c r="O570" s="42">
        <f t="shared" si="49"/>
        <v>45171</v>
      </c>
      <c r="P570" s="5" t="str">
        <f t="shared" si="50"/>
        <v>Saturday</v>
      </c>
      <c r="Q570" s="5">
        <f t="shared" si="51"/>
        <v>15</v>
      </c>
      <c r="R570" s="28">
        <f t="shared" si="52"/>
        <v>0.94262295081967218</v>
      </c>
      <c r="S570" s="29">
        <f t="shared" si="53"/>
        <v>94.262295081967224</v>
      </c>
      <c r="T570" s="5" t="str">
        <f>IF(Delivery_Data[[#This Row],[Delays (min)]]&gt;0,"No","Yes")</f>
        <v>No</v>
      </c>
    </row>
    <row r="571" spans="1:20" ht="15.75" customHeight="1" x14ac:dyDescent="0.3">
      <c r="A571" s="4">
        <v>1570</v>
      </c>
      <c r="B571" s="5" t="s">
        <v>698</v>
      </c>
      <c r="C571" s="6">
        <v>45174.438194444447</v>
      </c>
      <c r="D571" s="5" t="s">
        <v>43</v>
      </c>
      <c r="E571" s="5" t="s">
        <v>130</v>
      </c>
      <c r="F571" s="5" t="s">
        <v>38</v>
      </c>
      <c r="G571" s="5" t="s">
        <v>56</v>
      </c>
      <c r="H571" s="5">
        <v>81</v>
      </c>
      <c r="I571" s="5">
        <v>4</v>
      </c>
      <c r="J571" s="5" t="s">
        <v>18</v>
      </c>
      <c r="K571" s="5" t="s">
        <v>35</v>
      </c>
      <c r="L571" s="5" t="s">
        <v>40</v>
      </c>
      <c r="M571" s="7" t="s">
        <v>41</v>
      </c>
      <c r="N571" s="26">
        <f t="shared" si="48"/>
        <v>0</v>
      </c>
      <c r="O571" s="42">
        <f t="shared" si="49"/>
        <v>45174</v>
      </c>
      <c r="P571" s="5" t="str">
        <f t="shared" si="50"/>
        <v>Tuesday</v>
      </c>
      <c r="Q571" s="5">
        <f t="shared" si="51"/>
        <v>10</v>
      </c>
      <c r="R571" s="28">
        <f t="shared" si="52"/>
        <v>0.95294117647058818</v>
      </c>
      <c r="S571" s="29">
        <f t="shared" si="53"/>
        <v>95.294117647058812</v>
      </c>
      <c r="T571" s="5" t="str">
        <f>IF(Delivery_Data[[#This Row],[Delays (min)]]&gt;0,"No","Yes")</f>
        <v>No</v>
      </c>
    </row>
    <row r="572" spans="1:20" ht="15.75" customHeight="1" x14ac:dyDescent="0.3">
      <c r="A572" s="4">
        <v>1571</v>
      </c>
      <c r="B572" s="5" t="s">
        <v>699</v>
      </c>
      <c r="C572" s="6">
        <v>45172.609722222223</v>
      </c>
      <c r="D572" s="5" t="s">
        <v>14</v>
      </c>
      <c r="E572" s="5" t="s">
        <v>58</v>
      </c>
      <c r="F572" s="5" t="s">
        <v>38</v>
      </c>
      <c r="G572" s="5" t="s">
        <v>56</v>
      </c>
      <c r="H572" s="5">
        <v>208</v>
      </c>
      <c r="I572" s="5">
        <v>7</v>
      </c>
      <c r="J572" s="5" t="s">
        <v>26</v>
      </c>
      <c r="K572" s="5" t="s">
        <v>27</v>
      </c>
      <c r="L572" s="5" t="s">
        <v>20</v>
      </c>
      <c r="M572" s="7" t="s">
        <v>41</v>
      </c>
      <c r="N572" s="26">
        <f t="shared" si="48"/>
        <v>1</v>
      </c>
      <c r="O572" s="42">
        <f t="shared" si="49"/>
        <v>45172</v>
      </c>
      <c r="P572" s="5" t="str">
        <f t="shared" si="50"/>
        <v>Sunday</v>
      </c>
      <c r="Q572" s="5">
        <f t="shared" si="51"/>
        <v>14</v>
      </c>
      <c r="R572" s="28">
        <f t="shared" si="52"/>
        <v>0.96744186046511627</v>
      </c>
      <c r="S572" s="29">
        <f t="shared" si="53"/>
        <v>96.744186046511629</v>
      </c>
      <c r="T572" s="5" t="str">
        <f>IF(Delivery_Data[[#This Row],[Delays (min)]]&gt;0,"No","Yes")</f>
        <v>No</v>
      </c>
    </row>
    <row r="573" spans="1:20" ht="15.75" customHeight="1" x14ac:dyDescent="0.3">
      <c r="A573" s="4">
        <v>1572</v>
      </c>
      <c r="B573" s="5" t="s">
        <v>700</v>
      </c>
      <c r="C573" s="6">
        <v>45172.379166666666</v>
      </c>
      <c r="D573" s="5" t="s">
        <v>14</v>
      </c>
      <c r="E573" s="5" t="s">
        <v>333</v>
      </c>
      <c r="F573" s="5" t="s">
        <v>38</v>
      </c>
      <c r="G573" s="5" t="s">
        <v>39</v>
      </c>
      <c r="H573" s="5">
        <v>114</v>
      </c>
      <c r="I573" s="5">
        <v>1</v>
      </c>
      <c r="J573" s="5" t="s">
        <v>18</v>
      </c>
      <c r="K573" s="5" t="s">
        <v>49</v>
      </c>
      <c r="L573" s="5" t="s">
        <v>28</v>
      </c>
      <c r="M573" s="7" t="s">
        <v>41</v>
      </c>
      <c r="N573" s="26">
        <f t="shared" si="48"/>
        <v>0</v>
      </c>
      <c r="O573" s="42">
        <f t="shared" si="49"/>
        <v>45172</v>
      </c>
      <c r="P573" s="5" t="str">
        <f t="shared" si="50"/>
        <v>Sunday</v>
      </c>
      <c r="Q573" s="5">
        <f t="shared" si="51"/>
        <v>9</v>
      </c>
      <c r="R573" s="28">
        <f t="shared" si="52"/>
        <v>0.99130434782608701</v>
      </c>
      <c r="S573" s="29">
        <f t="shared" si="53"/>
        <v>99.130434782608702</v>
      </c>
      <c r="T573" s="5" t="str">
        <f>IF(Delivery_Data[[#This Row],[Delays (min)]]&gt;0,"No","Yes")</f>
        <v>No</v>
      </c>
    </row>
    <row r="574" spans="1:20" ht="15.75" customHeight="1" x14ac:dyDescent="0.3">
      <c r="A574" s="4">
        <v>1573</v>
      </c>
      <c r="B574" s="5" t="s">
        <v>701</v>
      </c>
      <c r="C574" s="6">
        <v>45176.503472222219</v>
      </c>
      <c r="D574" s="5" t="s">
        <v>14</v>
      </c>
      <c r="E574" s="5" t="s">
        <v>169</v>
      </c>
      <c r="F574" s="5" t="s">
        <v>24</v>
      </c>
      <c r="G574" s="5" t="s">
        <v>31</v>
      </c>
      <c r="H574" s="5">
        <v>162</v>
      </c>
      <c r="I574" s="5">
        <v>20</v>
      </c>
      <c r="J574" s="5" t="s">
        <v>32</v>
      </c>
      <c r="K574" s="5" t="s">
        <v>35</v>
      </c>
      <c r="L574" s="5" t="s">
        <v>40</v>
      </c>
      <c r="M574" s="7" t="s">
        <v>21</v>
      </c>
      <c r="N574" s="26">
        <f t="shared" si="48"/>
        <v>-1</v>
      </c>
      <c r="O574" s="42">
        <f t="shared" si="49"/>
        <v>45176</v>
      </c>
      <c r="P574" s="5" t="str">
        <f t="shared" si="50"/>
        <v>Thursday</v>
      </c>
      <c r="Q574" s="5">
        <f t="shared" si="51"/>
        <v>12</v>
      </c>
      <c r="R574" s="28">
        <f t="shared" si="52"/>
        <v>0.89010989010989006</v>
      </c>
      <c r="S574" s="29">
        <f t="shared" si="53"/>
        <v>89.010989010989007</v>
      </c>
      <c r="T574" s="5" t="str">
        <f>IF(Delivery_Data[[#This Row],[Delays (min)]]&gt;0,"No","Yes")</f>
        <v>No</v>
      </c>
    </row>
    <row r="575" spans="1:20" ht="15.75" customHeight="1" x14ac:dyDescent="0.3">
      <c r="A575" s="4">
        <v>1574</v>
      </c>
      <c r="B575" s="5" t="s">
        <v>702</v>
      </c>
      <c r="C575" s="6">
        <v>45174.435416666667</v>
      </c>
      <c r="D575" s="5" t="s">
        <v>43</v>
      </c>
      <c r="E575" s="5" t="s">
        <v>169</v>
      </c>
      <c r="F575" s="5" t="s">
        <v>38</v>
      </c>
      <c r="G575" s="5" t="s">
        <v>25</v>
      </c>
      <c r="H575" s="5">
        <v>170</v>
      </c>
      <c r="I575" s="5">
        <v>8</v>
      </c>
      <c r="J575" s="5" t="s">
        <v>18</v>
      </c>
      <c r="K575" s="5" t="s">
        <v>19</v>
      </c>
      <c r="L575" s="5" t="s">
        <v>40</v>
      </c>
      <c r="M575" s="7" t="s">
        <v>46</v>
      </c>
      <c r="N575" s="26">
        <f t="shared" si="48"/>
        <v>0</v>
      </c>
      <c r="O575" s="42">
        <f t="shared" si="49"/>
        <v>45174</v>
      </c>
      <c r="P575" s="5" t="str">
        <f t="shared" si="50"/>
        <v>Tuesday</v>
      </c>
      <c r="Q575" s="5">
        <f t="shared" si="51"/>
        <v>10</v>
      </c>
      <c r="R575" s="28">
        <f t="shared" si="52"/>
        <v>0.9550561797752809</v>
      </c>
      <c r="S575" s="29">
        <f t="shared" si="53"/>
        <v>95.50561797752809</v>
      </c>
      <c r="T575" s="5" t="str">
        <f>IF(Delivery_Data[[#This Row],[Delays (min)]]&gt;0,"No","Yes")</f>
        <v>No</v>
      </c>
    </row>
    <row r="576" spans="1:20" ht="15.75" customHeight="1" x14ac:dyDescent="0.3">
      <c r="A576" s="4">
        <v>1575</v>
      </c>
      <c r="B576" s="5" t="s">
        <v>703</v>
      </c>
      <c r="C576" s="6">
        <v>45172.423611111109</v>
      </c>
      <c r="D576" s="5" t="s">
        <v>14</v>
      </c>
      <c r="E576" s="5" t="s">
        <v>234</v>
      </c>
      <c r="F576" s="5" t="s">
        <v>38</v>
      </c>
      <c r="G576" s="5" t="s">
        <v>25</v>
      </c>
      <c r="H576" s="5">
        <v>165</v>
      </c>
      <c r="I576" s="5">
        <v>6</v>
      </c>
      <c r="J576" s="5" t="s">
        <v>18</v>
      </c>
      <c r="K576" s="5" t="s">
        <v>45</v>
      </c>
      <c r="L576" s="5" t="s">
        <v>28</v>
      </c>
      <c r="M576" s="7" t="s">
        <v>21</v>
      </c>
      <c r="N576" s="26">
        <f t="shared" si="48"/>
        <v>0</v>
      </c>
      <c r="O576" s="42">
        <f t="shared" si="49"/>
        <v>45172</v>
      </c>
      <c r="P576" s="5" t="str">
        <f t="shared" si="50"/>
        <v>Sunday</v>
      </c>
      <c r="Q576" s="5">
        <f t="shared" si="51"/>
        <v>10</v>
      </c>
      <c r="R576" s="28">
        <f t="shared" si="52"/>
        <v>0.96491228070175439</v>
      </c>
      <c r="S576" s="29">
        <f t="shared" si="53"/>
        <v>96.491228070175438</v>
      </c>
      <c r="T576" s="5" t="str">
        <f>IF(Delivery_Data[[#This Row],[Delays (min)]]&gt;0,"No","Yes")</f>
        <v>No</v>
      </c>
    </row>
    <row r="577" spans="1:20" ht="15.75" customHeight="1" x14ac:dyDescent="0.3">
      <c r="A577" s="4">
        <v>1576</v>
      </c>
      <c r="B577" s="5" t="s">
        <v>704</v>
      </c>
      <c r="C577" s="6">
        <v>45171.63958333333</v>
      </c>
      <c r="D577" s="5" t="s">
        <v>43</v>
      </c>
      <c r="E577" s="5" t="s">
        <v>68</v>
      </c>
      <c r="F577" s="5" t="s">
        <v>38</v>
      </c>
      <c r="G577" s="5" t="s">
        <v>17</v>
      </c>
      <c r="H577" s="5">
        <v>230</v>
      </c>
      <c r="I577" s="5">
        <v>25</v>
      </c>
      <c r="J577" s="5" t="s">
        <v>26</v>
      </c>
      <c r="K577" s="5" t="s">
        <v>45</v>
      </c>
      <c r="L577" s="5" t="s">
        <v>20</v>
      </c>
      <c r="M577" s="7" t="s">
        <v>21</v>
      </c>
      <c r="N577" s="26">
        <f t="shared" si="48"/>
        <v>1</v>
      </c>
      <c r="O577" s="42">
        <f t="shared" si="49"/>
        <v>45171</v>
      </c>
      <c r="P577" s="5" t="str">
        <f t="shared" si="50"/>
        <v>Saturday</v>
      </c>
      <c r="Q577" s="5">
        <f t="shared" si="51"/>
        <v>15</v>
      </c>
      <c r="R577" s="28">
        <f t="shared" si="52"/>
        <v>0.90196078431372551</v>
      </c>
      <c r="S577" s="29">
        <f t="shared" si="53"/>
        <v>90.196078431372555</v>
      </c>
      <c r="T577" s="5" t="str">
        <f>IF(Delivery_Data[[#This Row],[Delays (min)]]&gt;0,"No","Yes")</f>
        <v>No</v>
      </c>
    </row>
    <row r="578" spans="1:20" ht="15.75" customHeight="1" x14ac:dyDescent="0.3">
      <c r="A578" s="4">
        <v>1577</v>
      </c>
      <c r="B578" s="5" t="s">
        <v>705</v>
      </c>
      <c r="C578" s="6">
        <v>45174.627083333333</v>
      </c>
      <c r="D578" s="5" t="s">
        <v>14</v>
      </c>
      <c r="E578" s="5" t="s">
        <v>53</v>
      </c>
      <c r="F578" s="5" t="s">
        <v>38</v>
      </c>
      <c r="G578" s="5" t="s">
        <v>56</v>
      </c>
      <c r="H578" s="5">
        <v>146</v>
      </c>
      <c r="I578" s="5">
        <v>28</v>
      </c>
      <c r="J578" s="5" t="s">
        <v>18</v>
      </c>
      <c r="K578" s="5" t="s">
        <v>35</v>
      </c>
      <c r="L578" s="5" t="s">
        <v>40</v>
      </c>
      <c r="M578" s="7" t="s">
        <v>46</v>
      </c>
      <c r="N578" s="26">
        <f t="shared" ref="N578:N641" si="54">IF(J578="Positive",1,IF(J578="Neutral",0,IF(J578="Negative",-1,"")))</f>
        <v>0</v>
      </c>
      <c r="O578" s="42">
        <f t="shared" ref="O578:O641" si="55">INT(C578)</f>
        <v>45174</v>
      </c>
      <c r="P578" s="5" t="str">
        <f t="shared" ref="P578:P641" si="56">TEXT(C578,"dddd")</f>
        <v>Tuesday</v>
      </c>
      <c r="Q578" s="5">
        <f t="shared" ref="Q578:Q641" si="57">HOUR(C578)</f>
        <v>15</v>
      </c>
      <c r="R578" s="28">
        <f t="shared" ref="R578:R641" si="58">H578/(H578+I578)</f>
        <v>0.83908045977011492</v>
      </c>
      <c r="S578" s="29">
        <f t="shared" si="53"/>
        <v>83.908045977011497</v>
      </c>
      <c r="T578" s="5" t="str">
        <f>IF(Delivery_Data[[#This Row],[Delays (min)]]&gt;0,"No","Yes")</f>
        <v>No</v>
      </c>
    </row>
    <row r="579" spans="1:20" ht="15.75" customHeight="1" x14ac:dyDescent="0.3">
      <c r="A579" s="4">
        <v>1578</v>
      </c>
      <c r="B579" s="5" t="s">
        <v>706</v>
      </c>
      <c r="C579" s="6">
        <v>45172.553472222222</v>
      </c>
      <c r="D579" s="5" t="s">
        <v>14</v>
      </c>
      <c r="E579" s="5" t="s">
        <v>62</v>
      </c>
      <c r="F579" s="5" t="s">
        <v>24</v>
      </c>
      <c r="G579" s="5" t="s">
        <v>31</v>
      </c>
      <c r="H579" s="5">
        <v>77</v>
      </c>
      <c r="I579" s="5">
        <v>21</v>
      </c>
      <c r="J579" s="5" t="s">
        <v>26</v>
      </c>
      <c r="K579" s="5" t="s">
        <v>35</v>
      </c>
      <c r="L579" s="5" t="s">
        <v>40</v>
      </c>
      <c r="M579" s="7" t="s">
        <v>46</v>
      </c>
      <c r="N579" s="26">
        <f t="shared" si="54"/>
        <v>1</v>
      </c>
      <c r="O579" s="42">
        <f t="shared" si="55"/>
        <v>45172</v>
      </c>
      <c r="P579" s="5" t="str">
        <f t="shared" si="56"/>
        <v>Sunday</v>
      </c>
      <c r="Q579" s="5">
        <f t="shared" si="57"/>
        <v>13</v>
      </c>
      <c r="R579" s="28">
        <f t="shared" si="58"/>
        <v>0.7857142857142857</v>
      </c>
      <c r="S579" s="29">
        <f t="shared" ref="S579:S642" si="59">IF(H579+I579=0,0,(H579/(H579+I579))*100) + (IFERROR(--J579,0)*10)</f>
        <v>78.571428571428569</v>
      </c>
      <c r="T579" s="5" t="str">
        <f>IF(Delivery_Data[[#This Row],[Delays (min)]]&gt;0,"No","Yes")</f>
        <v>No</v>
      </c>
    </row>
    <row r="580" spans="1:20" ht="15.75" customHeight="1" x14ac:dyDescent="0.3">
      <c r="A580" s="4">
        <v>1579</v>
      </c>
      <c r="B580" s="5" t="s">
        <v>707</v>
      </c>
      <c r="C580" s="6">
        <v>45175.411111111112</v>
      </c>
      <c r="D580" s="5" t="s">
        <v>14</v>
      </c>
      <c r="E580" s="5" t="s">
        <v>64</v>
      </c>
      <c r="F580" s="5" t="s">
        <v>24</v>
      </c>
      <c r="G580" s="5" t="s">
        <v>25</v>
      </c>
      <c r="H580" s="5">
        <v>138</v>
      </c>
      <c r="I580" s="5">
        <v>0</v>
      </c>
      <c r="J580" s="5" t="s">
        <v>32</v>
      </c>
      <c r="K580" s="5" t="s">
        <v>19</v>
      </c>
      <c r="L580" s="5" t="s">
        <v>40</v>
      </c>
      <c r="M580" s="7" t="s">
        <v>41</v>
      </c>
      <c r="N580" s="26">
        <f t="shared" si="54"/>
        <v>-1</v>
      </c>
      <c r="O580" s="42">
        <f t="shared" si="55"/>
        <v>45175</v>
      </c>
      <c r="P580" s="5" t="str">
        <f t="shared" si="56"/>
        <v>Wednesday</v>
      </c>
      <c r="Q580" s="5">
        <f t="shared" si="57"/>
        <v>9</v>
      </c>
      <c r="R580" s="28">
        <f t="shared" si="58"/>
        <v>1</v>
      </c>
      <c r="S580" s="29">
        <f t="shared" si="59"/>
        <v>100</v>
      </c>
      <c r="T580" s="5" t="str">
        <f>IF(Delivery_Data[[#This Row],[Delays (min)]]&gt;0,"No","Yes")</f>
        <v>Yes</v>
      </c>
    </row>
    <row r="581" spans="1:20" ht="15.75" customHeight="1" x14ac:dyDescent="0.3">
      <c r="A581" s="4">
        <v>1580</v>
      </c>
      <c r="B581" s="5" t="s">
        <v>708</v>
      </c>
      <c r="C581" s="6">
        <v>45177.515972222223</v>
      </c>
      <c r="D581" s="5" t="s">
        <v>43</v>
      </c>
      <c r="E581" s="5" t="s">
        <v>220</v>
      </c>
      <c r="F581" s="5" t="s">
        <v>24</v>
      </c>
      <c r="G581" s="5" t="s">
        <v>25</v>
      </c>
      <c r="H581" s="5">
        <v>61</v>
      </c>
      <c r="I581" s="5">
        <v>6</v>
      </c>
      <c r="J581" s="5" t="s">
        <v>26</v>
      </c>
      <c r="K581" s="5" t="s">
        <v>19</v>
      </c>
      <c r="L581" s="5" t="s">
        <v>20</v>
      </c>
      <c r="M581" s="7" t="s">
        <v>41</v>
      </c>
      <c r="N581" s="26">
        <f t="shared" si="54"/>
        <v>1</v>
      </c>
      <c r="O581" s="42">
        <f t="shared" si="55"/>
        <v>45177</v>
      </c>
      <c r="P581" s="5" t="str">
        <f t="shared" si="56"/>
        <v>Friday</v>
      </c>
      <c r="Q581" s="5">
        <f t="shared" si="57"/>
        <v>12</v>
      </c>
      <c r="R581" s="28">
        <f t="shared" si="58"/>
        <v>0.91044776119402981</v>
      </c>
      <c r="S581" s="29">
        <f t="shared" si="59"/>
        <v>91.044776119402982</v>
      </c>
      <c r="T581" s="5" t="str">
        <f>IF(Delivery_Data[[#This Row],[Delays (min)]]&gt;0,"No","Yes")</f>
        <v>No</v>
      </c>
    </row>
    <row r="582" spans="1:20" ht="15.75" customHeight="1" x14ac:dyDescent="0.3">
      <c r="A582" s="4">
        <v>1581</v>
      </c>
      <c r="B582" s="5" t="s">
        <v>709</v>
      </c>
      <c r="C582" s="6">
        <v>45176.347222222219</v>
      </c>
      <c r="D582" s="5" t="s">
        <v>14</v>
      </c>
      <c r="E582" s="5" t="s">
        <v>288</v>
      </c>
      <c r="F582" s="5" t="s">
        <v>38</v>
      </c>
      <c r="G582" s="5" t="s">
        <v>31</v>
      </c>
      <c r="H582" s="5">
        <v>76</v>
      </c>
      <c r="I582" s="5">
        <v>10</v>
      </c>
      <c r="J582" s="5" t="s">
        <v>26</v>
      </c>
      <c r="K582" s="5" t="s">
        <v>35</v>
      </c>
      <c r="L582" s="5" t="s">
        <v>20</v>
      </c>
      <c r="M582" s="7" t="s">
        <v>21</v>
      </c>
      <c r="N582" s="26">
        <f t="shared" si="54"/>
        <v>1</v>
      </c>
      <c r="O582" s="42">
        <f t="shared" si="55"/>
        <v>45176</v>
      </c>
      <c r="P582" s="5" t="str">
        <f t="shared" si="56"/>
        <v>Thursday</v>
      </c>
      <c r="Q582" s="5">
        <f t="shared" si="57"/>
        <v>8</v>
      </c>
      <c r="R582" s="28">
        <f t="shared" si="58"/>
        <v>0.88372093023255816</v>
      </c>
      <c r="S582" s="29">
        <f t="shared" si="59"/>
        <v>88.372093023255815</v>
      </c>
      <c r="T582" s="5" t="str">
        <f>IF(Delivery_Data[[#This Row],[Delays (min)]]&gt;0,"No","Yes")</f>
        <v>No</v>
      </c>
    </row>
    <row r="583" spans="1:20" ht="15.75" customHeight="1" x14ac:dyDescent="0.3">
      <c r="A583" s="4">
        <v>1582</v>
      </c>
      <c r="B583" s="5" t="s">
        <v>710</v>
      </c>
      <c r="C583" s="6">
        <v>45170.672222222223</v>
      </c>
      <c r="D583" s="5" t="s">
        <v>14</v>
      </c>
      <c r="E583" s="5" t="s">
        <v>179</v>
      </c>
      <c r="F583" s="5" t="s">
        <v>38</v>
      </c>
      <c r="G583" s="5" t="s">
        <v>25</v>
      </c>
      <c r="H583" s="5">
        <v>217</v>
      </c>
      <c r="I583" s="5">
        <v>12</v>
      </c>
      <c r="J583" s="5" t="s">
        <v>18</v>
      </c>
      <c r="K583" s="5" t="s">
        <v>19</v>
      </c>
      <c r="L583" s="5" t="s">
        <v>20</v>
      </c>
      <c r="M583" s="7" t="s">
        <v>21</v>
      </c>
      <c r="N583" s="26">
        <f t="shared" si="54"/>
        <v>0</v>
      </c>
      <c r="O583" s="42">
        <f t="shared" si="55"/>
        <v>45170</v>
      </c>
      <c r="P583" s="5" t="str">
        <f t="shared" si="56"/>
        <v>Friday</v>
      </c>
      <c r="Q583" s="5">
        <f t="shared" si="57"/>
        <v>16</v>
      </c>
      <c r="R583" s="28">
        <f t="shared" si="58"/>
        <v>0.94759825327510916</v>
      </c>
      <c r="S583" s="29">
        <f t="shared" si="59"/>
        <v>94.75982532751091</v>
      </c>
      <c r="T583" s="5" t="str">
        <f>IF(Delivery_Data[[#This Row],[Delays (min)]]&gt;0,"No","Yes")</f>
        <v>No</v>
      </c>
    </row>
    <row r="584" spans="1:20" ht="15.75" customHeight="1" x14ac:dyDescent="0.3">
      <c r="A584" s="4">
        <v>1583</v>
      </c>
      <c r="B584" s="5" t="s">
        <v>711</v>
      </c>
      <c r="C584" s="6">
        <v>45175.422222222223</v>
      </c>
      <c r="D584" s="5" t="s">
        <v>14</v>
      </c>
      <c r="E584" s="5" t="s">
        <v>15</v>
      </c>
      <c r="F584" s="5" t="s">
        <v>16</v>
      </c>
      <c r="G584" s="5" t="s">
        <v>17</v>
      </c>
      <c r="H584" s="5">
        <v>168</v>
      </c>
      <c r="I584" s="5">
        <v>23</v>
      </c>
      <c r="J584" s="5" t="s">
        <v>18</v>
      </c>
      <c r="K584" s="5" t="s">
        <v>35</v>
      </c>
      <c r="L584" s="5" t="s">
        <v>20</v>
      </c>
      <c r="M584" s="7" t="s">
        <v>46</v>
      </c>
      <c r="N584" s="26">
        <f t="shared" si="54"/>
        <v>0</v>
      </c>
      <c r="O584" s="42">
        <f t="shared" si="55"/>
        <v>45175</v>
      </c>
      <c r="P584" s="5" t="str">
        <f t="shared" si="56"/>
        <v>Wednesday</v>
      </c>
      <c r="Q584" s="5">
        <f t="shared" si="57"/>
        <v>10</v>
      </c>
      <c r="R584" s="28">
        <f t="shared" si="58"/>
        <v>0.87958115183246077</v>
      </c>
      <c r="S584" s="29">
        <f t="shared" si="59"/>
        <v>87.958115183246079</v>
      </c>
      <c r="T584" s="5" t="str">
        <f>IF(Delivery_Data[[#This Row],[Delays (min)]]&gt;0,"No","Yes")</f>
        <v>No</v>
      </c>
    </row>
    <row r="585" spans="1:20" ht="15.75" customHeight="1" x14ac:dyDescent="0.3">
      <c r="A585" s="4">
        <v>1584</v>
      </c>
      <c r="B585" s="5" t="s">
        <v>712</v>
      </c>
      <c r="C585" s="6">
        <v>45170.661805555559</v>
      </c>
      <c r="D585" s="5" t="s">
        <v>43</v>
      </c>
      <c r="E585" s="5" t="s">
        <v>215</v>
      </c>
      <c r="F585" s="5" t="s">
        <v>38</v>
      </c>
      <c r="G585" s="5" t="s">
        <v>56</v>
      </c>
      <c r="H585" s="5">
        <v>239</v>
      </c>
      <c r="I585" s="5">
        <v>22</v>
      </c>
      <c r="J585" s="5" t="s">
        <v>26</v>
      </c>
      <c r="K585" s="5" t="s">
        <v>19</v>
      </c>
      <c r="L585" s="5" t="s">
        <v>40</v>
      </c>
      <c r="M585" s="7" t="s">
        <v>46</v>
      </c>
      <c r="N585" s="26">
        <f t="shared" si="54"/>
        <v>1</v>
      </c>
      <c r="O585" s="42">
        <f t="shared" si="55"/>
        <v>45170</v>
      </c>
      <c r="P585" s="5" t="str">
        <f t="shared" si="56"/>
        <v>Friday</v>
      </c>
      <c r="Q585" s="5">
        <f t="shared" si="57"/>
        <v>15</v>
      </c>
      <c r="R585" s="28">
        <f t="shared" si="58"/>
        <v>0.91570881226053635</v>
      </c>
      <c r="S585" s="29">
        <f t="shared" si="59"/>
        <v>91.570881226053629</v>
      </c>
      <c r="T585" s="5" t="str">
        <f>IF(Delivery_Data[[#This Row],[Delays (min)]]&gt;0,"No","Yes")</f>
        <v>No</v>
      </c>
    </row>
    <row r="586" spans="1:20" ht="15.75" customHeight="1" x14ac:dyDescent="0.3">
      <c r="A586" s="4">
        <v>1585</v>
      </c>
      <c r="B586" s="5" t="s">
        <v>713</v>
      </c>
      <c r="C586" s="6">
        <v>45170.365277777775</v>
      </c>
      <c r="D586" s="5" t="s">
        <v>43</v>
      </c>
      <c r="E586" s="5" t="s">
        <v>164</v>
      </c>
      <c r="F586" s="5" t="s">
        <v>16</v>
      </c>
      <c r="G586" s="5" t="s">
        <v>31</v>
      </c>
      <c r="H586" s="5">
        <v>66</v>
      </c>
      <c r="I586" s="5">
        <v>21</v>
      </c>
      <c r="J586" s="5" t="s">
        <v>18</v>
      </c>
      <c r="K586" s="5" t="s">
        <v>19</v>
      </c>
      <c r="L586" s="5" t="s">
        <v>20</v>
      </c>
      <c r="M586" s="7" t="s">
        <v>21</v>
      </c>
      <c r="N586" s="26">
        <f t="shared" si="54"/>
        <v>0</v>
      </c>
      <c r="O586" s="42">
        <f t="shared" si="55"/>
        <v>45170</v>
      </c>
      <c r="P586" s="5" t="str">
        <f t="shared" si="56"/>
        <v>Friday</v>
      </c>
      <c r="Q586" s="5">
        <f t="shared" si="57"/>
        <v>8</v>
      </c>
      <c r="R586" s="28">
        <f t="shared" si="58"/>
        <v>0.75862068965517238</v>
      </c>
      <c r="S586" s="29">
        <f t="shared" si="59"/>
        <v>75.862068965517238</v>
      </c>
      <c r="T586" s="5" t="str">
        <f>IF(Delivery_Data[[#This Row],[Delays (min)]]&gt;0,"No","Yes")</f>
        <v>No</v>
      </c>
    </row>
    <row r="587" spans="1:20" ht="15.75" customHeight="1" x14ac:dyDescent="0.3">
      <c r="A587" s="4">
        <v>1586</v>
      </c>
      <c r="B587" s="5" t="s">
        <v>714</v>
      </c>
      <c r="C587" s="6">
        <v>45176.402777777781</v>
      </c>
      <c r="D587" s="5" t="s">
        <v>14</v>
      </c>
      <c r="E587" s="5" t="s">
        <v>154</v>
      </c>
      <c r="F587" s="5" t="s">
        <v>16</v>
      </c>
      <c r="G587" s="5" t="s">
        <v>31</v>
      </c>
      <c r="H587" s="5">
        <v>173</v>
      </c>
      <c r="I587" s="5">
        <v>12</v>
      </c>
      <c r="J587" s="5" t="s">
        <v>18</v>
      </c>
      <c r="K587" s="5" t="s">
        <v>27</v>
      </c>
      <c r="L587" s="5" t="s">
        <v>40</v>
      </c>
      <c r="M587" s="7" t="s">
        <v>46</v>
      </c>
      <c r="N587" s="26">
        <f t="shared" si="54"/>
        <v>0</v>
      </c>
      <c r="O587" s="42">
        <f t="shared" si="55"/>
        <v>45176</v>
      </c>
      <c r="P587" s="5" t="str">
        <f t="shared" si="56"/>
        <v>Thursday</v>
      </c>
      <c r="Q587" s="5">
        <f t="shared" si="57"/>
        <v>9</v>
      </c>
      <c r="R587" s="28">
        <f t="shared" si="58"/>
        <v>0.93513513513513513</v>
      </c>
      <c r="S587" s="29">
        <f t="shared" si="59"/>
        <v>93.513513513513516</v>
      </c>
      <c r="T587" s="5" t="str">
        <f>IF(Delivery_Data[[#This Row],[Delays (min)]]&gt;0,"No","Yes")</f>
        <v>No</v>
      </c>
    </row>
    <row r="588" spans="1:20" ht="15.75" customHeight="1" x14ac:dyDescent="0.3">
      <c r="A588" s="4">
        <v>1587</v>
      </c>
      <c r="B588" s="5" t="s">
        <v>715</v>
      </c>
      <c r="C588" s="6">
        <v>45175.499305555553</v>
      </c>
      <c r="D588" s="5" t="s">
        <v>43</v>
      </c>
      <c r="E588" s="5" t="s">
        <v>204</v>
      </c>
      <c r="F588" s="5" t="s">
        <v>16</v>
      </c>
      <c r="G588" s="5" t="s">
        <v>25</v>
      </c>
      <c r="H588" s="5">
        <v>178</v>
      </c>
      <c r="I588" s="5">
        <v>5</v>
      </c>
      <c r="J588" s="5" t="s">
        <v>32</v>
      </c>
      <c r="K588" s="5" t="s">
        <v>45</v>
      </c>
      <c r="L588" s="5" t="s">
        <v>40</v>
      </c>
      <c r="M588" s="7" t="s">
        <v>41</v>
      </c>
      <c r="N588" s="26">
        <f t="shared" si="54"/>
        <v>-1</v>
      </c>
      <c r="O588" s="42">
        <f t="shared" si="55"/>
        <v>45175</v>
      </c>
      <c r="P588" s="5" t="str">
        <f t="shared" si="56"/>
        <v>Wednesday</v>
      </c>
      <c r="Q588" s="5">
        <f t="shared" si="57"/>
        <v>11</v>
      </c>
      <c r="R588" s="28">
        <f t="shared" si="58"/>
        <v>0.97267759562841527</v>
      </c>
      <c r="S588" s="29">
        <f t="shared" si="59"/>
        <v>97.267759562841533</v>
      </c>
      <c r="T588" s="5" t="str">
        <f>IF(Delivery_Data[[#This Row],[Delays (min)]]&gt;0,"No","Yes")</f>
        <v>No</v>
      </c>
    </row>
    <row r="589" spans="1:20" ht="15.75" customHeight="1" x14ac:dyDescent="0.3">
      <c r="A589" s="4">
        <v>1588</v>
      </c>
      <c r="B589" s="5" t="s">
        <v>716</v>
      </c>
      <c r="C589" s="6">
        <v>45170.595138888886</v>
      </c>
      <c r="D589" s="5" t="s">
        <v>14</v>
      </c>
      <c r="E589" s="5" t="s">
        <v>58</v>
      </c>
      <c r="F589" s="5" t="s">
        <v>24</v>
      </c>
      <c r="G589" s="5" t="s">
        <v>39</v>
      </c>
      <c r="H589" s="5">
        <v>236</v>
      </c>
      <c r="I589" s="5">
        <v>9</v>
      </c>
      <c r="J589" s="5" t="s">
        <v>32</v>
      </c>
      <c r="K589" s="5" t="s">
        <v>19</v>
      </c>
      <c r="L589" s="5" t="s">
        <v>20</v>
      </c>
      <c r="M589" s="7" t="s">
        <v>46</v>
      </c>
      <c r="N589" s="26">
        <f t="shared" si="54"/>
        <v>-1</v>
      </c>
      <c r="O589" s="42">
        <f t="shared" si="55"/>
        <v>45170</v>
      </c>
      <c r="P589" s="5" t="str">
        <f t="shared" si="56"/>
        <v>Friday</v>
      </c>
      <c r="Q589" s="5">
        <f t="shared" si="57"/>
        <v>14</v>
      </c>
      <c r="R589" s="28">
        <f t="shared" si="58"/>
        <v>0.96326530612244898</v>
      </c>
      <c r="S589" s="29">
        <f t="shared" si="59"/>
        <v>96.326530612244895</v>
      </c>
      <c r="T589" s="5" t="str">
        <f>IF(Delivery_Data[[#This Row],[Delays (min)]]&gt;0,"No","Yes")</f>
        <v>No</v>
      </c>
    </row>
    <row r="590" spans="1:20" ht="15.75" customHeight="1" x14ac:dyDescent="0.3">
      <c r="A590" s="4">
        <v>1589</v>
      </c>
      <c r="B590" s="5" t="s">
        <v>717</v>
      </c>
      <c r="C590" s="6">
        <v>45173.631944444445</v>
      </c>
      <c r="D590" s="5" t="s">
        <v>14</v>
      </c>
      <c r="E590" s="5" t="s">
        <v>58</v>
      </c>
      <c r="F590" s="5" t="s">
        <v>24</v>
      </c>
      <c r="G590" s="5" t="s">
        <v>31</v>
      </c>
      <c r="H590" s="5">
        <v>149</v>
      </c>
      <c r="I590" s="5">
        <v>5</v>
      </c>
      <c r="J590" s="5" t="s">
        <v>26</v>
      </c>
      <c r="K590" s="5" t="s">
        <v>19</v>
      </c>
      <c r="L590" s="5" t="s">
        <v>20</v>
      </c>
      <c r="M590" s="7" t="s">
        <v>46</v>
      </c>
      <c r="N590" s="26">
        <f t="shared" si="54"/>
        <v>1</v>
      </c>
      <c r="O590" s="42">
        <f t="shared" si="55"/>
        <v>45173</v>
      </c>
      <c r="P590" s="5" t="str">
        <f t="shared" si="56"/>
        <v>Monday</v>
      </c>
      <c r="Q590" s="5">
        <f t="shared" si="57"/>
        <v>15</v>
      </c>
      <c r="R590" s="28">
        <f t="shared" si="58"/>
        <v>0.96753246753246758</v>
      </c>
      <c r="S590" s="29">
        <f t="shared" si="59"/>
        <v>96.753246753246756</v>
      </c>
      <c r="T590" s="5" t="str">
        <f>IF(Delivery_Data[[#This Row],[Delays (min)]]&gt;0,"No","Yes")</f>
        <v>No</v>
      </c>
    </row>
    <row r="591" spans="1:20" ht="15.75" customHeight="1" x14ac:dyDescent="0.3">
      <c r="A591" s="4">
        <v>1590</v>
      </c>
      <c r="B591" s="5" t="s">
        <v>718</v>
      </c>
      <c r="C591" s="6">
        <v>45177.428472222222</v>
      </c>
      <c r="D591" s="5" t="s">
        <v>43</v>
      </c>
      <c r="E591" s="5" t="s">
        <v>68</v>
      </c>
      <c r="F591" s="5" t="s">
        <v>16</v>
      </c>
      <c r="G591" s="5" t="s">
        <v>39</v>
      </c>
      <c r="H591" s="5">
        <v>187</v>
      </c>
      <c r="I591" s="5">
        <v>14</v>
      </c>
      <c r="J591" s="5" t="s">
        <v>32</v>
      </c>
      <c r="K591" s="5" t="s">
        <v>45</v>
      </c>
      <c r="L591" s="5" t="s">
        <v>28</v>
      </c>
      <c r="M591" s="7" t="s">
        <v>41</v>
      </c>
      <c r="N591" s="26">
        <f t="shared" si="54"/>
        <v>-1</v>
      </c>
      <c r="O591" s="42">
        <f t="shared" si="55"/>
        <v>45177</v>
      </c>
      <c r="P591" s="5" t="str">
        <f t="shared" si="56"/>
        <v>Friday</v>
      </c>
      <c r="Q591" s="5">
        <f t="shared" si="57"/>
        <v>10</v>
      </c>
      <c r="R591" s="28">
        <f t="shared" si="58"/>
        <v>0.93034825870646765</v>
      </c>
      <c r="S591" s="29">
        <f t="shared" si="59"/>
        <v>93.03482587064677</v>
      </c>
      <c r="T591" s="5" t="str">
        <f>IF(Delivery_Data[[#This Row],[Delays (min)]]&gt;0,"No","Yes")</f>
        <v>No</v>
      </c>
    </row>
    <row r="592" spans="1:20" ht="15.75" customHeight="1" x14ac:dyDescent="0.3">
      <c r="A592" s="4">
        <v>1591</v>
      </c>
      <c r="B592" s="5" t="s">
        <v>719</v>
      </c>
      <c r="C592" s="6">
        <v>45172.438888888886</v>
      </c>
      <c r="D592" s="5" t="s">
        <v>43</v>
      </c>
      <c r="E592" s="5" t="s">
        <v>68</v>
      </c>
      <c r="F592" s="5" t="s">
        <v>38</v>
      </c>
      <c r="G592" s="5" t="s">
        <v>31</v>
      </c>
      <c r="H592" s="5">
        <v>237</v>
      </c>
      <c r="I592" s="5">
        <v>8</v>
      </c>
      <c r="J592" s="5" t="s">
        <v>18</v>
      </c>
      <c r="K592" s="5" t="s">
        <v>49</v>
      </c>
      <c r="L592" s="5" t="s">
        <v>20</v>
      </c>
      <c r="M592" s="7" t="s">
        <v>21</v>
      </c>
      <c r="N592" s="26">
        <f t="shared" si="54"/>
        <v>0</v>
      </c>
      <c r="O592" s="42">
        <f t="shared" si="55"/>
        <v>45172</v>
      </c>
      <c r="P592" s="5" t="str">
        <f t="shared" si="56"/>
        <v>Sunday</v>
      </c>
      <c r="Q592" s="5">
        <f t="shared" si="57"/>
        <v>10</v>
      </c>
      <c r="R592" s="28">
        <f t="shared" si="58"/>
        <v>0.96734693877551026</v>
      </c>
      <c r="S592" s="29">
        <f t="shared" si="59"/>
        <v>96.734693877551024</v>
      </c>
      <c r="T592" s="5" t="str">
        <f>IF(Delivery_Data[[#This Row],[Delays (min)]]&gt;0,"No","Yes")</f>
        <v>No</v>
      </c>
    </row>
    <row r="593" spans="1:20" ht="15.75" customHeight="1" x14ac:dyDescent="0.3">
      <c r="A593" s="4">
        <v>1592</v>
      </c>
      <c r="B593" s="5" t="s">
        <v>720</v>
      </c>
      <c r="C593" s="6">
        <v>45175.693749999999</v>
      </c>
      <c r="D593" s="5" t="s">
        <v>43</v>
      </c>
      <c r="E593" s="5" t="s">
        <v>171</v>
      </c>
      <c r="F593" s="5" t="s">
        <v>38</v>
      </c>
      <c r="G593" s="5" t="s">
        <v>25</v>
      </c>
      <c r="H593" s="5">
        <v>159</v>
      </c>
      <c r="I593" s="5">
        <v>14</v>
      </c>
      <c r="J593" s="5" t="s">
        <v>18</v>
      </c>
      <c r="K593" s="5" t="s">
        <v>27</v>
      </c>
      <c r="L593" s="5" t="s">
        <v>28</v>
      </c>
      <c r="M593" s="7" t="s">
        <v>41</v>
      </c>
      <c r="N593" s="26">
        <f t="shared" si="54"/>
        <v>0</v>
      </c>
      <c r="O593" s="42">
        <f t="shared" si="55"/>
        <v>45175</v>
      </c>
      <c r="P593" s="5" t="str">
        <f t="shared" si="56"/>
        <v>Wednesday</v>
      </c>
      <c r="Q593" s="5">
        <f t="shared" si="57"/>
        <v>16</v>
      </c>
      <c r="R593" s="28">
        <f t="shared" si="58"/>
        <v>0.91907514450867056</v>
      </c>
      <c r="S593" s="29">
        <f t="shared" si="59"/>
        <v>91.907514450867055</v>
      </c>
      <c r="T593" s="5" t="str">
        <f>IF(Delivery_Data[[#This Row],[Delays (min)]]&gt;0,"No","Yes")</f>
        <v>No</v>
      </c>
    </row>
    <row r="594" spans="1:20" ht="15.75" customHeight="1" x14ac:dyDescent="0.3">
      <c r="A594" s="4">
        <v>1593</v>
      </c>
      <c r="B594" s="5" t="s">
        <v>721</v>
      </c>
      <c r="C594" s="6">
        <v>45170.5</v>
      </c>
      <c r="D594" s="5" t="s">
        <v>43</v>
      </c>
      <c r="E594" s="5" t="s">
        <v>48</v>
      </c>
      <c r="F594" s="5" t="s">
        <v>16</v>
      </c>
      <c r="G594" s="5" t="s">
        <v>31</v>
      </c>
      <c r="H594" s="5">
        <v>187</v>
      </c>
      <c r="I594" s="5">
        <v>9</v>
      </c>
      <c r="J594" s="5" t="s">
        <v>26</v>
      </c>
      <c r="K594" s="5" t="s">
        <v>35</v>
      </c>
      <c r="L594" s="5" t="s">
        <v>40</v>
      </c>
      <c r="M594" s="7" t="s">
        <v>41</v>
      </c>
      <c r="N594" s="26">
        <f t="shared" si="54"/>
        <v>1</v>
      </c>
      <c r="O594" s="42">
        <f t="shared" si="55"/>
        <v>45170</v>
      </c>
      <c r="P594" s="5" t="str">
        <f t="shared" si="56"/>
        <v>Friday</v>
      </c>
      <c r="Q594" s="5">
        <f t="shared" si="57"/>
        <v>12</v>
      </c>
      <c r="R594" s="28">
        <f t="shared" si="58"/>
        <v>0.95408163265306123</v>
      </c>
      <c r="S594" s="29">
        <f t="shared" si="59"/>
        <v>95.408163265306129</v>
      </c>
      <c r="T594" s="5" t="str">
        <f>IF(Delivery_Data[[#This Row],[Delays (min)]]&gt;0,"No","Yes")</f>
        <v>No</v>
      </c>
    </row>
    <row r="595" spans="1:20" ht="15.75" customHeight="1" x14ac:dyDescent="0.3">
      <c r="A595" s="4">
        <v>1594</v>
      </c>
      <c r="B595" s="5" t="s">
        <v>722</v>
      </c>
      <c r="C595" s="6">
        <v>45172.396527777775</v>
      </c>
      <c r="D595" s="5" t="s">
        <v>14</v>
      </c>
      <c r="E595" s="5" t="s">
        <v>243</v>
      </c>
      <c r="F595" s="5" t="s">
        <v>16</v>
      </c>
      <c r="G595" s="5" t="s">
        <v>25</v>
      </c>
      <c r="H595" s="5">
        <v>169</v>
      </c>
      <c r="I595" s="5">
        <v>20</v>
      </c>
      <c r="J595" s="5" t="s">
        <v>18</v>
      </c>
      <c r="K595" s="5" t="s">
        <v>35</v>
      </c>
      <c r="L595" s="5" t="s">
        <v>28</v>
      </c>
      <c r="M595" s="7" t="s">
        <v>41</v>
      </c>
      <c r="N595" s="26">
        <f t="shared" si="54"/>
        <v>0</v>
      </c>
      <c r="O595" s="42">
        <f t="shared" si="55"/>
        <v>45172</v>
      </c>
      <c r="P595" s="5" t="str">
        <f t="shared" si="56"/>
        <v>Sunday</v>
      </c>
      <c r="Q595" s="5">
        <f t="shared" si="57"/>
        <v>9</v>
      </c>
      <c r="R595" s="28">
        <f t="shared" si="58"/>
        <v>0.89417989417989419</v>
      </c>
      <c r="S595" s="29">
        <f t="shared" si="59"/>
        <v>89.417989417989418</v>
      </c>
      <c r="T595" s="5" t="str">
        <f>IF(Delivery_Data[[#This Row],[Delays (min)]]&gt;0,"No","Yes")</f>
        <v>No</v>
      </c>
    </row>
    <row r="596" spans="1:20" ht="15.75" customHeight="1" x14ac:dyDescent="0.3">
      <c r="A596" s="4">
        <v>1595</v>
      </c>
      <c r="B596" s="5" t="s">
        <v>723</v>
      </c>
      <c r="C596" s="6">
        <v>45174.447222222225</v>
      </c>
      <c r="D596" s="5" t="s">
        <v>14</v>
      </c>
      <c r="E596" s="5" t="s">
        <v>193</v>
      </c>
      <c r="F596" s="5" t="s">
        <v>38</v>
      </c>
      <c r="G596" s="5" t="s">
        <v>31</v>
      </c>
      <c r="H596" s="5">
        <v>135</v>
      </c>
      <c r="I596" s="5">
        <v>27</v>
      </c>
      <c r="J596" s="5" t="s">
        <v>18</v>
      </c>
      <c r="K596" s="5" t="s">
        <v>45</v>
      </c>
      <c r="L596" s="5" t="s">
        <v>20</v>
      </c>
      <c r="M596" s="7" t="s">
        <v>21</v>
      </c>
      <c r="N596" s="26">
        <f t="shared" si="54"/>
        <v>0</v>
      </c>
      <c r="O596" s="42">
        <f t="shared" si="55"/>
        <v>45174</v>
      </c>
      <c r="P596" s="5" t="str">
        <f t="shared" si="56"/>
        <v>Tuesday</v>
      </c>
      <c r="Q596" s="5">
        <f t="shared" si="57"/>
        <v>10</v>
      </c>
      <c r="R596" s="28">
        <f t="shared" si="58"/>
        <v>0.83333333333333337</v>
      </c>
      <c r="S596" s="29">
        <f t="shared" si="59"/>
        <v>83.333333333333343</v>
      </c>
      <c r="T596" s="5" t="str">
        <f>IF(Delivery_Data[[#This Row],[Delays (min)]]&gt;0,"No","Yes")</f>
        <v>No</v>
      </c>
    </row>
    <row r="597" spans="1:20" ht="15.75" customHeight="1" x14ac:dyDescent="0.3">
      <c r="A597" s="4">
        <v>1596</v>
      </c>
      <c r="B597" s="5" t="s">
        <v>724</v>
      </c>
      <c r="C597" s="6">
        <v>45171.635416666664</v>
      </c>
      <c r="D597" s="5" t="s">
        <v>43</v>
      </c>
      <c r="E597" s="5" t="s">
        <v>468</v>
      </c>
      <c r="F597" s="5" t="s">
        <v>38</v>
      </c>
      <c r="G597" s="5" t="s">
        <v>31</v>
      </c>
      <c r="H597" s="5">
        <v>198</v>
      </c>
      <c r="I597" s="5">
        <v>19</v>
      </c>
      <c r="J597" s="5" t="s">
        <v>26</v>
      </c>
      <c r="K597" s="5" t="s">
        <v>49</v>
      </c>
      <c r="L597" s="5" t="s">
        <v>20</v>
      </c>
      <c r="M597" s="7" t="s">
        <v>46</v>
      </c>
      <c r="N597" s="26">
        <f t="shared" si="54"/>
        <v>1</v>
      </c>
      <c r="O597" s="42">
        <f t="shared" si="55"/>
        <v>45171</v>
      </c>
      <c r="P597" s="5" t="str">
        <f t="shared" si="56"/>
        <v>Saturday</v>
      </c>
      <c r="Q597" s="5">
        <f t="shared" si="57"/>
        <v>15</v>
      </c>
      <c r="R597" s="28">
        <f t="shared" si="58"/>
        <v>0.9124423963133641</v>
      </c>
      <c r="S597" s="29">
        <f t="shared" si="59"/>
        <v>91.244239631336413</v>
      </c>
      <c r="T597" s="5" t="str">
        <f>IF(Delivery_Data[[#This Row],[Delays (min)]]&gt;0,"No","Yes")</f>
        <v>No</v>
      </c>
    </row>
    <row r="598" spans="1:20" ht="15.75" customHeight="1" x14ac:dyDescent="0.3">
      <c r="A598" s="4">
        <v>1597</v>
      </c>
      <c r="B598" s="5" t="s">
        <v>536</v>
      </c>
      <c r="C598" s="6">
        <v>45171.43472222222</v>
      </c>
      <c r="D598" s="5" t="s">
        <v>43</v>
      </c>
      <c r="E598" s="5" t="s">
        <v>115</v>
      </c>
      <c r="F598" s="5" t="s">
        <v>24</v>
      </c>
      <c r="G598" s="5" t="s">
        <v>56</v>
      </c>
      <c r="H598" s="5">
        <v>186</v>
      </c>
      <c r="I598" s="5">
        <v>13</v>
      </c>
      <c r="J598" s="5" t="s">
        <v>26</v>
      </c>
      <c r="K598" s="5" t="s">
        <v>49</v>
      </c>
      <c r="L598" s="5" t="s">
        <v>28</v>
      </c>
      <c r="M598" s="7" t="s">
        <v>21</v>
      </c>
      <c r="N598" s="26">
        <f t="shared" si="54"/>
        <v>1</v>
      </c>
      <c r="O598" s="42">
        <f t="shared" si="55"/>
        <v>45171</v>
      </c>
      <c r="P598" s="5" t="str">
        <f t="shared" si="56"/>
        <v>Saturday</v>
      </c>
      <c r="Q598" s="5">
        <f t="shared" si="57"/>
        <v>10</v>
      </c>
      <c r="R598" s="28">
        <f t="shared" si="58"/>
        <v>0.9346733668341709</v>
      </c>
      <c r="S598" s="29">
        <f t="shared" si="59"/>
        <v>93.467336683417088</v>
      </c>
      <c r="T598" s="5" t="str">
        <f>IF(Delivery_Data[[#This Row],[Delays (min)]]&gt;0,"No","Yes")</f>
        <v>No</v>
      </c>
    </row>
    <row r="599" spans="1:20" ht="15.75" customHeight="1" x14ac:dyDescent="0.3">
      <c r="A599" s="4">
        <v>1598</v>
      </c>
      <c r="B599" s="5" t="s">
        <v>725</v>
      </c>
      <c r="C599" s="6">
        <v>45175.624305555553</v>
      </c>
      <c r="D599" s="5" t="s">
        <v>43</v>
      </c>
      <c r="E599" s="5" t="s">
        <v>73</v>
      </c>
      <c r="F599" s="5" t="s">
        <v>24</v>
      </c>
      <c r="G599" s="5" t="s">
        <v>31</v>
      </c>
      <c r="H599" s="5">
        <v>173</v>
      </c>
      <c r="I599" s="5">
        <v>16</v>
      </c>
      <c r="J599" s="5" t="s">
        <v>18</v>
      </c>
      <c r="K599" s="5" t="s">
        <v>27</v>
      </c>
      <c r="L599" s="5" t="s">
        <v>28</v>
      </c>
      <c r="M599" s="7" t="s">
        <v>21</v>
      </c>
      <c r="N599" s="26">
        <f t="shared" si="54"/>
        <v>0</v>
      </c>
      <c r="O599" s="42">
        <f t="shared" si="55"/>
        <v>45175</v>
      </c>
      <c r="P599" s="5" t="str">
        <f t="shared" si="56"/>
        <v>Wednesday</v>
      </c>
      <c r="Q599" s="5">
        <f t="shared" si="57"/>
        <v>14</v>
      </c>
      <c r="R599" s="28">
        <f t="shared" si="58"/>
        <v>0.91534391534391535</v>
      </c>
      <c r="S599" s="29">
        <f t="shared" si="59"/>
        <v>91.534391534391531</v>
      </c>
      <c r="T599" s="5" t="str">
        <f>IF(Delivery_Data[[#This Row],[Delays (min)]]&gt;0,"No","Yes")</f>
        <v>No</v>
      </c>
    </row>
    <row r="600" spans="1:20" ht="15.75" customHeight="1" x14ac:dyDescent="0.3">
      <c r="A600" s="4">
        <v>1599</v>
      </c>
      <c r="B600" s="5" t="s">
        <v>726</v>
      </c>
      <c r="C600" s="6">
        <v>45171.354166666664</v>
      </c>
      <c r="D600" s="5" t="s">
        <v>43</v>
      </c>
      <c r="E600" s="5" t="s">
        <v>115</v>
      </c>
      <c r="F600" s="5" t="s">
        <v>16</v>
      </c>
      <c r="G600" s="5" t="s">
        <v>39</v>
      </c>
      <c r="H600" s="5">
        <v>134</v>
      </c>
      <c r="I600" s="5">
        <v>11</v>
      </c>
      <c r="J600" s="5" t="s">
        <v>26</v>
      </c>
      <c r="K600" s="5" t="s">
        <v>49</v>
      </c>
      <c r="L600" s="5" t="s">
        <v>28</v>
      </c>
      <c r="M600" s="7" t="s">
        <v>21</v>
      </c>
      <c r="N600" s="26">
        <f t="shared" si="54"/>
        <v>1</v>
      </c>
      <c r="O600" s="42">
        <f t="shared" si="55"/>
        <v>45171</v>
      </c>
      <c r="P600" s="5" t="str">
        <f t="shared" si="56"/>
        <v>Saturday</v>
      </c>
      <c r="Q600" s="5">
        <f t="shared" si="57"/>
        <v>8</v>
      </c>
      <c r="R600" s="28">
        <f t="shared" si="58"/>
        <v>0.92413793103448272</v>
      </c>
      <c r="S600" s="29">
        <f t="shared" si="59"/>
        <v>92.41379310344827</v>
      </c>
      <c r="T600" s="5" t="str">
        <f>IF(Delivery_Data[[#This Row],[Delays (min)]]&gt;0,"No","Yes")</f>
        <v>No</v>
      </c>
    </row>
    <row r="601" spans="1:20" ht="15.75" customHeight="1" x14ac:dyDescent="0.3">
      <c r="A601" s="4">
        <v>1600</v>
      </c>
      <c r="B601" s="5" t="s">
        <v>727</v>
      </c>
      <c r="C601" s="6">
        <v>45175.368055555555</v>
      </c>
      <c r="D601" s="5" t="s">
        <v>14</v>
      </c>
      <c r="E601" s="5" t="s">
        <v>179</v>
      </c>
      <c r="F601" s="5" t="s">
        <v>16</v>
      </c>
      <c r="G601" s="5" t="s">
        <v>56</v>
      </c>
      <c r="H601" s="5">
        <v>110</v>
      </c>
      <c r="I601" s="5">
        <v>20</v>
      </c>
      <c r="J601" s="5" t="s">
        <v>32</v>
      </c>
      <c r="K601" s="5" t="s">
        <v>35</v>
      </c>
      <c r="L601" s="5" t="s">
        <v>28</v>
      </c>
      <c r="M601" s="7" t="s">
        <v>21</v>
      </c>
      <c r="N601" s="26">
        <f t="shared" si="54"/>
        <v>-1</v>
      </c>
      <c r="O601" s="42">
        <f t="shared" si="55"/>
        <v>45175</v>
      </c>
      <c r="P601" s="5" t="str">
        <f t="shared" si="56"/>
        <v>Wednesday</v>
      </c>
      <c r="Q601" s="5">
        <f t="shared" si="57"/>
        <v>8</v>
      </c>
      <c r="R601" s="28">
        <f t="shared" si="58"/>
        <v>0.84615384615384615</v>
      </c>
      <c r="S601" s="29">
        <f t="shared" si="59"/>
        <v>84.615384615384613</v>
      </c>
      <c r="T601" s="5" t="str">
        <f>IF(Delivery_Data[[#This Row],[Delays (min)]]&gt;0,"No","Yes")</f>
        <v>No</v>
      </c>
    </row>
    <row r="602" spans="1:20" ht="15.75" customHeight="1" x14ac:dyDescent="0.3">
      <c r="A602" s="4">
        <v>1601</v>
      </c>
      <c r="B602" s="5" t="s">
        <v>728</v>
      </c>
      <c r="C602" s="6">
        <v>45170.695138888892</v>
      </c>
      <c r="D602" s="5" t="s">
        <v>43</v>
      </c>
      <c r="E602" s="5" t="s">
        <v>58</v>
      </c>
      <c r="F602" s="5" t="s">
        <v>16</v>
      </c>
      <c r="G602" s="5" t="s">
        <v>17</v>
      </c>
      <c r="H602" s="5">
        <v>72</v>
      </c>
      <c r="I602" s="5">
        <v>16</v>
      </c>
      <c r="J602" s="5" t="s">
        <v>18</v>
      </c>
      <c r="K602" s="5" t="s">
        <v>27</v>
      </c>
      <c r="L602" s="5" t="s">
        <v>20</v>
      </c>
      <c r="M602" s="7" t="s">
        <v>21</v>
      </c>
      <c r="N602" s="26">
        <f t="shared" si="54"/>
        <v>0</v>
      </c>
      <c r="O602" s="42">
        <f t="shared" si="55"/>
        <v>45170</v>
      </c>
      <c r="P602" s="5" t="str">
        <f t="shared" si="56"/>
        <v>Friday</v>
      </c>
      <c r="Q602" s="5">
        <f t="shared" si="57"/>
        <v>16</v>
      </c>
      <c r="R602" s="28">
        <f t="shared" si="58"/>
        <v>0.81818181818181823</v>
      </c>
      <c r="S602" s="29">
        <f t="shared" si="59"/>
        <v>81.818181818181827</v>
      </c>
      <c r="T602" s="5" t="str">
        <f>IF(Delivery_Data[[#This Row],[Delays (min)]]&gt;0,"No","Yes")</f>
        <v>No</v>
      </c>
    </row>
    <row r="603" spans="1:20" ht="15.75" customHeight="1" x14ac:dyDescent="0.3">
      <c r="A603" s="4">
        <v>1602</v>
      </c>
      <c r="B603" s="5" t="s">
        <v>729</v>
      </c>
      <c r="C603" s="6">
        <v>45175.379861111112</v>
      </c>
      <c r="D603" s="5" t="s">
        <v>43</v>
      </c>
      <c r="E603" s="5" t="s">
        <v>169</v>
      </c>
      <c r="F603" s="5" t="s">
        <v>16</v>
      </c>
      <c r="G603" s="5" t="s">
        <v>39</v>
      </c>
      <c r="H603" s="5">
        <v>60</v>
      </c>
      <c r="I603" s="5">
        <v>18</v>
      </c>
      <c r="J603" s="5" t="s">
        <v>32</v>
      </c>
      <c r="K603" s="5" t="s">
        <v>45</v>
      </c>
      <c r="L603" s="5" t="s">
        <v>40</v>
      </c>
      <c r="M603" s="7" t="s">
        <v>46</v>
      </c>
      <c r="N603" s="26">
        <f t="shared" si="54"/>
        <v>-1</v>
      </c>
      <c r="O603" s="42">
        <f t="shared" si="55"/>
        <v>45175</v>
      </c>
      <c r="P603" s="5" t="str">
        <f t="shared" si="56"/>
        <v>Wednesday</v>
      </c>
      <c r="Q603" s="5">
        <f t="shared" si="57"/>
        <v>9</v>
      </c>
      <c r="R603" s="28">
        <f t="shared" si="58"/>
        <v>0.76923076923076927</v>
      </c>
      <c r="S603" s="29">
        <f t="shared" si="59"/>
        <v>76.923076923076934</v>
      </c>
      <c r="T603" s="5" t="str">
        <f>IF(Delivery_Data[[#This Row],[Delays (min)]]&gt;0,"No","Yes")</f>
        <v>No</v>
      </c>
    </row>
    <row r="604" spans="1:20" ht="15.75" customHeight="1" x14ac:dyDescent="0.3">
      <c r="A604" s="4">
        <v>1603</v>
      </c>
      <c r="B604" s="5" t="s">
        <v>730</v>
      </c>
      <c r="C604" s="6">
        <v>45172.36041666667</v>
      </c>
      <c r="D604" s="5" t="s">
        <v>14</v>
      </c>
      <c r="E604" s="5" t="s">
        <v>160</v>
      </c>
      <c r="F604" s="5" t="s">
        <v>38</v>
      </c>
      <c r="G604" s="5" t="s">
        <v>25</v>
      </c>
      <c r="H604" s="5">
        <v>226</v>
      </c>
      <c r="I604" s="5">
        <v>0</v>
      </c>
      <c r="J604" s="5" t="s">
        <v>18</v>
      </c>
      <c r="K604" s="5" t="s">
        <v>45</v>
      </c>
      <c r="L604" s="5" t="s">
        <v>20</v>
      </c>
      <c r="M604" s="7" t="s">
        <v>46</v>
      </c>
      <c r="N604" s="26">
        <f t="shared" si="54"/>
        <v>0</v>
      </c>
      <c r="O604" s="42">
        <f t="shared" si="55"/>
        <v>45172</v>
      </c>
      <c r="P604" s="5" t="str">
        <f t="shared" si="56"/>
        <v>Sunday</v>
      </c>
      <c r="Q604" s="5">
        <f t="shared" si="57"/>
        <v>8</v>
      </c>
      <c r="R604" s="28">
        <f t="shared" si="58"/>
        <v>1</v>
      </c>
      <c r="S604" s="29">
        <f t="shared" si="59"/>
        <v>100</v>
      </c>
      <c r="T604" s="5" t="str">
        <f>IF(Delivery_Data[[#This Row],[Delays (min)]]&gt;0,"No","Yes")</f>
        <v>Yes</v>
      </c>
    </row>
    <row r="605" spans="1:20" ht="15.75" customHeight="1" x14ac:dyDescent="0.3">
      <c r="A605" s="4">
        <v>1604</v>
      </c>
      <c r="B605" s="5" t="s">
        <v>731</v>
      </c>
      <c r="C605" s="6">
        <v>45171.663888888892</v>
      </c>
      <c r="D605" s="5" t="s">
        <v>14</v>
      </c>
      <c r="E605" s="5" t="s">
        <v>468</v>
      </c>
      <c r="F605" s="5" t="s">
        <v>24</v>
      </c>
      <c r="G605" s="5" t="s">
        <v>25</v>
      </c>
      <c r="H605" s="5">
        <v>210</v>
      </c>
      <c r="I605" s="5">
        <v>11</v>
      </c>
      <c r="J605" s="5" t="s">
        <v>18</v>
      </c>
      <c r="K605" s="5" t="s">
        <v>19</v>
      </c>
      <c r="L605" s="5" t="s">
        <v>28</v>
      </c>
      <c r="M605" s="7" t="s">
        <v>21</v>
      </c>
      <c r="N605" s="26">
        <f t="shared" si="54"/>
        <v>0</v>
      </c>
      <c r="O605" s="42">
        <f t="shared" si="55"/>
        <v>45171</v>
      </c>
      <c r="P605" s="5" t="str">
        <f t="shared" si="56"/>
        <v>Saturday</v>
      </c>
      <c r="Q605" s="5">
        <f t="shared" si="57"/>
        <v>15</v>
      </c>
      <c r="R605" s="28">
        <f t="shared" si="58"/>
        <v>0.95022624434389136</v>
      </c>
      <c r="S605" s="29">
        <f t="shared" si="59"/>
        <v>95.02262443438913</v>
      </c>
      <c r="T605" s="5" t="str">
        <f>IF(Delivery_Data[[#This Row],[Delays (min)]]&gt;0,"No","Yes")</f>
        <v>No</v>
      </c>
    </row>
    <row r="606" spans="1:20" ht="15.75" customHeight="1" x14ac:dyDescent="0.3">
      <c r="A606" s="4">
        <v>1605</v>
      </c>
      <c r="B606" s="5" t="s">
        <v>732</v>
      </c>
      <c r="C606" s="6">
        <v>45172.388888888891</v>
      </c>
      <c r="D606" s="5" t="s">
        <v>14</v>
      </c>
      <c r="E606" s="5" t="s">
        <v>240</v>
      </c>
      <c r="F606" s="5" t="s">
        <v>38</v>
      </c>
      <c r="G606" s="5" t="s">
        <v>17</v>
      </c>
      <c r="H606" s="5">
        <v>119</v>
      </c>
      <c r="I606" s="5">
        <v>14</v>
      </c>
      <c r="J606" s="5" t="s">
        <v>26</v>
      </c>
      <c r="K606" s="5" t="s">
        <v>49</v>
      </c>
      <c r="L606" s="5" t="s">
        <v>40</v>
      </c>
      <c r="M606" s="7" t="s">
        <v>21</v>
      </c>
      <c r="N606" s="26">
        <f t="shared" si="54"/>
        <v>1</v>
      </c>
      <c r="O606" s="42">
        <f t="shared" si="55"/>
        <v>45172</v>
      </c>
      <c r="P606" s="5" t="str">
        <f t="shared" si="56"/>
        <v>Sunday</v>
      </c>
      <c r="Q606" s="5">
        <f t="shared" si="57"/>
        <v>9</v>
      </c>
      <c r="R606" s="28">
        <f t="shared" si="58"/>
        <v>0.89473684210526316</v>
      </c>
      <c r="S606" s="29">
        <f t="shared" si="59"/>
        <v>89.473684210526315</v>
      </c>
      <c r="T606" s="5" t="str">
        <f>IF(Delivery_Data[[#This Row],[Delays (min)]]&gt;0,"No","Yes")</f>
        <v>No</v>
      </c>
    </row>
    <row r="607" spans="1:20" ht="15.75" customHeight="1" x14ac:dyDescent="0.3">
      <c r="A607" s="4">
        <v>1606</v>
      </c>
      <c r="B607" s="5" t="s">
        <v>733</v>
      </c>
      <c r="C607" s="6">
        <v>45170.586805555555</v>
      </c>
      <c r="D607" s="5" t="s">
        <v>43</v>
      </c>
      <c r="E607" s="5" t="s">
        <v>193</v>
      </c>
      <c r="F607" s="5" t="s">
        <v>24</v>
      </c>
      <c r="G607" s="5" t="s">
        <v>39</v>
      </c>
      <c r="H607" s="5">
        <v>234</v>
      </c>
      <c r="I607" s="5">
        <v>28</v>
      </c>
      <c r="J607" s="5" t="s">
        <v>32</v>
      </c>
      <c r="K607" s="5" t="s">
        <v>27</v>
      </c>
      <c r="L607" s="5" t="s">
        <v>40</v>
      </c>
      <c r="M607" s="7" t="s">
        <v>46</v>
      </c>
      <c r="N607" s="26">
        <f t="shared" si="54"/>
        <v>-1</v>
      </c>
      <c r="O607" s="42">
        <f t="shared" si="55"/>
        <v>45170</v>
      </c>
      <c r="P607" s="5" t="str">
        <f t="shared" si="56"/>
        <v>Friday</v>
      </c>
      <c r="Q607" s="5">
        <f t="shared" si="57"/>
        <v>14</v>
      </c>
      <c r="R607" s="28">
        <f t="shared" si="58"/>
        <v>0.89312977099236646</v>
      </c>
      <c r="S607" s="29">
        <f t="shared" si="59"/>
        <v>89.312977099236647</v>
      </c>
      <c r="T607" s="5" t="str">
        <f>IF(Delivery_Data[[#This Row],[Delays (min)]]&gt;0,"No","Yes")</f>
        <v>No</v>
      </c>
    </row>
    <row r="608" spans="1:20" ht="15.75" customHeight="1" x14ac:dyDescent="0.3">
      <c r="A608" s="4">
        <v>1607</v>
      </c>
      <c r="B608" s="5" t="s">
        <v>734</v>
      </c>
      <c r="C608" s="6">
        <v>45177.551388888889</v>
      </c>
      <c r="D608" s="5" t="s">
        <v>14</v>
      </c>
      <c r="E608" s="5" t="s">
        <v>158</v>
      </c>
      <c r="F608" s="5" t="s">
        <v>16</v>
      </c>
      <c r="G608" s="5" t="s">
        <v>56</v>
      </c>
      <c r="H608" s="5">
        <v>61</v>
      </c>
      <c r="I608" s="5">
        <v>27</v>
      </c>
      <c r="J608" s="5" t="s">
        <v>18</v>
      </c>
      <c r="K608" s="5" t="s">
        <v>45</v>
      </c>
      <c r="L608" s="5" t="s">
        <v>20</v>
      </c>
      <c r="M608" s="7" t="s">
        <v>46</v>
      </c>
      <c r="N608" s="26">
        <f t="shared" si="54"/>
        <v>0</v>
      </c>
      <c r="O608" s="42">
        <f t="shared" si="55"/>
        <v>45177</v>
      </c>
      <c r="P608" s="5" t="str">
        <f t="shared" si="56"/>
        <v>Friday</v>
      </c>
      <c r="Q608" s="5">
        <f t="shared" si="57"/>
        <v>13</v>
      </c>
      <c r="R608" s="28">
        <f t="shared" si="58"/>
        <v>0.69318181818181823</v>
      </c>
      <c r="S608" s="29">
        <f t="shared" si="59"/>
        <v>69.318181818181827</v>
      </c>
      <c r="T608" s="5" t="str">
        <f>IF(Delivery_Data[[#This Row],[Delays (min)]]&gt;0,"No","Yes")</f>
        <v>No</v>
      </c>
    </row>
    <row r="609" spans="1:20" ht="15.75" customHeight="1" x14ac:dyDescent="0.3">
      <c r="A609" s="4">
        <v>1608</v>
      </c>
      <c r="B609" s="5" t="s">
        <v>735</v>
      </c>
      <c r="C609" s="6">
        <v>45172.369444444441</v>
      </c>
      <c r="D609" s="5" t="s">
        <v>43</v>
      </c>
      <c r="E609" s="5" t="s">
        <v>370</v>
      </c>
      <c r="F609" s="5" t="s">
        <v>38</v>
      </c>
      <c r="G609" s="5" t="s">
        <v>31</v>
      </c>
      <c r="H609" s="5">
        <v>119</v>
      </c>
      <c r="I609" s="5">
        <v>2</v>
      </c>
      <c r="J609" s="5" t="s">
        <v>18</v>
      </c>
      <c r="K609" s="5" t="s">
        <v>19</v>
      </c>
      <c r="L609" s="5" t="s">
        <v>28</v>
      </c>
      <c r="M609" s="7" t="s">
        <v>21</v>
      </c>
      <c r="N609" s="26">
        <f t="shared" si="54"/>
        <v>0</v>
      </c>
      <c r="O609" s="42">
        <f t="shared" si="55"/>
        <v>45172</v>
      </c>
      <c r="P609" s="5" t="str">
        <f t="shared" si="56"/>
        <v>Sunday</v>
      </c>
      <c r="Q609" s="5">
        <f t="shared" si="57"/>
        <v>8</v>
      </c>
      <c r="R609" s="28">
        <f t="shared" si="58"/>
        <v>0.98347107438016534</v>
      </c>
      <c r="S609" s="29">
        <f t="shared" si="59"/>
        <v>98.347107438016536</v>
      </c>
      <c r="T609" s="5" t="str">
        <f>IF(Delivery_Data[[#This Row],[Delays (min)]]&gt;0,"No","Yes")</f>
        <v>No</v>
      </c>
    </row>
    <row r="610" spans="1:20" ht="15.75" customHeight="1" x14ac:dyDescent="0.3">
      <c r="A610" s="4">
        <v>1609</v>
      </c>
      <c r="B610" s="5" t="s">
        <v>736</v>
      </c>
      <c r="C610" s="6">
        <v>45170.459722222222</v>
      </c>
      <c r="D610" s="5" t="s">
        <v>43</v>
      </c>
      <c r="E610" s="5" t="s">
        <v>189</v>
      </c>
      <c r="F610" s="5" t="s">
        <v>16</v>
      </c>
      <c r="G610" s="5" t="s">
        <v>56</v>
      </c>
      <c r="H610" s="5">
        <v>114</v>
      </c>
      <c r="I610" s="5">
        <v>15</v>
      </c>
      <c r="J610" s="5" t="s">
        <v>32</v>
      </c>
      <c r="K610" s="5" t="s">
        <v>27</v>
      </c>
      <c r="L610" s="5" t="s">
        <v>28</v>
      </c>
      <c r="M610" s="7" t="s">
        <v>41</v>
      </c>
      <c r="N610" s="26">
        <f t="shared" si="54"/>
        <v>-1</v>
      </c>
      <c r="O610" s="42">
        <f t="shared" si="55"/>
        <v>45170</v>
      </c>
      <c r="P610" s="5" t="str">
        <f t="shared" si="56"/>
        <v>Friday</v>
      </c>
      <c r="Q610" s="5">
        <f t="shared" si="57"/>
        <v>11</v>
      </c>
      <c r="R610" s="28">
        <f t="shared" si="58"/>
        <v>0.88372093023255816</v>
      </c>
      <c r="S610" s="29">
        <f t="shared" si="59"/>
        <v>88.372093023255815</v>
      </c>
      <c r="T610" s="5" t="str">
        <f>IF(Delivery_Data[[#This Row],[Delays (min)]]&gt;0,"No","Yes")</f>
        <v>No</v>
      </c>
    </row>
    <row r="611" spans="1:20" ht="15.75" customHeight="1" x14ac:dyDescent="0.3">
      <c r="A611" s="4">
        <v>1610</v>
      </c>
      <c r="B611" s="5" t="s">
        <v>737</v>
      </c>
      <c r="C611" s="6">
        <v>45176.62777777778</v>
      </c>
      <c r="D611" s="5" t="s">
        <v>43</v>
      </c>
      <c r="E611" s="5" t="s">
        <v>374</v>
      </c>
      <c r="F611" s="5" t="s">
        <v>24</v>
      </c>
      <c r="G611" s="5" t="s">
        <v>56</v>
      </c>
      <c r="H611" s="5">
        <v>163</v>
      </c>
      <c r="I611" s="5">
        <v>19</v>
      </c>
      <c r="J611" s="5" t="s">
        <v>32</v>
      </c>
      <c r="K611" s="5" t="s">
        <v>19</v>
      </c>
      <c r="L611" s="5" t="s">
        <v>20</v>
      </c>
      <c r="M611" s="7" t="s">
        <v>46</v>
      </c>
      <c r="N611" s="26">
        <f t="shared" si="54"/>
        <v>-1</v>
      </c>
      <c r="O611" s="42">
        <f t="shared" si="55"/>
        <v>45176</v>
      </c>
      <c r="P611" s="5" t="str">
        <f t="shared" si="56"/>
        <v>Thursday</v>
      </c>
      <c r="Q611" s="5">
        <f t="shared" si="57"/>
        <v>15</v>
      </c>
      <c r="R611" s="28">
        <f t="shared" si="58"/>
        <v>0.89560439560439564</v>
      </c>
      <c r="S611" s="29">
        <f t="shared" si="59"/>
        <v>89.560439560439562</v>
      </c>
      <c r="T611" s="5" t="str">
        <f>IF(Delivery_Data[[#This Row],[Delays (min)]]&gt;0,"No","Yes")</f>
        <v>No</v>
      </c>
    </row>
    <row r="612" spans="1:20" ht="15.75" customHeight="1" x14ac:dyDescent="0.3">
      <c r="A612" s="4">
        <v>1611</v>
      </c>
      <c r="B612" s="5" t="s">
        <v>738</v>
      </c>
      <c r="C612" s="6">
        <v>45170.571527777778</v>
      </c>
      <c r="D612" s="5" t="s">
        <v>14</v>
      </c>
      <c r="E612" s="5" t="s">
        <v>215</v>
      </c>
      <c r="F612" s="5" t="s">
        <v>24</v>
      </c>
      <c r="G612" s="5" t="s">
        <v>39</v>
      </c>
      <c r="H612" s="5">
        <v>180</v>
      </c>
      <c r="I612" s="5">
        <v>5</v>
      </c>
      <c r="J612" s="5" t="s">
        <v>26</v>
      </c>
      <c r="K612" s="5" t="s">
        <v>19</v>
      </c>
      <c r="L612" s="5" t="s">
        <v>40</v>
      </c>
      <c r="M612" s="7" t="s">
        <v>46</v>
      </c>
      <c r="N612" s="26">
        <f t="shared" si="54"/>
        <v>1</v>
      </c>
      <c r="O612" s="42">
        <f t="shared" si="55"/>
        <v>45170</v>
      </c>
      <c r="P612" s="5" t="str">
        <f t="shared" si="56"/>
        <v>Friday</v>
      </c>
      <c r="Q612" s="5">
        <f t="shared" si="57"/>
        <v>13</v>
      </c>
      <c r="R612" s="28">
        <f t="shared" si="58"/>
        <v>0.97297297297297303</v>
      </c>
      <c r="S612" s="29">
        <f t="shared" si="59"/>
        <v>97.297297297297305</v>
      </c>
      <c r="T612" s="5" t="str">
        <f>IF(Delivery_Data[[#This Row],[Delays (min)]]&gt;0,"No","Yes")</f>
        <v>No</v>
      </c>
    </row>
    <row r="613" spans="1:20" ht="15.75" customHeight="1" x14ac:dyDescent="0.3">
      <c r="A613" s="4">
        <v>1612</v>
      </c>
      <c r="B613" s="5" t="s">
        <v>739</v>
      </c>
      <c r="C613" s="6">
        <v>45174.354166666664</v>
      </c>
      <c r="D613" s="5" t="s">
        <v>43</v>
      </c>
      <c r="E613" s="5" t="s">
        <v>126</v>
      </c>
      <c r="F613" s="5" t="s">
        <v>24</v>
      </c>
      <c r="G613" s="5" t="s">
        <v>31</v>
      </c>
      <c r="H613" s="5">
        <v>126</v>
      </c>
      <c r="I613" s="5">
        <v>3</v>
      </c>
      <c r="J613" s="5" t="s">
        <v>26</v>
      </c>
      <c r="K613" s="5" t="s">
        <v>45</v>
      </c>
      <c r="L613" s="5" t="s">
        <v>28</v>
      </c>
      <c r="M613" s="7" t="s">
        <v>46</v>
      </c>
      <c r="N613" s="26">
        <f t="shared" si="54"/>
        <v>1</v>
      </c>
      <c r="O613" s="42">
        <f t="shared" si="55"/>
        <v>45174</v>
      </c>
      <c r="P613" s="5" t="str">
        <f t="shared" si="56"/>
        <v>Tuesday</v>
      </c>
      <c r="Q613" s="5">
        <f t="shared" si="57"/>
        <v>8</v>
      </c>
      <c r="R613" s="28">
        <f t="shared" si="58"/>
        <v>0.97674418604651159</v>
      </c>
      <c r="S613" s="29">
        <f t="shared" si="59"/>
        <v>97.674418604651152</v>
      </c>
      <c r="T613" s="5" t="str">
        <f>IF(Delivery_Data[[#This Row],[Delays (min)]]&gt;0,"No","Yes")</f>
        <v>No</v>
      </c>
    </row>
    <row r="614" spans="1:20" ht="15.75" customHeight="1" x14ac:dyDescent="0.3">
      <c r="A614" s="4">
        <v>1613</v>
      </c>
      <c r="B614" s="5" t="s">
        <v>740</v>
      </c>
      <c r="C614" s="6">
        <v>45174.413888888892</v>
      </c>
      <c r="D614" s="5" t="s">
        <v>14</v>
      </c>
      <c r="E614" s="5" t="s">
        <v>80</v>
      </c>
      <c r="F614" s="5" t="s">
        <v>24</v>
      </c>
      <c r="G614" s="5" t="s">
        <v>25</v>
      </c>
      <c r="H614" s="5">
        <v>135</v>
      </c>
      <c r="I614" s="5">
        <v>26</v>
      </c>
      <c r="J614" s="5" t="s">
        <v>18</v>
      </c>
      <c r="K614" s="5" t="s">
        <v>19</v>
      </c>
      <c r="L614" s="5" t="s">
        <v>40</v>
      </c>
      <c r="M614" s="7" t="s">
        <v>21</v>
      </c>
      <c r="N614" s="26">
        <f t="shared" si="54"/>
        <v>0</v>
      </c>
      <c r="O614" s="42">
        <f t="shared" si="55"/>
        <v>45174</v>
      </c>
      <c r="P614" s="5" t="str">
        <f t="shared" si="56"/>
        <v>Tuesday</v>
      </c>
      <c r="Q614" s="5">
        <f t="shared" si="57"/>
        <v>9</v>
      </c>
      <c r="R614" s="28">
        <f t="shared" si="58"/>
        <v>0.83850931677018636</v>
      </c>
      <c r="S614" s="29">
        <f t="shared" si="59"/>
        <v>83.850931677018636</v>
      </c>
      <c r="T614" s="5" t="str">
        <f>IF(Delivery_Data[[#This Row],[Delays (min)]]&gt;0,"No","Yes")</f>
        <v>No</v>
      </c>
    </row>
    <row r="615" spans="1:20" ht="15.75" customHeight="1" x14ac:dyDescent="0.3">
      <c r="A615" s="4">
        <v>1614</v>
      </c>
      <c r="B615" s="5" t="s">
        <v>741</v>
      </c>
      <c r="C615" s="6">
        <v>45175.697916666664</v>
      </c>
      <c r="D615" s="5" t="s">
        <v>14</v>
      </c>
      <c r="E615" s="5" t="s">
        <v>177</v>
      </c>
      <c r="F615" s="5" t="s">
        <v>24</v>
      </c>
      <c r="G615" s="5" t="s">
        <v>31</v>
      </c>
      <c r="H615" s="5">
        <v>106</v>
      </c>
      <c r="I615" s="5">
        <v>28</v>
      </c>
      <c r="J615" s="5" t="s">
        <v>32</v>
      </c>
      <c r="K615" s="5" t="s">
        <v>45</v>
      </c>
      <c r="L615" s="5" t="s">
        <v>40</v>
      </c>
      <c r="M615" s="7" t="s">
        <v>46</v>
      </c>
      <c r="N615" s="26">
        <f t="shared" si="54"/>
        <v>-1</v>
      </c>
      <c r="O615" s="42">
        <f t="shared" si="55"/>
        <v>45175</v>
      </c>
      <c r="P615" s="5" t="str">
        <f t="shared" si="56"/>
        <v>Wednesday</v>
      </c>
      <c r="Q615" s="5">
        <f t="shared" si="57"/>
        <v>16</v>
      </c>
      <c r="R615" s="28">
        <f t="shared" si="58"/>
        <v>0.79104477611940294</v>
      </c>
      <c r="S615" s="29">
        <f t="shared" si="59"/>
        <v>79.104477611940297</v>
      </c>
      <c r="T615" s="5" t="str">
        <f>IF(Delivery_Data[[#This Row],[Delays (min)]]&gt;0,"No","Yes")</f>
        <v>No</v>
      </c>
    </row>
    <row r="616" spans="1:20" ht="15.75" customHeight="1" x14ac:dyDescent="0.3">
      <c r="A616" s="4">
        <v>1615</v>
      </c>
      <c r="B616" s="5" t="s">
        <v>742</v>
      </c>
      <c r="C616" s="6">
        <v>45172.509722222225</v>
      </c>
      <c r="D616" s="5" t="s">
        <v>14</v>
      </c>
      <c r="E616" s="5" t="s">
        <v>228</v>
      </c>
      <c r="F616" s="5" t="s">
        <v>24</v>
      </c>
      <c r="G616" s="5" t="s">
        <v>31</v>
      </c>
      <c r="H616" s="5">
        <v>121</v>
      </c>
      <c r="I616" s="5">
        <v>5</v>
      </c>
      <c r="J616" s="5" t="s">
        <v>26</v>
      </c>
      <c r="K616" s="5" t="s">
        <v>45</v>
      </c>
      <c r="L616" s="5" t="s">
        <v>28</v>
      </c>
      <c r="M616" s="7" t="s">
        <v>21</v>
      </c>
      <c r="N616" s="26">
        <f t="shared" si="54"/>
        <v>1</v>
      </c>
      <c r="O616" s="42">
        <f t="shared" si="55"/>
        <v>45172</v>
      </c>
      <c r="P616" s="5" t="str">
        <f t="shared" si="56"/>
        <v>Sunday</v>
      </c>
      <c r="Q616" s="5">
        <f t="shared" si="57"/>
        <v>12</v>
      </c>
      <c r="R616" s="28">
        <f t="shared" si="58"/>
        <v>0.96031746031746035</v>
      </c>
      <c r="S616" s="29">
        <f t="shared" si="59"/>
        <v>96.031746031746039</v>
      </c>
      <c r="T616" s="5" t="str">
        <f>IF(Delivery_Data[[#This Row],[Delays (min)]]&gt;0,"No","Yes")</f>
        <v>No</v>
      </c>
    </row>
    <row r="617" spans="1:20" ht="15.75" customHeight="1" x14ac:dyDescent="0.3">
      <c r="A617" s="4">
        <v>1616</v>
      </c>
      <c r="B617" s="5" t="s">
        <v>743</v>
      </c>
      <c r="C617" s="6">
        <v>45176.686805555553</v>
      </c>
      <c r="D617" s="5" t="s">
        <v>43</v>
      </c>
      <c r="E617" s="5" t="s">
        <v>15</v>
      </c>
      <c r="F617" s="5" t="s">
        <v>16</v>
      </c>
      <c r="G617" s="5" t="s">
        <v>56</v>
      </c>
      <c r="H617" s="5">
        <v>129</v>
      </c>
      <c r="I617" s="5">
        <v>16</v>
      </c>
      <c r="J617" s="5" t="s">
        <v>32</v>
      </c>
      <c r="K617" s="5" t="s">
        <v>19</v>
      </c>
      <c r="L617" s="5" t="s">
        <v>28</v>
      </c>
      <c r="M617" s="7" t="s">
        <v>21</v>
      </c>
      <c r="N617" s="26">
        <f t="shared" si="54"/>
        <v>-1</v>
      </c>
      <c r="O617" s="42">
        <f t="shared" si="55"/>
        <v>45176</v>
      </c>
      <c r="P617" s="5" t="str">
        <f t="shared" si="56"/>
        <v>Thursday</v>
      </c>
      <c r="Q617" s="5">
        <f t="shared" si="57"/>
        <v>16</v>
      </c>
      <c r="R617" s="28">
        <f t="shared" si="58"/>
        <v>0.8896551724137931</v>
      </c>
      <c r="S617" s="29">
        <f t="shared" si="59"/>
        <v>88.965517241379317</v>
      </c>
      <c r="T617" s="5" t="str">
        <f>IF(Delivery_Data[[#This Row],[Delays (min)]]&gt;0,"No","Yes")</f>
        <v>No</v>
      </c>
    </row>
    <row r="618" spans="1:20" ht="15.75" customHeight="1" x14ac:dyDescent="0.3">
      <c r="A618" s="4">
        <v>1617</v>
      </c>
      <c r="B618" s="5" t="s">
        <v>744</v>
      </c>
      <c r="C618" s="6">
        <v>45173.691666666666</v>
      </c>
      <c r="D618" s="5" t="s">
        <v>43</v>
      </c>
      <c r="E618" s="5" t="s">
        <v>370</v>
      </c>
      <c r="F618" s="5" t="s">
        <v>38</v>
      </c>
      <c r="G618" s="5" t="s">
        <v>56</v>
      </c>
      <c r="H618" s="5">
        <v>174</v>
      </c>
      <c r="I618" s="5">
        <v>27</v>
      </c>
      <c r="J618" s="5" t="s">
        <v>32</v>
      </c>
      <c r="K618" s="5" t="s">
        <v>45</v>
      </c>
      <c r="L618" s="5" t="s">
        <v>28</v>
      </c>
      <c r="M618" s="7" t="s">
        <v>41</v>
      </c>
      <c r="N618" s="26">
        <f t="shared" si="54"/>
        <v>-1</v>
      </c>
      <c r="O618" s="42">
        <f t="shared" si="55"/>
        <v>45173</v>
      </c>
      <c r="P618" s="5" t="str">
        <f t="shared" si="56"/>
        <v>Monday</v>
      </c>
      <c r="Q618" s="5">
        <f t="shared" si="57"/>
        <v>16</v>
      </c>
      <c r="R618" s="28">
        <f t="shared" si="58"/>
        <v>0.86567164179104472</v>
      </c>
      <c r="S618" s="29">
        <f t="shared" si="59"/>
        <v>86.567164179104466</v>
      </c>
      <c r="T618" s="5" t="str">
        <f>IF(Delivery_Data[[#This Row],[Delays (min)]]&gt;0,"No","Yes")</f>
        <v>No</v>
      </c>
    </row>
    <row r="619" spans="1:20" ht="15.75" customHeight="1" x14ac:dyDescent="0.3">
      <c r="A619" s="4">
        <v>1618</v>
      </c>
      <c r="B619" s="5" t="s">
        <v>745</v>
      </c>
      <c r="C619" s="6">
        <v>45172.598611111112</v>
      </c>
      <c r="D619" s="5" t="s">
        <v>14</v>
      </c>
      <c r="E619" s="5" t="s">
        <v>160</v>
      </c>
      <c r="F619" s="5" t="s">
        <v>38</v>
      </c>
      <c r="G619" s="5" t="s">
        <v>25</v>
      </c>
      <c r="H619" s="5">
        <v>215</v>
      </c>
      <c r="I619" s="5">
        <v>6</v>
      </c>
      <c r="J619" s="5" t="s">
        <v>18</v>
      </c>
      <c r="K619" s="5" t="s">
        <v>27</v>
      </c>
      <c r="L619" s="5" t="s">
        <v>20</v>
      </c>
      <c r="M619" s="7" t="s">
        <v>46</v>
      </c>
      <c r="N619" s="26">
        <f t="shared" si="54"/>
        <v>0</v>
      </c>
      <c r="O619" s="42">
        <f t="shared" si="55"/>
        <v>45172</v>
      </c>
      <c r="P619" s="5" t="str">
        <f t="shared" si="56"/>
        <v>Sunday</v>
      </c>
      <c r="Q619" s="5">
        <f t="shared" si="57"/>
        <v>14</v>
      </c>
      <c r="R619" s="28">
        <f t="shared" si="58"/>
        <v>0.97285067873303166</v>
      </c>
      <c r="S619" s="29">
        <f t="shared" si="59"/>
        <v>97.285067873303163</v>
      </c>
      <c r="T619" s="5" t="str">
        <f>IF(Delivery_Data[[#This Row],[Delays (min)]]&gt;0,"No","Yes")</f>
        <v>No</v>
      </c>
    </row>
    <row r="620" spans="1:20" ht="15.75" customHeight="1" x14ac:dyDescent="0.3">
      <c r="A620" s="4">
        <v>1619</v>
      </c>
      <c r="B620" s="5" t="s">
        <v>746</v>
      </c>
      <c r="C620" s="6">
        <v>45177.511805555558</v>
      </c>
      <c r="D620" s="5" t="s">
        <v>43</v>
      </c>
      <c r="E620" s="5" t="s">
        <v>149</v>
      </c>
      <c r="F620" s="5" t="s">
        <v>16</v>
      </c>
      <c r="G620" s="5" t="s">
        <v>56</v>
      </c>
      <c r="H620" s="5">
        <v>193</v>
      </c>
      <c r="I620" s="5">
        <v>2</v>
      </c>
      <c r="J620" s="5" t="s">
        <v>32</v>
      </c>
      <c r="K620" s="5" t="s">
        <v>45</v>
      </c>
      <c r="L620" s="5" t="s">
        <v>20</v>
      </c>
      <c r="M620" s="7" t="s">
        <v>41</v>
      </c>
      <c r="N620" s="26">
        <f t="shared" si="54"/>
        <v>-1</v>
      </c>
      <c r="O620" s="42">
        <f t="shared" si="55"/>
        <v>45177</v>
      </c>
      <c r="P620" s="5" t="str">
        <f t="shared" si="56"/>
        <v>Friday</v>
      </c>
      <c r="Q620" s="5">
        <f t="shared" si="57"/>
        <v>12</v>
      </c>
      <c r="R620" s="28">
        <f t="shared" si="58"/>
        <v>0.98974358974358978</v>
      </c>
      <c r="S620" s="29">
        <f t="shared" si="59"/>
        <v>98.974358974358978</v>
      </c>
      <c r="T620" s="5" t="str">
        <f>IF(Delivery_Data[[#This Row],[Delays (min)]]&gt;0,"No","Yes")</f>
        <v>No</v>
      </c>
    </row>
    <row r="621" spans="1:20" ht="15.75" customHeight="1" x14ac:dyDescent="0.3">
      <c r="A621" s="4">
        <v>1620</v>
      </c>
      <c r="B621" s="5" t="s">
        <v>747</v>
      </c>
      <c r="C621" s="6">
        <v>45171.393055555556</v>
      </c>
      <c r="D621" s="5" t="s">
        <v>14</v>
      </c>
      <c r="E621" s="5" t="s">
        <v>103</v>
      </c>
      <c r="F621" s="5" t="s">
        <v>38</v>
      </c>
      <c r="G621" s="5" t="s">
        <v>56</v>
      </c>
      <c r="H621" s="5">
        <v>133</v>
      </c>
      <c r="I621" s="5">
        <v>11</v>
      </c>
      <c r="J621" s="5" t="s">
        <v>18</v>
      </c>
      <c r="K621" s="5" t="s">
        <v>19</v>
      </c>
      <c r="L621" s="5" t="s">
        <v>40</v>
      </c>
      <c r="M621" s="7" t="s">
        <v>46</v>
      </c>
      <c r="N621" s="26">
        <f t="shared" si="54"/>
        <v>0</v>
      </c>
      <c r="O621" s="42">
        <f t="shared" si="55"/>
        <v>45171</v>
      </c>
      <c r="P621" s="5" t="str">
        <f t="shared" si="56"/>
        <v>Saturday</v>
      </c>
      <c r="Q621" s="5">
        <f t="shared" si="57"/>
        <v>9</v>
      </c>
      <c r="R621" s="28">
        <f t="shared" si="58"/>
        <v>0.92361111111111116</v>
      </c>
      <c r="S621" s="29">
        <f t="shared" si="59"/>
        <v>92.361111111111114</v>
      </c>
      <c r="T621" s="5" t="str">
        <f>IF(Delivery_Data[[#This Row],[Delays (min)]]&gt;0,"No","Yes")</f>
        <v>No</v>
      </c>
    </row>
    <row r="622" spans="1:20" ht="15.75" customHeight="1" x14ac:dyDescent="0.3">
      <c r="A622" s="4">
        <v>1621</v>
      </c>
      <c r="B622" s="5" t="s">
        <v>748</v>
      </c>
      <c r="C622" s="6">
        <v>45172.707638888889</v>
      </c>
      <c r="D622" s="5" t="s">
        <v>43</v>
      </c>
      <c r="E622" s="5" t="s">
        <v>48</v>
      </c>
      <c r="F622" s="5" t="s">
        <v>16</v>
      </c>
      <c r="G622" s="5" t="s">
        <v>31</v>
      </c>
      <c r="H622" s="5">
        <v>168</v>
      </c>
      <c r="I622" s="5">
        <v>6</v>
      </c>
      <c r="J622" s="5" t="s">
        <v>32</v>
      </c>
      <c r="K622" s="5" t="s">
        <v>45</v>
      </c>
      <c r="L622" s="5" t="s">
        <v>20</v>
      </c>
      <c r="M622" s="7" t="s">
        <v>21</v>
      </c>
      <c r="N622" s="26">
        <f t="shared" si="54"/>
        <v>-1</v>
      </c>
      <c r="O622" s="42">
        <f t="shared" si="55"/>
        <v>45172</v>
      </c>
      <c r="P622" s="5" t="str">
        <f t="shared" si="56"/>
        <v>Sunday</v>
      </c>
      <c r="Q622" s="5">
        <f t="shared" si="57"/>
        <v>16</v>
      </c>
      <c r="R622" s="28">
        <f t="shared" si="58"/>
        <v>0.96551724137931039</v>
      </c>
      <c r="S622" s="29">
        <f t="shared" si="59"/>
        <v>96.551724137931032</v>
      </c>
      <c r="T622" s="5" t="str">
        <f>IF(Delivery_Data[[#This Row],[Delays (min)]]&gt;0,"No","Yes")</f>
        <v>No</v>
      </c>
    </row>
    <row r="623" spans="1:20" ht="15.75" customHeight="1" x14ac:dyDescent="0.3">
      <c r="A623" s="4">
        <v>1622</v>
      </c>
      <c r="B623" s="5" t="s">
        <v>749</v>
      </c>
      <c r="C623" s="6">
        <v>45174.633333333331</v>
      </c>
      <c r="D623" s="5" t="s">
        <v>43</v>
      </c>
      <c r="E623" s="5" t="s">
        <v>171</v>
      </c>
      <c r="F623" s="5" t="s">
        <v>24</v>
      </c>
      <c r="G623" s="5" t="s">
        <v>25</v>
      </c>
      <c r="H623" s="5">
        <v>196</v>
      </c>
      <c r="I623" s="5">
        <v>17</v>
      </c>
      <c r="J623" s="5" t="s">
        <v>32</v>
      </c>
      <c r="K623" s="5" t="s">
        <v>45</v>
      </c>
      <c r="L623" s="5" t="s">
        <v>40</v>
      </c>
      <c r="M623" s="7" t="s">
        <v>41</v>
      </c>
      <c r="N623" s="26">
        <f t="shared" si="54"/>
        <v>-1</v>
      </c>
      <c r="O623" s="42">
        <f t="shared" si="55"/>
        <v>45174</v>
      </c>
      <c r="P623" s="5" t="str">
        <f t="shared" si="56"/>
        <v>Tuesday</v>
      </c>
      <c r="Q623" s="5">
        <f t="shared" si="57"/>
        <v>15</v>
      </c>
      <c r="R623" s="28">
        <f t="shared" si="58"/>
        <v>0.92018779342723001</v>
      </c>
      <c r="S623" s="29">
        <f t="shared" si="59"/>
        <v>92.018779342723008</v>
      </c>
      <c r="T623" s="5" t="str">
        <f>IF(Delivery_Data[[#This Row],[Delays (min)]]&gt;0,"No","Yes")</f>
        <v>No</v>
      </c>
    </row>
    <row r="624" spans="1:20" ht="15.75" customHeight="1" x14ac:dyDescent="0.3">
      <c r="A624" s="4">
        <v>1623</v>
      </c>
      <c r="B624" s="5" t="s">
        <v>750</v>
      </c>
      <c r="C624" s="6">
        <v>45173.670138888891</v>
      </c>
      <c r="D624" s="5" t="s">
        <v>43</v>
      </c>
      <c r="E624" s="5" t="s">
        <v>272</v>
      </c>
      <c r="F624" s="5" t="s">
        <v>38</v>
      </c>
      <c r="G624" s="5" t="s">
        <v>25</v>
      </c>
      <c r="H624" s="5">
        <v>117</v>
      </c>
      <c r="I624" s="5">
        <v>20</v>
      </c>
      <c r="J624" s="5" t="s">
        <v>32</v>
      </c>
      <c r="K624" s="5" t="s">
        <v>49</v>
      </c>
      <c r="L624" s="5" t="s">
        <v>40</v>
      </c>
      <c r="M624" s="7" t="s">
        <v>41</v>
      </c>
      <c r="N624" s="26">
        <f t="shared" si="54"/>
        <v>-1</v>
      </c>
      <c r="O624" s="42">
        <f t="shared" si="55"/>
        <v>45173</v>
      </c>
      <c r="P624" s="5" t="str">
        <f t="shared" si="56"/>
        <v>Monday</v>
      </c>
      <c r="Q624" s="5">
        <f t="shared" si="57"/>
        <v>16</v>
      </c>
      <c r="R624" s="28">
        <f t="shared" si="58"/>
        <v>0.85401459854014594</v>
      </c>
      <c r="S624" s="29">
        <f t="shared" si="59"/>
        <v>85.40145985401459</v>
      </c>
      <c r="T624" s="5" t="str">
        <f>IF(Delivery_Data[[#This Row],[Delays (min)]]&gt;0,"No","Yes")</f>
        <v>No</v>
      </c>
    </row>
    <row r="625" spans="1:20" ht="15.75" customHeight="1" x14ac:dyDescent="0.3">
      <c r="A625" s="4">
        <v>1624</v>
      </c>
      <c r="B625" s="5" t="s">
        <v>751</v>
      </c>
      <c r="C625" s="6">
        <v>45174.376388888886</v>
      </c>
      <c r="D625" s="5" t="s">
        <v>43</v>
      </c>
      <c r="E625" s="5" t="s">
        <v>15</v>
      </c>
      <c r="F625" s="5" t="s">
        <v>16</v>
      </c>
      <c r="G625" s="5" t="s">
        <v>17</v>
      </c>
      <c r="H625" s="5">
        <v>226</v>
      </c>
      <c r="I625" s="5">
        <v>5</v>
      </c>
      <c r="J625" s="5" t="s">
        <v>26</v>
      </c>
      <c r="K625" s="5" t="s">
        <v>27</v>
      </c>
      <c r="L625" s="5" t="s">
        <v>40</v>
      </c>
      <c r="M625" s="7" t="s">
        <v>41</v>
      </c>
      <c r="N625" s="26">
        <f t="shared" si="54"/>
        <v>1</v>
      </c>
      <c r="O625" s="42">
        <f t="shared" si="55"/>
        <v>45174</v>
      </c>
      <c r="P625" s="5" t="str">
        <f t="shared" si="56"/>
        <v>Tuesday</v>
      </c>
      <c r="Q625" s="5">
        <f t="shared" si="57"/>
        <v>9</v>
      </c>
      <c r="R625" s="28">
        <f t="shared" si="58"/>
        <v>0.97835497835497831</v>
      </c>
      <c r="S625" s="29">
        <f t="shared" si="59"/>
        <v>97.835497835497833</v>
      </c>
      <c r="T625" s="5" t="str">
        <f>IF(Delivery_Data[[#This Row],[Delays (min)]]&gt;0,"No","Yes")</f>
        <v>No</v>
      </c>
    </row>
    <row r="626" spans="1:20" ht="15.75" customHeight="1" x14ac:dyDescent="0.3">
      <c r="A626" s="4">
        <v>1625</v>
      </c>
      <c r="B626" s="5" t="s">
        <v>752</v>
      </c>
      <c r="C626" s="6">
        <v>45172.543055555558</v>
      </c>
      <c r="D626" s="5" t="s">
        <v>43</v>
      </c>
      <c r="E626" s="5" t="s">
        <v>370</v>
      </c>
      <c r="F626" s="5" t="s">
        <v>38</v>
      </c>
      <c r="G626" s="5" t="s">
        <v>39</v>
      </c>
      <c r="H626" s="5">
        <v>192</v>
      </c>
      <c r="I626" s="5">
        <v>3</v>
      </c>
      <c r="J626" s="5" t="s">
        <v>18</v>
      </c>
      <c r="K626" s="5" t="s">
        <v>35</v>
      </c>
      <c r="L626" s="5" t="s">
        <v>40</v>
      </c>
      <c r="M626" s="7" t="s">
        <v>21</v>
      </c>
      <c r="N626" s="26">
        <f t="shared" si="54"/>
        <v>0</v>
      </c>
      <c r="O626" s="42">
        <f t="shared" si="55"/>
        <v>45172</v>
      </c>
      <c r="P626" s="5" t="str">
        <f t="shared" si="56"/>
        <v>Sunday</v>
      </c>
      <c r="Q626" s="5">
        <f t="shared" si="57"/>
        <v>13</v>
      </c>
      <c r="R626" s="28">
        <f t="shared" si="58"/>
        <v>0.98461538461538467</v>
      </c>
      <c r="S626" s="29">
        <f t="shared" si="59"/>
        <v>98.461538461538467</v>
      </c>
      <c r="T626" s="5" t="str">
        <f>IF(Delivery_Data[[#This Row],[Delays (min)]]&gt;0,"No","Yes")</f>
        <v>No</v>
      </c>
    </row>
    <row r="627" spans="1:20" ht="15.75" customHeight="1" x14ac:dyDescent="0.3">
      <c r="A627" s="4">
        <v>1626</v>
      </c>
      <c r="B627" s="5" t="s">
        <v>753</v>
      </c>
      <c r="C627" s="6">
        <v>45176.575694444444</v>
      </c>
      <c r="D627" s="5" t="s">
        <v>43</v>
      </c>
      <c r="E627" s="5" t="s">
        <v>288</v>
      </c>
      <c r="F627" s="5" t="s">
        <v>16</v>
      </c>
      <c r="G627" s="5" t="s">
        <v>39</v>
      </c>
      <c r="H627" s="5">
        <v>189</v>
      </c>
      <c r="I627" s="5">
        <v>26</v>
      </c>
      <c r="J627" s="5" t="s">
        <v>32</v>
      </c>
      <c r="K627" s="5" t="s">
        <v>45</v>
      </c>
      <c r="L627" s="5" t="s">
        <v>20</v>
      </c>
      <c r="M627" s="7" t="s">
        <v>46</v>
      </c>
      <c r="N627" s="26">
        <f t="shared" si="54"/>
        <v>-1</v>
      </c>
      <c r="O627" s="42">
        <f t="shared" si="55"/>
        <v>45176</v>
      </c>
      <c r="P627" s="5" t="str">
        <f t="shared" si="56"/>
        <v>Thursday</v>
      </c>
      <c r="Q627" s="5">
        <f t="shared" si="57"/>
        <v>13</v>
      </c>
      <c r="R627" s="28">
        <f t="shared" si="58"/>
        <v>0.87906976744186049</v>
      </c>
      <c r="S627" s="29">
        <f t="shared" si="59"/>
        <v>87.906976744186053</v>
      </c>
      <c r="T627" s="5" t="str">
        <f>IF(Delivery_Data[[#This Row],[Delays (min)]]&gt;0,"No","Yes")</f>
        <v>No</v>
      </c>
    </row>
    <row r="628" spans="1:20" ht="15.75" customHeight="1" x14ac:dyDescent="0.3">
      <c r="A628" s="4">
        <v>1627</v>
      </c>
      <c r="B628" s="5" t="s">
        <v>754</v>
      </c>
      <c r="C628" s="6">
        <v>45172.488194444442</v>
      </c>
      <c r="D628" s="5" t="s">
        <v>43</v>
      </c>
      <c r="E628" s="5" t="s">
        <v>89</v>
      </c>
      <c r="F628" s="5" t="s">
        <v>38</v>
      </c>
      <c r="G628" s="5" t="s">
        <v>25</v>
      </c>
      <c r="H628" s="5">
        <v>223</v>
      </c>
      <c r="I628" s="5">
        <v>19</v>
      </c>
      <c r="J628" s="5" t="s">
        <v>26</v>
      </c>
      <c r="K628" s="5" t="s">
        <v>19</v>
      </c>
      <c r="L628" s="5" t="s">
        <v>20</v>
      </c>
      <c r="M628" s="7" t="s">
        <v>21</v>
      </c>
      <c r="N628" s="26">
        <f t="shared" si="54"/>
        <v>1</v>
      </c>
      <c r="O628" s="42">
        <f t="shared" si="55"/>
        <v>45172</v>
      </c>
      <c r="P628" s="5" t="str">
        <f t="shared" si="56"/>
        <v>Sunday</v>
      </c>
      <c r="Q628" s="5">
        <f t="shared" si="57"/>
        <v>11</v>
      </c>
      <c r="R628" s="28">
        <f t="shared" si="58"/>
        <v>0.92148760330578516</v>
      </c>
      <c r="S628" s="29">
        <f t="shared" si="59"/>
        <v>92.148760330578511</v>
      </c>
      <c r="T628" s="5" t="str">
        <f>IF(Delivery_Data[[#This Row],[Delays (min)]]&gt;0,"No","Yes")</f>
        <v>No</v>
      </c>
    </row>
    <row r="629" spans="1:20" ht="15.75" customHeight="1" x14ac:dyDescent="0.3">
      <c r="A629" s="4">
        <v>1628</v>
      </c>
      <c r="B629" s="5" t="s">
        <v>755</v>
      </c>
      <c r="C629" s="6">
        <v>45174.395138888889</v>
      </c>
      <c r="D629" s="5" t="s">
        <v>43</v>
      </c>
      <c r="E629" s="5" t="s">
        <v>111</v>
      </c>
      <c r="F629" s="5" t="s">
        <v>16</v>
      </c>
      <c r="G629" s="5" t="s">
        <v>31</v>
      </c>
      <c r="H629" s="5">
        <v>141</v>
      </c>
      <c r="I629" s="5">
        <v>13</v>
      </c>
      <c r="J629" s="5" t="s">
        <v>18</v>
      </c>
      <c r="K629" s="5" t="s">
        <v>35</v>
      </c>
      <c r="L629" s="5" t="s">
        <v>40</v>
      </c>
      <c r="M629" s="7" t="s">
        <v>41</v>
      </c>
      <c r="N629" s="26">
        <f t="shared" si="54"/>
        <v>0</v>
      </c>
      <c r="O629" s="42">
        <f t="shared" si="55"/>
        <v>45174</v>
      </c>
      <c r="P629" s="5" t="str">
        <f t="shared" si="56"/>
        <v>Tuesday</v>
      </c>
      <c r="Q629" s="5">
        <f t="shared" si="57"/>
        <v>9</v>
      </c>
      <c r="R629" s="28">
        <f t="shared" si="58"/>
        <v>0.91558441558441561</v>
      </c>
      <c r="S629" s="29">
        <f t="shared" si="59"/>
        <v>91.558441558441558</v>
      </c>
      <c r="T629" s="5" t="str">
        <f>IF(Delivery_Data[[#This Row],[Delays (min)]]&gt;0,"No","Yes")</f>
        <v>No</v>
      </c>
    </row>
    <row r="630" spans="1:20" ht="15.75" customHeight="1" x14ac:dyDescent="0.3">
      <c r="A630" s="4">
        <v>1629</v>
      </c>
      <c r="B630" s="5" t="s">
        <v>756</v>
      </c>
      <c r="C630" s="6">
        <v>45175.49722222222</v>
      </c>
      <c r="D630" s="5" t="s">
        <v>43</v>
      </c>
      <c r="E630" s="5" t="s">
        <v>240</v>
      </c>
      <c r="F630" s="5" t="s">
        <v>38</v>
      </c>
      <c r="G630" s="5" t="s">
        <v>39</v>
      </c>
      <c r="H630" s="5">
        <v>203</v>
      </c>
      <c r="I630" s="5">
        <v>27</v>
      </c>
      <c r="J630" s="5" t="s">
        <v>32</v>
      </c>
      <c r="K630" s="5" t="s">
        <v>45</v>
      </c>
      <c r="L630" s="5" t="s">
        <v>20</v>
      </c>
      <c r="M630" s="7" t="s">
        <v>41</v>
      </c>
      <c r="N630" s="26">
        <f t="shared" si="54"/>
        <v>-1</v>
      </c>
      <c r="O630" s="42">
        <f t="shared" si="55"/>
        <v>45175</v>
      </c>
      <c r="P630" s="5" t="str">
        <f t="shared" si="56"/>
        <v>Wednesday</v>
      </c>
      <c r="Q630" s="5">
        <f t="shared" si="57"/>
        <v>11</v>
      </c>
      <c r="R630" s="28">
        <f t="shared" si="58"/>
        <v>0.88260869565217392</v>
      </c>
      <c r="S630" s="29">
        <f t="shared" si="59"/>
        <v>88.260869565217391</v>
      </c>
      <c r="T630" s="5" t="str">
        <f>IF(Delivery_Data[[#This Row],[Delays (min)]]&gt;0,"No","Yes")</f>
        <v>No</v>
      </c>
    </row>
    <row r="631" spans="1:20" ht="15.75" customHeight="1" x14ac:dyDescent="0.3">
      <c r="A631" s="4">
        <v>1630</v>
      </c>
      <c r="B631" s="5" t="s">
        <v>757</v>
      </c>
      <c r="C631" s="6">
        <v>45173.636111111111</v>
      </c>
      <c r="D631" s="5" t="s">
        <v>43</v>
      </c>
      <c r="E631" s="5" t="s">
        <v>132</v>
      </c>
      <c r="F631" s="5" t="s">
        <v>16</v>
      </c>
      <c r="G631" s="5" t="s">
        <v>56</v>
      </c>
      <c r="H631" s="5">
        <v>133</v>
      </c>
      <c r="I631" s="5">
        <v>16</v>
      </c>
      <c r="J631" s="5" t="s">
        <v>18</v>
      </c>
      <c r="K631" s="5" t="s">
        <v>35</v>
      </c>
      <c r="L631" s="5" t="s">
        <v>40</v>
      </c>
      <c r="M631" s="7" t="s">
        <v>21</v>
      </c>
      <c r="N631" s="26">
        <f t="shared" si="54"/>
        <v>0</v>
      </c>
      <c r="O631" s="42">
        <f t="shared" si="55"/>
        <v>45173</v>
      </c>
      <c r="P631" s="5" t="str">
        <f t="shared" si="56"/>
        <v>Monday</v>
      </c>
      <c r="Q631" s="5">
        <f t="shared" si="57"/>
        <v>15</v>
      </c>
      <c r="R631" s="28">
        <f t="shared" si="58"/>
        <v>0.89261744966442957</v>
      </c>
      <c r="S631" s="29">
        <f t="shared" si="59"/>
        <v>89.261744966442961</v>
      </c>
      <c r="T631" s="5" t="str">
        <f>IF(Delivery_Data[[#This Row],[Delays (min)]]&gt;0,"No","Yes")</f>
        <v>No</v>
      </c>
    </row>
    <row r="632" spans="1:20" ht="15.75" customHeight="1" x14ac:dyDescent="0.3">
      <c r="A632" s="4">
        <v>1631</v>
      </c>
      <c r="B632" s="5" t="s">
        <v>758</v>
      </c>
      <c r="C632" s="6">
        <v>45172.579861111109</v>
      </c>
      <c r="D632" s="5" t="s">
        <v>14</v>
      </c>
      <c r="E632" s="5" t="s">
        <v>34</v>
      </c>
      <c r="F632" s="5" t="s">
        <v>24</v>
      </c>
      <c r="G632" s="5" t="s">
        <v>56</v>
      </c>
      <c r="H632" s="5">
        <v>116</v>
      </c>
      <c r="I632" s="5">
        <v>1</v>
      </c>
      <c r="J632" s="5" t="s">
        <v>18</v>
      </c>
      <c r="K632" s="5" t="s">
        <v>49</v>
      </c>
      <c r="L632" s="5" t="s">
        <v>20</v>
      </c>
      <c r="M632" s="7" t="s">
        <v>21</v>
      </c>
      <c r="N632" s="26">
        <f t="shared" si="54"/>
        <v>0</v>
      </c>
      <c r="O632" s="42">
        <f t="shared" si="55"/>
        <v>45172</v>
      </c>
      <c r="P632" s="5" t="str">
        <f t="shared" si="56"/>
        <v>Sunday</v>
      </c>
      <c r="Q632" s="5">
        <f t="shared" si="57"/>
        <v>13</v>
      </c>
      <c r="R632" s="28">
        <f t="shared" si="58"/>
        <v>0.99145299145299148</v>
      </c>
      <c r="S632" s="29">
        <f t="shared" si="59"/>
        <v>99.145299145299148</v>
      </c>
      <c r="T632" s="5" t="str">
        <f>IF(Delivery_Data[[#This Row],[Delays (min)]]&gt;0,"No","Yes")</f>
        <v>No</v>
      </c>
    </row>
    <row r="633" spans="1:20" ht="15.75" customHeight="1" x14ac:dyDescent="0.3">
      <c r="A633" s="4">
        <v>1632</v>
      </c>
      <c r="B633" s="5" t="s">
        <v>759</v>
      </c>
      <c r="C633" s="6">
        <v>45170.606249999997</v>
      </c>
      <c r="D633" s="5" t="s">
        <v>14</v>
      </c>
      <c r="E633" s="5" t="s">
        <v>272</v>
      </c>
      <c r="F633" s="5" t="s">
        <v>24</v>
      </c>
      <c r="G633" s="5" t="s">
        <v>25</v>
      </c>
      <c r="H633" s="5">
        <v>77</v>
      </c>
      <c r="I633" s="5">
        <v>5</v>
      </c>
      <c r="J633" s="5" t="s">
        <v>32</v>
      </c>
      <c r="K633" s="5" t="s">
        <v>45</v>
      </c>
      <c r="L633" s="5" t="s">
        <v>28</v>
      </c>
      <c r="M633" s="7" t="s">
        <v>41</v>
      </c>
      <c r="N633" s="26">
        <f t="shared" si="54"/>
        <v>-1</v>
      </c>
      <c r="O633" s="42">
        <f t="shared" si="55"/>
        <v>45170</v>
      </c>
      <c r="P633" s="5" t="str">
        <f t="shared" si="56"/>
        <v>Friday</v>
      </c>
      <c r="Q633" s="5">
        <f t="shared" si="57"/>
        <v>14</v>
      </c>
      <c r="R633" s="28">
        <f t="shared" si="58"/>
        <v>0.93902439024390238</v>
      </c>
      <c r="S633" s="29">
        <f t="shared" si="59"/>
        <v>93.902439024390233</v>
      </c>
      <c r="T633" s="5" t="str">
        <f>IF(Delivery_Data[[#This Row],[Delays (min)]]&gt;0,"No","Yes")</f>
        <v>No</v>
      </c>
    </row>
    <row r="634" spans="1:20" ht="15.75" customHeight="1" x14ac:dyDescent="0.3">
      <c r="A634" s="4">
        <v>1633</v>
      </c>
      <c r="B634" s="5" t="s">
        <v>760</v>
      </c>
      <c r="C634" s="6">
        <v>45174.621527777781</v>
      </c>
      <c r="D634" s="5" t="s">
        <v>14</v>
      </c>
      <c r="E634" s="5" t="s">
        <v>60</v>
      </c>
      <c r="F634" s="5" t="s">
        <v>38</v>
      </c>
      <c r="G634" s="5" t="s">
        <v>31</v>
      </c>
      <c r="H634" s="5">
        <v>71</v>
      </c>
      <c r="I634" s="5">
        <v>13</v>
      </c>
      <c r="J634" s="5" t="s">
        <v>18</v>
      </c>
      <c r="K634" s="5" t="s">
        <v>19</v>
      </c>
      <c r="L634" s="5" t="s">
        <v>40</v>
      </c>
      <c r="M634" s="7" t="s">
        <v>46</v>
      </c>
      <c r="N634" s="26">
        <f t="shared" si="54"/>
        <v>0</v>
      </c>
      <c r="O634" s="42">
        <f t="shared" si="55"/>
        <v>45174</v>
      </c>
      <c r="P634" s="5" t="str">
        <f t="shared" si="56"/>
        <v>Tuesday</v>
      </c>
      <c r="Q634" s="5">
        <f t="shared" si="57"/>
        <v>14</v>
      </c>
      <c r="R634" s="28">
        <f t="shared" si="58"/>
        <v>0.84523809523809523</v>
      </c>
      <c r="S634" s="29">
        <f t="shared" si="59"/>
        <v>84.523809523809518</v>
      </c>
      <c r="T634" s="5" t="str">
        <f>IF(Delivery_Data[[#This Row],[Delays (min)]]&gt;0,"No","Yes")</f>
        <v>No</v>
      </c>
    </row>
    <row r="635" spans="1:20" ht="15.75" customHeight="1" x14ac:dyDescent="0.3">
      <c r="A635" s="4">
        <v>1634</v>
      </c>
      <c r="B635" s="5" t="s">
        <v>761</v>
      </c>
      <c r="C635" s="6">
        <v>45170.685416666667</v>
      </c>
      <c r="D635" s="5" t="s">
        <v>43</v>
      </c>
      <c r="E635" s="5" t="s">
        <v>106</v>
      </c>
      <c r="F635" s="5" t="s">
        <v>38</v>
      </c>
      <c r="G635" s="5" t="s">
        <v>39</v>
      </c>
      <c r="H635" s="5">
        <v>88</v>
      </c>
      <c r="I635" s="5">
        <v>14</v>
      </c>
      <c r="J635" s="5" t="s">
        <v>32</v>
      </c>
      <c r="K635" s="5" t="s">
        <v>35</v>
      </c>
      <c r="L635" s="5" t="s">
        <v>40</v>
      </c>
      <c r="M635" s="7" t="s">
        <v>21</v>
      </c>
      <c r="N635" s="26">
        <f t="shared" si="54"/>
        <v>-1</v>
      </c>
      <c r="O635" s="42">
        <f t="shared" si="55"/>
        <v>45170</v>
      </c>
      <c r="P635" s="5" t="str">
        <f t="shared" si="56"/>
        <v>Friday</v>
      </c>
      <c r="Q635" s="5">
        <f t="shared" si="57"/>
        <v>16</v>
      </c>
      <c r="R635" s="28">
        <f t="shared" si="58"/>
        <v>0.86274509803921573</v>
      </c>
      <c r="S635" s="29">
        <f t="shared" si="59"/>
        <v>86.274509803921575</v>
      </c>
      <c r="T635" s="5" t="str">
        <f>IF(Delivery_Data[[#This Row],[Delays (min)]]&gt;0,"No","Yes")</f>
        <v>No</v>
      </c>
    </row>
    <row r="636" spans="1:20" ht="15.75" customHeight="1" x14ac:dyDescent="0.3">
      <c r="A636" s="4">
        <v>1635</v>
      </c>
      <c r="B636" s="5" t="s">
        <v>762</v>
      </c>
      <c r="C636" s="6">
        <v>45173.602777777778</v>
      </c>
      <c r="D636" s="5" t="s">
        <v>43</v>
      </c>
      <c r="E636" s="5" t="s">
        <v>34</v>
      </c>
      <c r="F636" s="5" t="s">
        <v>16</v>
      </c>
      <c r="G636" s="5" t="s">
        <v>39</v>
      </c>
      <c r="H636" s="5">
        <v>129</v>
      </c>
      <c r="I636" s="5">
        <v>24</v>
      </c>
      <c r="J636" s="5" t="s">
        <v>26</v>
      </c>
      <c r="K636" s="5" t="s">
        <v>49</v>
      </c>
      <c r="L636" s="5" t="s">
        <v>20</v>
      </c>
      <c r="M636" s="7" t="s">
        <v>46</v>
      </c>
      <c r="N636" s="26">
        <f t="shared" si="54"/>
        <v>1</v>
      </c>
      <c r="O636" s="42">
        <f t="shared" si="55"/>
        <v>45173</v>
      </c>
      <c r="P636" s="5" t="str">
        <f t="shared" si="56"/>
        <v>Monday</v>
      </c>
      <c r="Q636" s="5">
        <f t="shared" si="57"/>
        <v>14</v>
      </c>
      <c r="R636" s="28">
        <f t="shared" si="58"/>
        <v>0.84313725490196079</v>
      </c>
      <c r="S636" s="29">
        <f t="shared" si="59"/>
        <v>84.313725490196077</v>
      </c>
      <c r="T636" s="5" t="str">
        <f>IF(Delivery_Data[[#This Row],[Delays (min)]]&gt;0,"No","Yes")</f>
        <v>No</v>
      </c>
    </row>
    <row r="637" spans="1:20" ht="15.75" customHeight="1" x14ac:dyDescent="0.3">
      <c r="A637" s="4">
        <v>1636</v>
      </c>
      <c r="B637" s="5" t="s">
        <v>763</v>
      </c>
      <c r="C637" s="6">
        <v>45174.676388888889</v>
      </c>
      <c r="D637" s="5" t="s">
        <v>14</v>
      </c>
      <c r="E637" s="5" t="s">
        <v>70</v>
      </c>
      <c r="F637" s="5" t="s">
        <v>38</v>
      </c>
      <c r="G637" s="5" t="s">
        <v>39</v>
      </c>
      <c r="H637" s="5">
        <v>128</v>
      </c>
      <c r="I637" s="5">
        <v>3</v>
      </c>
      <c r="J637" s="5" t="s">
        <v>26</v>
      </c>
      <c r="K637" s="5" t="s">
        <v>35</v>
      </c>
      <c r="L637" s="5" t="s">
        <v>28</v>
      </c>
      <c r="M637" s="7" t="s">
        <v>46</v>
      </c>
      <c r="N637" s="26">
        <f t="shared" si="54"/>
        <v>1</v>
      </c>
      <c r="O637" s="42">
        <f t="shared" si="55"/>
        <v>45174</v>
      </c>
      <c r="P637" s="5" t="str">
        <f t="shared" si="56"/>
        <v>Tuesday</v>
      </c>
      <c r="Q637" s="5">
        <f t="shared" si="57"/>
        <v>16</v>
      </c>
      <c r="R637" s="28">
        <f t="shared" si="58"/>
        <v>0.97709923664122134</v>
      </c>
      <c r="S637" s="29">
        <f t="shared" si="59"/>
        <v>97.70992366412213</v>
      </c>
      <c r="T637" s="5" t="str">
        <f>IF(Delivery_Data[[#This Row],[Delays (min)]]&gt;0,"No","Yes")</f>
        <v>No</v>
      </c>
    </row>
    <row r="638" spans="1:20" ht="15.75" customHeight="1" x14ac:dyDescent="0.3">
      <c r="A638" s="4">
        <v>1637</v>
      </c>
      <c r="B638" s="5" t="s">
        <v>764</v>
      </c>
      <c r="C638" s="6">
        <v>45173.540972222225</v>
      </c>
      <c r="D638" s="5" t="s">
        <v>14</v>
      </c>
      <c r="E638" s="5" t="s">
        <v>234</v>
      </c>
      <c r="F638" s="5" t="s">
        <v>24</v>
      </c>
      <c r="G638" s="5" t="s">
        <v>25</v>
      </c>
      <c r="H638" s="5">
        <v>204</v>
      </c>
      <c r="I638" s="5">
        <v>24</v>
      </c>
      <c r="J638" s="5" t="s">
        <v>18</v>
      </c>
      <c r="K638" s="5" t="s">
        <v>19</v>
      </c>
      <c r="L638" s="5" t="s">
        <v>40</v>
      </c>
      <c r="M638" s="7" t="s">
        <v>41</v>
      </c>
      <c r="N638" s="26">
        <f t="shared" si="54"/>
        <v>0</v>
      </c>
      <c r="O638" s="42">
        <f t="shared" si="55"/>
        <v>45173</v>
      </c>
      <c r="P638" s="5" t="str">
        <f t="shared" si="56"/>
        <v>Monday</v>
      </c>
      <c r="Q638" s="5">
        <f t="shared" si="57"/>
        <v>12</v>
      </c>
      <c r="R638" s="28">
        <f t="shared" si="58"/>
        <v>0.89473684210526316</v>
      </c>
      <c r="S638" s="29">
        <f t="shared" si="59"/>
        <v>89.473684210526315</v>
      </c>
      <c r="T638" s="5" t="str">
        <f>IF(Delivery_Data[[#This Row],[Delays (min)]]&gt;0,"No","Yes")</f>
        <v>No</v>
      </c>
    </row>
    <row r="639" spans="1:20" ht="15.75" customHeight="1" x14ac:dyDescent="0.3">
      <c r="A639" s="4">
        <v>1638</v>
      </c>
      <c r="B639" s="5" t="s">
        <v>765</v>
      </c>
      <c r="C639" s="6">
        <v>45172.679861111108</v>
      </c>
      <c r="D639" s="5" t="s">
        <v>43</v>
      </c>
      <c r="E639" s="5" t="s">
        <v>140</v>
      </c>
      <c r="F639" s="5" t="s">
        <v>38</v>
      </c>
      <c r="G639" s="5" t="s">
        <v>56</v>
      </c>
      <c r="H639" s="5">
        <v>92</v>
      </c>
      <c r="I639" s="5">
        <v>25</v>
      </c>
      <c r="J639" s="5" t="s">
        <v>26</v>
      </c>
      <c r="K639" s="5" t="s">
        <v>49</v>
      </c>
      <c r="L639" s="5" t="s">
        <v>40</v>
      </c>
      <c r="M639" s="7" t="s">
        <v>41</v>
      </c>
      <c r="N639" s="26">
        <f t="shared" si="54"/>
        <v>1</v>
      </c>
      <c r="O639" s="42">
        <f t="shared" si="55"/>
        <v>45172</v>
      </c>
      <c r="P639" s="5" t="str">
        <f t="shared" si="56"/>
        <v>Sunday</v>
      </c>
      <c r="Q639" s="5">
        <f t="shared" si="57"/>
        <v>16</v>
      </c>
      <c r="R639" s="28">
        <f t="shared" si="58"/>
        <v>0.78632478632478631</v>
      </c>
      <c r="S639" s="29">
        <f t="shared" si="59"/>
        <v>78.632478632478637</v>
      </c>
      <c r="T639" s="5" t="str">
        <f>IF(Delivery_Data[[#This Row],[Delays (min)]]&gt;0,"No","Yes")</f>
        <v>No</v>
      </c>
    </row>
    <row r="640" spans="1:20" ht="15.75" customHeight="1" x14ac:dyDescent="0.3">
      <c r="A640" s="4">
        <v>1639</v>
      </c>
      <c r="B640" s="5" t="s">
        <v>766</v>
      </c>
      <c r="C640" s="6">
        <v>45173.57708333333</v>
      </c>
      <c r="D640" s="5" t="s">
        <v>14</v>
      </c>
      <c r="E640" s="5" t="s">
        <v>355</v>
      </c>
      <c r="F640" s="5" t="s">
        <v>24</v>
      </c>
      <c r="G640" s="5" t="s">
        <v>31</v>
      </c>
      <c r="H640" s="5">
        <v>173</v>
      </c>
      <c r="I640" s="5">
        <v>16</v>
      </c>
      <c r="J640" s="5" t="s">
        <v>18</v>
      </c>
      <c r="K640" s="5" t="s">
        <v>49</v>
      </c>
      <c r="L640" s="5" t="s">
        <v>28</v>
      </c>
      <c r="M640" s="7" t="s">
        <v>46</v>
      </c>
      <c r="N640" s="26">
        <f t="shared" si="54"/>
        <v>0</v>
      </c>
      <c r="O640" s="42">
        <f t="shared" si="55"/>
        <v>45173</v>
      </c>
      <c r="P640" s="5" t="str">
        <f t="shared" si="56"/>
        <v>Monday</v>
      </c>
      <c r="Q640" s="5">
        <f t="shared" si="57"/>
        <v>13</v>
      </c>
      <c r="R640" s="28">
        <f t="shared" si="58"/>
        <v>0.91534391534391535</v>
      </c>
      <c r="S640" s="29">
        <f t="shared" si="59"/>
        <v>91.534391534391531</v>
      </c>
      <c r="T640" s="5" t="str">
        <f>IF(Delivery_Data[[#This Row],[Delays (min)]]&gt;0,"No","Yes")</f>
        <v>No</v>
      </c>
    </row>
    <row r="641" spans="1:20" ht="15.75" customHeight="1" x14ac:dyDescent="0.3">
      <c r="A641" s="4">
        <v>1640</v>
      </c>
      <c r="B641" s="5" t="s">
        <v>767</v>
      </c>
      <c r="C641" s="6">
        <v>45174.623611111114</v>
      </c>
      <c r="D641" s="5" t="s">
        <v>43</v>
      </c>
      <c r="E641" s="5" t="s">
        <v>109</v>
      </c>
      <c r="F641" s="5" t="s">
        <v>24</v>
      </c>
      <c r="G641" s="5" t="s">
        <v>56</v>
      </c>
      <c r="H641" s="5">
        <v>213</v>
      </c>
      <c r="I641" s="5">
        <v>21</v>
      </c>
      <c r="J641" s="5" t="s">
        <v>26</v>
      </c>
      <c r="K641" s="5" t="s">
        <v>27</v>
      </c>
      <c r="L641" s="5" t="s">
        <v>40</v>
      </c>
      <c r="M641" s="7" t="s">
        <v>41</v>
      </c>
      <c r="N641" s="26">
        <f t="shared" si="54"/>
        <v>1</v>
      </c>
      <c r="O641" s="42">
        <f t="shared" si="55"/>
        <v>45174</v>
      </c>
      <c r="P641" s="5" t="str">
        <f t="shared" si="56"/>
        <v>Tuesday</v>
      </c>
      <c r="Q641" s="5">
        <f t="shared" si="57"/>
        <v>14</v>
      </c>
      <c r="R641" s="28">
        <f t="shared" si="58"/>
        <v>0.91025641025641024</v>
      </c>
      <c r="S641" s="29">
        <f t="shared" si="59"/>
        <v>91.025641025641022</v>
      </c>
      <c r="T641" s="5" t="str">
        <f>IF(Delivery_Data[[#This Row],[Delays (min)]]&gt;0,"No","Yes")</f>
        <v>No</v>
      </c>
    </row>
    <row r="642" spans="1:20" ht="15.75" customHeight="1" x14ac:dyDescent="0.3">
      <c r="A642" s="4">
        <v>1641</v>
      </c>
      <c r="B642" s="5" t="s">
        <v>768</v>
      </c>
      <c r="C642" s="6">
        <v>45172.623611111114</v>
      </c>
      <c r="D642" s="5" t="s">
        <v>43</v>
      </c>
      <c r="E642" s="5" t="s">
        <v>240</v>
      </c>
      <c r="F642" s="5" t="s">
        <v>24</v>
      </c>
      <c r="G642" s="5" t="s">
        <v>31</v>
      </c>
      <c r="H642" s="5">
        <v>132</v>
      </c>
      <c r="I642" s="5">
        <v>9</v>
      </c>
      <c r="J642" s="5" t="s">
        <v>18</v>
      </c>
      <c r="K642" s="5" t="s">
        <v>45</v>
      </c>
      <c r="L642" s="5" t="s">
        <v>28</v>
      </c>
      <c r="M642" s="7" t="s">
        <v>46</v>
      </c>
      <c r="N642" s="26">
        <f t="shared" ref="N642:N705" si="60">IF(J642="Positive",1,IF(J642="Neutral",0,IF(J642="Negative",-1,"")))</f>
        <v>0</v>
      </c>
      <c r="O642" s="42">
        <f t="shared" ref="O642:O705" si="61">INT(C642)</f>
        <v>45172</v>
      </c>
      <c r="P642" s="5" t="str">
        <f t="shared" ref="P642:P705" si="62">TEXT(C642,"dddd")</f>
        <v>Sunday</v>
      </c>
      <c r="Q642" s="5">
        <f t="shared" ref="Q642:Q705" si="63">HOUR(C642)</f>
        <v>14</v>
      </c>
      <c r="R642" s="28">
        <f t="shared" ref="R642:R705" si="64">H642/(H642+I642)</f>
        <v>0.93617021276595747</v>
      </c>
      <c r="S642" s="29">
        <f t="shared" si="59"/>
        <v>93.61702127659575</v>
      </c>
      <c r="T642" s="5" t="str">
        <f>IF(Delivery_Data[[#This Row],[Delays (min)]]&gt;0,"No","Yes")</f>
        <v>No</v>
      </c>
    </row>
    <row r="643" spans="1:20" ht="15.75" customHeight="1" x14ac:dyDescent="0.3">
      <c r="A643" s="4">
        <v>1642</v>
      </c>
      <c r="B643" s="5" t="s">
        <v>769</v>
      </c>
      <c r="C643" s="6">
        <v>45175.668749999997</v>
      </c>
      <c r="D643" s="5" t="s">
        <v>43</v>
      </c>
      <c r="E643" s="5" t="s">
        <v>62</v>
      </c>
      <c r="F643" s="5" t="s">
        <v>16</v>
      </c>
      <c r="G643" s="5" t="s">
        <v>31</v>
      </c>
      <c r="H643" s="5">
        <v>73</v>
      </c>
      <c r="I643" s="5">
        <v>8</v>
      </c>
      <c r="J643" s="5" t="s">
        <v>18</v>
      </c>
      <c r="K643" s="5" t="s">
        <v>19</v>
      </c>
      <c r="L643" s="5" t="s">
        <v>28</v>
      </c>
      <c r="M643" s="7" t="s">
        <v>46</v>
      </c>
      <c r="N643" s="26">
        <f t="shared" si="60"/>
        <v>0</v>
      </c>
      <c r="O643" s="42">
        <f t="shared" si="61"/>
        <v>45175</v>
      </c>
      <c r="P643" s="5" t="str">
        <f t="shared" si="62"/>
        <v>Wednesday</v>
      </c>
      <c r="Q643" s="5">
        <f t="shared" si="63"/>
        <v>16</v>
      </c>
      <c r="R643" s="28">
        <f t="shared" si="64"/>
        <v>0.90123456790123457</v>
      </c>
      <c r="S643" s="29">
        <f t="shared" ref="S643:S706" si="65">IF(H643+I643=0,0,(H643/(H643+I643))*100) + (IFERROR(--J643,0)*10)</f>
        <v>90.123456790123456</v>
      </c>
      <c r="T643" s="5" t="str">
        <f>IF(Delivery_Data[[#This Row],[Delays (min)]]&gt;0,"No","Yes")</f>
        <v>No</v>
      </c>
    </row>
    <row r="644" spans="1:20" ht="15.75" customHeight="1" x14ac:dyDescent="0.3">
      <c r="A644" s="4">
        <v>1643</v>
      </c>
      <c r="B644" s="5" t="s">
        <v>770</v>
      </c>
      <c r="C644" s="6">
        <v>45177.543749999997</v>
      </c>
      <c r="D644" s="5" t="s">
        <v>14</v>
      </c>
      <c r="E644" s="5" t="s">
        <v>111</v>
      </c>
      <c r="F644" s="5" t="s">
        <v>16</v>
      </c>
      <c r="G644" s="5" t="s">
        <v>31</v>
      </c>
      <c r="H644" s="5">
        <v>155</v>
      </c>
      <c r="I644" s="5">
        <v>22</v>
      </c>
      <c r="J644" s="5" t="s">
        <v>32</v>
      </c>
      <c r="K644" s="5" t="s">
        <v>27</v>
      </c>
      <c r="L644" s="5" t="s">
        <v>40</v>
      </c>
      <c r="M644" s="7" t="s">
        <v>46</v>
      </c>
      <c r="N644" s="26">
        <f t="shared" si="60"/>
        <v>-1</v>
      </c>
      <c r="O644" s="42">
        <f t="shared" si="61"/>
        <v>45177</v>
      </c>
      <c r="P644" s="5" t="str">
        <f t="shared" si="62"/>
        <v>Friday</v>
      </c>
      <c r="Q644" s="5">
        <f t="shared" si="63"/>
        <v>13</v>
      </c>
      <c r="R644" s="28">
        <f t="shared" si="64"/>
        <v>0.87570621468926557</v>
      </c>
      <c r="S644" s="29">
        <f t="shared" si="65"/>
        <v>87.570621468926561</v>
      </c>
      <c r="T644" s="5" t="str">
        <f>IF(Delivery_Data[[#This Row],[Delays (min)]]&gt;0,"No","Yes")</f>
        <v>No</v>
      </c>
    </row>
    <row r="645" spans="1:20" ht="15.75" customHeight="1" x14ac:dyDescent="0.3">
      <c r="A645" s="4">
        <v>1644</v>
      </c>
      <c r="B645" s="5" t="s">
        <v>771</v>
      </c>
      <c r="C645" s="6">
        <v>45174.665972222225</v>
      </c>
      <c r="D645" s="5" t="s">
        <v>14</v>
      </c>
      <c r="E645" s="5" t="s">
        <v>403</v>
      </c>
      <c r="F645" s="5" t="s">
        <v>24</v>
      </c>
      <c r="G645" s="5" t="s">
        <v>17</v>
      </c>
      <c r="H645" s="5">
        <v>226</v>
      </c>
      <c r="I645" s="5">
        <v>15</v>
      </c>
      <c r="J645" s="5" t="s">
        <v>18</v>
      </c>
      <c r="K645" s="5" t="s">
        <v>49</v>
      </c>
      <c r="L645" s="5" t="s">
        <v>40</v>
      </c>
      <c r="M645" s="7" t="s">
        <v>46</v>
      </c>
      <c r="N645" s="26">
        <f t="shared" si="60"/>
        <v>0</v>
      </c>
      <c r="O645" s="42">
        <f t="shared" si="61"/>
        <v>45174</v>
      </c>
      <c r="P645" s="5" t="str">
        <f t="shared" si="62"/>
        <v>Tuesday</v>
      </c>
      <c r="Q645" s="5">
        <f t="shared" si="63"/>
        <v>15</v>
      </c>
      <c r="R645" s="28">
        <f t="shared" si="64"/>
        <v>0.93775933609958506</v>
      </c>
      <c r="S645" s="29">
        <f t="shared" si="65"/>
        <v>93.7759336099585</v>
      </c>
      <c r="T645" s="5" t="str">
        <f>IF(Delivery_Data[[#This Row],[Delays (min)]]&gt;0,"No","Yes")</f>
        <v>No</v>
      </c>
    </row>
    <row r="646" spans="1:20" ht="15.75" customHeight="1" x14ac:dyDescent="0.3">
      <c r="A646" s="4">
        <v>1645</v>
      </c>
      <c r="B646" s="5" t="s">
        <v>501</v>
      </c>
      <c r="C646" s="6">
        <v>45175.350694444445</v>
      </c>
      <c r="D646" s="5" t="s">
        <v>43</v>
      </c>
      <c r="E646" s="5" t="s">
        <v>169</v>
      </c>
      <c r="F646" s="5" t="s">
        <v>24</v>
      </c>
      <c r="G646" s="5" t="s">
        <v>39</v>
      </c>
      <c r="H646" s="5">
        <v>185</v>
      </c>
      <c r="I646" s="5">
        <v>27</v>
      </c>
      <c r="J646" s="5" t="s">
        <v>26</v>
      </c>
      <c r="K646" s="5" t="s">
        <v>49</v>
      </c>
      <c r="L646" s="5" t="s">
        <v>40</v>
      </c>
      <c r="M646" s="7" t="s">
        <v>41</v>
      </c>
      <c r="N646" s="26">
        <f t="shared" si="60"/>
        <v>1</v>
      </c>
      <c r="O646" s="42">
        <f t="shared" si="61"/>
        <v>45175</v>
      </c>
      <c r="P646" s="5" t="str">
        <f t="shared" si="62"/>
        <v>Wednesday</v>
      </c>
      <c r="Q646" s="5">
        <f t="shared" si="63"/>
        <v>8</v>
      </c>
      <c r="R646" s="28">
        <f t="shared" si="64"/>
        <v>0.87264150943396224</v>
      </c>
      <c r="S646" s="29">
        <f t="shared" si="65"/>
        <v>87.264150943396217</v>
      </c>
      <c r="T646" s="5" t="str">
        <f>IF(Delivery_Data[[#This Row],[Delays (min)]]&gt;0,"No","Yes")</f>
        <v>No</v>
      </c>
    </row>
    <row r="647" spans="1:20" ht="15.75" customHeight="1" x14ac:dyDescent="0.3">
      <c r="A647" s="4">
        <v>1646</v>
      </c>
      <c r="B647" s="5" t="s">
        <v>772</v>
      </c>
      <c r="C647" s="6">
        <v>45175.652083333334</v>
      </c>
      <c r="D647" s="5" t="s">
        <v>14</v>
      </c>
      <c r="E647" s="5" t="s">
        <v>37</v>
      </c>
      <c r="F647" s="5" t="s">
        <v>24</v>
      </c>
      <c r="G647" s="5" t="s">
        <v>31</v>
      </c>
      <c r="H647" s="5">
        <v>97</v>
      </c>
      <c r="I647" s="5">
        <v>5</v>
      </c>
      <c r="J647" s="5" t="s">
        <v>26</v>
      </c>
      <c r="K647" s="5" t="s">
        <v>19</v>
      </c>
      <c r="L647" s="5" t="s">
        <v>28</v>
      </c>
      <c r="M647" s="7" t="s">
        <v>41</v>
      </c>
      <c r="N647" s="26">
        <f t="shared" si="60"/>
        <v>1</v>
      </c>
      <c r="O647" s="42">
        <f t="shared" si="61"/>
        <v>45175</v>
      </c>
      <c r="P647" s="5" t="str">
        <f t="shared" si="62"/>
        <v>Wednesday</v>
      </c>
      <c r="Q647" s="5">
        <f t="shared" si="63"/>
        <v>15</v>
      </c>
      <c r="R647" s="28">
        <f t="shared" si="64"/>
        <v>0.9509803921568627</v>
      </c>
      <c r="S647" s="29">
        <f t="shared" si="65"/>
        <v>95.098039215686271</v>
      </c>
      <c r="T647" s="5" t="str">
        <f>IF(Delivery_Data[[#This Row],[Delays (min)]]&gt;0,"No","Yes")</f>
        <v>No</v>
      </c>
    </row>
    <row r="648" spans="1:20" ht="15.75" customHeight="1" x14ac:dyDescent="0.3">
      <c r="A648" s="4">
        <v>1647</v>
      </c>
      <c r="B648" s="5" t="s">
        <v>773</v>
      </c>
      <c r="C648" s="6">
        <v>45175.545138888891</v>
      </c>
      <c r="D648" s="5" t="s">
        <v>43</v>
      </c>
      <c r="E648" s="5" t="s">
        <v>164</v>
      </c>
      <c r="F648" s="5" t="s">
        <v>38</v>
      </c>
      <c r="G648" s="5" t="s">
        <v>31</v>
      </c>
      <c r="H648" s="5">
        <v>221</v>
      </c>
      <c r="I648" s="5">
        <v>24</v>
      </c>
      <c r="J648" s="5" t="s">
        <v>32</v>
      </c>
      <c r="K648" s="5" t="s">
        <v>35</v>
      </c>
      <c r="L648" s="5" t="s">
        <v>20</v>
      </c>
      <c r="M648" s="7" t="s">
        <v>41</v>
      </c>
      <c r="N648" s="26">
        <f t="shared" si="60"/>
        <v>-1</v>
      </c>
      <c r="O648" s="42">
        <f t="shared" si="61"/>
        <v>45175</v>
      </c>
      <c r="P648" s="5" t="str">
        <f t="shared" si="62"/>
        <v>Wednesday</v>
      </c>
      <c r="Q648" s="5">
        <f t="shared" si="63"/>
        <v>13</v>
      </c>
      <c r="R648" s="28">
        <f t="shared" si="64"/>
        <v>0.90204081632653066</v>
      </c>
      <c r="S648" s="29">
        <f t="shared" si="65"/>
        <v>90.204081632653072</v>
      </c>
      <c r="T648" s="5" t="str">
        <f>IF(Delivery_Data[[#This Row],[Delays (min)]]&gt;0,"No","Yes")</f>
        <v>No</v>
      </c>
    </row>
    <row r="649" spans="1:20" ht="15.75" customHeight="1" x14ac:dyDescent="0.3">
      <c r="A649" s="4">
        <v>1648</v>
      </c>
      <c r="B649" s="5" t="s">
        <v>774</v>
      </c>
      <c r="C649" s="6">
        <v>45173.590277777781</v>
      </c>
      <c r="D649" s="5" t="s">
        <v>14</v>
      </c>
      <c r="E649" s="5" t="s">
        <v>143</v>
      </c>
      <c r="F649" s="5" t="s">
        <v>38</v>
      </c>
      <c r="G649" s="5" t="s">
        <v>25</v>
      </c>
      <c r="H649" s="5">
        <v>203</v>
      </c>
      <c r="I649" s="5">
        <v>4</v>
      </c>
      <c r="J649" s="5" t="s">
        <v>18</v>
      </c>
      <c r="K649" s="5" t="s">
        <v>27</v>
      </c>
      <c r="L649" s="5" t="s">
        <v>40</v>
      </c>
      <c r="M649" s="7" t="s">
        <v>21</v>
      </c>
      <c r="N649" s="26">
        <f t="shared" si="60"/>
        <v>0</v>
      </c>
      <c r="O649" s="42">
        <f t="shared" si="61"/>
        <v>45173</v>
      </c>
      <c r="P649" s="5" t="str">
        <f t="shared" si="62"/>
        <v>Monday</v>
      </c>
      <c r="Q649" s="5">
        <f t="shared" si="63"/>
        <v>14</v>
      </c>
      <c r="R649" s="28">
        <f t="shared" si="64"/>
        <v>0.98067632850241548</v>
      </c>
      <c r="S649" s="29">
        <f t="shared" si="65"/>
        <v>98.067632850241552</v>
      </c>
      <c r="T649" s="5" t="str">
        <f>IF(Delivery_Data[[#This Row],[Delays (min)]]&gt;0,"No","Yes")</f>
        <v>No</v>
      </c>
    </row>
    <row r="650" spans="1:20" ht="15.75" customHeight="1" x14ac:dyDescent="0.3">
      <c r="A650" s="4">
        <v>1649</v>
      </c>
      <c r="B650" s="5" t="s">
        <v>775</v>
      </c>
      <c r="C650" s="6">
        <v>45170.448611111111</v>
      </c>
      <c r="D650" s="5" t="s">
        <v>43</v>
      </c>
      <c r="E650" s="5" t="s">
        <v>202</v>
      </c>
      <c r="F650" s="5" t="s">
        <v>38</v>
      </c>
      <c r="G650" s="5" t="s">
        <v>31</v>
      </c>
      <c r="H650" s="5">
        <v>156</v>
      </c>
      <c r="I650" s="5">
        <v>22</v>
      </c>
      <c r="J650" s="5" t="s">
        <v>18</v>
      </c>
      <c r="K650" s="5" t="s">
        <v>45</v>
      </c>
      <c r="L650" s="5" t="s">
        <v>20</v>
      </c>
      <c r="M650" s="7" t="s">
        <v>46</v>
      </c>
      <c r="N650" s="26">
        <f t="shared" si="60"/>
        <v>0</v>
      </c>
      <c r="O650" s="42">
        <f t="shared" si="61"/>
        <v>45170</v>
      </c>
      <c r="P650" s="5" t="str">
        <f t="shared" si="62"/>
        <v>Friday</v>
      </c>
      <c r="Q650" s="5">
        <f t="shared" si="63"/>
        <v>10</v>
      </c>
      <c r="R650" s="28">
        <f t="shared" si="64"/>
        <v>0.8764044943820225</v>
      </c>
      <c r="S650" s="29">
        <f t="shared" si="65"/>
        <v>87.640449438202253</v>
      </c>
      <c r="T650" s="5" t="str">
        <f>IF(Delivery_Data[[#This Row],[Delays (min)]]&gt;0,"No","Yes")</f>
        <v>No</v>
      </c>
    </row>
    <row r="651" spans="1:20" ht="15.75" customHeight="1" x14ac:dyDescent="0.3">
      <c r="A651" s="4">
        <v>1650</v>
      </c>
      <c r="B651" s="5" t="s">
        <v>776</v>
      </c>
      <c r="C651" s="6">
        <v>45175.356944444444</v>
      </c>
      <c r="D651" s="5" t="s">
        <v>43</v>
      </c>
      <c r="E651" s="5" t="s">
        <v>80</v>
      </c>
      <c r="F651" s="5" t="s">
        <v>38</v>
      </c>
      <c r="G651" s="5" t="s">
        <v>56</v>
      </c>
      <c r="H651" s="5">
        <v>94</v>
      </c>
      <c r="I651" s="5">
        <v>6</v>
      </c>
      <c r="J651" s="5" t="s">
        <v>26</v>
      </c>
      <c r="K651" s="5" t="s">
        <v>49</v>
      </c>
      <c r="L651" s="5" t="s">
        <v>20</v>
      </c>
      <c r="M651" s="7" t="s">
        <v>21</v>
      </c>
      <c r="N651" s="26">
        <f t="shared" si="60"/>
        <v>1</v>
      </c>
      <c r="O651" s="42">
        <f t="shared" si="61"/>
        <v>45175</v>
      </c>
      <c r="P651" s="5" t="str">
        <f t="shared" si="62"/>
        <v>Wednesday</v>
      </c>
      <c r="Q651" s="5">
        <f t="shared" si="63"/>
        <v>8</v>
      </c>
      <c r="R651" s="28">
        <f t="shared" si="64"/>
        <v>0.94</v>
      </c>
      <c r="S651" s="29">
        <f t="shared" si="65"/>
        <v>94</v>
      </c>
      <c r="T651" s="5" t="str">
        <f>IF(Delivery_Data[[#This Row],[Delays (min)]]&gt;0,"No","Yes")</f>
        <v>No</v>
      </c>
    </row>
    <row r="652" spans="1:20" ht="15.75" customHeight="1" x14ac:dyDescent="0.3">
      <c r="A652" s="4">
        <v>1651</v>
      </c>
      <c r="B652" s="5" t="s">
        <v>777</v>
      </c>
      <c r="C652" s="6">
        <v>45170.54583333333</v>
      </c>
      <c r="D652" s="5" t="s">
        <v>43</v>
      </c>
      <c r="E652" s="5" t="s">
        <v>270</v>
      </c>
      <c r="F652" s="5" t="s">
        <v>24</v>
      </c>
      <c r="G652" s="5" t="s">
        <v>39</v>
      </c>
      <c r="H652" s="5">
        <v>188</v>
      </c>
      <c r="I652" s="5">
        <v>26</v>
      </c>
      <c r="J652" s="5" t="s">
        <v>32</v>
      </c>
      <c r="K652" s="5" t="s">
        <v>27</v>
      </c>
      <c r="L652" s="5" t="s">
        <v>20</v>
      </c>
      <c r="M652" s="7" t="s">
        <v>46</v>
      </c>
      <c r="N652" s="26">
        <f t="shared" si="60"/>
        <v>-1</v>
      </c>
      <c r="O652" s="42">
        <f t="shared" si="61"/>
        <v>45170</v>
      </c>
      <c r="P652" s="5" t="str">
        <f t="shared" si="62"/>
        <v>Friday</v>
      </c>
      <c r="Q652" s="5">
        <f t="shared" si="63"/>
        <v>13</v>
      </c>
      <c r="R652" s="28">
        <f t="shared" si="64"/>
        <v>0.87850467289719625</v>
      </c>
      <c r="S652" s="29">
        <f t="shared" si="65"/>
        <v>87.850467289719631</v>
      </c>
      <c r="T652" s="5" t="str">
        <f>IF(Delivery_Data[[#This Row],[Delays (min)]]&gt;0,"No","Yes")</f>
        <v>No</v>
      </c>
    </row>
    <row r="653" spans="1:20" ht="15.75" customHeight="1" x14ac:dyDescent="0.3">
      <c r="A653" s="4">
        <v>1652</v>
      </c>
      <c r="B653" s="5" t="s">
        <v>778</v>
      </c>
      <c r="C653" s="6">
        <v>45174.652777777781</v>
      </c>
      <c r="D653" s="5" t="s">
        <v>14</v>
      </c>
      <c r="E653" s="5" t="s">
        <v>62</v>
      </c>
      <c r="F653" s="5" t="s">
        <v>16</v>
      </c>
      <c r="G653" s="5" t="s">
        <v>17</v>
      </c>
      <c r="H653" s="5">
        <v>110</v>
      </c>
      <c r="I653" s="5">
        <v>10</v>
      </c>
      <c r="J653" s="5" t="s">
        <v>26</v>
      </c>
      <c r="K653" s="5" t="s">
        <v>35</v>
      </c>
      <c r="L653" s="5" t="s">
        <v>20</v>
      </c>
      <c r="M653" s="7" t="s">
        <v>21</v>
      </c>
      <c r="N653" s="26">
        <f t="shared" si="60"/>
        <v>1</v>
      </c>
      <c r="O653" s="42">
        <f t="shared" si="61"/>
        <v>45174</v>
      </c>
      <c r="P653" s="5" t="str">
        <f t="shared" si="62"/>
        <v>Tuesday</v>
      </c>
      <c r="Q653" s="5">
        <f t="shared" si="63"/>
        <v>15</v>
      </c>
      <c r="R653" s="28">
        <f t="shared" si="64"/>
        <v>0.91666666666666663</v>
      </c>
      <c r="S653" s="29">
        <f t="shared" si="65"/>
        <v>91.666666666666657</v>
      </c>
      <c r="T653" s="5" t="str">
        <f>IF(Delivery_Data[[#This Row],[Delays (min)]]&gt;0,"No","Yes")</f>
        <v>No</v>
      </c>
    </row>
    <row r="654" spans="1:20" ht="15.75" customHeight="1" x14ac:dyDescent="0.3">
      <c r="A654" s="4">
        <v>1653</v>
      </c>
      <c r="B654" s="5" t="s">
        <v>779</v>
      </c>
      <c r="C654" s="6">
        <v>45171.362500000003</v>
      </c>
      <c r="D654" s="5" t="s">
        <v>43</v>
      </c>
      <c r="E654" s="5" t="s">
        <v>410</v>
      </c>
      <c r="F654" s="5" t="s">
        <v>24</v>
      </c>
      <c r="G654" s="5" t="s">
        <v>39</v>
      </c>
      <c r="H654" s="5">
        <v>227</v>
      </c>
      <c r="I654" s="5">
        <v>6</v>
      </c>
      <c r="J654" s="5" t="s">
        <v>32</v>
      </c>
      <c r="K654" s="5" t="s">
        <v>19</v>
      </c>
      <c r="L654" s="5" t="s">
        <v>40</v>
      </c>
      <c r="M654" s="7" t="s">
        <v>21</v>
      </c>
      <c r="N654" s="26">
        <f t="shared" si="60"/>
        <v>-1</v>
      </c>
      <c r="O654" s="42">
        <f t="shared" si="61"/>
        <v>45171</v>
      </c>
      <c r="P654" s="5" t="str">
        <f t="shared" si="62"/>
        <v>Saturday</v>
      </c>
      <c r="Q654" s="5">
        <f t="shared" si="63"/>
        <v>8</v>
      </c>
      <c r="R654" s="28">
        <f t="shared" si="64"/>
        <v>0.97424892703862664</v>
      </c>
      <c r="S654" s="29">
        <f t="shared" si="65"/>
        <v>97.424892703862668</v>
      </c>
      <c r="T654" s="5" t="str">
        <f>IF(Delivery_Data[[#This Row],[Delays (min)]]&gt;0,"No","Yes")</f>
        <v>No</v>
      </c>
    </row>
    <row r="655" spans="1:20" ht="15.75" customHeight="1" x14ac:dyDescent="0.3">
      <c r="A655" s="4">
        <v>1654</v>
      </c>
      <c r="B655" s="5" t="s">
        <v>780</v>
      </c>
      <c r="C655" s="6">
        <v>45171.462500000001</v>
      </c>
      <c r="D655" s="5" t="s">
        <v>14</v>
      </c>
      <c r="E655" s="5" t="s">
        <v>115</v>
      </c>
      <c r="F655" s="5" t="s">
        <v>16</v>
      </c>
      <c r="G655" s="5" t="s">
        <v>56</v>
      </c>
      <c r="H655" s="5">
        <v>146</v>
      </c>
      <c r="I655" s="5">
        <v>27</v>
      </c>
      <c r="J655" s="5" t="s">
        <v>18</v>
      </c>
      <c r="K655" s="5" t="s">
        <v>19</v>
      </c>
      <c r="L655" s="5" t="s">
        <v>40</v>
      </c>
      <c r="M655" s="7" t="s">
        <v>21</v>
      </c>
      <c r="N655" s="26">
        <f t="shared" si="60"/>
        <v>0</v>
      </c>
      <c r="O655" s="42">
        <f t="shared" si="61"/>
        <v>45171</v>
      </c>
      <c r="P655" s="5" t="str">
        <f t="shared" si="62"/>
        <v>Saturday</v>
      </c>
      <c r="Q655" s="5">
        <f t="shared" si="63"/>
        <v>11</v>
      </c>
      <c r="R655" s="28">
        <f t="shared" si="64"/>
        <v>0.84393063583815031</v>
      </c>
      <c r="S655" s="29">
        <f t="shared" si="65"/>
        <v>84.393063583815035</v>
      </c>
      <c r="T655" s="5" t="str">
        <f>IF(Delivery_Data[[#This Row],[Delays (min)]]&gt;0,"No","Yes")</f>
        <v>No</v>
      </c>
    </row>
    <row r="656" spans="1:20" ht="15.75" customHeight="1" x14ac:dyDescent="0.3">
      <c r="A656" s="4">
        <v>1655</v>
      </c>
      <c r="B656" s="5" t="s">
        <v>781</v>
      </c>
      <c r="C656" s="6">
        <v>45176.395138888889</v>
      </c>
      <c r="D656" s="5" t="s">
        <v>43</v>
      </c>
      <c r="E656" s="5" t="s">
        <v>285</v>
      </c>
      <c r="F656" s="5" t="s">
        <v>38</v>
      </c>
      <c r="G656" s="5" t="s">
        <v>17</v>
      </c>
      <c r="H656" s="5">
        <v>196</v>
      </c>
      <c r="I656" s="5">
        <v>28</v>
      </c>
      <c r="J656" s="5" t="s">
        <v>32</v>
      </c>
      <c r="K656" s="5" t="s">
        <v>49</v>
      </c>
      <c r="L656" s="5" t="s">
        <v>28</v>
      </c>
      <c r="M656" s="7" t="s">
        <v>41</v>
      </c>
      <c r="N656" s="26">
        <f t="shared" si="60"/>
        <v>-1</v>
      </c>
      <c r="O656" s="42">
        <f t="shared" si="61"/>
        <v>45176</v>
      </c>
      <c r="P656" s="5" t="str">
        <f t="shared" si="62"/>
        <v>Thursday</v>
      </c>
      <c r="Q656" s="5">
        <f t="shared" si="63"/>
        <v>9</v>
      </c>
      <c r="R656" s="28">
        <f t="shared" si="64"/>
        <v>0.875</v>
      </c>
      <c r="S656" s="29">
        <f t="shared" si="65"/>
        <v>87.5</v>
      </c>
      <c r="T656" s="5" t="str">
        <f>IF(Delivery_Data[[#This Row],[Delays (min)]]&gt;0,"No","Yes")</f>
        <v>No</v>
      </c>
    </row>
    <row r="657" spans="1:20" ht="15.75" customHeight="1" x14ac:dyDescent="0.3">
      <c r="A657" s="4">
        <v>1656</v>
      </c>
      <c r="B657" s="5" t="s">
        <v>782</v>
      </c>
      <c r="C657" s="6">
        <v>45170.401388888888</v>
      </c>
      <c r="D657" s="5" t="s">
        <v>43</v>
      </c>
      <c r="E657" s="5" t="s">
        <v>245</v>
      </c>
      <c r="F657" s="5" t="s">
        <v>24</v>
      </c>
      <c r="G657" s="5" t="s">
        <v>25</v>
      </c>
      <c r="H657" s="5">
        <v>152</v>
      </c>
      <c r="I657" s="5">
        <v>20</v>
      </c>
      <c r="J657" s="5" t="s">
        <v>26</v>
      </c>
      <c r="K657" s="5" t="s">
        <v>19</v>
      </c>
      <c r="L657" s="5" t="s">
        <v>28</v>
      </c>
      <c r="M657" s="7" t="s">
        <v>21</v>
      </c>
      <c r="N657" s="26">
        <f t="shared" si="60"/>
        <v>1</v>
      </c>
      <c r="O657" s="42">
        <f t="shared" si="61"/>
        <v>45170</v>
      </c>
      <c r="P657" s="5" t="str">
        <f t="shared" si="62"/>
        <v>Friday</v>
      </c>
      <c r="Q657" s="5">
        <f t="shared" si="63"/>
        <v>9</v>
      </c>
      <c r="R657" s="28">
        <f t="shared" si="64"/>
        <v>0.88372093023255816</v>
      </c>
      <c r="S657" s="29">
        <f t="shared" si="65"/>
        <v>88.372093023255815</v>
      </c>
      <c r="T657" s="5" t="str">
        <f>IF(Delivery_Data[[#This Row],[Delays (min)]]&gt;0,"No","Yes")</f>
        <v>No</v>
      </c>
    </row>
    <row r="658" spans="1:20" ht="15.75" customHeight="1" x14ac:dyDescent="0.3">
      <c r="A658" s="4">
        <v>1657</v>
      </c>
      <c r="B658" s="5" t="s">
        <v>783</v>
      </c>
      <c r="C658" s="6">
        <v>45174.431250000001</v>
      </c>
      <c r="D658" s="5" t="s">
        <v>43</v>
      </c>
      <c r="E658" s="5" t="s">
        <v>62</v>
      </c>
      <c r="F658" s="5" t="s">
        <v>16</v>
      </c>
      <c r="G658" s="5" t="s">
        <v>39</v>
      </c>
      <c r="H658" s="5">
        <v>110</v>
      </c>
      <c r="I658" s="5">
        <v>4</v>
      </c>
      <c r="J658" s="5" t="s">
        <v>26</v>
      </c>
      <c r="K658" s="5" t="s">
        <v>19</v>
      </c>
      <c r="L658" s="5" t="s">
        <v>28</v>
      </c>
      <c r="M658" s="7" t="s">
        <v>46</v>
      </c>
      <c r="N658" s="26">
        <f t="shared" si="60"/>
        <v>1</v>
      </c>
      <c r="O658" s="42">
        <f t="shared" si="61"/>
        <v>45174</v>
      </c>
      <c r="P658" s="5" t="str">
        <f t="shared" si="62"/>
        <v>Tuesday</v>
      </c>
      <c r="Q658" s="5">
        <f t="shared" si="63"/>
        <v>10</v>
      </c>
      <c r="R658" s="28">
        <f t="shared" si="64"/>
        <v>0.96491228070175439</v>
      </c>
      <c r="S658" s="29">
        <f t="shared" si="65"/>
        <v>96.491228070175438</v>
      </c>
      <c r="T658" s="5" t="str">
        <f>IF(Delivery_Data[[#This Row],[Delays (min)]]&gt;0,"No","Yes")</f>
        <v>No</v>
      </c>
    </row>
    <row r="659" spans="1:20" ht="15.75" customHeight="1" x14ac:dyDescent="0.3">
      <c r="A659" s="4">
        <v>1658</v>
      </c>
      <c r="B659" s="5" t="s">
        <v>784</v>
      </c>
      <c r="C659" s="6">
        <v>45176.654861111114</v>
      </c>
      <c r="D659" s="5" t="s">
        <v>43</v>
      </c>
      <c r="E659" s="5" t="s">
        <v>281</v>
      </c>
      <c r="F659" s="5" t="s">
        <v>38</v>
      </c>
      <c r="G659" s="5" t="s">
        <v>31</v>
      </c>
      <c r="H659" s="5">
        <v>219</v>
      </c>
      <c r="I659" s="5">
        <v>28</v>
      </c>
      <c r="J659" s="5" t="s">
        <v>26</v>
      </c>
      <c r="K659" s="5" t="s">
        <v>35</v>
      </c>
      <c r="L659" s="5" t="s">
        <v>28</v>
      </c>
      <c r="M659" s="7" t="s">
        <v>21</v>
      </c>
      <c r="N659" s="26">
        <f t="shared" si="60"/>
        <v>1</v>
      </c>
      <c r="O659" s="42">
        <f t="shared" si="61"/>
        <v>45176</v>
      </c>
      <c r="P659" s="5" t="str">
        <f t="shared" si="62"/>
        <v>Thursday</v>
      </c>
      <c r="Q659" s="5">
        <f t="shared" si="63"/>
        <v>15</v>
      </c>
      <c r="R659" s="28">
        <f t="shared" si="64"/>
        <v>0.88663967611336036</v>
      </c>
      <c r="S659" s="29">
        <f t="shared" si="65"/>
        <v>88.663967611336034</v>
      </c>
      <c r="T659" s="5" t="str">
        <f>IF(Delivery_Data[[#This Row],[Delays (min)]]&gt;0,"No","Yes")</f>
        <v>No</v>
      </c>
    </row>
    <row r="660" spans="1:20" ht="15.75" customHeight="1" x14ac:dyDescent="0.3">
      <c r="A660" s="4">
        <v>1659</v>
      </c>
      <c r="B660" s="5" t="s">
        <v>785</v>
      </c>
      <c r="C660" s="6">
        <v>45172.363194444442</v>
      </c>
      <c r="D660" s="5" t="s">
        <v>43</v>
      </c>
      <c r="E660" s="5" t="s">
        <v>70</v>
      </c>
      <c r="F660" s="5" t="s">
        <v>38</v>
      </c>
      <c r="G660" s="5" t="s">
        <v>25</v>
      </c>
      <c r="H660" s="5">
        <v>208</v>
      </c>
      <c r="I660" s="5">
        <v>13</v>
      </c>
      <c r="J660" s="5" t="s">
        <v>18</v>
      </c>
      <c r="K660" s="5" t="s">
        <v>35</v>
      </c>
      <c r="L660" s="5" t="s">
        <v>20</v>
      </c>
      <c r="M660" s="7" t="s">
        <v>46</v>
      </c>
      <c r="N660" s="26">
        <f t="shared" si="60"/>
        <v>0</v>
      </c>
      <c r="O660" s="42">
        <f t="shared" si="61"/>
        <v>45172</v>
      </c>
      <c r="P660" s="5" t="str">
        <f t="shared" si="62"/>
        <v>Sunday</v>
      </c>
      <c r="Q660" s="5">
        <f t="shared" si="63"/>
        <v>8</v>
      </c>
      <c r="R660" s="28">
        <f t="shared" si="64"/>
        <v>0.94117647058823528</v>
      </c>
      <c r="S660" s="29">
        <f t="shared" si="65"/>
        <v>94.117647058823522</v>
      </c>
      <c r="T660" s="5" t="str">
        <f>IF(Delivery_Data[[#This Row],[Delays (min)]]&gt;0,"No","Yes")</f>
        <v>No</v>
      </c>
    </row>
    <row r="661" spans="1:20" ht="15.75" customHeight="1" x14ac:dyDescent="0.3">
      <c r="A661" s="4">
        <v>1660</v>
      </c>
      <c r="B661" s="5" t="s">
        <v>786</v>
      </c>
      <c r="C661" s="6">
        <v>45170.444444444445</v>
      </c>
      <c r="D661" s="5" t="s">
        <v>14</v>
      </c>
      <c r="E661" s="5" t="s">
        <v>285</v>
      </c>
      <c r="F661" s="5" t="s">
        <v>16</v>
      </c>
      <c r="G661" s="5" t="s">
        <v>31</v>
      </c>
      <c r="H661" s="5">
        <v>138</v>
      </c>
      <c r="I661" s="5">
        <v>6</v>
      </c>
      <c r="J661" s="5" t="s">
        <v>26</v>
      </c>
      <c r="K661" s="5" t="s">
        <v>49</v>
      </c>
      <c r="L661" s="5" t="s">
        <v>28</v>
      </c>
      <c r="M661" s="7" t="s">
        <v>46</v>
      </c>
      <c r="N661" s="26">
        <f t="shared" si="60"/>
        <v>1</v>
      </c>
      <c r="O661" s="42">
        <f t="shared" si="61"/>
        <v>45170</v>
      </c>
      <c r="P661" s="5" t="str">
        <f t="shared" si="62"/>
        <v>Friday</v>
      </c>
      <c r="Q661" s="5">
        <f t="shared" si="63"/>
        <v>10</v>
      </c>
      <c r="R661" s="28">
        <f t="shared" si="64"/>
        <v>0.95833333333333337</v>
      </c>
      <c r="S661" s="29">
        <f t="shared" si="65"/>
        <v>95.833333333333343</v>
      </c>
      <c r="T661" s="5" t="str">
        <f>IF(Delivery_Data[[#This Row],[Delays (min)]]&gt;0,"No","Yes")</f>
        <v>No</v>
      </c>
    </row>
    <row r="662" spans="1:20" ht="15.75" customHeight="1" x14ac:dyDescent="0.3">
      <c r="A662" s="4">
        <v>1661</v>
      </c>
      <c r="B662" s="5" t="s">
        <v>458</v>
      </c>
      <c r="C662" s="6">
        <v>45175.614583333336</v>
      </c>
      <c r="D662" s="5" t="s">
        <v>14</v>
      </c>
      <c r="E662" s="5" t="s">
        <v>68</v>
      </c>
      <c r="F662" s="5" t="s">
        <v>24</v>
      </c>
      <c r="G662" s="5" t="s">
        <v>39</v>
      </c>
      <c r="H662" s="5">
        <v>135</v>
      </c>
      <c r="I662" s="5">
        <v>18</v>
      </c>
      <c r="J662" s="5" t="s">
        <v>26</v>
      </c>
      <c r="K662" s="5" t="s">
        <v>49</v>
      </c>
      <c r="L662" s="5" t="s">
        <v>20</v>
      </c>
      <c r="M662" s="7" t="s">
        <v>41</v>
      </c>
      <c r="N662" s="26">
        <f t="shared" si="60"/>
        <v>1</v>
      </c>
      <c r="O662" s="42">
        <f t="shared" si="61"/>
        <v>45175</v>
      </c>
      <c r="P662" s="5" t="str">
        <f t="shared" si="62"/>
        <v>Wednesday</v>
      </c>
      <c r="Q662" s="5">
        <f t="shared" si="63"/>
        <v>14</v>
      </c>
      <c r="R662" s="28">
        <f t="shared" si="64"/>
        <v>0.88235294117647056</v>
      </c>
      <c r="S662" s="29">
        <f t="shared" si="65"/>
        <v>88.235294117647058</v>
      </c>
      <c r="T662" s="5" t="str">
        <f>IF(Delivery_Data[[#This Row],[Delays (min)]]&gt;0,"No","Yes")</f>
        <v>No</v>
      </c>
    </row>
    <row r="663" spans="1:20" ht="15.75" customHeight="1" x14ac:dyDescent="0.3">
      <c r="A663" s="4">
        <v>1662</v>
      </c>
      <c r="B663" s="5" t="s">
        <v>787</v>
      </c>
      <c r="C663" s="6">
        <v>45174.472222222219</v>
      </c>
      <c r="D663" s="5" t="s">
        <v>14</v>
      </c>
      <c r="E663" s="5" t="s">
        <v>70</v>
      </c>
      <c r="F663" s="5" t="s">
        <v>38</v>
      </c>
      <c r="G663" s="5" t="s">
        <v>39</v>
      </c>
      <c r="H663" s="5">
        <v>137</v>
      </c>
      <c r="I663" s="5">
        <v>11</v>
      </c>
      <c r="J663" s="5" t="s">
        <v>26</v>
      </c>
      <c r="K663" s="5" t="s">
        <v>49</v>
      </c>
      <c r="L663" s="5" t="s">
        <v>40</v>
      </c>
      <c r="M663" s="7" t="s">
        <v>46</v>
      </c>
      <c r="N663" s="26">
        <f t="shared" si="60"/>
        <v>1</v>
      </c>
      <c r="O663" s="42">
        <f t="shared" si="61"/>
        <v>45174</v>
      </c>
      <c r="P663" s="5" t="str">
        <f t="shared" si="62"/>
        <v>Tuesday</v>
      </c>
      <c r="Q663" s="5">
        <f t="shared" si="63"/>
        <v>11</v>
      </c>
      <c r="R663" s="28">
        <f t="shared" si="64"/>
        <v>0.92567567567567566</v>
      </c>
      <c r="S663" s="29">
        <f t="shared" si="65"/>
        <v>92.567567567567565</v>
      </c>
      <c r="T663" s="5" t="str">
        <f>IF(Delivery_Data[[#This Row],[Delays (min)]]&gt;0,"No","Yes")</f>
        <v>No</v>
      </c>
    </row>
    <row r="664" spans="1:20" ht="15.75" customHeight="1" x14ac:dyDescent="0.3">
      <c r="A664" s="4">
        <v>1663</v>
      </c>
      <c r="B664" s="5" t="s">
        <v>788</v>
      </c>
      <c r="C664" s="6">
        <v>45172.404861111114</v>
      </c>
      <c r="D664" s="5" t="s">
        <v>43</v>
      </c>
      <c r="E664" s="5" t="s">
        <v>166</v>
      </c>
      <c r="F664" s="5" t="s">
        <v>38</v>
      </c>
      <c r="G664" s="5" t="s">
        <v>25</v>
      </c>
      <c r="H664" s="5">
        <v>101</v>
      </c>
      <c r="I664" s="5">
        <v>11</v>
      </c>
      <c r="J664" s="5" t="s">
        <v>18</v>
      </c>
      <c r="K664" s="5" t="s">
        <v>27</v>
      </c>
      <c r="L664" s="5" t="s">
        <v>40</v>
      </c>
      <c r="M664" s="7" t="s">
        <v>41</v>
      </c>
      <c r="N664" s="26">
        <f t="shared" si="60"/>
        <v>0</v>
      </c>
      <c r="O664" s="42">
        <f t="shared" si="61"/>
        <v>45172</v>
      </c>
      <c r="P664" s="5" t="str">
        <f t="shared" si="62"/>
        <v>Sunday</v>
      </c>
      <c r="Q664" s="5">
        <f t="shared" si="63"/>
        <v>9</v>
      </c>
      <c r="R664" s="28">
        <f t="shared" si="64"/>
        <v>0.9017857142857143</v>
      </c>
      <c r="S664" s="29">
        <f t="shared" si="65"/>
        <v>90.178571428571431</v>
      </c>
      <c r="T664" s="5" t="str">
        <f>IF(Delivery_Data[[#This Row],[Delays (min)]]&gt;0,"No","Yes")</f>
        <v>No</v>
      </c>
    </row>
    <row r="665" spans="1:20" ht="15.75" customHeight="1" x14ac:dyDescent="0.3">
      <c r="A665" s="4">
        <v>1664</v>
      </c>
      <c r="B665" s="5" t="s">
        <v>789</v>
      </c>
      <c r="C665" s="6">
        <v>45171.372916666667</v>
      </c>
      <c r="D665" s="5" t="s">
        <v>14</v>
      </c>
      <c r="E665" s="5" t="s">
        <v>468</v>
      </c>
      <c r="F665" s="5" t="s">
        <v>38</v>
      </c>
      <c r="G665" s="5" t="s">
        <v>17</v>
      </c>
      <c r="H665" s="5">
        <v>97</v>
      </c>
      <c r="I665" s="5">
        <v>17</v>
      </c>
      <c r="J665" s="5" t="s">
        <v>18</v>
      </c>
      <c r="K665" s="5" t="s">
        <v>27</v>
      </c>
      <c r="L665" s="5" t="s">
        <v>40</v>
      </c>
      <c r="M665" s="7" t="s">
        <v>21</v>
      </c>
      <c r="N665" s="26">
        <f t="shared" si="60"/>
        <v>0</v>
      </c>
      <c r="O665" s="42">
        <f t="shared" si="61"/>
        <v>45171</v>
      </c>
      <c r="P665" s="5" t="str">
        <f t="shared" si="62"/>
        <v>Saturday</v>
      </c>
      <c r="Q665" s="5">
        <f t="shared" si="63"/>
        <v>8</v>
      </c>
      <c r="R665" s="28">
        <f t="shared" si="64"/>
        <v>0.85087719298245612</v>
      </c>
      <c r="S665" s="29">
        <f t="shared" si="65"/>
        <v>85.087719298245617</v>
      </c>
      <c r="T665" s="5" t="str">
        <f>IF(Delivery_Data[[#This Row],[Delays (min)]]&gt;0,"No","Yes")</f>
        <v>No</v>
      </c>
    </row>
    <row r="666" spans="1:20" ht="15.75" customHeight="1" x14ac:dyDescent="0.3">
      <c r="A666" s="4">
        <v>1665</v>
      </c>
      <c r="B666" s="5" t="s">
        <v>790</v>
      </c>
      <c r="C666" s="6">
        <v>45177.424305555556</v>
      </c>
      <c r="D666" s="5" t="s">
        <v>14</v>
      </c>
      <c r="E666" s="5" t="s">
        <v>185</v>
      </c>
      <c r="F666" s="5" t="s">
        <v>38</v>
      </c>
      <c r="G666" s="5" t="s">
        <v>17</v>
      </c>
      <c r="H666" s="5">
        <v>190</v>
      </c>
      <c r="I666" s="5">
        <v>23</v>
      </c>
      <c r="J666" s="5" t="s">
        <v>18</v>
      </c>
      <c r="K666" s="5" t="s">
        <v>49</v>
      </c>
      <c r="L666" s="5" t="s">
        <v>40</v>
      </c>
      <c r="M666" s="7" t="s">
        <v>41</v>
      </c>
      <c r="N666" s="26">
        <f t="shared" si="60"/>
        <v>0</v>
      </c>
      <c r="O666" s="42">
        <f t="shared" si="61"/>
        <v>45177</v>
      </c>
      <c r="P666" s="5" t="str">
        <f t="shared" si="62"/>
        <v>Friday</v>
      </c>
      <c r="Q666" s="5">
        <f t="shared" si="63"/>
        <v>10</v>
      </c>
      <c r="R666" s="28">
        <f t="shared" si="64"/>
        <v>0.892018779342723</v>
      </c>
      <c r="S666" s="29">
        <f t="shared" si="65"/>
        <v>89.201877934272304</v>
      </c>
      <c r="T666" s="5" t="str">
        <f>IF(Delivery_Data[[#This Row],[Delays (min)]]&gt;0,"No","Yes")</f>
        <v>No</v>
      </c>
    </row>
    <row r="667" spans="1:20" ht="15.75" customHeight="1" x14ac:dyDescent="0.3">
      <c r="A667" s="4">
        <v>1666</v>
      </c>
      <c r="B667" s="5" t="s">
        <v>791</v>
      </c>
      <c r="C667" s="6">
        <v>45175.576388888891</v>
      </c>
      <c r="D667" s="5" t="s">
        <v>43</v>
      </c>
      <c r="E667" s="5" t="s">
        <v>187</v>
      </c>
      <c r="F667" s="5" t="s">
        <v>24</v>
      </c>
      <c r="G667" s="5" t="s">
        <v>31</v>
      </c>
      <c r="H667" s="5">
        <v>233</v>
      </c>
      <c r="I667" s="5">
        <v>22</v>
      </c>
      <c r="J667" s="5" t="s">
        <v>26</v>
      </c>
      <c r="K667" s="5" t="s">
        <v>27</v>
      </c>
      <c r="L667" s="5" t="s">
        <v>20</v>
      </c>
      <c r="M667" s="7" t="s">
        <v>21</v>
      </c>
      <c r="N667" s="26">
        <f t="shared" si="60"/>
        <v>1</v>
      </c>
      <c r="O667" s="42">
        <f t="shared" si="61"/>
        <v>45175</v>
      </c>
      <c r="P667" s="5" t="str">
        <f t="shared" si="62"/>
        <v>Wednesday</v>
      </c>
      <c r="Q667" s="5">
        <f t="shared" si="63"/>
        <v>13</v>
      </c>
      <c r="R667" s="28">
        <f t="shared" si="64"/>
        <v>0.9137254901960784</v>
      </c>
      <c r="S667" s="29">
        <f t="shared" si="65"/>
        <v>91.372549019607845</v>
      </c>
      <c r="T667" s="5" t="str">
        <f>IF(Delivery_Data[[#This Row],[Delays (min)]]&gt;0,"No","Yes")</f>
        <v>No</v>
      </c>
    </row>
    <row r="668" spans="1:20" ht="15.75" customHeight="1" x14ac:dyDescent="0.3">
      <c r="A668" s="4">
        <v>1667</v>
      </c>
      <c r="B668" s="5" t="s">
        <v>792</v>
      </c>
      <c r="C668" s="6">
        <v>45172.333333333336</v>
      </c>
      <c r="D668" s="5" t="s">
        <v>14</v>
      </c>
      <c r="E668" s="5" t="s">
        <v>122</v>
      </c>
      <c r="F668" s="5" t="s">
        <v>38</v>
      </c>
      <c r="G668" s="5" t="s">
        <v>25</v>
      </c>
      <c r="H668" s="5">
        <v>80</v>
      </c>
      <c r="I668" s="5">
        <v>19</v>
      </c>
      <c r="J668" s="5" t="s">
        <v>26</v>
      </c>
      <c r="K668" s="5" t="s">
        <v>27</v>
      </c>
      <c r="L668" s="5" t="s">
        <v>20</v>
      </c>
      <c r="M668" s="7" t="s">
        <v>21</v>
      </c>
      <c r="N668" s="26">
        <f t="shared" si="60"/>
        <v>1</v>
      </c>
      <c r="O668" s="42">
        <f t="shared" si="61"/>
        <v>45172</v>
      </c>
      <c r="P668" s="5" t="str">
        <f t="shared" si="62"/>
        <v>Sunday</v>
      </c>
      <c r="Q668" s="5">
        <f t="shared" si="63"/>
        <v>8</v>
      </c>
      <c r="R668" s="28">
        <f t="shared" si="64"/>
        <v>0.80808080808080807</v>
      </c>
      <c r="S668" s="29">
        <f t="shared" si="65"/>
        <v>80.808080808080803</v>
      </c>
      <c r="T668" s="5" t="str">
        <f>IF(Delivery_Data[[#This Row],[Delays (min)]]&gt;0,"No","Yes")</f>
        <v>No</v>
      </c>
    </row>
    <row r="669" spans="1:20" ht="15.75" customHeight="1" x14ac:dyDescent="0.3">
      <c r="A669" s="4">
        <v>1668</v>
      </c>
      <c r="B669" s="5" t="s">
        <v>793</v>
      </c>
      <c r="C669" s="6">
        <v>45170.616666666669</v>
      </c>
      <c r="D669" s="5" t="s">
        <v>43</v>
      </c>
      <c r="E669" s="5" t="s">
        <v>231</v>
      </c>
      <c r="F669" s="5" t="s">
        <v>16</v>
      </c>
      <c r="G669" s="5" t="s">
        <v>25</v>
      </c>
      <c r="H669" s="5">
        <v>161</v>
      </c>
      <c r="I669" s="5">
        <v>21</v>
      </c>
      <c r="J669" s="5" t="s">
        <v>26</v>
      </c>
      <c r="K669" s="5" t="s">
        <v>27</v>
      </c>
      <c r="L669" s="5" t="s">
        <v>40</v>
      </c>
      <c r="M669" s="7" t="s">
        <v>21</v>
      </c>
      <c r="N669" s="26">
        <f t="shared" si="60"/>
        <v>1</v>
      </c>
      <c r="O669" s="42">
        <f t="shared" si="61"/>
        <v>45170</v>
      </c>
      <c r="P669" s="5" t="str">
        <f t="shared" si="62"/>
        <v>Friday</v>
      </c>
      <c r="Q669" s="5">
        <f t="shared" si="63"/>
        <v>14</v>
      </c>
      <c r="R669" s="28">
        <f t="shared" si="64"/>
        <v>0.88461538461538458</v>
      </c>
      <c r="S669" s="29">
        <f t="shared" si="65"/>
        <v>88.461538461538453</v>
      </c>
      <c r="T669" s="5" t="str">
        <f>IF(Delivery_Data[[#This Row],[Delays (min)]]&gt;0,"No","Yes")</f>
        <v>No</v>
      </c>
    </row>
    <row r="670" spans="1:20" ht="15.75" customHeight="1" x14ac:dyDescent="0.3">
      <c r="A670" s="4">
        <v>1669</v>
      </c>
      <c r="B670" s="5" t="s">
        <v>794</v>
      </c>
      <c r="C670" s="6">
        <v>45171.388888888891</v>
      </c>
      <c r="D670" s="5" t="s">
        <v>14</v>
      </c>
      <c r="E670" s="5" t="s">
        <v>113</v>
      </c>
      <c r="F670" s="5" t="s">
        <v>38</v>
      </c>
      <c r="G670" s="5" t="s">
        <v>31</v>
      </c>
      <c r="H670" s="5">
        <v>153</v>
      </c>
      <c r="I670" s="5">
        <v>8</v>
      </c>
      <c r="J670" s="5" t="s">
        <v>18</v>
      </c>
      <c r="K670" s="5" t="s">
        <v>45</v>
      </c>
      <c r="L670" s="5" t="s">
        <v>40</v>
      </c>
      <c r="M670" s="7" t="s">
        <v>46</v>
      </c>
      <c r="N670" s="26">
        <f t="shared" si="60"/>
        <v>0</v>
      </c>
      <c r="O670" s="42">
        <f t="shared" si="61"/>
        <v>45171</v>
      </c>
      <c r="P670" s="5" t="str">
        <f t="shared" si="62"/>
        <v>Saturday</v>
      </c>
      <c r="Q670" s="5">
        <f t="shared" si="63"/>
        <v>9</v>
      </c>
      <c r="R670" s="28">
        <f t="shared" si="64"/>
        <v>0.9503105590062112</v>
      </c>
      <c r="S670" s="29">
        <f t="shared" si="65"/>
        <v>95.031055900621126</v>
      </c>
      <c r="T670" s="5" t="str">
        <f>IF(Delivery_Data[[#This Row],[Delays (min)]]&gt;0,"No","Yes")</f>
        <v>No</v>
      </c>
    </row>
    <row r="671" spans="1:20" ht="15.75" customHeight="1" x14ac:dyDescent="0.3">
      <c r="A671" s="4">
        <v>1670</v>
      </c>
      <c r="B671" s="5" t="s">
        <v>795</v>
      </c>
      <c r="C671" s="6">
        <v>45172.550694444442</v>
      </c>
      <c r="D671" s="5" t="s">
        <v>14</v>
      </c>
      <c r="E671" s="5" t="s">
        <v>182</v>
      </c>
      <c r="F671" s="5" t="s">
        <v>24</v>
      </c>
      <c r="G671" s="5" t="s">
        <v>17</v>
      </c>
      <c r="H671" s="5">
        <v>198</v>
      </c>
      <c r="I671" s="5">
        <v>10</v>
      </c>
      <c r="J671" s="5" t="s">
        <v>18</v>
      </c>
      <c r="K671" s="5" t="s">
        <v>35</v>
      </c>
      <c r="L671" s="5" t="s">
        <v>20</v>
      </c>
      <c r="M671" s="7" t="s">
        <v>41</v>
      </c>
      <c r="N671" s="26">
        <f t="shared" si="60"/>
        <v>0</v>
      </c>
      <c r="O671" s="42">
        <f t="shared" si="61"/>
        <v>45172</v>
      </c>
      <c r="P671" s="5" t="str">
        <f t="shared" si="62"/>
        <v>Sunday</v>
      </c>
      <c r="Q671" s="5">
        <f t="shared" si="63"/>
        <v>13</v>
      </c>
      <c r="R671" s="28">
        <f t="shared" si="64"/>
        <v>0.95192307692307687</v>
      </c>
      <c r="S671" s="29">
        <f t="shared" si="65"/>
        <v>95.192307692307693</v>
      </c>
      <c r="T671" s="5" t="str">
        <f>IF(Delivery_Data[[#This Row],[Delays (min)]]&gt;0,"No","Yes")</f>
        <v>No</v>
      </c>
    </row>
    <row r="672" spans="1:20" ht="15.75" customHeight="1" x14ac:dyDescent="0.3">
      <c r="A672" s="4">
        <v>1671</v>
      </c>
      <c r="B672" s="5" t="s">
        <v>796</v>
      </c>
      <c r="C672" s="6">
        <v>45174.57708333333</v>
      </c>
      <c r="D672" s="5" t="s">
        <v>14</v>
      </c>
      <c r="E672" s="5" t="s">
        <v>109</v>
      </c>
      <c r="F672" s="5" t="s">
        <v>24</v>
      </c>
      <c r="G672" s="5" t="s">
        <v>17</v>
      </c>
      <c r="H672" s="5">
        <v>230</v>
      </c>
      <c r="I672" s="5">
        <v>24</v>
      </c>
      <c r="J672" s="5" t="s">
        <v>18</v>
      </c>
      <c r="K672" s="5" t="s">
        <v>27</v>
      </c>
      <c r="L672" s="5" t="s">
        <v>20</v>
      </c>
      <c r="M672" s="7" t="s">
        <v>21</v>
      </c>
      <c r="N672" s="26">
        <f t="shared" si="60"/>
        <v>0</v>
      </c>
      <c r="O672" s="42">
        <f t="shared" si="61"/>
        <v>45174</v>
      </c>
      <c r="P672" s="5" t="str">
        <f t="shared" si="62"/>
        <v>Tuesday</v>
      </c>
      <c r="Q672" s="5">
        <f t="shared" si="63"/>
        <v>13</v>
      </c>
      <c r="R672" s="28">
        <f t="shared" si="64"/>
        <v>0.90551181102362199</v>
      </c>
      <c r="S672" s="29">
        <f t="shared" si="65"/>
        <v>90.551181102362193</v>
      </c>
      <c r="T672" s="5" t="str">
        <f>IF(Delivery_Data[[#This Row],[Delays (min)]]&gt;0,"No","Yes")</f>
        <v>No</v>
      </c>
    </row>
    <row r="673" spans="1:20" ht="15.75" customHeight="1" x14ac:dyDescent="0.3">
      <c r="A673" s="4">
        <v>1672</v>
      </c>
      <c r="B673" s="5" t="s">
        <v>797</v>
      </c>
      <c r="C673" s="6">
        <v>45175.652777777781</v>
      </c>
      <c r="D673" s="5" t="s">
        <v>43</v>
      </c>
      <c r="E673" s="5" t="s">
        <v>101</v>
      </c>
      <c r="F673" s="5" t="s">
        <v>38</v>
      </c>
      <c r="G673" s="5" t="s">
        <v>17</v>
      </c>
      <c r="H673" s="5">
        <v>126</v>
      </c>
      <c r="I673" s="5">
        <v>3</v>
      </c>
      <c r="J673" s="5" t="s">
        <v>32</v>
      </c>
      <c r="K673" s="5" t="s">
        <v>45</v>
      </c>
      <c r="L673" s="5" t="s">
        <v>28</v>
      </c>
      <c r="M673" s="7" t="s">
        <v>46</v>
      </c>
      <c r="N673" s="26">
        <f t="shared" si="60"/>
        <v>-1</v>
      </c>
      <c r="O673" s="42">
        <f t="shared" si="61"/>
        <v>45175</v>
      </c>
      <c r="P673" s="5" t="str">
        <f t="shared" si="62"/>
        <v>Wednesday</v>
      </c>
      <c r="Q673" s="5">
        <f t="shared" si="63"/>
        <v>15</v>
      </c>
      <c r="R673" s="28">
        <f t="shared" si="64"/>
        <v>0.97674418604651159</v>
      </c>
      <c r="S673" s="29">
        <f t="shared" si="65"/>
        <v>97.674418604651152</v>
      </c>
      <c r="T673" s="5" t="str">
        <f>IF(Delivery_Data[[#This Row],[Delays (min)]]&gt;0,"No","Yes")</f>
        <v>No</v>
      </c>
    </row>
    <row r="674" spans="1:20" ht="15.75" customHeight="1" x14ac:dyDescent="0.3">
      <c r="A674" s="4">
        <v>1673</v>
      </c>
      <c r="B674" s="5" t="s">
        <v>798</v>
      </c>
      <c r="C674" s="6">
        <v>45174.352777777778</v>
      </c>
      <c r="D674" s="5" t="s">
        <v>43</v>
      </c>
      <c r="E674" s="5" t="s">
        <v>197</v>
      </c>
      <c r="F674" s="5" t="s">
        <v>24</v>
      </c>
      <c r="G674" s="5" t="s">
        <v>56</v>
      </c>
      <c r="H674" s="5">
        <v>115</v>
      </c>
      <c r="I674" s="5">
        <v>6</v>
      </c>
      <c r="J674" s="5" t="s">
        <v>26</v>
      </c>
      <c r="K674" s="5" t="s">
        <v>27</v>
      </c>
      <c r="L674" s="5" t="s">
        <v>28</v>
      </c>
      <c r="M674" s="7" t="s">
        <v>41</v>
      </c>
      <c r="N674" s="26">
        <f t="shared" si="60"/>
        <v>1</v>
      </c>
      <c r="O674" s="42">
        <f t="shared" si="61"/>
        <v>45174</v>
      </c>
      <c r="P674" s="5" t="str">
        <f t="shared" si="62"/>
        <v>Tuesday</v>
      </c>
      <c r="Q674" s="5">
        <f t="shared" si="63"/>
        <v>8</v>
      </c>
      <c r="R674" s="28">
        <f t="shared" si="64"/>
        <v>0.95041322314049592</v>
      </c>
      <c r="S674" s="29">
        <f t="shared" si="65"/>
        <v>95.041322314049594</v>
      </c>
      <c r="T674" s="5" t="str">
        <f>IF(Delivery_Data[[#This Row],[Delays (min)]]&gt;0,"No","Yes")</f>
        <v>No</v>
      </c>
    </row>
    <row r="675" spans="1:20" ht="15.75" customHeight="1" x14ac:dyDescent="0.3">
      <c r="A675" s="4">
        <v>1674</v>
      </c>
      <c r="B675" s="5" t="s">
        <v>799</v>
      </c>
      <c r="C675" s="6">
        <v>45177.370138888888</v>
      </c>
      <c r="D675" s="5" t="s">
        <v>14</v>
      </c>
      <c r="E675" s="5" t="s">
        <v>135</v>
      </c>
      <c r="F675" s="5" t="s">
        <v>38</v>
      </c>
      <c r="G675" s="5" t="s">
        <v>56</v>
      </c>
      <c r="H675" s="5">
        <v>214</v>
      </c>
      <c r="I675" s="5">
        <v>8</v>
      </c>
      <c r="J675" s="5" t="s">
        <v>18</v>
      </c>
      <c r="K675" s="5" t="s">
        <v>27</v>
      </c>
      <c r="L675" s="5" t="s">
        <v>28</v>
      </c>
      <c r="M675" s="7" t="s">
        <v>21</v>
      </c>
      <c r="N675" s="26">
        <f t="shared" si="60"/>
        <v>0</v>
      </c>
      <c r="O675" s="42">
        <f t="shared" si="61"/>
        <v>45177</v>
      </c>
      <c r="P675" s="5" t="str">
        <f t="shared" si="62"/>
        <v>Friday</v>
      </c>
      <c r="Q675" s="5">
        <f t="shared" si="63"/>
        <v>8</v>
      </c>
      <c r="R675" s="28">
        <f t="shared" si="64"/>
        <v>0.963963963963964</v>
      </c>
      <c r="S675" s="29">
        <f t="shared" si="65"/>
        <v>96.396396396396398</v>
      </c>
      <c r="T675" s="5" t="str">
        <f>IF(Delivery_Data[[#This Row],[Delays (min)]]&gt;0,"No","Yes")</f>
        <v>No</v>
      </c>
    </row>
    <row r="676" spans="1:20" ht="15.75" customHeight="1" x14ac:dyDescent="0.3">
      <c r="A676" s="4">
        <v>1675</v>
      </c>
      <c r="B676" s="5" t="s">
        <v>800</v>
      </c>
      <c r="C676" s="6">
        <v>45177.408333333333</v>
      </c>
      <c r="D676" s="5" t="s">
        <v>14</v>
      </c>
      <c r="E676" s="5" t="s">
        <v>200</v>
      </c>
      <c r="F676" s="5" t="s">
        <v>16</v>
      </c>
      <c r="G676" s="5" t="s">
        <v>39</v>
      </c>
      <c r="H676" s="5">
        <v>103</v>
      </c>
      <c r="I676" s="5">
        <v>13</v>
      </c>
      <c r="J676" s="5" t="s">
        <v>32</v>
      </c>
      <c r="K676" s="5" t="s">
        <v>27</v>
      </c>
      <c r="L676" s="5" t="s">
        <v>20</v>
      </c>
      <c r="M676" s="7" t="s">
        <v>46</v>
      </c>
      <c r="N676" s="26">
        <f t="shared" si="60"/>
        <v>-1</v>
      </c>
      <c r="O676" s="42">
        <f t="shared" si="61"/>
        <v>45177</v>
      </c>
      <c r="P676" s="5" t="str">
        <f t="shared" si="62"/>
        <v>Friday</v>
      </c>
      <c r="Q676" s="5">
        <f t="shared" si="63"/>
        <v>9</v>
      </c>
      <c r="R676" s="28">
        <f t="shared" si="64"/>
        <v>0.88793103448275867</v>
      </c>
      <c r="S676" s="29">
        <f t="shared" si="65"/>
        <v>88.793103448275872</v>
      </c>
      <c r="T676" s="5" t="str">
        <f>IF(Delivery_Data[[#This Row],[Delays (min)]]&gt;0,"No","Yes")</f>
        <v>No</v>
      </c>
    </row>
    <row r="677" spans="1:20" ht="15.75" customHeight="1" x14ac:dyDescent="0.3">
      <c r="A677" s="4">
        <v>1676</v>
      </c>
      <c r="B677" s="5" t="s">
        <v>801</v>
      </c>
      <c r="C677" s="6">
        <v>45172.495833333334</v>
      </c>
      <c r="D677" s="5" t="s">
        <v>14</v>
      </c>
      <c r="E677" s="5" t="s">
        <v>171</v>
      </c>
      <c r="F677" s="5" t="s">
        <v>24</v>
      </c>
      <c r="G677" s="5" t="s">
        <v>56</v>
      </c>
      <c r="H677" s="5">
        <v>161</v>
      </c>
      <c r="I677" s="5">
        <v>1</v>
      </c>
      <c r="J677" s="5" t="s">
        <v>26</v>
      </c>
      <c r="K677" s="5" t="s">
        <v>35</v>
      </c>
      <c r="L677" s="5" t="s">
        <v>20</v>
      </c>
      <c r="M677" s="7" t="s">
        <v>41</v>
      </c>
      <c r="N677" s="26">
        <f t="shared" si="60"/>
        <v>1</v>
      </c>
      <c r="O677" s="42">
        <f t="shared" si="61"/>
        <v>45172</v>
      </c>
      <c r="P677" s="5" t="str">
        <f t="shared" si="62"/>
        <v>Sunday</v>
      </c>
      <c r="Q677" s="5">
        <f t="shared" si="63"/>
        <v>11</v>
      </c>
      <c r="R677" s="28">
        <f t="shared" si="64"/>
        <v>0.99382716049382713</v>
      </c>
      <c r="S677" s="29">
        <f t="shared" si="65"/>
        <v>99.382716049382708</v>
      </c>
      <c r="T677" s="5" t="str">
        <f>IF(Delivery_Data[[#This Row],[Delays (min)]]&gt;0,"No","Yes")</f>
        <v>No</v>
      </c>
    </row>
    <row r="678" spans="1:20" ht="15.75" customHeight="1" x14ac:dyDescent="0.3">
      <c r="A678" s="4">
        <v>1677</v>
      </c>
      <c r="B678" s="5" t="s">
        <v>802</v>
      </c>
      <c r="C678" s="6">
        <v>45170.651388888888</v>
      </c>
      <c r="D678" s="5" t="s">
        <v>43</v>
      </c>
      <c r="E678" s="5" t="s">
        <v>249</v>
      </c>
      <c r="F678" s="5" t="s">
        <v>16</v>
      </c>
      <c r="G678" s="5" t="s">
        <v>25</v>
      </c>
      <c r="H678" s="5">
        <v>87</v>
      </c>
      <c r="I678" s="5">
        <v>16</v>
      </c>
      <c r="J678" s="5" t="s">
        <v>18</v>
      </c>
      <c r="K678" s="5" t="s">
        <v>27</v>
      </c>
      <c r="L678" s="5" t="s">
        <v>28</v>
      </c>
      <c r="M678" s="7" t="s">
        <v>21</v>
      </c>
      <c r="N678" s="26">
        <f t="shared" si="60"/>
        <v>0</v>
      </c>
      <c r="O678" s="42">
        <f t="shared" si="61"/>
        <v>45170</v>
      </c>
      <c r="P678" s="5" t="str">
        <f t="shared" si="62"/>
        <v>Friday</v>
      </c>
      <c r="Q678" s="5">
        <f t="shared" si="63"/>
        <v>15</v>
      </c>
      <c r="R678" s="28">
        <f t="shared" si="64"/>
        <v>0.84466019417475724</v>
      </c>
      <c r="S678" s="29">
        <f t="shared" si="65"/>
        <v>84.466019417475721</v>
      </c>
      <c r="T678" s="5" t="str">
        <f>IF(Delivery_Data[[#This Row],[Delays (min)]]&gt;0,"No","Yes")</f>
        <v>No</v>
      </c>
    </row>
    <row r="679" spans="1:20" ht="15.75" customHeight="1" x14ac:dyDescent="0.3">
      <c r="A679" s="4">
        <v>1678</v>
      </c>
      <c r="B679" s="5" t="s">
        <v>803</v>
      </c>
      <c r="C679" s="6">
        <v>45175.572916666664</v>
      </c>
      <c r="D679" s="5" t="s">
        <v>43</v>
      </c>
      <c r="E679" s="5" t="s">
        <v>374</v>
      </c>
      <c r="F679" s="5" t="s">
        <v>38</v>
      </c>
      <c r="G679" s="5" t="s">
        <v>56</v>
      </c>
      <c r="H679" s="5">
        <v>99</v>
      </c>
      <c r="I679" s="5">
        <v>17</v>
      </c>
      <c r="J679" s="5" t="s">
        <v>18</v>
      </c>
      <c r="K679" s="5" t="s">
        <v>49</v>
      </c>
      <c r="L679" s="5" t="s">
        <v>28</v>
      </c>
      <c r="M679" s="7" t="s">
        <v>21</v>
      </c>
      <c r="N679" s="26">
        <f t="shared" si="60"/>
        <v>0</v>
      </c>
      <c r="O679" s="42">
        <f t="shared" si="61"/>
        <v>45175</v>
      </c>
      <c r="P679" s="5" t="str">
        <f t="shared" si="62"/>
        <v>Wednesday</v>
      </c>
      <c r="Q679" s="5">
        <f t="shared" si="63"/>
        <v>13</v>
      </c>
      <c r="R679" s="28">
        <f t="shared" si="64"/>
        <v>0.85344827586206895</v>
      </c>
      <c r="S679" s="29">
        <f t="shared" si="65"/>
        <v>85.34482758620689</v>
      </c>
      <c r="T679" s="5" t="str">
        <f>IF(Delivery_Data[[#This Row],[Delays (min)]]&gt;0,"No","Yes")</f>
        <v>No</v>
      </c>
    </row>
    <row r="680" spans="1:20" ht="15.75" customHeight="1" x14ac:dyDescent="0.3">
      <c r="A680" s="4">
        <v>1679</v>
      </c>
      <c r="B680" s="5" t="s">
        <v>804</v>
      </c>
      <c r="C680" s="6">
        <v>45173.373611111114</v>
      </c>
      <c r="D680" s="5" t="s">
        <v>14</v>
      </c>
      <c r="E680" s="5" t="s">
        <v>169</v>
      </c>
      <c r="F680" s="5" t="s">
        <v>38</v>
      </c>
      <c r="G680" s="5" t="s">
        <v>39</v>
      </c>
      <c r="H680" s="5">
        <v>158</v>
      </c>
      <c r="I680" s="5">
        <v>3</v>
      </c>
      <c r="J680" s="5" t="s">
        <v>32</v>
      </c>
      <c r="K680" s="5" t="s">
        <v>49</v>
      </c>
      <c r="L680" s="5" t="s">
        <v>40</v>
      </c>
      <c r="M680" s="7" t="s">
        <v>46</v>
      </c>
      <c r="N680" s="26">
        <f t="shared" si="60"/>
        <v>-1</v>
      </c>
      <c r="O680" s="42">
        <f t="shared" si="61"/>
        <v>45173</v>
      </c>
      <c r="P680" s="5" t="str">
        <f t="shared" si="62"/>
        <v>Monday</v>
      </c>
      <c r="Q680" s="5">
        <f t="shared" si="63"/>
        <v>8</v>
      </c>
      <c r="R680" s="28">
        <f t="shared" si="64"/>
        <v>0.98136645962732916</v>
      </c>
      <c r="S680" s="29">
        <f t="shared" si="65"/>
        <v>98.136645962732914</v>
      </c>
      <c r="T680" s="5" t="str">
        <f>IF(Delivery_Data[[#This Row],[Delays (min)]]&gt;0,"No","Yes")</f>
        <v>No</v>
      </c>
    </row>
    <row r="681" spans="1:20" ht="15.75" customHeight="1" x14ac:dyDescent="0.3">
      <c r="A681" s="4">
        <v>1680</v>
      </c>
      <c r="B681" s="5" t="s">
        <v>805</v>
      </c>
      <c r="C681" s="6">
        <v>45170.377083333333</v>
      </c>
      <c r="D681" s="5" t="s">
        <v>43</v>
      </c>
      <c r="E681" s="5" t="s">
        <v>118</v>
      </c>
      <c r="F681" s="5" t="s">
        <v>24</v>
      </c>
      <c r="G681" s="5" t="s">
        <v>17</v>
      </c>
      <c r="H681" s="5">
        <v>145</v>
      </c>
      <c r="I681" s="5">
        <v>9</v>
      </c>
      <c r="J681" s="5" t="s">
        <v>18</v>
      </c>
      <c r="K681" s="5" t="s">
        <v>35</v>
      </c>
      <c r="L681" s="5" t="s">
        <v>40</v>
      </c>
      <c r="M681" s="7" t="s">
        <v>21</v>
      </c>
      <c r="N681" s="26">
        <f t="shared" si="60"/>
        <v>0</v>
      </c>
      <c r="O681" s="42">
        <f t="shared" si="61"/>
        <v>45170</v>
      </c>
      <c r="P681" s="5" t="str">
        <f t="shared" si="62"/>
        <v>Friday</v>
      </c>
      <c r="Q681" s="5">
        <f t="shared" si="63"/>
        <v>9</v>
      </c>
      <c r="R681" s="28">
        <f t="shared" si="64"/>
        <v>0.94155844155844159</v>
      </c>
      <c r="S681" s="29">
        <f t="shared" si="65"/>
        <v>94.155844155844164</v>
      </c>
      <c r="T681" s="5" t="str">
        <f>IF(Delivery_Data[[#This Row],[Delays (min)]]&gt;0,"No","Yes")</f>
        <v>No</v>
      </c>
    </row>
    <row r="682" spans="1:20" ht="15.75" customHeight="1" x14ac:dyDescent="0.3">
      <c r="A682" s="4">
        <v>1681</v>
      </c>
      <c r="B682" s="5" t="s">
        <v>806</v>
      </c>
      <c r="C682" s="6">
        <v>45173.595833333333</v>
      </c>
      <c r="D682" s="5" t="s">
        <v>14</v>
      </c>
      <c r="E682" s="5" t="s">
        <v>97</v>
      </c>
      <c r="F682" s="5" t="s">
        <v>38</v>
      </c>
      <c r="G682" s="5" t="s">
        <v>56</v>
      </c>
      <c r="H682" s="5">
        <v>134</v>
      </c>
      <c r="I682" s="5">
        <v>5</v>
      </c>
      <c r="J682" s="5" t="s">
        <v>18</v>
      </c>
      <c r="K682" s="5" t="s">
        <v>27</v>
      </c>
      <c r="L682" s="5" t="s">
        <v>28</v>
      </c>
      <c r="M682" s="7" t="s">
        <v>21</v>
      </c>
      <c r="N682" s="26">
        <f t="shared" si="60"/>
        <v>0</v>
      </c>
      <c r="O682" s="42">
        <f t="shared" si="61"/>
        <v>45173</v>
      </c>
      <c r="P682" s="5" t="str">
        <f t="shared" si="62"/>
        <v>Monday</v>
      </c>
      <c r="Q682" s="5">
        <f t="shared" si="63"/>
        <v>14</v>
      </c>
      <c r="R682" s="28">
        <f t="shared" si="64"/>
        <v>0.96402877697841727</v>
      </c>
      <c r="S682" s="29">
        <f t="shared" si="65"/>
        <v>96.402877697841731</v>
      </c>
      <c r="T682" s="5" t="str">
        <f>IF(Delivery_Data[[#This Row],[Delays (min)]]&gt;0,"No","Yes")</f>
        <v>No</v>
      </c>
    </row>
    <row r="683" spans="1:20" ht="15.75" customHeight="1" x14ac:dyDescent="0.3">
      <c r="A683" s="4">
        <v>1682</v>
      </c>
      <c r="B683" s="5" t="s">
        <v>807</v>
      </c>
      <c r="C683" s="6">
        <v>45170.53402777778</v>
      </c>
      <c r="D683" s="5" t="s">
        <v>43</v>
      </c>
      <c r="E683" s="5" t="s">
        <v>109</v>
      </c>
      <c r="F683" s="5" t="s">
        <v>38</v>
      </c>
      <c r="G683" s="5" t="s">
        <v>31</v>
      </c>
      <c r="H683" s="5">
        <v>197</v>
      </c>
      <c r="I683" s="5">
        <v>3</v>
      </c>
      <c r="J683" s="5" t="s">
        <v>32</v>
      </c>
      <c r="K683" s="5" t="s">
        <v>19</v>
      </c>
      <c r="L683" s="5" t="s">
        <v>40</v>
      </c>
      <c r="M683" s="7" t="s">
        <v>46</v>
      </c>
      <c r="N683" s="26">
        <f t="shared" si="60"/>
        <v>-1</v>
      </c>
      <c r="O683" s="42">
        <f t="shared" si="61"/>
        <v>45170</v>
      </c>
      <c r="P683" s="5" t="str">
        <f t="shared" si="62"/>
        <v>Friday</v>
      </c>
      <c r="Q683" s="5">
        <f t="shared" si="63"/>
        <v>12</v>
      </c>
      <c r="R683" s="28">
        <f t="shared" si="64"/>
        <v>0.98499999999999999</v>
      </c>
      <c r="S683" s="29">
        <f t="shared" si="65"/>
        <v>98.5</v>
      </c>
      <c r="T683" s="5" t="str">
        <f>IF(Delivery_Data[[#This Row],[Delays (min)]]&gt;0,"No","Yes")</f>
        <v>No</v>
      </c>
    </row>
    <row r="684" spans="1:20" ht="15.75" customHeight="1" x14ac:dyDescent="0.3">
      <c r="A684" s="4">
        <v>1683</v>
      </c>
      <c r="B684" s="5" t="s">
        <v>808</v>
      </c>
      <c r="C684" s="6">
        <v>45171.488888888889</v>
      </c>
      <c r="D684" s="5" t="s">
        <v>14</v>
      </c>
      <c r="E684" s="5" t="s">
        <v>120</v>
      </c>
      <c r="F684" s="5" t="s">
        <v>38</v>
      </c>
      <c r="G684" s="5" t="s">
        <v>39</v>
      </c>
      <c r="H684" s="5">
        <v>193</v>
      </c>
      <c r="I684" s="5">
        <v>26</v>
      </c>
      <c r="J684" s="5" t="s">
        <v>18</v>
      </c>
      <c r="K684" s="5" t="s">
        <v>35</v>
      </c>
      <c r="L684" s="5" t="s">
        <v>40</v>
      </c>
      <c r="M684" s="7" t="s">
        <v>41</v>
      </c>
      <c r="N684" s="26">
        <f t="shared" si="60"/>
        <v>0</v>
      </c>
      <c r="O684" s="42">
        <f t="shared" si="61"/>
        <v>45171</v>
      </c>
      <c r="P684" s="5" t="str">
        <f t="shared" si="62"/>
        <v>Saturday</v>
      </c>
      <c r="Q684" s="5">
        <f t="shared" si="63"/>
        <v>11</v>
      </c>
      <c r="R684" s="28">
        <f t="shared" si="64"/>
        <v>0.88127853881278539</v>
      </c>
      <c r="S684" s="29">
        <f t="shared" si="65"/>
        <v>88.12785388127854</v>
      </c>
      <c r="T684" s="5" t="str">
        <f>IF(Delivery_Data[[#This Row],[Delays (min)]]&gt;0,"No","Yes")</f>
        <v>No</v>
      </c>
    </row>
    <row r="685" spans="1:20" ht="15.75" customHeight="1" x14ac:dyDescent="0.3">
      <c r="A685" s="4">
        <v>1684</v>
      </c>
      <c r="B685" s="5" t="s">
        <v>809</v>
      </c>
      <c r="C685" s="6">
        <v>45175.345138888886</v>
      </c>
      <c r="D685" s="5" t="s">
        <v>14</v>
      </c>
      <c r="E685" s="5" t="s">
        <v>132</v>
      </c>
      <c r="F685" s="5" t="s">
        <v>16</v>
      </c>
      <c r="G685" s="5" t="s">
        <v>39</v>
      </c>
      <c r="H685" s="5">
        <v>82</v>
      </c>
      <c r="I685" s="5">
        <v>6</v>
      </c>
      <c r="J685" s="5" t="s">
        <v>18</v>
      </c>
      <c r="K685" s="5" t="s">
        <v>35</v>
      </c>
      <c r="L685" s="5" t="s">
        <v>20</v>
      </c>
      <c r="M685" s="7" t="s">
        <v>46</v>
      </c>
      <c r="N685" s="26">
        <f t="shared" si="60"/>
        <v>0</v>
      </c>
      <c r="O685" s="42">
        <f t="shared" si="61"/>
        <v>45175</v>
      </c>
      <c r="P685" s="5" t="str">
        <f t="shared" si="62"/>
        <v>Wednesday</v>
      </c>
      <c r="Q685" s="5">
        <f t="shared" si="63"/>
        <v>8</v>
      </c>
      <c r="R685" s="28">
        <f t="shared" si="64"/>
        <v>0.93181818181818177</v>
      </c>
      <c r="S685" s="29">
        <f t="shared" si="65"/>
        <v>93.181818181818173</v>
      </c>
      <c r="T685" s="5" t="str">
        <f>IF(Delivery_Data[[#This Row],[Delays (min)]]&gt;0,"No","Yes")</f>
        <v>No</v>
      </c>
    </row>
    <row r="686" spans="1:20" ht="15.75" customHeight="1" x14ac:dyDescent="0.3">
      <c r="A686" s="4">
        <v>1685</v>
      </c>
      <c r="B686" s="5" t="s">
        <v>810</v>
      </c>
      <c r="C686" s="6">
        <v>45173.418055555558</v>
      </c>
      <c r="D686" s="5" t="s">
        <v>43</v>
      </c>
      <c r="E686" s="5" t="s">
        <v>76</v>
      </c>
      <c r="F686" s="5" t="s">
        <v>16</v>
      </c>
      <c r="G686" s="5" t="s">
        <v>39</v>
      </c>
      <c r="H686" s="5">
        <v>228</v>
      </c>
      <c r="I686" s="5">
        <v>20</v>
      </c>
      <c r="J686" s="5" t="s">
        <v>18</v>
      </c>
      <c r="K686" s="5" t="s">
        <v>35</v>
      </c>
      <c r="L686" s="5" t="s">
        <v>28</v>
      </c>
      <c r="M686" s="7" t="s">
        <v>41</v>
      </c>
      <c r="N686" s="26">
        <f t="shared" si="60"/>
        <v>0</v>
      </c>
      <c r="O686" s="42">
        <f t="shared" si="61"/>
        <v>45173</v>
      </c>
      <c r="P686" s="5" t="str">
        <f t="shared" si="62"/>
        <v>Monday</v>
      </c>
      <c r="Q686" s="5">
        <f t="shared" si="63"/>
        <v>10</v>
      </c>
      <c r="R686" s="28">
        <f t="shared" si="64"/>
        <v>0.91935483870967738</v>
      </c>
      <c r="S686" s="29">
        <f t="shared" si="65"/>
        <v>91.935483870967744</v>
      </c>
      <c r="T686" s="5" t="str">
        <f>IF(Delivery_Data[[#This Row],[Delays (min)]]&gt;0,"No","Yes")</f>
        <v>No</v>
      </c>
    </row>
    <row r="687" spans="1:20" ht="15.75" customHeight="1" x14ac:dyDescent="0.3">
      <c r="A687" s="4">
        <v>1686</v>
      </c>
      <c r="B687" s="5" t="s">
        <v>811</v>
      </c>
      <c r="C687" s="6">
        <v>45174.584722222222</v>
      </c>
      <c r="D687" s="5" t="s">
        <v>14</v>
      </c>
      <c r="E687" s="5" t="s">
        <v>441</v>
      </c>
      <c r="F687" s="5" t="s">
        <v>16</v>
      </c>
      <c r="G687" s="5" t="s">
        <v>25</v>
      </c>
      <c r="H687" s="5">
        <v>206</v>
      </c>
      <c r="I687" s="5">
        <v>3</v>
      </c>
      <c r="J687" s="5" t="s">
        <v>18</v>
      </c>
      <c r="K687" s="5" t="s">
        <v>35</v>
      </c>
      <c r="L687" s="5" t="s">
        <v>20</v>
      </c>
      <c r="M687" s="7" t="s">
        <v>21</v>
      </c>
      <c r="N687" s="26">
        <f t="shared" si="60"/>
        <v>0</v>
      </c>
      <c r="O687" s="42">
        <f t="shared" si="61"/>
        <v>45174</v>
      </c>
      <c r="P687" s="5" t="str">
        <f t="shared" si="62"/>
        <v>Tuesday</v>
      </c>
      <c r="Q687" s="5">
        <f t="shared" si="63"/>
        <v>14</v>
      </c>
      <c r="R687" s="28">
        <f t="shared" si="64"/>
        <v>0.9856459330143541</v>
      </c>
      <c r="S687" s="29">
        <f t="shared" si="65"/>
        <v>98.564593301435409</v>
      </c>
      <c r="T687" s="5" t="str">
        <f>IF(Delivery_Data[[#This Row],[Delays (min)]]&gt;0,"No","Yes")</f>
        <v>No</v>
      </c>
    </row>
    <row r="688" spans="1:20" ht="15.75" customHeight="1" x14ac:dyDescent="0.3">
      <c r="A688" s="4">
        <v>1687</v>
      </c>
      <c r="B688" s="5" t="s">
        <v>812</v>
      </c>
      <c r="C688" s="6">
        <v>45174.37777777778</v>
      </c>
      <c r="D688" s="5" t="s">
        <v>43</v>
      </c>
      <c r="E688" s="5" t="s">
        <v>99</v>
      </c>
      <c r="F688" s="5" t="s">
        <v>24</v>
      </c>
      <c r="G688" s="5" t="s">
        <v>31</v>
      </c>
      <c r="H688" s="5">
        <v>100</v>
      </c>
      <c r="I688" s="5">
        <v>28</v>
      </c>
      <c r="J688" s="5" t="s">
        <v>18</v>
      </c>
      <c r="K688" s="5" t="s">
        <v>27</v>
      </c>
      <c r="L688" s="5" t="s">
        <v>28</v>
      </c>
      <c r="M688" s="7" t="s">
        <v>21</v>
      </c>
      <c r="N688" s="26">
        <f t="shared" si="60"/>
        <v>0</v>
      </c>
      <c r="O688" s="42">
        <f t="shared" si="61"/>
        <v>45174</v>
      </c>
      <c r="P688" s="5" t="str">
        <f t="shared" si="62"/>
        <v>Tuesday</v>
      </c>
      <c r="Q688" s="5">
        <f t="shared" si="63"/>
        <v>9</v>
      </c>
      <c r="R688" s="28">
        <f t="shared" si="64"/>
        <v>0.78125</v>
      </c>
      <c r="S688" s="29">
        <f t="shared" si="65"/>
        <v>78.125</v>
      </c>
      <c r="T688" s="5" t="str">
        <f>IF(Delivery_Data[[#This Row],[Delays (min)]]&gt;0,"No","Yes")</f>
        <v>No</v>
      </c>
    </row>
    <row r="689" spans="1:20" ht="15.75" customHeight="1" x14ac:dyDescent="0.3">
      <c r="A689" s="4">
        <v>1688</v>
      </c>
      <c r="B689" s="5" t="s">
        <v>813</v>
      </c>
      <c r="C689" s="6">
        <v>45175.384722222225</v>
      </c>
      <c r="D689" s="5" t="s">
        <v>43</v>
      </c>
      <c r="E689" s="5" t="s">
        <v>95</v>
      </c>
      <c r="F689" s="5" t="s">
        <v>24</v>
      </c>
      <c r="G689" s="5" t="s">
        <v>56</v>
      </c>
      <c r="H689" s="5">
        <v>202</v>
      </c>
      <c r="I689" s="5">
        <v>14</v>
      </c>
      <c r="J689" s="5" t="s">
        <v>26</v>
      </c>
      <c r="K689" s="5" t="s">
        <v>49</v>
      </c>
      <c r="L689" s="5" t="s">
        <v>40</v>
      </c>
      <c r="M689" s="7" t="s">
        <v>21</v>
      </c>
      <c r="N689" s="26">
        <f t="shared" si="60"/>
        <v>1</v>
      </c>
      <c r="O689" s="42">
        <f t="shared" si="61"/>
        <v>45175</v>
      </c>
      <c r="P689" s="5" t="str">
        <f t="shared" si="62"/>
        <v>Wednesday</v>
      </c>
      <c r="Q689" s="5">
        <f t="shared" si="63"/>
        <v>9</v>
      </c>
      <c r="R689" s="28">
        <f t="shared" si="64"/>
        <v>0.93518518518518523</v>
      </c>
      <c r="S689" s="29">
        <f t="shared" si="65"/>
        <v>93.518518518518519</v>
      </c>
      <c r="T689" s="5" t="str">
        <f>IF(Delivery_Data[[#This Row],[Delays (min)]]&gt;0,"No","Yes")</f>
        <v>No</v>
      </c>
    </row>
    <row r="690" spans="1:20" ht="15.75" customHeight="1" x14ac:dyDescent="0.3">
      <c r="A690" s="4">
        <v>1689</v>
      </c>
      <c r="B690" s="5" t="s">
        <v>814</v>
      </c>
      <c r="C690" s="6">
        <v>45175.44027777778</v>
      </c>
      <c r="D690" s="5" t="s">
        <v>14</v>
      </c>
      <c r="E690" s="5" t="s">
        <v>200</v>
      </c>
      <c r="F690" s="5" t="s">
        <v>24</v>
      </c>
      <c r="G690" s="5" t="s">
        <v>56</v>
      </c>
      <c r="H690" s="5">
        <v>157</v>
      </c>
      <c r="I690" s="5">
        <v>26</v>
      </c>
      <c r="J690" s="5" t="s">
        <v>26</v>
      </c>
      <c r="K690" s="5" t="s">
        <v>49</v>
      </c>
      <c r="L690" s="5" t="s">
        <v>40</v>
      </c>
      <c r="M690" s="7" t="s">
        <v>41</v>
      </c>
      <c r="N690" s="26">
        <f t="shared" si="60"/>
        <v>1</v>
      </c>
      <c r="O690" s="42">
        <f t="shared" si="61"/>
        <v>45175</v>
      </c>
      <c r="P690" s="5" t="str">
        <f t="shared" si="62"/>
        <v>Wednesday</v>
      </c>
      <c r="Q690" s="5">
        <f t="shared" si="63"/>
        <v>10</v>
      </c>
      <c r="R690" s="28">
        <f t="shared" si="64"/>
        <v>0.85792349726775952</v>
      </c>
      <c r="S690" s="29">
        <f t="shared" si="65"/>
        <v>85.792349726775953</v>
      </c>
      <c r="T690" s="5" t="str">
        <f>IF(Delivery_Data[[#This Row],[Delays (min)]]&gt;0,"No","Yes")</f>
        <v>No</v>
      </c>
    </row>
    <row r="691" spans="1:20" ht="15.75" customHeight="1" x14ac:dyDescent="0.3">
      <c r="A691" s="4">
        <v>1690</v>
      </c>
      <c r="B691" s="5" t="s">
        <v>815</v>
      </c>
      <c r="C691" s="6">
        <v>45173.574999999997</v>
      </c>
      <c r="D691" s="5" t="s">
        <v>14</v>
      </c>
      <c r="E691" s="5" t="s">
        <v>215</v>
      </c>
      <c r="F691" s="5" t="s">
        <v>16</v>
      </c>
      <c r="G691" s="5" t="s">
        <v>39</v>
      </c>
      <c r="H691" s="5">
        <v>90</v>
      </c>
      <c r="I691" s="5">
        <v>4</v>
      </c>
      <c r="J691" s="5" t="s">
        <v>32</v>
      </c>
      <c r="K691" s="5" t="s">
        <v>45</v>
      </c>
      <c r="L691" s="5" t="s">
        <v>20</v>
      </c>
      <c r="M691" s="7" t="s">
        <v>46</v>
      </c>
      <c r="N691" s="26">
        <f t="shared" si="60"/>
        <v>-1</v>
      </c>
      <c r="O691" s="42">
        <f t="shared" si="61"/>
        <v>45173</v>
      </c>
      <c r="P691" s="5" t="str">
        <f t="shared" si="62"/>
        <v>Monday</v>
      </c>
      <c r="Q691" s="5">
        <f t="shared" si="63"/>
        <v>13</v>
      </c>
      <c r="R691" s="28">
        <f t="shared" si="64"/>
        <v>0.95744680851063835</v>
      </c>
      <c r="S691" s="29">
        <f t="shared" si="65"/>
        <v>95.744680851063833</v>
      </c>
      <c r="T691" s="5" t="str">
        <f>IF(Delivery_Data[[#This Row],[Delays (min)]]&gt;0,"No","Yes")</f>
        <v>No</v>
      </c>
    </row>
    <row r="692" spans="1:20" ht="15.75" customHeight="1" x14ac:dyDescent="0.3">
      <c r="A692" s="4">
        <v>1691</v>
      </c>
      <c r="B692" s="5" t="s">
        <v>816</v>
      </c>
      <c r="C692" s="6">
        <v>45175.571527777778</v>
      </c>
      <c r="D692" s="5" t="s">
        <v>14</v>
      </c>
      <c r="E692" s="5" t="s">
        <v>202</v>
      </c>
      <c r="F692" s="5" t="s">
        <v>24</v>
      </c>
      <c r="G692" s="5" t="s">
        <v>39</v>
      </c>
      <c r="H692" s="5">
        <v>195</v>
      </c>
      <c r="I692" s="5">
        <v>10</v>
      </c>
      <c r="J692" s="5" t="s">
        <v>32</v>
      </c>
      <c r="K692" s="5" t="s">
        <v>27</v>
      </c>
      <c r="L692" s="5" t="s">
        <v>40</v>
      </c>
      <c r="M692" s="7" t="s">
        <v>21</v>
      </c>
      <c r="N692" s="26">
        <f t="shared" si="60"/>
        <v>-1</v>
      </c>
      <c r="O692" s="42">
        <f t="shared" si="61"/>
        <v>45175</v>
      </c>
      <c r="P692" s="5" t="str">
        <f t="shared" si="62"/>
        <v>Wednesday</v>
      </c>
      <c r="Q692" s="5">
        <f t="shared" si="63"/>
        <v>13</v>
      </c>
      <c r="R692" s="28">
        <f t="shared" si="64"/>
        <v>0.95121951219512191</v>
      </c>
      <c r="S692" s="29">
        <f t="shared" si="65"/>
        <v>95.121951219512198</v>
      </c>
      <c r="T692" s="5" t="str">
        <f>IF(Delivery_Data[[#This Row],[Delays (min)]]&gt;0,"No","Yes")</f>
        <v>No</v>
      </c>
    </row>
    <row r="693" spans="1:20" ht="15.75" customHeight="1" x14ac:dyDescent="0.3">
      <c r="A693" s="4">
        <v>1692</v>
      </c>
      <c r="B693" s="5" t="s">
        <v>817</v>
      </c>
      <c r="C693" s="6">
        <v>45175.418055555558</v>
      </c>
      <c r="D693" s="5" t="s">
        <v>43</v>
      </c>
      <c r="E693" s="5" t="s">
        <v>55</v>
      </c>
      <c r="F693" s="5" t="s">
        <v>24</v>
      </c>
      <c r="G693" s="5" t="s">
        <v>31</v>
      </c>
      <c r="H693" s="5">
        <v>114</v>
      </c>
      <c r="I693" s="5">
        <v>14</v>
      </c>
      <c r="J693" s="5" t="s">
        <v>18</v>
      </c>
      <c r="K693" s="5" t="s">
        <v>19</v>
      </c>
      <c r="L693" s="5" t="s">
        <v>40</v>
      </c>
      <c r="M693" s="7" t="s">
        <v>46</v>
      </c>
      <c r="N693" s="26">
        <f t="shared" si="60"/>
        <v>0</v>
      </c>
      <c r="O693" s="42">
        <f t="shared" si="61"/>
        <v>45175</v>
      </c>
      <c r="P693" s="5" t="str">
        <f t="shared" si="62"/>
        <v>Wednesday</v>
      </c>
      <c r="Q693" s="5">
        <f t="shared" si="63"/>
        <v>10</v>
      </c>
      <c r="R693" s="28">
        <f t="shared" si="64"/>
        <v>0.890625</v>
      </c>
      <c r="S693" s="29">
        <f t="shared" si="65"/>
        <v>89.0625</v>
      </c>
      <c r="T693" s="5" t="str">
        <f>IF(Delivery_Data[[#This Row],[Delays (min)]]&gt;0,"No","Yes")</f>
        <v>No</v>
      </c>
    </row>
    <row r="694" spans="1:20" ht="15.75" customHeight="1" x14ac:dyDescent="0.3">
      <c r="A694" s="4">
        <v>1693</v>
      </c>
      <c r="B694" s="5" t="s">
        <v>818</v>
      </c>
      <c r="C694" s="6">
        <v>45170.586111111108</v>
      </c>
      <c r="D694" s="5" t="s">
        <v>43</v>
      </c>
      <c r="E694" s="5" t="s">
        <v>55</v>
      </c>
      <c r="F694" s="5" t="s">
        <v>16</v>
      </c>
      <c r="G694" s="5" t="s">
        <v>39</v>
      </c>
      <c r="H694" s="5">
        <v>199</v>
      </c>
      <c r="I694" s="5">
        <v>21</v>
      </c>
      <c r="J694" s="5" t="s">
        <v>26</v>
      </c>
      <c r="K694" s="5" t="s">
        <v>35</v>
      </c>
      <c r="L694" s="5" t="s">
        <v>40</v>
      </c>
      <c r="M694" s="7" t="s">
        <v>21</v>
      </c>
      <c r="N694" s="26">
        <f t="shared" si="60"/>
        <v>1</v>
      </c>
      <c r="O694" s="42">
        <f t="shared" si="61"/>
        <v>45170</v>
      </c>
      <c r="P694" s="5" t="str">
        <f t="shared" si="62"/>
        <v>Friday</v>
      </c>
      <c r="Q694" s="5">
        <f t="shared" si="63"/>
        <v>14</v>
      </c>
      <c r="R694" s="28">
        <f t="shared" si="64"/>
        <v>0.90454545454545454</v>
      </c>
      <c r="S694" s="29">
        <f t="shared" si="65"/>
        <v>90.454545454545453</v>
      </c>
      <c r="T694" s="5" t="str">
        <f>IF(Delivery_Data[[#This Row],[Delays (min)]]&gt;0,"No","Yes")</f>
        <v>No</v>
      </c>
    </row>
    <row r="695" spans="1:20" ht="15.75" customHeight="1" x14ac:dyDescent="0.3">
      <c r="A695" s="4">
        <v>1694</v>
      </c>
      <c r="B695" s="5" t="s">
        <v>819</v>
      </c>
      <c r="C695" s="6">
        <v>45177.351388888892</v>
      </c>
      <c r="D695" s="5" t="s">
        <v>43</v>
      </c>
      <c r="E695" s="5" t="s">
        <v>23</v>
      </c>
      <c r="F695" s="5" t="s">
        <v>16</v>
      </c>
      <c r="G695" s="5" t="s">
        <v>56</v>
      </c>
      <c r="H695" s="5">
        <v>173</v>
      </c>
      <c r="I695" s="5">
        <v>15</v>
      </c>
      <c r="J695" s="5" t="s">
        <v>18</v>
      </c>
      <c r="K695" s="5" t="s">
        <v>27</v>
      </c>
      <c r="L695" s="5" t="s">
        <v>40</v>
      </c>
      <c r="M695" s="7" t="s">
        <v>41</v>
      </c>
      <c r="N695" s="26">
        <f t="shared" si="60"/>
        <v>0</v>
      </c>
      <c r="O695" s="42">
        <f t="shared" si="61"/>
        <v>45177</v>
      </c>
      <c r="P695" s="5" t="str">
        <f t="shared" si="62"/>
        <v>Friday</v>
      </c>
      <c r="Q695" s="5">
        <f t="shared" si="63"/>
        <v>8</v>
      </c>
      <c r="R695" s="28">
        <f t="shared" si="64"/>
        <v>0.92021276595744683</v>
      </c>
      <c r="S695" s="29">
        <f t="shared" si="65"/>
        <v>92.021276595744681</v>
      </c>
      <c r="T695" s="5" t="str">
        <f>IF(Delivery_Data[[#This Row],[Delays (min)]]&gt;0,"No","Yes")</f>
        <v>No</v>
      </c>
    </row>
    <row r="696" spans="1:20" ht="15.75" customHeight="1" x14ac:dyDescent="0.3">
      <c r="A696" s="4">
        <v>1695</v>
      </c>
      <c r="B696" s="5" t="s">
        <v>820</v>
      </c>
      <c r="C696" s="6">
        <v>45170.361805555556</v>
      </c>
      <c r="D696" s="5" t="s">
        <v>43</v>
      </c>
      <c r="E696" s="5" t="s">
        <v>281</v>
      </c>
      <c r="F696" s="5" t="s">
        <v>16</v>
      </c>
      <c r="G696" s="5" t="s">
        <v>17</v>
      </c>
      <c r="H696" s="5">
        <v>208</v>
      </c>
      <c r="I696" s="5">
        <v>29</v>
      </c>
      <c r="J696" s="5" t="s">
        <v>26</v>
      </c>
      <c r="K696" s="5" t="s">
        <v>49</v>
      </c>
      <c r="L696" s="5" t="s">
        <v>20</v>
      </c>
      <c r="M696" s="7" t="s">
        <v>46</v>
      </c>
      <c r="N696" s="26">
        <f t="shared" si="60"/>
        <v>1</v>
      </c>
      <c r="O696" s="42">
        <f t="shared" si="61"/>
        <v>45170</v>
      </c>
      <c r="P696" s="5" t="str">
        <f t="shared" si="62"/>
        <v>Friday</v>
      </c>
      <c r="Q696" s="5">
        <f t="shared" si="63"/>
        <v>8</v>
      </c>
      <c r="R696" s="28">
        <f t="shared" si="64"/>
        <v>0.87763713080168781</v>
      </c>
      <c r="S696" s="29">
        <f t="shared" si="65"/>
        <v>87.763713080168785</v>
      </c>
      <c r="T696" s="5" t="str">
        <f>IF(Delivery_Data[[#This Row],[Delays (min)]]&gt;0,"No","Yes")</f>
        <v>No</v>
      </c>
    </row>
    <row r="697" spans="1:20" ht="15.75" customHeight="1" x14ac:dyDescent="0.3">
      <c r="A697" s="4">
        <v>1696</v>
      </c>
      <c r="B697" s="5" t="s">
        <v>821</v>
      </c>
      <c r="C697" s="6">
        <v>45176.60833333333</v>
      </c>
      <c r="D697" s="5" t="s">
        <v>43</v>
      </c>
      <c r="E697" s="5" t="s">
        <v>95</v>
      </c>
      <c r="F697" s="5" t="s">
        <v>38</v>
      </c>
      <c r="G697" s="5" t="s">
        <v>31</v>
      </c>
      <c r="H697" s="5">
        <v>125</v>
      </c>
      <c r="I697" s="5">
        <v>29</v>
      </c>
      <c r="J697" s="5" t="s">
        <v>32</v>
      </c>
      <c r="K697" s="5" t="s">
        <v>49</v>
      </c>
      <c r="L697" s="5" t="s">
        <v>40</v>
      </c>
      <c r="M697" s="7" t="s">
        <v>21</v>
      </c>
      <c r="N697" s="26">
        <f t="shared" si="60"/>
        <v>-1</v>
      </c>
      <c r="O697" s="42">
        <f t="shared" si="61"/>
        <v>45176</v>
      </c>
      <c r="P697" s="5" t="str">
        <f t="shared" si="62"/>
        <v>Thursday</v>
      </c>
      <c r="Q697" s="5">
        <f t="shared" si="63"/>
        <v>14</v>
      </c>
      <c r="R697" s="28">
        <f t="shared" si="64"/>
        <v>0.81168831168831168</v>
      </c>
      <c r="S697" s="29">
        <f t="shared" si="65"/>
        <v>81.168831168831161</v>
      </c>
      <c r="T697" s="5" t="str">
        <f>IF(Delivery_Data[[#This Row],[Delays (min)]]&gt;0,"No","Yes")</f>
        <v>No</v>
      </c>
    </row>
    <row r="698" spans="1:20" ht="15.75" customHeight="1" x14ac:dyDescent="0.3">
      <c r="A698" s="4">
        <v>1697</v>
      </c>
      <c r="B698" s="5" t="s">
        <v>822</v>
      </c>
      <c r="C698" s="6">
        <v>45171.668749999997</v>
      </c>
      <c r="D698" s="5" t="s">
        <v>14</v>
      </c>
      <c r="E698" s="5" t="s">
        <v>53</v>
      </c>
      <c r="F698" s="5" t="s">
        <v>38</v>
      </c>
      <c r="G698" s="5" t="s">
        <v>17</v>
      </c>
      <c r="H698" s="5">
        <v>136</v>
      </c>
      <c r="I698" s="5">
        <v>21</v>
      </c>
      <c r="J698" s="5" t="s">
        <v>32</v>
      </c>
      <c r="K698" s="5" t="s">
        <v>45</v>
      </c>
      <c r="L698" s="5" t="s">
        <v>20</v>
      </c>
      <c r="M698" s="7" t="s">
        <v>41</v>
      </c>
      <c r="N698" s="26">
        <f t="shared" si="60"/>
        <v>-1</v>
      </c>
      <c r="O698" s="42">
        <f t="shared" si="61"/>
        <v>45171</v>
      </c>
      <c r="P698" s="5" t="str">
        <f t="shared" si="62"/>
        <v>Saturday</v>
      </c>
      <c r="Q698" s="5">
        <f t="shared" si="63"/>
        <v>16</v>
      </c>
      <c r="R698" s="28">
        <f t="shared" si="64"/>
        <v>0.86624203821656054</v>
      </c>
      <c r="S698" s="29">
        <f t="shared" si="65"/>
        <v>86.624203821656053</v>
      </c>
      <c r="T698" s="5" t="str">
        <f>IF(Delivery_Data[[#This Row],[Delays (min)]]&gt;0,"No","Yes")</f>
        <v>No</v>
      </c>
    </row>
    <row r="699" spans="1:20" ht="15.75" customHeight="1" x14ac:dyDescent="0.3">
      <c r="A699" s="4">
        <v>1698</v>
      </c>
      <c r="B699" s="5" t="s">
        <v>823</v>
      </c>
      <c r="C699" s="6">
        <v>45177.683333333334</v>
      </c>
      <c r="D699" s="5" t="s">
        <v>43</v>
      </c>
      <c r="E699" s="5" t="s">
        <v>171</v>
      </c>
      <c r="F699" s="5" t="s">
        <v>16</v>
      </c>
      <c r="G699" s="5" t="s">
        <v>39</v>
      </c>
      <c r="H699" s="5">
        <v>86</v>
      </c>
      <c r="I699" s="5">
        <v>0</v>
      </c>
      <c r="J699" s="5" t="s">
        <v>32</v>
      </c>
      <c r="K699" s="5" t="s">
        <v>45</v>
      </c>
      <c r="L699" s="5" t="s">
        <v>40</v>
      </c>
      <c r="M699" s="7" t="s">
        <v>41</v>
      </c>
      <c r="N699" s="26">
        <f t="shared" si="60"/>
        <v>-1</v>
      </c>
      <c r="O699" s="42">
        <f t="shared" si="61"/>
        <v>45177</v>
      </c>
      <c r="P699" s="5" t="str">
        <f t="shared" si="62"/>
        <v>Friday</v>
      </c>
      <c r="Q699" s="5">
        <f t="shared" si="63"/>
        <v>16</v>
      </c>
      <c r="R699" s="28">
        <f t="shared" si="64"/>
        <v>1</v>
      </c>
      <c r="S699" s="29">
        <f t="shared" si="65"/>
        <v>100</v>
      </c>
      <c r="T699" s="5" t="str">
        <f>IF(Delivery_Data[[#This Row],[Delays (min)]]&gt;0,"No","Yes")</f>
        <v>Yes</v>
      </c>
    </row>
    <row r="700" spans="1:20" ht="15.75" customHeight="1" x14ac:dyDescent="0.3">
      <c r="A700" s="4">
        <v>1699</v>
      </c>
      <c r="B700" s="5" t="s">
        <v>824</v>
      </c>
      <c r="C700" s="6">
        <v>45170.636111111111</v>
      </c>
      <c r="D700" s="5" t="s">
        <v>14</v>
      </c>
      <c r="E700" s="5" t="s">
        <v>187</v>
      </c>
      <c r="F700" s="5" t="s">
        <v>38</v>
      </c>
      <c r="G700" s="5" t="s">
        <v>31</v>
      </c>
      <c r="H700" s="5">
        <v>230</v>
      </c>
      <c r="I700" s="5">
        <v>24</v>
      </c>
      <c r="J700" s="5" t="s">
        <v>32</v>
      </c>
      <c r="K700" s="5" t="s">
        <v>45</v>
      </c>
      <c r="L700" s="5" t="s">
        <v>20</v>
      </c>
      <c r="M700" s="7" t="s">
        <v>46</v>
      </c>
      <c r="N700" s="26">
        <f t="shared" si="60"/>
        <v>-1</v>
      </c>
      <c r="O700" s="42">
        <f t="shared" si="61"/>
        <v>45170</v>
      </c>
      <c r="P700" s="5" t="str">
        <f t="shared" si="62"/>
        <v>Friday</v>
      </c>
      <c r="Q700" s="5">
        <f t="shared" si="63"/>
        <v>15</v>
      </c>
      <c r="R700" s="28">
        <f t="shared" si="64"/>
        <v>0.90551181102362199</v>
      </c>
      <c r="S700" s="29">
        <f t="shared" si="65"/>
        <v>90.551181102362193</v>
      </c>
      <c r="T700" s="5" t="str">
        <f>IF(Delivery_Data[[#This Row],[Delays (min)]]&gt;0,"No","Yes")</f>
        <v>No</v>
      </c>
    </row>
    <row r="701" spans="1:20" ht="15.75" customHeight="1" x14ac:dyDescent="0.3">
      <c r="A701" s="4">
        <v>1700</v>
      </c>
      <c r="B701" s="5" t="s">
        <v>825</v>
      </c>
      <c r="C701" s="6">
        <v>45174.479166666664</v>
      </c>
      <c r="D701" s="5" t="s">
        <v>14</v>
      </c>
      <c r="E701" s="5" t="s">
        <v>37</v>
      </c>
      <c r="F701" s="5" t="s">
        <v>16</v>
      </c>
      <c r="G701" s="5" t="s">
        <v>17</v>
      </c>
      <c r="H701" s="5">
        <v>225</v>
      </c>
      <c r="I701" s="5">
        <v>12</v>
      </c>
      <c r="J701" s="5" t="s">
        <v>32</v>
      </c>
      <c r="K701" s="5" t="s">
        <v>45</v>
      </c>
      <c r="L701" s="5" t="s">
        <v>40</v>
      </c>
      <c r="M701" s="7" t="s">
        <v>21</v>
      </c>
      <c r="N701" s="26">
        <f t="shared" si="60"/>
        <v>-1</v>
      </c>
      <c r="O701" s="42">
        <f t="shared" si="61"/>
        <v>45174</v>
      </c>
      <c r="P701" s="5" t="str">
        <f t="shared" si="62"/>
        <v>Tuesday</v>
      </c>
      <c r="Q701" s="5">
        <f t="shared" si="63"/>
        <v>11</v>
      </c>
      <c r="R701" s="28">
        <f t="shared" si="64"/>
        <v>0.94936708860759489</v>
      </c>
      <c r="S701" s="29">
        <f t="shared" si="65"/>
        <v>94.936708860759495</v>
      </c>
      <c r="T701" s="5" t="str">
        <f>IF(Delivery_Data[[#This Row],[Delays (min)]]&gt;0,"No","Yes")</f>
        <v>No</v>
      </c>
    </row>
    <row r="702" spans="1:20" ht="15.75" customHeight="1" x14ac:dyDescent="0.3">
      <c r="A702" s="4">
        <v>1701</v>
      </c>
      <c r="B702" s="5" t="s">
        <v>826</v>
      </c>
      <c r="C702" s="6">
        <v>45173.447916666664</v>
      </c>
      <c r="D702" s="5" t="s">
        <v>43</v>
      </c>
      <c r="E702" s="5" t="s">
        <v>73</v>
      </c>
      <c r="F702" s="5" t="s">
        <v>38</v>
      </c>
      <c r="G702" s="5" t="s">
        <v>25</v>
      </c>
      <c r="H702" s="5">
        <v>201</v>
      </c>
      <c r="I702" s="5">
        <v>3</v>
      </c>
      <c r="J702" s="5" t="s">
        <v>18</v>
      </c>
      <c r="K702" s="5" t="s">
        <v>49</v>
      </c>
      <c r="L702" s="5" t="s">
        <v>20</v>
      </c>
      <c r="M702" s="7" t="s">
        <v>46</v>
      </c>
      <c r="N702" s="26">
        <f t="shared" si="60"/>
        <v>0</v>
      </c>
      <c r="O702" s="42">
        <f t="shared" si="61"/>
        <v>45173</v>
      </c>
      <c r="P702" s="5" t="str">
        <f t="shared" si="62"/>
        <v>Monday</v>
      </c>
      <c r="Q702" s="5">
        <f t="shared" si="63"/>
        <v>10</v>
      </c>
      <c r="R702" s="28">
        <f t="shared" si="64"/>
        <v>0.98529411764705888</v>
      </c>
      <c r="S702" s="29">
        <f t="shared" si="65"/>
        <v>98.529411764705884</v>
      </c>
      <c r="T702" s="5" t="str">
        <f>IF(Delivery_Data[[#This Row],[Delays (min)]]&gt;0,"No","Yes")</f>
        <v>No</v>
      </c>
    </row>
    <row r="703" spans="1:20" ht="15.75" customHeight="1" x14ac:dyDescent="0.3">
      <c r="A703" s="4">
        <v>1702</v>
      </c>
      <c r="B703" s="5" t="s">
        <v>827</v>
      </c>
      <c r="C703" s="6">
        <v>45174.48333333333</v>
      </c>
      <c r="D703" s="5" t="s">
        <v>14</v>
      </c>
      <c r="E703" s="5" t="s">
        <v>277</v>
      </c>
      <c r="F703" s="5" t="s">
        <v>16</v>
      </c>
      <c r="G703" s="5" t="s">
        <v>56</v>
      </c>
      <c r="H703" s="5">
        <v>69</v>
      </c>
      <c r="I703" s="5">
        <v>2</v>
      </c>
      <c r="J703" s="5" t="s">
        <v>26</v>
      </c>
      <c r="K703" s="5" t="s">
        <v>35</v>
      </c>
      <c r="L703" s="5" t="s">
        <v>28</v>
      </c>
      <c r="M703" s="7" t="s">
        <v>46</v>
      </c>
      <c r="N703" s="26">
        <f t="shared" si="60"/>
        <v>1</v>
      </c>
      <c r="O703" s="42">
        <f t="shared" si="61"/>
        <v>45174</v>
      </c>
      <c r="P703" s="5" t="str">
        <f t="shared" si="62"/>
        <v>Tuesday</v>
      </c>
      <c r="Q703" s="5">
        <f t="shared" si="63"/>
        <v>11</v>
      </c>
      <c r="R703" s="28">
        <f t="shared" si="64"/>
        <v>0.971830985915493</v>
      </c>
      <c r="S703" s="29">
        <f t="shared" si="65"/>
        <v>97.183098591549296</v>
      </c>
      <c r="T703" s="5" t="str">
        <f>IF(Delivery_Data[[#This Row],[Delays (min)]]&gt;0,"No","Yes")</f>
        <v>No</v>
      </c>
    </row>
    <row r="704" spans="1:20" ht="15.75" customHeight="1" x14ac:dyDescent="0.3">
      <c r="A704" s="4">
        <v>1703</v>
      </c>
      <c r="B704" s="5" t="s">
        <v>828</v>
      </c>
      <c r="C704" s="6">
        <v>45175.525694444441</v>
      </c>
      <c r="D704" s="5" t="s">
        <v>43</v>
      </c>
      <c r="E704" s="5" t="s">
        <v>160</v>
      </c>
      <c r="F704" s="5" t="s">
        <v>24</v>
      </c>
      <c r="G704" s="5" t="s">
        <v>39</v>
      </c>
      <c r="H704" s="5">
        <v>90</v>
      </c>
      <c r="I704" s="5">
        <v>13</v>
      </c>
      <c r="J704" s="5" t="s">
        <v>32</v>
      </c>
      <c r="K704" s="5" t="s">
        <v>45</v>
      </c>
      <c r="L704" s="5" t="s">
        <v>28</v>
      </c>
      <c r="M704" s="7" t="s">
        <v>41</v>
      </c>
      <c r="N704" s="26">
        <f t="shared" si="60"/>
        <v>-1</v>
      </c>
      <c r="O704" s="42">
        <f t="shared" si="61"/>
        <v>45175</v>
      </c>
      <c r="P704" s="5" t="str">
        <f t="shared" si="62"/>
        <v>Wednesday</v>
      </c>
      <c r="Q704" s="5">
        <f t="shared" si="63"/>
        <v>12</v>
      </c>
      <c r="R704" s="28">
        <f t="shared" si="64"/>
        <v>0.87378640776699024</v>
      </c>
      <c r="S704" s="29">
        <f t="shared" si="65"/>
        <v>87.378640776699029</v>
      </c>
      <c r="T704" s="5" t="str">
        <f>IF(Delivery_Data[[#This Row],[Delays (min)]]&gt;0,"No","Yes")</f>
        <v>No</v>
      </c>
    </row>
    <row r="705" spans="1:20" ht="15.75" customHeight="1" x14ac:dyDescent="0.3">
      <c r="A705" s="4">
        <v>1704</v>
      </c>
      <c r="B705" s="5" t="s">
        <v>829</v>
      </c>
      <c r="C705" s="6">
        <v>45170.459027777775</v>
      </c>
      <c r="D705" s="5" t="s">
        <v>14</v>
      </c>
      <c r="E705" s="5" t="s">
        <v>78</v>
      </c>
      <c r="F705" s="5" t="s">
        <v>38</v>
      </c>
      <c r="G705" s="5" t="s">
        <v>39</v>
      </c>
      <c r="H705" s="5">
        <v>108</v>
      </c>
      <c r="I705" s="5">
        <v>26</v>
      </c>
      <c r="J705" s="5" t="s">
        <v>32</v>
      </c>
      <c r="K705" s="5" t="s">
        <v>45</v>
      </c>
      <c r="L705" s="5" t="s">
        <v>40</v>
      </c>
      <c r="M705" s="7" t="s">
        <v>21</v>
      </c>
      <c r="N705" s="26">
        <f t="shared" si="60"/>
        <v>-1</v>
      </c>
      <c r="O705" s="42">
        <f t="shared" si="61"/>
        <v>45170</v>
      </c>
      <c r="P705" s="5" t="str">
        <f t="shared" si="62"/>
        <v>Friday</v>
      </c>
      <c r="Q705" s="5">
        <f t="shared" si="63"/>
        <v>11</v>
      </c>
      <c r="R705" s="28">
        <f t="shared" si="64"/>
        <v>0.80597014925373134</v>
      </c>
      <c r="S705" s="29">
        <f t="shared" si="65"/>
        <v>80.597014925373131</v>
      </c>
      <c r="T705" s="5" t="str">
        <f>IF(Delivery_Data[[#This Row],[Delays (min)]]&gt;0,"No","Yes")</f>
        <v>No</v>
      </c>
    </row>
    <row r="706" spans="1:20" ht="15.75" customHeight="1" x14ac:dyDescent="0.3">
      <c r="A706" s="4">
        <v>1705</v>
      </c>
      <c r="B706" s="5" t="s">
        <v>830</v>
      </c>
      <c r="C706" s="6">
        <v>45177.604861111111</v>
      </c>
      <c r="D706" s="5" t="s">
        <v>14</v>
      </c>
      <c r="E706" s="5" t="s">
        <v>151</v>
      </c>
      <c r="F706" s="5" t="s">
        <v>16</v>
      </c>
      <c r="G706" s="5" t="s">
        <v>17</v>
      </c>
      <c r="H706" s="5">
        <v>181</v>
      </c>
      <c r="I706" s="5">
        <v>25</v>
      </c>
      <c r="J706" s="5" t="s">
        <v>26</v>
      </c>
      <c r="K706" s="5" t="s">
        <v>45</v>
      </c>
      <c r="L706" s="5" t="s">
        <v>40</v>
      </c>
      <c r="M706" s="7" t="s">
        <v>46</v>
      </c>
      <c r="N706" s="26">
        <f t="shared" ref="N706:N769" si="66">IF(J706="Positive",1,IF(J706="Neutral",0,IF(J706="Negative",-1,"")))</f>
        <v>1</v>
      </c>
      <c r="O706" s="42">
        <f t="shared" ref="O706:O769" si="67">INT(C706)</f>
        <v>45177</v>
      </c>
      <c r="P706" s="5" t="str">
        <f t="shared" ref="P706:P769" si="68">TEXT(C706,"dddd")</f>
        <v>Friday</v>
      </c>
      <c r="Q706" s="5">
        <f t="shared" ref="Q706:Q769" si="69">HOUR(C706)</f>
        <v>14</v>
      </c>
      <c r="R706" s="28">
        <f t="shared" ref="R706:R769" si="70">H706/(H706+I706)</f>
        <v>0.87864077669902918</v>
      </c>
      <c r="S706" s="29">
        <f t="shared" si="65"/>
        <v>87.864077669902912</v>
      </c>
      <c r="T706" s="5" t="str">
        <f>IF(Delivery_Data[[#This Row],[Delays (min)]]&gt;0,"No","Yes")</f>
        <v>No</v>
      </c>
    </row>
    <row r="707" spans="1:20" ht="15.75" customHeight="1" x14ac:dyDescent="0.3">
      <c r="A707" s="4">
        <v>1706</v>
      </c>
      <c r="B707" s="5" t="s">
        <v>831</v>
      </c>
      <c r="C707" s="6">
        <v>45172.616666666669</v>
      </c>
      <c r="D707" s="5" t="s">
        <v>14</v>
      </c>
      <c r="E707" s="5" t="s">
        <v>179</v>
      </c>
      <c r="F707" s="5" t="s">
        <v>38</v>
      </c>
      <c r="G707" s="5" t="s">
        <v>39</v>
      </c>
      <c r="H707" s="5">
        <v>206</v>
      </c>
      <c r="I707" s="5">
        <v>27</v>
      </c>
      <c r="J707" s="5" t="s">
        <v>32</v>
      </c>
      <c r="K707" s="5" t="s">
        <v>35</v>
      </c>
      <c r="L707" s="5" t="s">
        <v>20</v>
      </c>
      <c r="M707" s="7" t="s">
        <v>41</v>
      </c>
      <c r="N707" s="26">
        <f t="shared" si="66"/>
        <v>-1</v>
      </c>
      <c r="O707" s="42">
        <f t="shared" si="67"/>
        <v>45172</v>
      </c>
      <c r="P707" s="5" t="str">
        <f t="shared" si="68"/>
        <v>Sunday</v>
      </c>
      <c r="Q707" s="5">
        <f t="shared" si="69"/>
        <v>14</v>
      </c>
      <c r="R707" s="28">
        <f t="shared" si="70"/>
        <v>0.88412017167381973</v>
      </c>
      <c r="S707" s="29">
        <f t="shared" ref="S707:S770" si="71">IF(H707+I707=0,0,(H707/(H707+I707))*100) + (IFERROR(--J707,0)*10)</f>
        <v>88.412017167381975</v>
      </c>
      <c r="T707" s="5" t="str">
        <f>IF(Delivery_Data[[#This Row],[Delays (min)]]&gt;0,"No","Yes")</f>
        <v>No</v>
      </c>
    </row>
    <row r="708" spans="1:20" ht="15.75" customHeight="1" x14ac:dyDescent="0.3">
      <c r="A708" s="4">
        <v>1707</v>
      </c>
      <c r="B708" s="5" t="s">
        <v>832</v>
      </c>
      <c r="C708" s="6">
        <v>45170.555555555555</v>
      </c>
      <c r="D708" s="5" t="s">
        <v>14</v>
      </c>
      <c r="E708" s="5" t="s">
        <v>410</v>
      </c>
      <c r="F708" s="5" t="s">
        <v>38</v>
      </c>
      <c r="G708" s="5" t="s">
        <v>56</v>
      </c>
      <c r="H708" s="5">
        <v>120</v>
      </c>
      <c r="I708" s="5">
        <v>12</v>
      </c>
      <c r="J708" s="5" t="s">
        <v>32</v>
      </c>
      <c r="K708" s="5" t="s">
        <v>45</v>
      </c>
      <c r="L708" s="5" t="s">
        <v>20</v>
      </c>
      <c r="M708" s="7" t="s">
        <v>41</v>
      </c>
      <c r="N708" s="26">
        <f t="shared" si="66"/>
        <v>-1</v>
      </c>
      <c r="O708" s="42">
        <f t="shared" si="67"/>
        <v>45170</v>
      </c>
      <c r="P708" s="5" t="str">
        <f t="shared" si="68"/>
        <v>Friday</v>
      </c>
      <c r="Q708" s="5">
        <f t="shared" si="69"/>
        <v>13</v>
      </c>
      <c r="R708" s="28">
        <f t="shared" si="70"/>
        <v>0.90909090909090906</v>
      </c>
      <c r="S708" s="29">
        <f t="shared" si="71"/>
        <v>90.909090909090907</v>
      </c>
      <c r="T708" s="5" t="str">
        <f>IF(Delivery_Data[[#This Row],[Delays (min)]]&gt;0,"No","Yes")</f>
        <v>No</v>
      </c>
    </row>
    <row r="709" spans="1:20" ht="15.75" customHeight="1" x14ac:dyDescent="0.3">
      <c r="A709" s="4">
        <v>1708</v>
      </c>
      <c r="B709" s="5" t="s">
        <v>833</v>
      </c>
      <c r="C709" s="6">
        <v>45175.465277777781</v>
      </c>
      <c r="D709" s="5" t="s">
        <v>14</v>
      </c>
      <c r="E709" s="5" t="s">
        <v>263</v>
      </c>
      <c r="F709" s="5" t="s">
        <v>38</v>
      </c>
      <c r="G709" s="5" t="s">
        <v>31</v>
      </c>
      <c r="H709" s="5">
        <v>114</v>
      </c>
      <c r="I709" s="5">
        <v>13</v>
      </c>
      <c r="J709" s="5" t="s">
        <v>26</v>
      </c>
      <c r="K709" s="5" t="s">
        <v>19</v>
      </c>
      <c r="L709" s="5" t="s">
        <v>40</v>
      </c>
      <c r="M709" s="7" t="s">
        <v>46</v>
      </c>
      <c r="N709" s="26">
        <f t="shared" si="66"/>
        <v>1</v>
      </c>
      <c r="O709" s="42">
        <f t="shared" si="67"/>
        <v>45175</v>
      </c>
      <c r="P709" s="5" t="str">
        <f t="shared" si="68"/>
        <v>Wednesday</v>
      </c>
      <c r="Q709" s="5">
        <f t="shared" si="69"/>
        <v>11</v>
      </c>
      <c r="R709" s="28">
        <f t="shared" si="70"/>
        <v>0.89763779527559051</v>
      </c>
      <c r="S709" s="29">
        <f t="shared" si="71"/>
        <v>89.763779527559052</v>
      </c>
      <c r="T709" s="5" t="str">
        <f>IF(Delivery_Data[[#This Row],[Delays (min)]]&gt;0,"No","Yes")</f>
        <v>No</v>
      </c>
    </row>
    <row r="710" spans="1:20" ht="15.75" customHeight="1" x14ac:dyDescent="0.3">
      <c r="A710" s="4">
        <v>1709</v>
      </c>
      <c r="B710" s="5" t="s">
        <v>834</v>
      </c>
      <c r="C710" s="6">
        <v>45177.336111111108</v>
      </c>
      <c r="D710" s="5" t="s">
        <v>14</v>
      </c>
      <c r="E710" s="5" t="s">
        <v>135</v>
      </c>
      <c r="F710" s="5" t="s">
        <v>38</v>
      </c>
      <c r="G710" s="5" t="s">
        <v>56</v>
      </c>
      <c r="H710" s="5">
        <v>125</v>
      </c>
      <c r="I710" s="5">
        <v>4</v>
      </c>
      <c r="J710" s="5" t="s">
        <v>32</v>
      </c>
      <c r="K710" s="5" t="s">
        <v>19</v>
      </c>
      <c r="L710" s="5" t="s">
        <v>28</v>
      </c>
      <c r="M710" s="7" t="s">
        <v>46</v>
      </c>
      <c r="N710" s="26">
        <f t="shared" si="66"/>
        <v>-1</v>
      </c>
      <c r="O710" s="42">
        <f t="shared" si="67"/>
        <v>45177</v>
      </c>
      <c r="P710" s="5" t="str">
        <f t="shared" si="68"/>
        <v>Friday</v>
      </c>
      <c r="Q710" s="5">
        <f t="shared" si="69"/>
        <v>8</v>
      </c>
      <c r="R710" s="28">
        <f t="shared" si="70"/>
        <v>0.96899224806201545</v>
      </c>
      <c r="S710" s="29">
        <f t="shared" si="71"/>
        <v>96.899224806201545</v>
      </c>
      <c r="T710" s="5" t="str">
        <f>IF(Delivery_Data[[#This Row],[Delays (min)]]&gt;0,"No","Yes")</f>
        <v>No</v>
      </c>
    </row>
    <row r="711" spans="1:20" ht="15.75" customHeight="1" x14ac:dyDescent="0.3">
      <c r="A711" s="4">
        <v>1710</v>
      </c>
      <c r="B711" s="5" t="s">
        <v>835</v>
      </c>
      <c r="C711" s="6">
        <v>45175.474999999999</v>
      </c>
      <c r="D711" s="5" t="s">
        <v>14</v>
      </c>
      <c r="E711" s="5" t="s">
        <v>288</v>
      </c>
      <c r="F711" s="5" t="s">
        <v>24</v>
      </c>
      <c r="G711" s="5" t="s">
        <v>31</v>
      </c>
      <c r="H711" s="5">
        <v>194</v>
      </c>
      <c r="I711" s="5">
        <v>17</v>
      </c>
      <c r="J711" s="5" t="s">
        <v>26</v>
      </c>
      <c r="K711" s="5" t="s">
        <v>35</v>
      </c>
      <c r="L711" s="5" t="s">
        <v>20</v>
      </c>
      <c r="M711" s="7" t="s">
        <v>21</v>
      </c>
      <c r="N711" s="26">
        <f t="shared" si="66"/>
        <v>1</v>
      </c>
      <c r="O711" s="42">
        <f t="shared" si="67"/>
        <v>45175</v>
      </c>
      <c r="P711" s="5" t="str">
        <f t="shared" si="68"/>
        <v>Wednesday</v>
      </c>
      <c r="Q711" s="5">
        <f t="shared" si="69"/>
        <v>11</v>
      </c>
      <c r="R711" s="28">
        <f t="shared" si="70"/>
        <v>0.91943127962085303</v>
      </c>
      <c r="S711" s="29">
        <f t="shared" si="71"/>
        <v>91.943127962085299</v>
      </c>
      <c r="T711" s="5" t="str">
        <f>IF(Delivery_Data[[#This Row],[Delays (min)]]&gt;0,"No","Yes")</f>
        <v>No</v>
      </c>
    </row>
    <row r="712" spans="1:20" ht="15.75" customHeight="1" x14ac:dyDescent="0.3">
      <c r="A712" s="4">
        <v>1711</v>
      </c>
      <c r="B712" s="5" t="s">
        <v>836</v>
      </c>
      <c r="C712" s="6">
        <v>45176.505555555559</v>
      </c>
      <c r="D712" s="5" t="s">
        <v>43</v>
      </c>
      <c r="E712" s="5" t="s">
        <v>403</v>
      </c>
      <c r="F712" s="5" t="s">
        <v>24</v>
      </c>
      <c r="G712" s="5" t="s">
        <v>17</v>
      </c>
      <c r="H712" s="5">
        <v>151</v>
      </c>
      <c r="I712" s="5">
        <v>7</v>
      </c>
      <c r="J712" s="5" t="s">
        <v>32</v>
      </c>
      <c r="K712" s="5" t="s">
        <v>45</v>
      </c>
      <c r="L712" s="5" t="s">
        <v>20</v>
      </c>
      <c r="M712" s="7" t="s">
        <v>21</v>
      </c>
      <c r="N712" s="26">
        <f t="shared" si="66"/>
        <v>-1</v>
      </c>
      <c r="O712" s="42">
        <f t="shared" si="67"/>
        <v>45176</v>
      </c>
      <c r="P712" s="5" t="str">
        <f t="shared" si="68"/>
        <v>Thursday</v>
      </c>
      <c r="Q712" s="5">
        <f t="shared" si="69"/>
        <v>12</v>
      </c>
      <c r="R712" s="28">
        <f t="shared" si="70"/>
        <v>0.95569620253164556</v>
      </c>
      <c r="S712" s="29">
        <f t="shared" si="71"/>
        <v>95.569620253164558</v>
      </c>
      <c r="T712" s="5" t="str">
        <f>IF(Delivery_Data[[#This Row],[Delays (min)]]&gt;0,"No","Yes")</f>
        <v>No</v>
      </c>
    </row>
    <row r="713" spans="1:20" ht="15.75" customHeight="1" x14ac:dyDescent="0.3">
      <c r="A713" s="4">
        <v>1712</v>
      </c>
      <c r="B713" s="5" t="s">
        <v>837</v>
      </c>
      <c r="C713" s="6">
        <v>45171.429166666669</v>
      </c>
      <c r="D713" s="5" t="s">
        <v>43</v>
      </c>
      <c r="E713" s="5" t="s">
        <v>285</v>
      </c>
      <c r="F713" s="5" t="s">
        <v>38</v>
      </c>
      <c r="G713" s="5" t="s">
        <v>17</v>
      </c>
      <c r="H713" s="5">
        <v>195</v>
      </c>
      <c r="I713" s="5">
        <v>22</v>
      </c>
      <c r="J713" s="5" t="s">
        <v>26</v>
      </c>
      <c r="K713" s="5" t="s">
        <v>27</v>
      </c>
      <c r="L713" s="5" t="s">
        <v>40</v>
      </c>
      <c r="M713" s="7" t="s">
        <v>46</v>
      </c>
      <c r="N713" s="26">
        <f t="shared" si="66"/>
        <v>1</v>
      </c>
      <c r="O713" s="42">
        <f t="shared" si="67"/>
        <v>45171</v>
      </c>
      <c r="P713" s="5" t="str">
        <f t="shared" si="68"/>
        <v>Saturday</v>
      </c>
      <c r="Q713" s="5">
        <f t="shared" si="69"/>
        <v>10</v>
      </c>
      <c r="R713" s="28">
        <f t="shared" si="70"/>
        <v>0.89861751152073732</v>
      </c>
      <c r="S713" s="29">
        <f t="shared" si="71"/>
        <v>89.861751152073737</v>
      </c>
      <c r="T713" s="5" t="str">
        <f>IF(Delivery_Data[[#This Row],[Delays (min)]]&gt;0,"No","Yes")</f>
        <v>No</v>
      </c>
    </row>
    <row r="714" spans="1:20" ht="15.75" customHeight="1" x14ac:dyDescent="0.3">
      <c r="A714" s="4">
        <v>1713</v>
      </c>
      <c r="B714" s="5" t="s">
        <v>838</v>
      </c>
      <c r="C714" s="6">
        <v>45174.648611111108</v>
      </c>
      <c r="D714" s="5" t="s">
        <v>43</v>
      </c>
      <c r="E714" s="5" t="s">
        <v>333</v>
      </c>
      <c r="F714" s="5" t="s">
        <v>24</v>
      </c>
      <c r="G714" s="5" t="s">
        <v>25</v>
      </c>
      <c r="H714" s="5">
        <v>204</v>
      </c>
      <c r="I714" s="5">
        <v>0</v>
      </c>
      <c r="J714" s="5" t="s">
        <v>26</v>
      </c>
      <c r="K714" s="5" t="s">
        <v>49</v>
      </c>
      <c r="L714" s="5" t="s">
        <v>40</v>
      </c>
      <c r="M714" s="7" t="s">
        <v>41</v>
      </c>
      <c r="N714" s="26">
        <f t="shared" si="66"/>
        <v>1</v>
      </c>
      <c r="O714" s="42">
        <f t="shared" si="67"/>
        <v>45174</v>
      </c>
      <c r="P714" s="5" t="str">
        <f t="shared" si="68"/>
        <v>Tuesday</v>
      </c>
      <c r="Q714" s="5">
        <f t="shared" si="69"/>
        <v>15</v>
      </c>
      <c r="R714" s="28">
        <f t="shared" si="70"/>
        <v>1</v>
      </c>
      <c r="S714" s="29">
        <f t="shared" si="71"/>
        <v>100</v>
      </c>
      <c r="T714" s="5" t="str">
        <f>IF(Delivery_Data[[#This Row],[Delays (min)]]&gt;0,"No","Yes")</f>
        <v>Yes</v>
      </c>
    </row>
    <row r="715" spans="1:20" ht="15.75" customHeight="1" x14ac:dyDescent="0.3">
      <c r="A715" s="4">
        <v>1714</v>
      </c>
      <c r="B715" s="5" t="s">
        <v>839</v>
      </c>
      <c r="C715" s="6">
        <v>45170.442361111112</v>
      </c>
      <c r="D715" s="5" t="s">
        <v>14</v>
      </c>
      <c r="E715" s="5" t="s">
        <v>234</v>
      </c>
      <c r="F715" s="5" t="s">
        <v>16</v>
      </c>
      <c r="G715" s="5" t="s">
        <v>39</v>
      </c>
      <c r="H715" s="5">
        <v>150</v>
      </c>
      <c r="I715" s="5">
        <v>27</v>
      </c>
      <c r="J715" s="5" t="s">
        <v>32</v>
      </c>
      <c r="K715" s="5" t="s">
        <v>45</v>
      </c>
      <c r="L715" s="5" t="s">
        <v>28</v>
      </c>
      <c r="M715" s="7" t="s">
        <v>21</v>
      </c>
      <c r="N715" s="26">
        <f t="shared" si="66"/>
        <v>-1</v>
      </c>
      <c r="O715" s="42">
        <f t="shared" si="67"/>
        <v>45170</v>
      </c>
      <c r="P715" s="5" t="str">
        <f t="shared" si="68"/>
        <v>Friday</v>
      </c>
      <c r="Q715" s="5">
        <f t="shared" si="69"/>
        <v>10</v>
      </c>
      <c r="R715" s="28">
        <f t="shared" si="70"/>
        <v>0.84745762711864403</v>
      </c>
      <c r="S715" s="29">
        <f t="shared" si="71"/>
        <v>84.745762711864401</v>
      </c>
      <c r="T715" s="5" t="str">
        <f>IF(Delivery_Data[[#This Row],[Delays (min)]]&gt;0,"No","Yes")</f>
        <v>No</v>
      </c>
    </row>
    <row r="716" spans="1:20" ht="15.75" customHeight="1" x14ac:dyDescent="0.3">
      <c r="A716" s="4">
        <v>1715</v>
      </c>
      <c r="B716" s="5" t="s">
        <v>840</v>
      </c>
      <c r="C716" s="6">
        <v>45172.445833333331</v>
      </c>
      <c r="D716" s="5" t="s">
        <v>43</v>
      </c>
      <c r="E716" s="5" t="s">
        <v>126</v>
      </c>
      <c r="F716" s="5" t="s">
        <v>38</v>
      </c>
      <c r="G716" s="5" t="s">
        <v>31</v>
      </c>
      <c r="H716" s="5">
        <v>192</v>
      </c>
      <c r="I716" s="5">
        <v>7</v>
      </c>
      <c r="J716" s="5" t="s">
        <v>32</v>
      </c>
      <c r="K716" s="5" t="s">
        <v>45</v>
      </c>
      <c r="L716" s="5" t="s">
        <v>20</v>
      </c>
      <c r="M716" s="7" t="s">
        <v>46</v>
      </c>
      <c r="N716" s="26">
        <f t="shared" si="66"/>
        <v>-1</v>
      </c>
      <c r="O716" s="42">
        <f t="shared" si="67"/>
        <v>45172</v>
      </c>
      <c r="P716" s="5" t="str">
        <f t="shared" si="68"/>
        <v>Sunday</v>
      </c>
      <c r="Q716" s="5">
        <f t="shared" si="69"/>
        <v>10</v>
      </c>
      <c r="R716" s="28">
        <f t="shared" si="70"/>
        <v>0.96482412060301503</v>
      </c>
      <c r="S716" s="29">
        <f t="shared" si="71"/>
        <v>96.482412060301499</v>
      </c>
      <c r="T716" s="5" t="str">
        <f>IF(Delivery_Data[[#This Row],[Delays (min)]]&gt;0,"No","Yes")</f>
        <v>No</v>
      </c>
    </row>
    <row r="717" spans="1:20" ht="15.75" customHeight="1" x14ac:dyDescent="0.3">
      <c r="A717" s="4">
        <v>1716</v>
      </c>
      <c r="B717" s="5" t="s">
        <v>841</v>
      </c>
      <c r="C717" s="6">
        <v>45173.493055555555</v>
      </c>
      <c r="D717" s="5" t="s">
        <v>14</v>
      </c>
      <c r="E717" s="5" t="s">
        <v>151</v>
      </c>
      <c r="F717" s="5" t="s">
        <v>24</v>
      </c>
      <c r="G717" s="5" t="s">
        <v>56</v>
      </c>
      <c r="H717" s="5">
        <v>218</v>
      </c>
      <c r="I717" s="5">
        <v>2</v>
      </c>
      <c r="J717" s="5" t="s">
        <v>26</v>
      </c>
      <c r="K717" s="5" t="s">
        <v>27</v>
      </c>
      <c r="L717" s="5" t="s">
        <v>20</v>
      </c>
      <c r="M717" s="7" t="s">
        <v>46</v>
      </c>
      <c r="N717" s="26">
        <f t="shared" si="66"/>
        <v>1</v>
      </c>
      <c r="O717" s="42">
        <f t="shared" si="67"/>
        <v>45173</v>
      </c>
      <c r="P717" s="5" t="str">
        <f t="shared" si="68"/>
        <v>Monday</v>
      </c>
      <c r="Q717" s="5">
        <f t="shared" si="69"/>
        <v>11</v>
      </c>
      <c r="R717" s="28">
        <f t="shared" si="70"/>
        <v>0.99090909090909096</v>
      </c>
      <c r="S717" s="29">
        <f t="shared" si="71"/>
        <v>99.090909090909093</v>
      </c>
      <c r="T717" s="5" t="str">
        <f>IF(Delivery_Data[[#This Row],[Delays (min)]]&gt;0,"No","Yes")</f>
        <v>No</v>
      </c>
    </row>
    <row r="718" spans="1:20" ht="15.75" customHeight="1" x14ac:dyDescent="0.3">
      <c r="A718" s="4">
        <v>1717</v>
      </c>
      <c r="B718" s="5" t="s">
        <v>842</v>
      </c>
      <c r="C718" s="6">
        <v>45171.51458333333</v>
      </c>
      <c r="D718" s="5" t="s">
        <v>14</v>
      </c>
      <c r="E718" s="5" t="s">
        <v>231</v>
      </c>
      <c r="F718" s="5" t="s">
        <v>24</v>
      </c>
      <c r="G718" s="5" t="s">
        <v>56</v>
      </c>
      <c r="H718" s="5">
        <v>161</v>
      </c>
      <c r="I718" s="5">
        <v>24</v>
      </c>
      <c r="J718" s="5" t="s">
        <v>26</v>
      </c>
      <c r="K718" s="5" t="s">
        <v>35</v>
      </c>
      <c r="L718" s="5" t="s">
        <v>40</v>
      </c>
      <c r="M718" s="7" t="s">
        <v>21</v>
      </c>
      <c r="N718" s="26">
        <f t="shared" si="66"/>
        <v>1</v>
      </c>
      <c r="O718" s="42">
        <f t="shared" si="67"/>
        <v>45171</v>
      </c>
      <c r="P718" s="5" t="str">
        <f t="shared" si="68"/>
        <v>Saturday</v>
      </c>
      <c r="Q718" s="5">
        <f t="shared" si="69"/>
        <v>12</v>
      </c>
      <c r="R718" s="28">
        <f t="shared" si="70"/>
        <v>0.87027027027027026</v>
      </c>
      <c r="S718" s="29">
        <f t="shared" si="71"/>
        <v>87.027027027027032</v>
      </c>
      <c r="T718" s="5" t="str">
        <f>IF(Delivery_Data[[#This Row],[Delays (min)]]&gt;0,"No","Yes")</f>
        <v>No</v>
      </c>
    </row>
    <row r="719" spans="1:20" ht="15.75" customHeight="1" x14ac:dyDescent="0.3">
      <c r="A719" s="4">
        <v>1718</v>
      </c>
      <c r="B719" s="5" t="s">
        <v>843</v>
      </c>
      <c r="C719" s="6">
        <v>45170.375</v>
      </c>
      <c r="D719" s="5" t="s">
        <v>14</v>
      </c>
      <c r="E719" s="5" t="s">
        <v>245</v>
      </c>
      <c r="F719" s="5" t="s">
        <v>16</v>
      </c>
      <c r="G719" s="5" t="s">
        <v>17</v>
      </c>
      <c r="H719" s="5">
        <v>90</v>
      </c>
      <c r="I719" s="5">
        <v>9</v>
      </c>
      <c r="J719" s="5" t="s">
        <v>18</v>
      </c>
      <c r="K719" s="5" t="s">
        <v>45</v>
      </c>
      <c r="L719" s="5" t="s">
        <v>28</v>
      </c>
      <c r="M719" s="7" t="s">
        <v>21</v>
      </c>
      <c r="N719" s="26">
        <f t="shared" si="66"/>
        <v>0</v>
      </c>
      <c r="O719" s="42">
        <f t="shared" si="67"/>
        <v>45170</v>
      </c>
      <c r="P719" s="5" t="str">
        <f t="shared" si="68"/>
        <v>Friday</v>
      </c>
      <c r="Q719" s="5">
        <f t="shared" si="69"/>
        <v>9</v>
      </c>
      <c r="R719" s="28">
        <f t="shared" si="70"/>
        <v>0.90909090909090906</v>
      </c>
      <c r="S719" s="29">
        <f t="shared" si="71"/>
        <v>90.909090909090907</v>
      </c>
      <c r="T719" s="5" t="str">
        <f>IF(Delivery_Data[[#This Row],[Delays (min)]]&gt;0,"No","Yes")</f>
        <v>No</v>
      </c>
    </row>
    <row r="720" spans="1:20" ht="15.75" customHeight="1" x14ac:dyDescent="0.3">
      <c r="A720" s="4">
        <v>1719</v>
      </c>
      <c r="B720" s="5" t="s">
        <v>844</v>
      </c>
      <c r="C720" s="6">
        <v>45176.361805555556</v>
      </c>
      <c r="D720" s="5" t="s">
        <v>14</v>
      </c>
      <c r="E720" s="5" t="s">
        <v>169</v>
      </c>
      <c r="F720" s="5" t="s">
        <v>24</v>
      </c>
      <c r="G720" s="5" t="s">
        <v>31</v>
      </c>
      <c r="H720" s="5">
        <v>209</v>
      </c>
      <c r="I720" s="5">
        <v>21</v>
      </c>
      <c r="J720" s="5" t="s">
        <v>26</v>
      </c>
      <c r="K720" s="5" t="s">
        <v>49</v>
      </c>
      <c r="L720" s="5" t="s">
        <v>28</v>
      </c>
      <c r="M720" s="7" t="s">
        <v>46</v>
      </c>
      <c r="N720" s="26">
        <f t="shared" si="66"/>
        <v>1</v>
      </c>
      <c r="O720" s="42">
        <f t="shared" si="67"/>
        <v>45176</v>
      </c>
      <c r="P720" s="5" t="str">
        <f t="shared" si="68"/>
        <v>Thursday</v>
      </c>
      <c r="Q720" s="5">
        <f t="shared" si="69"/>
        <v>8</v>
      </c>
      <c r="R720" s="28">
        <f t="shared" si="70"/>
        <v>0.90869565217391302</v>
      </c>
      <c r="S720" s="29">
        <f t="shared" si="71"/>
        <v>90.869565217391298</v>
      </c>
      <c r="T720" s="5" t="str">
        <f>IF(Delivery_Data[[#This Row],[Delays (min)]]&gt;0,"No","Yes")</f>
        <v>No</v>
      </c>
    </row>
    <row r="721" spans="1:20" ht="15.75" customHeight="1" x14ac:dyDescent="0.3">
      <c r="A721" s="4">
        <v>1720</v>
      </c>
      <c r="B721" s="5" t="s">
        <v>845</v>
      </c>
      <c r="C721" s="6">
        <v>45173.348611111112</v>
      </c>
      <c r="D721" s="5" t="s">
        <v>14</v>
      </c>
      <c r="E721" s="5" t="s">
        <v>126</v>
      </c>
      <c r="F721" s="5" t="s">
        <v>16</v>
      </c>
      <c r="G721" s="5" t="s">
        <v>39</v>
      </c>
      <c r="H721" s="5">
        <v>148</v>
      </c>
      <c r="I721" s="5">
        <v>1</v>
      </c>
      <c r="J721" s="5" t="s">
        <v>32</v>
      </c>
      <c r="K721" s="5" t="s">
        <v>49</v>
      </c>
      <c r="L721" s="5" t="s">
        <v>40</v>
      </c>
      <c r="M721" s="7" t="s">
        <v>41</v>
      </c>
      <c r="N721" s="26">
        <f t="shared" si="66"/>
        <v>-1</v>
      </c>
      <c r="O721" s="42">
        <f t="shared" si="67"/>
        <v>45173</v>
      </c>
      <c r="P721" s="5" t="str">
        <f t="shared" si="68"/>
        <v>Monday</v>
      </c>
      <c r="Q721" s="5">
        <f t="shared" si="69"/>
        <v>8</v>
      </c>
      <c r="R721" s="28">
        <f t="shared" si="70"/>
        <v>0.99328859060402686</v>
      </c>
      <c r="S721" s="29">
        <f t="shared" si="71"/>
        <v>99.328859060402692</v>
      </c>
      <c r="T721" s="5" t="str">
        <f>IF(Delivery_Data[[#This Row],[Delays (min)]]&gt;0,"No","Yes")</f>
        <v>No</v>
      </c>
    </row>
    <row r="722" spans="1:20" ht="15.75" customHeight="1" x14ac:dyDescent="0.3">
      <c r="A722" s="4">
        <v>1721</v>
      </c>
      <c r="B722" s="5" t="s">
        <v>706</v>
      </c>
      <c r="C722" s="6">
        <v>45176.361111111109</v>
      </c>
      <c r="D722" s="5" t="s">
        <v>14</v>
      </c>
      <c r="E722" s="5" t="s">
        <v>78</v>
      </c>
      <c r="F722" s="5" t="s">
        <v>24</v>
      </c>
      <c r="G722" s="5" t="s">
        <v>25</v>
      </c>
      <c r="H722" s="5">
        <v>90</v>
      </c>
      <c r="I722" s="5">
        <v>24</v>
      </c>
      <c r="J722" s="5" t="s">
        <v>26</v>
      </c>
      <c r="K722" s="5" t="s">
        <v>35</v>
      </c>
      <c r="L722" s="5" t="s">
        <v>20</v>
      </c>
      <c r="M722" s="7" t="s">
        <v>46</v>
      </c>
      <c r="N722" s="26">
        <f t="shared" si="66"/>
        <v>1</v>
      </c>
      <c r="O722" s="42">
        <f t="shared" si="67"/>
        <v>45176</v>
      </c>
      <c r="P722" s="5" t="str">
        <f t="shared" si="68"/>
        <v>Thursday</v>
      </c>
      <c r="Q722" s="5">
        <f t="shared" si="69"/>
        <v>8</v>
      </c>
      <c r="R722" s="28">
        <f t="shared" si="70"/>
        <v>0.78947368421052633</v>
      </c>
      <c r="S722" s="29">
        <f t="shared" si="71"/>
        <v>78.94736842105263</v>
      </c>
      <c r="T722" s="5" t="str">
        <f>IF(Delivery_Data[[#This Row],[Delays (min)]]&gt;0,"No","Yes")</f>
        <v>No</v>
      </c>
    </row>
    <row r="723" spans="1:20" ht="15.75" customHeight="1" x14ac:dyDescent="0.3">
      <c r="A723" s="4">
        <v>1722</v>
      </c>
      <c r="B723" s="5" t="s">
        <v>846</v>
      </c>
      <c r="C723" s="6">
        <v>45173.677777777775</v>
      </c>
      <c r="D723" s="5" t="s">
        <v>14</v>
      </c>
      <c r="E723" s="5" t="s">
        <v>48</v>
      </c>
      <c r="F723" s="5" t="s">
        <v>24</v>
      </c>
      <c r="G723" s="5" t="s">
        <v>25</v>
      </c>
      <c r="H723" s="5">
        <v>190</v>
      </c>
      <c r="I723" s="5">
        <v>16</v>
      </c>
      <c r="J723" s="5" t="s">
        <v>32</v>
      </c>
      <c r="K723" s="5" t="s">
        <v>35</v>
      </c>
      <c r="L723" s="5" t="s">
        <v>40</v>
      </c>
      <c r="M723" s="7" t="s">
        <v>21</v>
      </c>
      <c r="N723" s="26">
        <f t="shared" si="66"/>
        <v>-1</v>
      </c>
      <c r="O723" s="42">
        <f t="shared" si="67"/>
        <v>45173</v>
      </c>
      <c r="P723" s="5" t="str">
        <f t="shared" si="68"/>
        <v>Monday</v>
      </c>
      <c r="Q723" s="5">
        <f t="shared" si="69"/>
        <v>16</v>
      </c>
      <c r="R723" s="28">
        <f t="shared" si="70"/>
        <v>0.92233009708737868</v>
      </c>
      <c r="S723" s="29">
        <f t="shared" si="71"/>
        <v>92.233009708737868</v>
      </c>
      <c r="T723" s="5" t="str">
        <f>IF(Delivery_Data[[#This Row],[Delays (min)]]&gt;0,"No","Yes")</f>
        <v>No</v>
      </c>
    </row>
    <row r="724" spans="1:20" ht="15.75" customHeight="1" x14ac:dyDescent="0.3">
      <c r="A724" s="4">
        <v>1723</v>
      </c>
      <c r="B724" s="5" t="s">
        <v>847</v>
      </c>
      <c r="C724" s="6">
        <v>45171.339583333334</v>
      </c>
      <c r="D724" s="5" t="s">
        <v>43</v>
      </c>
      <c r="E724" s="5" t="s">
        <v>34</v>
      </c>
      <c r="F724" s="5" t="s">
        <v>16</v>
      </c>
      <c r="G724" s="5" t="s">
        <v>25</v>
      </c>
      <c r="H724" s="5">
        <v>112</v>
      </c>
      <c r="I724" s="5">
        <v>1</v>
      </c>
      <c r="J724" s="5" t="s">
        <v>32</v>
      </c>
      <c r="K724" s="5" t="s">
        <v>35</v>
      </c>
      <c r="L724" s="5" t="s">
        <v>40</v>
      </c>
      <c r="M724" s="7" t="s">
        <v>21</v>
      </c>
      <c r="N724" s="26">
        <f t="shared" si="66"/>
        <v>-1</v>
      </c>
      <c r="O724" s="42">
        <f t="shared" si="67"/>
        <v>45171</v>
      </c>
      <c r="P724" s="5" t="str">
        <f t="shared" si="68"/>
        <v>Saturday</v>
      </c>
      <c r="Q724" s="5">
        <f t="shared" si="69"/>
        <v>8</v>
      </c>
      <c r="R724" s="28">
        <f t="shared" si="70"/>
        <v>0.99115044247787609</v>
      </c>
      <c r="S724" s="29">
        <f t="shared" si="71"/>
        <v>99.115044247787608</v>
      </c>
      <c r="T724" s="5" t="str">
        <f>IF(Delivery_Data[[#This Row],[Delays (min)]]&gt;0,"No","Yes")</f>
        <v>No</v>
      </c>
    </row>
    <row r="725" spans="1:20" ht="15.75" customHeight="1" x14ac:dyDescent="0.3">
      <c r="A725" s="4">
        <v>1724</v>
      </c>
      <c r="B725" s="5" t="s">
        <v>848</v>
      </c>
      <c r="C725" s="6">
        <v>45176.39166666667</v>
      </c>
      <c r="D725" s="5" t="s">
        <v>43</v>
      </c>
      <c r="E725" s="5" t="s">
        <v>468</v>
      </c>
      <c r="F725" s="5" t="s">
        <v>38</v>
      </c>
      <c r="G725" s="5" t="s">
        <v>17</v>
      </c>
      <c r="H725" s="5">
        <v>96</v>
      </c>
      <c r="I725" s="5">
        <v>20</v>
      </c>
      <c r="J725" s="5" t="s">
        <v>32</v>
      </c>
      <c r="K725" s="5" t="s">
        <v>35</v>
      </c>
      <c r="L725" s="5" t="s">
        <v>28</v>
      </c>
      <c r="M725" s="7" t="s">
        <v>46</v>
      </c>
      <c r="N725" s="26">
        <f t="shared" si="66"/>
        <v>-1</v>
      </c>
      <c r="O725" s="42">
        <f t="shared" si="67"/>
        <v>45176</v>
      </c>
      <c r="P725" s="5" t="str">
        <f t="shared" si="68"/>
        <v>Thursday</v>
      </c>
      <c r="Q725" s="5">
        <f t="shared" si="69"/>
        <v>9</v>
      </c>
      <c r="R725" s="28">
        <f t="shared" si="70"/>
        <v>0.82758620689655171</v>
      </c>
      <c r="S725" s="29">
        <f t="shared" si="71"/>
        <v>82.758620689655174</v>
      </c>
      <c r="T725" s="5" t="str">
        <f>IF(Delivery_Data[[#This Row],[Delays (min)]]&gt;0,"No","Yes")</f>
        <v>No</v>
      </c>
    </row>
    <row r="726" spans="1:20" ht="15.75" customHeight="1" x14ac:dyDescent="0.3">
      <c r="A726" s="4">
        <v>1725</v>
      </c>
      <c r="B726" s="5" t="s">
        <v>849</v>
      </c>
      <c r="C726" s="6">
        <v>45172.634722222225</v>
      </c>
      <c r="D726" s="5" t="s">
        <v>14</v>
      </c>
      <c r="E726" s="5" t="s">
        <v>182</v>
      </c>
      <c r="F726" s="5" t="s">
        <v>16</v>
      </c>
      <c r="G726" s="5" t="s">
        <v>39</v>
      </c>
      <c r="H726" s="5">
        <v>60</v>
      </c>
      <c r="I726" s="5">
        <v>20</v>
      </c>
      <c r="J726" s="5" t="s">
        <v>32</v>
      </c>
      <c r="K726" s="5" t="s">
        <v>49</v>
      </c>
      <c r="L726" s="5" t="s">
        <v>20</v>
      </c>
      <c r="M726" s="7" t="s">
        <v>41</v>
      </c>
      <c r="N726" s="26">
        <f t="shared" si="66"/>
        <v>-1</v>
      </c>
      <c r="O726" s="42">
        <f t="shared" si="67"/>
        <v>45172</v>
      </c>
      <c r="P726" s="5" t="str">
        <f t="shared" si="68"/>
        <v>Sunday</v>
      </c>
      <c r="Q726" s="5">
        <f t="shared" si="69"/>
        <v>15</v>
      </c>
      <c r="R726" s="28">
        <f t="shared" si="70"/>
        <v>0.75</v>
      </c>
      <c r="S726" s="29">
        <f t="shared" si="71"/>
        <v>75</v>
      </c>
      <c r="T726" s="5" t="str">
        <f>IF(Delivery_Data[[#This Row],[Delays (min)]]&gt;0,"No","Yes")</f>
        <v>No</v>
      </c>
    </row>
    <row r="727" spans="1:20" ht="15.75" customHeight="1" x14ac:dyDescent="0.3">
      <c r="A727" s="4">
        <v>1726</v>
      </c>
      <c r="B727" s="5" t="s">
        <v>850</v>
      </c>
      <c r="C727" s="6">
        <v>45175.345833333333</v>
      </c>
      <c r="D727" s="5" t="s">
        <v>14</v>
      </c>
      <c r="E727" s="5" t="s">
        <v>197</v>
      </c>
      <c r="F727" s="5" t="s">
        <v>38</v>
      </c>
      <c r="G727" s="5" t="s">
        <v>56</v>
      </c>
      <c r="H727" s="5">
        <v>153</v>
      </c>
      <c r="I727" s="5">
        <v>26</v>
      </c>
      <c r="J727" s="5" t="s">
        <v>32</v>
      </c>
      <c r="K727" s="5" t="s">
        <v>27</v>
      </c>
      <c r="L727" s="5" t="s">
        <v>20</v>
      </c>
      <c r="M727" s="7" t="s">
        <v>21</v>
      </c>
      <c r="N727" s="26">
        <f t="shared" si="66"/>
        <v>-1</v>
      </c>
      <c r="O727" s="42">
        <f t="shared" si="67"/>
        <v>45175</v>
      </c>
      <c r="P727" s="5" t="str">
        <f t="shared" si="68"/>
        <v>Wednesday</v>
      </c>
      <c r="Q727" s="5">
        <f t="shared" si="69"/>
        <v>8</v>
      </c>
      <c r="R727" s="28">
        <f t="shared" si="70"/>
        <v>0.85474860335195535</v>
      </c>
      <c r="S727" s="29">
        <f t="shared" si="71"/>
        <v>85.47486033519553</v>
      </c>
      <c r="T727" s="5" t="str">
        <f>IF(Delivery_Data[[#This Row],[Delays (min)]]&gt;0,"No","Yes")</f>
        <v>No</v>
      </c>
    </row>
    <row r="728" spans="1:20" ht="15.75" customHeight="1" x14ac:dyDescent="0.3">
      <c r="A728" s="4">
        <v>1727</v>
      </c>
      <c r="B728" s="5" t="s">
        <v>851</v>
      </c>
      <c r="C728" s="6">
        <v>45177.63958333333</v>
      </c>
      <c r="D728" s="5" t="s">
        <v>43</v>
      </c>
      <c r="E728" s="5" t="s">
        <v>374</v>
      </c>
      <c r="F728" s="5" t="s">
        <v>16</v>
      </c>
      <c r="G728" s="5" t="s">
        <v>17</v>
      </c>
      <c r="H728" s="5">
        <v>237</v>
      </c>
      <c r="I728" s="5">
        <v>19</v>
      </c>
      <c r="J728" s="5" t="s">
        <v>26</v>
      </c>
      <c r="K728" s="5" t="s">
        <v>45</v>
      </c>
      <c r="L728" s="5" t="s">
        <v>28</v>
      </c>
      <c r="M728" s="7" t="s">
        <v>21</v>
      </c>
      <c r="N728" s="26">
        <f t="shared" si="66"/>
        <v>1</v>
      </c>
      <c r="O728" s="42">
        <f t="shared" si="67"/>
        <v>45177</v>
      </c>
      <c r="P728" s="5" t="str">
        <f t="shared" si="68"/>
        <v>Friday</v>
      </c>
      <c r="Q728" s="5">
        <f t="shared" si="69"/>
        <v>15</v>
      </c>
      <c r="R728" s="28">
        <f t="shared" si="70"/>
        <v>0.92578125</v>
      </c>
      <c r="S728" s="29">
        <f t="shared" si="71"/>
        <v>92.578125</v>
      </c>
      <c r="T728" s="5" t="str">
        <f>IF(Delivery_Data[[#This Row],[Delays (min)]]&gt;0,"No","Yes")</f>
        <v>No</v>
      </c>
    </row>
    <row r="729" spans="1:20" ht="15.75" customHeight="1" x14ac:dyDescent="0.3">
      <c r="A729" s="4">
        <v>1728</v>
      </c>
      <c r="B729" s="5" t="s">
        <v>852</v>
      </c>
      <c r="C729" s="6">
        <v>45172.57916666667</v>
      </c>
      <c r="D729" s="5" t="s">
        <v>14</v>
      </c>
      <c r="E729" s="5" t="s">
        <v>126</v>
      </c>
      <c r="F729" s="5" t="s">
        <v>24</v>
      </c>
      <c r="G729" s="5" t="s">
        <v>39</v>
      </c>
      <c r="H729" s="5">
        <v>203</v>
      </c>
      <c r="I729" s="5">
        <v>16</v>
      </c>
      <c r="J729" s="5" t="s">
        <v>32</v>
      </c>
      <c r="K729" s="5" t="s">
        <v>19</v>
      </c>
      <c r="L729" s="5" t="s">
        <v>28</v>
      </c>
      <c r="M729" s="7" t="s">
        <v>41</v>
      </c>
      <c r="N729" s="26">
        <f t="shared" si="66"/>
        <v>-1</v>
      </c>
      <c r="O729" s="42">
        <f t="shared" si="67"/>
        <v>45172</v>
      </c>
      <c r="P729" s="5" t="str">
        <f t="shared" si="68"/>
        <v>Sunday</v>
      </c>
      <c r="Q729" s="5">
        <f t="shared" si="69"/>
        <v>13</v>
      </c>
      <c r="R729" s="28">
        <f t="shared" si="70"/>
        <v>0.9269406392694064</v>
      </c>
      <c r="S729" s="29">
        <f t="shared" si="71"/>
        <v>92.694063926940643</v>
      </c>
      <c r="T729" s="5" t="str">
        <f>IF(Delivery_Data[[#This Row],[Delays (min)]]&gt;0,"No","Yes")</f>
        <v>No</v>
      </c>
    </row>
    <row r="730" spans="1:20" ht="15.75" customHeight="1" x14ac:dyDescent="0.3">
      <c r="A730" s="4">
        <v>1729</v>
      </c>
      <c r="B730" s="5" t="s">
        <v>853</v>
      </c>
      <c r="C730" s="6">
        <v>45176.381944444445</v>
      </c>
      <c r="D730" s="5" t="s">
        <v>43</v>
      </c>
      <c r="E730" s="5" t="s">
        <v>51</v>
      </c>
      <c r="F730" s="5" t="s">
        <v>38</v>
      </c>
      <c r="G730" s="5" t="s">
        <v>39</v>
      </c>
      <c r="H730" s="5">
        <v>206</v>
      </c>
      <c r="I730" s="5">
        <v>20</v>
      </c>
      <c r="J730" s="5" t="s">
        <v>32</v>
      </c>
      <c r="K730" s="5" t="s">
        <v>27</v>
      </c>
      <c r="L730" s="5" t="s">
        <v>20</v>
      </c>
      <c r="M730" s="7" t="s">
        <v>41</v>
      </c>
      <c r="N730" s="26">
        <f t="shared" si="66"/>
        <v>-1</v>
      </c>
      <c r="O730" s="42">
        <f t="shared" si="67"/>
        <v>45176</v>
      </c>
      <c r="P730" s="5" t="str">
        <f t="shared" si="68"/>
        <v>Thursday</v>
      </c>
      <c r="Q730" s="5">
        <f t="shared" si="69"/>
        <v>9</v>
      </c>
      <c r="R730" s="28">
        <f t="shared" si="70"/>
        <v>0.91150442477876104</v>
      </c>
      <c r="S730" s="29">
        <f t="shared" si="71"/>
        <v>91.150442477876098</v>
      </c>
      <c r="T730" s="5" t="str">
        <f>IF(Delivery_Data[[#This Row],[Delays (min)]]&gt;0,"No","Yes")</f>
        <v>No</v>
      </c>
    </row>
    <row r="731" spans="1:20" ht="15.75" customHeight="1" x14ac:dyDescent="0.3">
      <c r="A731" s="4">
        <v>1730</v>
      </c>
      <c r="B731" s="5" t="s">
        <v>854</v>
      </c>
      <c r="C731" s="6">
        <v>45176.506944444445</v>
      </c>
      <c r="D731" s="5" t="s">
        <v>14</v>
      </c>
      <c r="E731" s="5" t="s">
        <v>270</v>
      </c>
      <c r="F731" s="5" t="s">
        <v>16</v>
      </c>
      <c r="G731" s="5" t="s">
        <v>31</v>
      </c>
      <c r="H731" s="5">
        <v>138</v>
      </c>
      <c r="I731" s="5">
        <v>14</v>
      </c>
      <c r="J731" s="5" t="s">
        <v>26</v>
      </c>
      <c r="K731" s="5" t="s">
        <v>35</v>
      </c>
      <c r="L731" s="5" t="s">
        <v>40</v>
      </c>
      <c r="M731" s="7" t="s">
        <v>41</v>
      </c>
      <c r="N731" s="26">
        <f t="shared" si="66"/>
        <v>1</v>
      </c>
      <c r="O731" s="42">
        <f t="shared" si="67"/>
        <v>45176</v>
      </c>
      <c r="P731" s="5" t="str">
        <f t="shared" si="68"/>
        <v>Thursday</v>
      </c>
      <c r="Q731" s="5">
        <f t="shared" si="69"/>
        <v>12</v>
      </c>
      <c r="R731" s="28">
        <f t="shared" si="70"/>
        <v>0.90789473684210531</v>
      </c>
      <c r="S731" s="29">
        <f t="shared" si="71"/>
        <v>90.789473684210535</v>
      </c>
      <c r="T731" s="5" t="str">
        <f>IF(Delivery_Data[[#This Row],[Delays (min)]]&gt;0,"No","Yes")</f>
        <v>No</v>
      </c>
    </row>
    <row r="732" spans="1:20" ht="15.75" customHeight="1" x14ac:dyDescent="0.3">
      <c r="A732" s="4">
        <v>1731</v>
      </c>
      <c r="B732" s="5" t="s">
        <v>855</v>
      </c>
      <c r="C732" s="6">
        <v>45173.343055555553</v>
      </c>
      <c r="D732" s="5" t="s">
        <v>43</v>
      </c>
      <c r="E732" s="5" t="s">
        <v>143</v>
      </c>
      <c r="F732" s="5" t="s">
        <v>38</v>
      </c>
      <c r="G732" s="5" t="s">
        <v>39</v>
      </c>
      <c r="H732" s="5">
        <v>121</v>
      </c>
      <c r="I732" s="5">
        <v>22</v>
      </c>
      <c r="J732" s="5" t="s">
        <v>32</v>
      </c>
      <c r="K732" s="5" t="s">
        <v>27</v>
      </c>
      <c r="L732" s="5" t="s">
        <v>40</v>
      </c>
      <c r="M732" s="7" t="s">
        <v>21</v>
      </c>
      <c r="N732" s="26">
        <f t="shared" si="66"/>
        <v>-1</v>
      </c>
      <c r="O732" s="42">
        <f t="shared" si="67"/>
        <v>45173</v>
      </c>
      <c r="P732" s="5" t="str">
        <f t="shared" si="68"/>
        <v>Monday</v>
      </c>
      <c r="Q732" s="5">
        <f t="shared" si="69"/>
        <v>8</v>
      </c>
      <c r="R732" s="28">
        <f t="shared" si="70"/>
        <v>0.84615384615384615</v>
      </c>
      <c r="S732" s="29">
        <f t="shared" si="71"/>
        <v>84.615384615384613</v>
      </c>
      <c r="T732" s="5" t="str">
        <f>IF(Delivery_Data[[#This Row],[Delays (min)]]&gt;0,"No","Yes")</f>
        <v>No</v>
      </c>
    </row>
    <row r="733" spans="1:20" ht="15.75" customHeight="1" x14ac:dyDescent="0.3">
      <c r="A733" s="4">
        <v>1732</v>
      </c>
      <c r="B733" s="5" t="s">
        <v>856</v>
      </c>
      <c r="C733" s="6">
        <v>45172.612500000003</v>
      </c>
      <c r="D733" s="5" t="s">
        <v>14</v>
      </c>
      <c r="E733" s="5" t="s">
        <v>281</v>
      </c>
      <c r="F733" s="5" t="s">
        <v>16</v>
      </c>
      <c r="G733" s="5" t="s">
        <v>56</v>
      </c>
      <c r="H733" s="5">
        <v>204</v>
      </c>
      <c r="I733" s="5">
        <v>3</v>
      </c>
      <c r="J733" s="5" t="s">
        <v>32</v>
      </c>
      <c r="K733" s="5" t="s">
        <v>19</v>
      </c>
      <c r="L733" s="5" t="s">
        <v>28</v>
      </c>
      <c r="M733" s="7" t="s">
        <v>46</v>
      </c>
      <c r="N733" s="26">
        <f t="shared" si="66"/>
        <v>-1</v>
      </c>
      <c r="O733" s="42">
        <f t="shared" si="67"/>
        <v>45172</v>
      </c>
      <c r="P733" s="5" t="str">
        <f t="shared" si="68"/>
        <v>Sunday</v>
      </c>
      <c r="Q733" s="5">
        <f t="shared" si="69"/>
        <v>14</v>
      </c>
      <c r="R733" s="28">
        <f t="shared" si="70"/>
        <v>0.98550724637681164</v>
      </c>
      <c r="S733" s="29">
        <f t="shared" si="71"/>
        <v>98.550724637681171</v>
      </c>
      <c r="T733" s="5" t="str">
        <f>IF(Delivery_Data[[#This Row],[Delays (min)]]&gt;0,"No","Yes")</f>
        <v>No</v>
      </c>
    </row>
    <row r="734" spans="1:20" ht="15.75" customHeight="1" x14ac:dyDescent="0.3">
      <c r="A734" s="4">
        <v>1733</v>
      </c>
      <c r="B734" s="5" t="s">
        <v>857</v>
      </c>
      <c r="C734" s="6">
        <v>45172.37222222222</v>
      </c>
      <c r="D734" s="5" t="s">
        <v>14</v>
      </c>
      <c r="E734" s="5" t="s">
        <v>37</v>
      </c>
      <c r="F734" s="5" t="s">
        <v>38</v>
      </c>
      <c r="G734" s="5" t="s">
        <v>25</v>
      </c>
      <c r="H734" s="5">
        <v>137</v>
      </c>
      <c r="I734" s="5">
        <v>24</v>
      </c>
      <c r="J734" s="5" t="s">
        <v>32</v>
      </c>
      <c r="K734" s="5" t="s">
        <v>49</v>
      </c>
      <c r="L734" s="5" t="s">
        <v>20</v>
      </c>
      <c r="M734" s="7" t="s">
        <v>41</v>
      </c>
      <c r="N734" s="26">
        <f t="shared" si="66"/>
        <v>-1</v>
      </c>
      <c r="O734" s="42">
        <f t="shared" si="67"/>
        <v>45172</v>
      </c>
      <c r="P734" s="5" t="str">
        <f t="shared" si="68"/>
        <v>Sunday</v>
      </c>
      <c r="Q734" s="5">
        <f t="shared" si="69"/>
        <v>8</v>
      </c>
      <c r="R734" s="28">
        <f t="shared" si="70"/>
        <v>0.85093167701863359</v>
      </c>
      <c r="S734" s="29">
        <f t="shared" si="71"/>
        <v>85.093167701863365</v>
      </c>
      <c r="T734" s="5" t="str">
        <f>IF(Delivery_Data[[#This Row],[Delays (min)]]&gt;0,"No","Yes")</f>
        <v>No</v>
      </c>
    </row>
    <row r="735" spans="1:20" ht="15.75" customHeight="1" x14ac:dyDescent="0.3">
      <c r="A735" s="4">
        <v>1734</v>
      </c>
      <c r="B735" s="5" t="s">
        <v>858</v>
      </c>
      <c r="C735" s="6">
        <v>45175.640972222223</v>
      </c>
      <c r="D735" s="5" t="s">
        <v>43</v>
      </c>
      <c r="E735" s="5" t="s">
        <v>48</v>
      </c>
      <c r="F735" s="5" t="s">
        <v>38</v>
      </c>
      <c r="G735" s="5" t="s">
        <v>31</v>
      </c>
      <c r="H735" s="5">
        <v>196</v>
      </c>
      <c r="I735" s="5">
        <v>5</v>
      </c>
      <c r="J735" s="5" t="s">
        <v>18</v>
      </c>
      <c r="K735" s="5" t="s">
        <v>19</v>
      </c>
      <c r="L735" s="5" t="s">
        <v>40</v>
      </c>
      <c r="M735" s="7" t="s">
        <v>46</v>
      </c>
      <c r="N735" s="26">
        <f t="shared" si="66"/>
        <v>0</v>
      </c>
      <c r="O735" s="42">
        <f t="shared" si="67"/>
        <v>45175</v>
      </c>
      <c r="P735" s="5" t="str">
        <f t="shared" si="68"/>
        <v>Wednesday</v>
      </c>
      <c r="Q735" s="5">
        <f t="shared" si="69"/>
        <v>15</v>
      </c>
      <c r="R735" s="28">
        <f t="shared" si="70"/>
        <v>0.97512437810945274</v>
      </c>
      <c r="S735" s="29">
        <f t="shared" si="71"/>
        <v>97.512437810945272</v>
      </c>
      <c r="T735" s="5" t="str">
        <f>IF(Delivery_Data[[#This Row],[Delays (min)]]&gt;0,"No","Yes")</f>
        <v>No</v>
      </c>
    </row>
    <row r="736" spans="1:20" ht="15.75" customHeight="1" x14ac:dyDescent="0.3">
      <c r="A736" s="4">
        <v>1735</v>
      </c>
      <c r="B736" s="5" t="s">
        <v>859</v>
      </c>
      <c r="C736" s="6">
        <v>45171.674305555556</v>
      </c>
      <c r="D736" s="5" t="s">
        <v>43</v>
      </c>
      <c r="E736" s="5" t="s">
        <v>277</v>
      </c>
      <c r="F736" s="5" t="s">
        <v>16</v>
      </c>
      <c r="G736" s="5" t="s">
        <v>39</v>
      </c>
      <c r="H736" s="5">
        <v>228</v>
      </c>
      <c r="I736" s="5">
        <v>1</v>
      </c>
      <c r="J736" s="5" t="s">
        <v>18</v>
      </c>
      <c r="K736" s="5" t="s">
        <v>27</v>
      </c>
      <c r="L736" s="5" t="s">
        <v>28</v>
      </c>
      <c r="M736" s="7" t="s">
        <v>46</v>
      </c>
      <c r="N736" s="26">
        <f t="shared" si="66"/>
        <v>0</v>
      </c>
      <c r="O736" s="42">
        <f t="shared" si="67"/>
        <v>45171</v>
      </c>
      <c r="P736" s="5" t="str">
        <f t="shared" si="68"/>
        <v>Saturday</v>
      </c>
      <c r="Q736" s="5">
        <f t="shared" si="69"/>
        <v>16</v>
      </c>
      <c r="R736" s="28">
        <f t="shared" si="70"/>
        <v>0.99563318777292575</v>
      </c>
      <c r="S736" s="29">
        <f t="shared" si="71"/>
        <v>99.563318777292579</v>
      </c>
      <c r="T736" s="5" t="str">
        <f>IF(Delivery_Data[[#This Row],[Delays (min)]]&gt;0,"No","Yes")</f>
        <v>No</v>
      </c>
    </row>
    <row r="737" spans="1:20" ht="15.75" customHeight="1" x14ac:dyDescent="0.3">
      <c r="A737" s="4">
        <v>1736</v>
      </c>
      <c r="B737" s="5" t="s">
        <v>860</v>
      </c>
      <c r="C737" s="6">
        <v>45177.520138888889</v>
      </c>
      <c r="D737" s="5" t="s">
        <v>43</v>
      </c>
      <c r="E737" s="5" t="s">
        <v>58</v>
      </c>
      <c r="F737" s="5" t="s">
        <v>16</v>
      </c>
      <c r="G737" s="5" t="s">
        <v>56</v>
      </c>
      <c r="H737" s="5">
        <v>100</v>
      </c>
      <c r="I737" s="5">
        <v>26</v>
      </c>
      <c r="J737" s="5" t="s">
        <v>18</v>
      </c>
      <c r="K737" s="5" t="s">
        <v>19</v>
      </c>
      <c r="L737" s="5" t="s">
        <v>40</v>
      </c>
      <c r="M737" s="7" t="s">
        <v>46</v>
      </c>
      <c r="N737" s="26">
        <f t="shared" si="66"/>
        <v>0</v>
      </c>
      <c r="O737" s="42">
        <f t="shared" si="67"/>
        <v>45177</v>
      </c>
      <c r="P737" s="5" t="str">
        <f t="shared" si="68"/>
        <v>Friday</v>
      </c>
      <c r="Q737" s="5">
        <f t="shared" si="69"/>
        <v>12</v>
      </c>
      <c r="R737" s="28">
        <f t="shared" si="70"/>
        <v>0.79365079365079361</v>
      </c>
      <c r="S737" s="29">
        <f t="shared" si="71"/>
        <v>79.365079365079367</v>
      </c>
      <c r="T737" s="5" t="str">
        <f>IF(Delivery_Data[[#This Row],[Delays (min)]]&gt;0,"No","Yes")</f>
        <v>No</v>
      </c>
    </row>
    <row r="738" spans="1:20" ht="15.75" customHeight="1" x14ac:dyDescent="0.3">
      <c r="A738" s="4">
        <v>1737</v>
      </c>
      <c r="B738" s="5" t="s">
        <v>861</v>
      </c>
      <c r="C738" s="6">
        <v>45172.363888888889</v>
      </c>
      <c r="D738" s="5" t="s">
        <v>43</v>
      </c>
      <c r="E738" s="5" t="s">
        <v>374</v>
      </c>
      <c r="F738" s="5" t="s">
        <v>24</v>
      </c>
      <c r="G738" s="5" t="s">
        <v>39</v>
      </c>
      <c r="H738" s="5">
        <v>232</v>
      </c>
      <c r="I738" s="5">
        <v>19</v>
      </c>
      <c r="J738" s="5" t="s">
        <v>26</v>
      </c>
      <c r="K738" s="5" t="s">
        <v>49</v>
      </c>
      <c r="L738" s="5" t="s">
        <v>20</v>
      </c>
      <c r="M738" s="7" t="s">
        <v>41</v>
      </c>
      <c r="N738" s="26">
        <f t="shared" si="66"/>
        <v>1</v>
      </c>
      <c r="O738" s="42">
        <f t="shared" si="67"/>
        <v>45172</v>
      </c>
      <c r="P738" s="5" t="str">
        <f t="shared" si="68"/>
        <v>Sunday</v>
      </c>
      <c r="Q738" s="5">
        <f t="shared" si="69"/>
        <v>8</v>
      </c>
      <c r="R738" s="28">
        <f t="shared" si="70"/>
        <v>0.92430278884462147</v>
      </c>
      <c r="S738" s="29">
        <f t="shared" si="71"/>
        <v>92.43027888446214</v>
      </c>
      <c r="T738" s="5" t="str">
        <f>IF(Delivery_Data[[#This Row],[Delays (min)]]&gt;0,"No","Yes")</f>
        <v>No</v>
      </c>
    </row>
    <row r="739" spans="1:20" ht="15.75" customHeight="1" x14ac:dyDescent="0.3">
      <c r="A739" s="4">
        <v>1738</v>
      </c>
      <c r="B739" s="5" t="s">
        <v>862</v>
      </c>
      <c r="C739" s="6">
        <v>45177.373611111114</v>
      </c>
      <c r="D739" s="5" t="s">
        <v>14</v>
      </c>
      <c r="E739" s="5" t="s">
        <v>306</v>
      </c>
      <c r="F739" s="5" t="s">
        <v>38</v>
      </c>
      <c r="G739" s="5" t="s">
        <v>17</v>
      </c>
      <c r="H739" s="5">
        <v>186</v>
      </c>
      <c r="I739" s="5">
        <v>13</v>
      </c>
      <c r="J739" s="5" t="s">
        <v>32</v>
      </c>
      <c r="K739" s="5" t="s">
        <v>45</v>
      </c>
      <c r="L739" s="5" t="s">
        <v>28</v>
      </c>
      <c r="M739" s="7" t="s">
        <v>46</v>
      </c>
      <c r="N739" s="26">
        <f t="shared" si="66"/>
        <v>-1</v>
      </c>
      <c r="O739" s="42">
        <f t="shared" si="67"/>
        <v>45177</v>
      </c>
      <c r="P739" s="5" t="str">
        <f t="shared" si="68"/>
        <v>Friday</v>
      </c>
      <c r="Q739" s="5">
        <f t="shared" si="69"/>
        <v>8</v>
      </c>
      <c r="R739" s="28">
        <f t="shared" si="70"/>
        <v>0.9346733668341709</v>
      </c>
      <c r="S739" s="29">
        <f t="shared" si="71"/>
        <v>93.467336683417088</v>
      </c>
      <c r="T739" s="5" t="str">
        <f>IF(Delivery_Data[[#This Row],[Delays (min)]]&gt;0,"No","Yes")</f>
        <v>No</v>
      </c>
    </row>
    <row r="740" spans="1:20" ht="15.75" customHeight="1" x14ac:dyDescent="0.3">
      <c r="A740" s="4">
        <v>1739</v>
      </c>
      <c r="B740" s="5" t="s">
        <v>863</v>
      </c>
      <c r="C740" s="6">
        <v>45175.378472222219</v>
      </c>
      <c r="D740" s="5" t="s">
        <v>14</v>
      </c>
      <c r="E740" s="5" t="s">
        <v>135</v>
      </c>
      <c r="F740" s="5" t="s">
        <v>16</v>
      </c>
      <c r="G740" s="5" t="s">
        <v>17</v>
      </c>
      <c r="H740" s="5">
        <v>197</v>
      </c>
      <c r="I740" s="5">
        <v>2</v>
      </c>
      <c r="J740" s="5" t="s">
        <v>32</v>
      </c>
      <c r="K740" s="5" t="s">
        <v>45</v>
      </c>
      <c r="L740" s="5" t="s">
        <v>20</v>
      </c>
      <c r="M740" s="7" t="s">
        <v>41</v>
      </c>
      <c r="N740" s="26">
        <f t="shared" si="66"/>
        <v>-1</v>
      </c>
      <c r="O740" s="42">
        <f t="shared" si="67"/>
        <v>45175</v>
      </c>
      <c r="P740" s="5" t="str">
        <f t="shared" si="68"/>
        <v>Wednesday</v>
      </c>
      <c r="Q740" s="5">
        <f t="shared" si="69"/>
        <v>9</v>
      </c>
      <c r="R740" s="28">
        <f t="shared" si="70"/>
        <v>0.98994974874371855</v>
      </c>
      <c r="S740" s="29">
        <f t="shared" si="71"/>
        <v>98.994974874371849</v>
      </c>
      <c r="T740" s="5" t="str">
        <f>IF(Delivery_Data[[#This Row],[Delays (min)]]&gt;0,"No","Yes")</f>
        <v>No</v>
      </c>
    </row>
    <row r="741" spans="1:20" ht="15.75" customHeight="1" x14ac:dyDescent="0.3">
      <c r="A741" s="4">
        <v>1740</v>
      </c>
      <c r="B741" s="5" t="s">
        <v>864</v>
      </c>
      <c r="C741" s="6">
        <v>45170.426388888889</v>
      </c>
      <c r="D741" s="5" t="s">
        <v>43</v>
      </c>
      <c r="E741" s="5" t="s">
        <v>85</v>
      </c>
      <c r="F741" s="5" t="s">
        <v>16</v>
      </c>
      <c r="G741" s="5" t="s">
        <v>25</v>
      </c>
      <c r="H741" s="5">
        <v>159</v>
      </c>
      <c r="I741" s="5">
        <v>28</v>
      </c>
      <c r="J741" s="5" t="s">
        <v>26</v>
      </c>
      <c r="K741" s="5" t="s">
        <v>27</v>
      </c>
      <c r="L741" s="5" t="s">
        <v>20</v>
      </c>
      <c r="M741" s="7" t="s">
        <v>46</v>
      </c>
      <c r="N741" s="26">
        <f t="shared" si="66"/>
        <v>1</v>
      </c>
      <c r="O741" s="42">
        <f t="shared" si="67"/>
        <v>45170</v>
      </c>
      <c r="P741" s="5" t="str">
        <f t="shared" si="68"/>
        <v>Friday</v>
      </c>
      <c r="Q741" s="5">
        <f t="shared" si="69"/>
        <v>10</v>
      </c>
      <c r="R741" s="28">
        <f t="shared" si="70"/>
        <v>0.85026737967914434</v>
      </c>
      <c r="S741" s="29">
        <f t="shared" si="71"/>
        <v>85.026737967914428</v>
      </c>
      <c r="T741" s="5" t="str">
        <f>IF(Delivery_Data[[#This Row],[Delays (min)]]&gt;0,"No","Yes")</f>
        <v>No</v>
      </c>
    </row>
    <row r="742" spans="1:20" ht="15.75" customHeight="1" x14ac:dyDescent="0.3">
      <c r="A742" s="4">
        <v>1741</v>
      </c>
      <c r="B742" s="5" t="s">
        <v>865</v>
      </c>
      <c r="C742" s="6">
        <v>45176.425000000003</v>
      </c>
      <c r="D742" s="5" t="s">
        <v>14</v>
      </c>
      <c r="E742" s="5" t="s">
        <v>156</v>
      </c>
      <c r="F742" s="5" t="s">
        <v>16</v>
      </c>
      <c r="G742" s="5" t="s">
        <v>25</v>
      </c>
      <c r="H742" s="5">
        <v>181</v>
      </c>
      <c r="I742" s="5">
        <v>19</v>
      </c>
      <c r="J742" s="5" t="s">
        <v>18</v>
      </c>
      <c r="K742" s="5" t="s">
        <v>19</v>
      </c>
      <c r="L742" s="5" t="s">
        <v>28</v>
      </c>
      <c r="M742" s="7" t="s">
        <v>21</v>
      </c>
      <c r="N742" s="26">
        <f t="shared" si="66"/>
        <v>0</v>
      </c>
      <c r="O742" s="42">
        <f t="shared" si="67"/>
        <v>45176</v>
      </c>
      <c r="P742" s="5" t="str">
        <f t="shared" si="68"/>
        <v>Thursday</v>
      </c>
      <c r="Q742" s="5">
        <f t="shared" si="69"/>
        <v>10</v>
      </c>
      <c r="R742" s="28">
        <f t="shared" si="70"/>
        <v>0.90500000000000003</v>
      </c>
      <c r="S742" s="29">
        <f t="shared" si="71"/>
        <v>90.5</v>
      </c>
      <c r="T742" s="5" t="str">
        <f>IF(Delivery_Data[[#This Row],[Delays (min)]]&gt;0,"No","Yes")</f>
        <v>No</v>
      </c>
    </row>
    <row r="743" spans="1:20" ht="15.75" customHeight="1" x14ac:dyDescent="0.3">
      <c r="A743" s="4">
        <v>1742</v>
      </c>
      <c r="B743" s="5" t="s">
        <v>866</v>
      </c>
      <c r="C743" s="6">
        <v>45172.42083333333</v>
      </c>
      <c r="D743" s="5" t="s">
        <v>14</v>
      </c>
      <c r="E743" s="5" t="s">
        <v>211</v>
      </c>
      <c r="F743" s="5" t="s">
        <v>38</v>
      </c>
      <c r="G743" s="5" t="s">
        <v>17</v>
      </c>
      <c r="H743" s="5">
        <v>64</v>
      </c>
      <c r="I743" s="5">
        <v>24</v>
      </c>
      <c r="J743" s="5" t="s">
        <v>26</v>
      </c>
      <c r="K743" s="5" t="s">
        <v>27</v>
      </c>
      <c r="L743" s="5" t="s">
        <v>40</v>
      </c>
      <c r="M743" s="7" t="s">
        <v>46</v>
      </c>
      <c r="N743" s="26">
        <f t="shared" si="66"/>
        <v>1</v>
      </c>
      <c r="O743" s="42">
        <f t="shared" si="67"/>
        <v>45172</v>
      </c>
      <c r="P743" s="5" t="str">
        <f t="shared" si="68"/>
        <v>Sunday</v>
      </c>
      <c r="Q743" s="5">
        <f t="shared" si="69"/>
        <v>10</v>
      </c>
      <c r="R743" s="28">
        <f t="shared" si="70"/>
        <v>0.72727272727272729</v>
      </c>
      <c r="S743" s="29">
        <f t="shared" si="71"/>
        <v>72.727272727272734</v>
      </c>
      <c r="T743" s="5" t="str">
        <f>IF(Delivery_Data[[#This Row],[Delays (min)]]&gt;0,"No","Yes")</f>
        <v>No</v>
      </c>
    </row>
    <row r="744" spans="1:20" ht="15.75" customHeight="1" x14ac:dyDescent="0.3">
      <c r="A744" s="4">
        <v>1743</v>
      </c>
      <c r="B744" s="5" t="s">
        <v>867</v>
      </c>
      <c r="C744" s="6">
        <v>45171.390277777777</v>
      </c>
      <c r="D744" s="5" t="s">
        <v>43</v>
      </c>
      <c r="E744" s="5" t="s">
        <v>197</v>
      </c>
      <c r="F744" s="5" t="s">
        <v>38</v>
      </c>
      <c r="G744" s="5" t="s">
        <v>56</v>
      </c>
      <c r="H744" s="5">
        <v>194</v>
      </c>
      <c r="I744" s="5">
        <v>14</v>
      </c>
      <c r="J744" s="5" t="s">
        <v>26</v>
      </c>
      <c r="K744" s="5" t="s">
        <v>19</v>
      </c>
      <c r="L744" s="5" t="s">
        <v>40</v>
      </c>
      <c r="M744" s="7" t="s">
        <v>46</v>
      </c>
      <c r="N744" s="26">
        <f t="shared" si="66"/>
        <v>1</v>
      </c>
      <c r="O744" s="42">
        <f t="shared" si="67"/>
        <v>45171</v>
      </c>
      <c r="P744" s="5" t="str">
        <f t="shared" si="68"/>
        <v>Saturday</v>
      </c>
      <c r="Q744" s="5">
        <f t="shared" si="69"/>
        <v>9</v>
      </c>
      <c r="R744" s="28">
        <f t="shared" si="70"/>
        <v>0.93269230769230771</v>
      </c>
      <c r="S744" s="29">
        <f t="shared" si="71"/>
        <v>93.269230769230774</v>
      </c>
      <c r="T744" s="5" t="str">
        <f>IF(Delivery_Data[[#This Row],[Delays (min)]]&gt;0,"No","Yes")</f>
        <v>No</v>
      </c>
    </row>
    <row r="745" spans="1:20" ht="15.75" customHeight="1" x14ac:dyDescent="0.3">
      <c r="A745" s="4">
        <v>1744</v>
      </c>
      <c r="B745" s="5" t="s">
        <v>868</v>
      </c>
      <c r="C745" s="6">
        <v>45177.691666666666</v>
      </c>
      <c r="D745" s="5" t="s">
        <v>43</v>
      </c>
      <c r="E745" s="5" t="s">
        <v>76</v>
      </c>
      <c r="F745" s="5" t="s">
        <v>16</v>
      </c>
      <c r="G745" s="5" t="s">
        <v>31</v>
      </c>
      <c r="H745" s="5">
        <v>163</v>
      </c>
      <c r="I745" s="5">
        <v>2</v>
      </c>
      <c r="J745" s="5" t="s">
        <v>32</v>
      </c>
      <c r="K745" s="5" t="s">
        <v>49</v>
      </c>
      <c r="L745" s="5" t="s">
        <v>40</v>
      </c>
      <c r="M745" s="7" t="s">
        <v>46</v>
      </c>
      <c r="N745" s="26">
        <f t="shared" si="66"/>
        <v>-1</v>
      </c>
      <c r="O745" s="42">
        <f t="shared" si="67"/>
        <v>45177</v>
      </c>
      <c r="P745" s="5" t="str">
        <f t="shared" si="68"/>
        <v>Friday</v>
      </c>
      <c r="Q745" s="5">
        <f t="shared" si="69"/>
        <v>16</v>
      </c>
      <c r="R745" s="28">
        <f t="shared" si="70"/>
        <v>0.98787878787878791</v>
      </c>
      <c r="S745" s="29">
        <f t="shared" si="71"/>
        <v>98.787878787878796</v>
      </c>
      <c r="T745" s="5" t="str">
        <f>IF(Delivery_Data[[#This Row],[Delays (min)]]&gt;0,"No","Yes")</f>
        <v>No</v>
      </c>
    </row>
    <row r="746" spans="1:20" ht="15.75" customHeight="1" x14ac:dyDescent="0.3">
      <c r="A746" s="4">
        <v>1745</v>
      </c>
      <c r="B746" s="5" t="s">
        <v>869</v>
      </c>
      <c r="C746" s="6">
        <v>45175.363194444442</v>
      </c>
      <c r="D746" s="5" t="s">
        <v>14</v>
      </c>
      <c r="E746" s="5" t="s">
        <v>177</v>
      </c>
      <c r="F746" s="5" t="s">
        <v>16</v>
      </c>
      <c r="G746" s="5" t="s">
        <v>17</v>
      </c>
      <c r="H746" s="5">
        <v>222</v>
      </c>
      <c r="I746" s="5">
        <v>19</v>
      </c>
      <c r="J746" s="5" t="s">
        <v>32</v>
      </c>
      <c r="K746" s="5" t="s">
        <v>19</v>
      </c>
      <c r="L746" s="5" t="s">
        <v>20</v>
      </c>
      <c r="M746" s="7" t="s">
        <v>41</v>
      </c>
      <c r="N746" s="26">
        <f t="shared" si="66"/>
        <v>-1</v>
      </c>
      <c r="O746" s="42">
        <f t="shared" si="67"/>
        <v>45175</v>
      </c>
      <c r="P746" s="5" t="str">
        <f t="shared" si="68"/>
        <v>Wednesday</v>
      </c>
      <c r="Q746" s="5">
        <f t="shared" si="69"/>
        <v>8</v>
      </c>
      <c r="R746" s="28">
        <f t="shared" si="70"/>
        <v>0.92116182572614103</v>
      </c>
      <c r="S746" s="29">
        <f t="shared" si="71"/>
        <v>92.116182572614107</v>
      </c>
      <c r="T746" s="5" t="str">
        <f>IF(Delivery_Data[[#This Row],[Delays (min)]]&gt;0,"No","Yes")</f>
        <v>No</v>
      </c>
    </row>
    <row r="747" spans="1:20" ht="15.75" customHeight="1" x14ac:dyDescent="0.3">
      <c r="A747" s="4">
        <v>1746</v>
      </c>
      <c r="B747" s="5" t="s">
        <v>870</v>
      </c>
      <c r="C747" s="6">
        <v>45171.393750000003</v>
      </c>
      <c r="D747" s="5" t="s">
        <v>14</v>
      </c>
      <c r="E747" s="5" t="s">
        <v>109</v>
      </c>
      <c r="F747" s="5" t="s">
        <v>38</v>
      </c>
      <c r="G747" s="5" t="s">
        <v>25</v>
      </c>
      <c r="H747" s="5">
        <v>233</v>
      </c>
      <c r="I747" s="5">
        <v>10</v>
      </c>
      <c r="J747" s="5" t="s">
        <v>32</v>
      </c>
      <c r="K747" s="5" t="s">
        <v>45</v>
      </c>
      <c r="L747" s="5" t="s">
        <v>28</v>
      </c>
      <c r="M747" s="7" t="s">
        <v>21</v>
      </c>
      <c r="N747" s="26">
        <f t="shared" si="66"/>
        <v>-1</v>
      </c>
      <c r="O747" s="42">
        <f t="shared" si="67"/>
        <v>45171</v>
      </c>
      <c r="P747" s="5" t="str">
        <f t="shared" si="68"/>
        <v>Saturday</v>
      </c>
      <c r="Q747" s="5">
        <f t="shared" si="69"/>
        <v>9</v>
      </c>
      <c r="R747" s="28">
        <f t="shared" si="70"/>
        <v>0.95884773662551437</v>
      </c>
      <c r="S747" s="29">
        <f t="shared" si="71"/>
        <v>95.884773662551439</v>
      </c>
      <c r="T747" s="5" t="str">
        <f>IF(Delivery_Data[[#This Row],[Delays (min)]]&gt;0,"No","Yes")</f>
        <v>No</v>
      </c>
    </row>
    <row r="748" spans="1:20" ht="15.75" customHeight="1" x14ac:dyDescent="0.3">
      <c r="A748" s="4">
        <v>1747</v>
      </c>
      <c r="B748" s="5" t="s">
        <v>433</v>
      </c>
      <c r="C748" s="6">
        <v>45176.397222222222</v>
      </c>
      <c r="D748" s="5" t="s">
        <v>43</v>
      </c>
      <c r="E748" s="5" t="s">
        <v>182</v>
      </c>
      <c r="F748" s="5" t="s">
        <v>16</v>
      </c>
      <c r="G748" s="5" t="s">
        <v>39</v>
      </c>
      <c r="H748" s="5">
        <v>149</v>
      </c>
      <c r="I748" s="5">
        <v>19</v>
      </c>
      <c r="J748" s="5" t="s">
        <v>18</v>
      </c>
      <c r="K748" s="5" t="s">
        <v>45</v>
      </c>
      <c r="L748" s="5" t="s">
        <v>40</v>
      </c>
      <c r="M748" s="7" t="s">
        <v>41</v>
      </c>
      <c r="N748" s="26">
        <f t="shared" si="66"/>
        <v>0</v>
      </c>
      <c r="O748" s="42">
        <f t="shared" si="67"/>
        <v>45176</v>
      </c>
      <c r="P748" s="5" t="str">
        <f t="shared" si="68"/>
        <v>Thursday</v>
      </c>
      <c r="Q748" s="5">
        <f t="shared" si="69"/>
        <v>9</v>
      </c>
      <c r="R748" s="28">
        <f t="shared" si="70"/>
        <v>0.88690476190476186</v>
      </c>
      <c r="S748" s="29">
        <f t="shared" si="71"/>
        <v>88.69047619047619</v>
      </c>
      <c r="T748" s="5" t="str">
        <f>IF(Delivery_Data[[#This Row],[Delays (min)]]&gt;0,"No","Yes")</f>
        <v>No</v>
      </c>
    </row>
    <row r="749" spans="1:20" ht="15.75" customHeight="1" x14ac:dyDescent="0.3">
      <c r="A749" s="4">
        <v>1748</v>
      </c>
      <c r="B749" s="5" t="s">
        <v>871</v>
      </c>
      <c r="C749" s="6">
        <v>45175.481944444444</v>
      </c>
      <c r="D749" s="5" t="s">
        <v>43</v>
      </c>
      <c r="E749" s="5" t="s">
        <v>95</v>
      </c>
      <c r="F749" s="5" t="s">
        <v>38</v>
      </c>
      <c r="G749" s="5" t="s">
        <v>31</v>
      </c>
      <c r="H749" s="5">
        <v>114</v>
      </c>
      <c r="I749" s="5">
        <v>25</v>
      </c>
      <c r="J749" s="5" t="s">
        <v>32</v>
      </c>
      <c r="K749" s="5" t="s">
        <v>35</v>
      </c>
      <c r="L749" s="5" t="s">
        <v>28</v>
      </c>
      <c r="M749" s="7" t="s">
        <v>46</v>
      </c>
      <c r="N749" s="26">
        <f t="shared" si="66"/>
        <v>-1</v>
      </c>
      <c r="O749" s="42">
        <f t="shared" si="67"/>
        <v>45175</v>
      </c>
      <c r="P749" s="5" t="str">
        <f t="shared" si="68"/>
        <v>Wednesday</v>
      </c>
      <c r="Q749" s="5">
        <f t="shared" si="69"/>
        <v>11</v>
      </c>
      <c r="R749" s="28">
        <f t="shared" si="70"/>
        <v>0.82014388489208634</v>
      </c>
      <c r="S749" s="29">
        <f t="shared" si="71"/>
        <v>82.014388489208628</v>
      </c>
      <c r="T749" s="5" t="str">
        <f>IF(Delivery_Data[[#This Row],[Delays (min)]]&gt;0,"No","Yes")</f>
        <v>No</v>
      </c>
    </row>
    <row r="750" spans="1:20" ht="15.75" customHeight="1" x14ac:dyDescent="0.3">
      <c r="A750" s="4">
        <v>1749</v>
      </c>
      <c r="B750" s="5" t="s">
        <v>872</v>
      </c>
      <c r="C750" s="6">
        <v>45171.565972222219</v>
      </c>
      <c r="D750" s="5" t="s">
        <v>43</v>
      </c>
      <c r="E750" s="5" t="s">
        <v>126</v>
      </c>
      <c r="F750" s="5" t="s">
        <v>24</v>
      </c>
      <c r="G750" s="5" t="s">
        <v>25</v>
      </c>
      <c r="H750" s="5">
        <v>110</v>
      </c>
      <c r="I750" s="5">
        <v>8</v>
      </c>
      <c r="J750" s="5" t="s">
        <v>32</v>
      </c>
      <c r="K750" s="5" t="s">
        <v>27</v>
      </c>
      <c r="L750" s="5" t="s">
        <v>20</v>
      </c>
      <c r="M750" s="7" t="s">
        <v>46</v>
      </c>
      <c r="N750" s="26">
        <f t="shared" si="66"/>
        <v>-1</v>
      </c>
      <c r="O750" s="42">
        <f t="shared" si="67"/>
        <v>45171</v>
      </c>
      <c r="P750" s="5" t="str">
        <f t="shared" si="68"/>
        <v>Saturday</v>
      </c>
      <c r="Q750" s="5">
        <f t="shared" si="69"/>
        <v>13</v>
      </c>
      <c r="R750" s="28">
        <f t="shared" si="70"/>
        <v>0.93220338983050843</v>
      </c>
      <c r="S750" s="29">
        <f t="shared" si="71"/>
        <v>93.220338983050837</v>
      </c>
      <c r="T750" s="5" t="str">
        <f>IF(Delivery_Data[[#This Row],[Delays (min)]]&gt;0,"No","Yes")</f>
        <v>No</v>
      </c>
    </row>
    <row r="751" spans="1:20" ht="15.75" customHeight="1" x14ac:dyDescent="0.3">
      <c r="A751" s="4">
        <v>1750</v>
      </c>
      <c r="B751" s="5" t="s">
        <v>873</v>
      </c>
      <c r="C751" s="6">
        <v>45177.566666666666</v>
      </c>
      <c r="D751" s="5" t="s">
        <v>14</v>
      </c>
      <c r="E751" s="5" t="s">
        <v>93</v>
      </c>
      <c r="F751" s="5" t="s">
        <v>38</v>
      </c>
      <c r="G751" s="5" t="s">
        <v>39</v>
      </c>
      <c r="H751" s="5">
        <v>199</v>
      </c>
      <c r="I751" s="5">
        <v>0</v>
      </c>
      <c r="J751" s="5" t="s">
        <v>26</v>
      </c>
      <c r="K751" s="5" t="s">
        <v>19</v>
      </c>
      <c r="L751" s="5" t="s">
        <v>40</v>
      </c>
      <c r="M751" s="7" t="s">
        <v>21</v>
      </c>
      <c r="N751" s="26">
        <f t="shared" si="66"/>
        <v>1</v>
      </c>
      <c r="O751" s="42">
        <f t="shared" si="67"/>
        <v>45177</v>
      </c>
      <c r="P751" s="5" t="str">
        <f t="shared" si="68"/>
        <v>Friday</v>
      </c>
      <c r="Q751" s="5">
        <f t="shared" si="69"/>
        <v>13</v>
      </c>
      <c r="R751" s="28">
        <f t="shared" si="70"/>
        <v>1</v>
      </c>
      <c r="S751" s="29">
        <f t="shared" si="71"/>
        <v>100</v>
      </c>
      <c r="T751" s="5" t="str">
        <f>IF(Delivery_Data[[#This Row],[Delays (min)]]&gt;0,"No","Yes")</f>
        <v>Yes</v>
      </c>
    </row>
    <row r="752" spans="1:20" ht="15.75" customHeight="1" x14ac:dyDescent="0.3">
      <c r="A752" s="4">
        <v>1751</v>
      </c>
      <c r="B752" s="5" t="s">
        <v>874</v>
      </c>
      <c r="C752" s="6">
        <v>45171.631944444445</v>
      </c>
      <c r="D752" s="5" t="s">
        <v>43</v>
      </c>
      <c r="E752" s="5" t="s">
        <v>162</v>
      </c>
      <c r="F752" s="5" t="s">
        <v>16</v>
      </c>
      <c r="G752" s="5" t="s">
        <v>31</v>
      </c>
      <c r="H752" s="5">
        <v>169</v>
      </c>
      <c r="I752" s="5">
        <v>8</v>
      </c>
      <c r="J752" s="5" t="s">
        <v>26</v>
      </c>
      <c r="K752" s="5" t="s">
        <v>35</v>
      </c>
      <c r="L752" s="5" t="s">
        <v>40</v>
      </c>
      <c r="M752" s="7" t="s">
        <v>21</v>
      </c>
      <c r="N752" s="26">
        <f t="shared" si="66"/>
        <v>1</v>
      </c>
      <c r="O752" s="42">
        <f t="shared" si="67"/>
        <v>45171</v>
      </c>
      <c r="P752" s="5" t="str">
        <f t="shared" si="68"/>
        <v>Saturday</v>
      </c>
      <c r="Q752" s="5">
        <f t="shared" si="69"/>
        <v>15</v>
      </c>
      <c r="R752" s="28">
        <f t="shared" si="70"/>
        <v>0.95480225988700562</v>
      </c>
      <c r="S752" s="29">
        <f t="shared" si="71"/>
        <v>95.480225988700568</v>
      </c>
      <c r="T752" s="5" t="str">
        <f>IF(Delivery_Data[[#This Row],[Delays (min)]]&gt;0,"No","Yes")</f>
        <v>No</v>
      </c>
    </row>
    <row r="753" spans="1:20" ht="15.75" customHeight="1" x14ac:dyDescent="0.3">
      <c r="A753" s="4">
        <v>1752</v>
      </c>
      <c r="B753" s="5" t="s">
        <v>875</v>
      </c>
      <c r="C753" s="6">
        <v>45170.607638888891</v>
      </c>
      <c r="D753" s="5" t="s">
        <v>14</v>
      </c>
      <c r="E753" s="5" t="s">
        <v>267</v>
      </c>
      <c r="F753" s="5" t="s">
        <v>16</v>
      </c>
      <c r="G753" s="5" t="s">
        <v>31</v>
      </c>
      <c r="H753" s="5">
        <v>128</v>
      </c>
      <c r="I753" s="5">
        <v>4</v>
      </c>
      <c r="J753" s="5" t="s">
        <v>18</v>
      </c>
      <c r="K753" s="5" t="s">
        <v>45</v>
      </c>
      <c r="L753" s="5" t="s">
        <v>20</v>
      </c>
      <c r="M753" s="7" t="s">
        <v>46</v>
      </c>
      <c r="N753" s="26">
        <f t="shared" si="66"/>
        <v>0</v>
      </c>
      <c r="O753" s="42">
        <f t="shared" si="67"/>
        <v>45170</v>
      </c>
      <c r="P753" s="5" t="str">
        <f t="shared" si="68"/>
        <v>Friday</v>
      </c>
      <c r="Q753" s="5">
        <f t="shared" si="69"/>
        <v>14</v>
      </c>
      <c r="R753" s="28">
        <f t="shared" si="70"/>
        <v>0.96969696969696972</v>
      </c>
      <c r="S753" s="29">
        <f t="shared" si="71"/>
        <v>96.969696969696969</v>
      </c>
      <c r="T753" s="5" t="str">
        <f>IF(Delivery_Data[[#This Row],[Delays (min)]]&gt;0,"No","Yes")</f>
        <v>No</v>
      </c>
    </row>
    <row r="754" spans="1:20" ht="15.75" customHeight="1" x14ac:dyDescent="0.3">
      <c r="A754" s="4">
        <v>1753</v>
      </c>
      <c r="B754" s="5" t="s">
        <v>876</v>
      </c>
      <c r="C754" s="6">
        <v>45175.366666666669</v>
      </c>
      <c r="D754" s="5" t="s">
        <v>14</v>
      </c>
      <c r="E754" s="5" t="s">
        <v>97</v>
      </c>
      <c r="F754" s="5" t="s">
        <v>24</v>
      </c>
      <c r="G754" s="5" t="s">
        <v>25</v>
      </c>
      <c r="H754" s="5">
        <v>227</v>
      </c>
      <c r="I754" s="5">
        <v>1</v>
      </c>
      <c r="J754" s="5" t="s">
        <v>26</v>
      </c>
      <c r="K754" s="5" t="s">
        <v>49</v>
      </c>
      <c r="L754" s="5" t="s">
        <v>20</v>
      </c>
      <c r="M754" s="7" t="s">
        <v>41</v>
      </c>
      <c r="N754" s="26">
        <f t="shared" si="66"/>
        <v>1</v>
      </c>
      <c r="O754" s="42">
        <f t="shared" si="67"/>
        <v>45175</v>
      </c>
      <c r="P754" s="5" t="str">
        <f t="shared" si="68"/>
        <v>Wednesday</v>
      </c>
      <c r="Q754" s="5">
        <f t="shared" si="69"/>
        <v>8</v>
      </c>
      <c r="R754" s="28">
        <f t="shared" si="70"/>
        <v>0.99561403508771928</v>
      </c>
      <c r="S754" s="29">
        <f t="shared" si="71"/>
        <v>99.561403508771932</v>
      </c>
      <c r="T754" s="5" t="str">
        <f>IF(Delivery_Data[[#This Row],[Delays (min)]]&gt;0,"No","Yes")</f>
        <v>No</v>
      </c>
    </row>
    <row r="755" spans="1:20" ht="15.75" customHeight="1" x14ac:dyDescent="0.3">
      <c r="A755" s="4">
        <v>1754</v>
      </c>
      <c r="B755" s="5" t="s">
        <v>877</v>
      </c>
      <c r="C755" s="6">
        <v>45173.479166666664</v>
      </c>
      <c r="D755" s="5" t="s">
        <v>14</v>
      </c>
      <c r="E755" s="5" t="s">
        <v>118</v>
      </c>
      <c r="F755" s="5" t="s">
        <v>24</v>
      </c>
      <c r="G755" s="5" t="s">
        <v>39</v>
      </c>
      <c r="H755" s="5">
        <v>145</v>
      </c>
      <c r="I755" s="5">
        <v>23</v>
      </c>
      <c r="J755" s="5" t="s">
        <v>32</v>
      </c>
      <c r="K755" s="5" t="s">
        <v>45</v>
      </c>
      <c r="L755" s="5" t="s">
        <v>28</v>
      </c>
      <c r="M755" s="7" t="s">
        <v>41</v>
      </c>
      <c r="N755" s="26">
        <f t="shared" si="66"/>
        <v>-1</v>
      </c>
      <c r="O755" s="42">
        <f t="shared" si="67"/>
        <v>45173</v>
      </c>
      <c r="P755" s="5" t="str">
        <f t="shared" si="68"/>
        <v>Monday</v>
      </c>
      <c r="Q755" s="5">
        <f t="shared" si="69"/>
        <v>11</v>
      </c>
      <c r="R755" s="28">
        <f t="shared" si="70"/>
        <v>0.86309523809523814</v>
      </c>
      <c r="S755" s="29">
        <f t="shared" si="71"/>
        <v>86.30952380952381</v>
      </c>
      <c r="T755" s="5" t="str">
        <f>IF(Delivery_Data[[#This Row],[Delays (min)]]&gt;0,"No","Yes")</f>
        <v>No</v>
      </c>
    </row>
    <row r="756" spans="1:20" ht="15.75" customHeight="1" x14ac:dyDescent="0.3">
      <c r="A756" s="4">
        <v>1755</v>
      </c>
      <c r="B756" s="5" t="s">
        <v>878</v>
      </c>
      <c r="C756" s="6">
        <v>45176.399305555555</v>
      </c>
      <c r="D756" s="5" t="s">
        <v>43</v>
      </c>
      <c r="E756" s="5" t="s">
        <v>55</v>
      </c>
      <c r="F756" s="5" t="s">
        <v>16</v>
      </c>
      <c r="G756" s="5" t="s">
        <v>56</v>
      </c>
      <c r="H756" s="5">
        <v>143</v>
      </c>
      <c r="I756" s="5">
        <v>11</v>
      </c>
      <c r="J756" s="5" t="s">
        <v>32</v>
      </c>
      <c r="K756" s="5" t="s">
        <v>27</v>
      </c>
      <c r="L756" s="5" t="s">
        <v>28</v>
      </c>
      <c r="M756" s="7" t="s">
        <v>46</v>
      </c>
      <c r="N756" s="26">
        <f t="shared" si="66"/>
        <v>-1</v>
      </c>
      <c r="O756" s="42">
        <f t="shared" si="67"/>
        <v>45176</v>
      </c>
      <c r="P756" s="5" t="str">
        <f t="shared" si="68"/>
        <v>Thursday</v>
      </c>
      <c r="Q756" s="5">
        <f t="shared" si="69"/>
        <v>9</v>
      </c>
      <c r="R756" s="28">
        <f t="shared" si="70"/>
        <v>0.9285714285714286</v>
      </c>
      <c r="S756" s="29">
        <f t="shared" si="71"/>
        <v>92.857142857142861</v>
      </c>
      <c r="T756" s="5" t="str">
        <f>IF(Delivery_Data[[#This Row],[Delays (min)]]&gt;0,"No","Yes")</f>
        <v>No</v>
      </c>
    </row>
    <row r="757" spans="1:20" ht="15.75" customHeight="1" x14ac:dyDescent="0.3">
      <c r="A757" s="4">
        <v>1756</v>
      </c>
      <c r="B757" s="5" t="s">
        <v>879</v>
      </c>
      <c r="C757" s="6">
        <v>45177.438888888886</v>
      </c>
      <c r="D757" s="5" t="s">
        <v>43</v>
      </c>
      <c r="E757" s="5" t="s">
        <v>249</v>
      </c>
      <c r="F757" s="5" t="s">
        <v>16</v>
      </c>
      <c r="G757" s="5" t="s">
        <v>31</v>
      </c>
      <c r="H757" s="5">
        <v>100</v>
      </c>
      <c r="I757" s="5">
        <v>12</v>
      </c>
      <c r="J757" s="5" t="s">
        <v>26</v>
      </c>
      <c r="K757" s="5" t="s">
        <v>35</v>
      </c>
      <c r="L757" s="5" t="s">
        <v>28</v>
      </c>
      <c r="M757" s="7" t="s">
        <v>46</v>
      </c>
      <c r="N757" s="26">
        <f t="shared" si="66"/>
        <v>1</v>
      </c>
      <c r="O757" s="42">
        <f t="shared" si="67"/>
        <v>45177</v>
      </c>
      <c r="P757" s="5" t="str">
        <f t="shared" si="68"/>
        <v>Friday</v>
      </c>
      <c r="Q757" s="5">
        <f t="shared" si="69"/>
        <v>10</v>
      </c>
      <c r="R757" s="28">
        <f t="shared" si="70"/>
        <v>0.8928571428571429</v>
      </c>
      <c r="S757" s="29">
        <f t="shared" si="71"/>
        <v>89.285714285714292</v>
      </c>
      <c r="T757" s="5" t="str">
        <f>IF(Delivery_Data[[#This Row],[Delays (min)]]&gt;0,"No","Yes")</f>
        <v>No</v>
      </c>
    </row>
    <row r="758" spans="1:20" ht="15.75" customHeight="1" x14ac:dyDescent="0.3">
      <c r="A758" s="4">
        <v>1757</v>
      </c>
      <c r="B758" s="5" t="s">
        <v>880</v>
      </c>
      <c r="C758" s="6">
        <v>45174.45208333333</v>
      </c>
      <c r="D758" s="5" t="s">
        <v>14</v>
      </c>
      <c r="E758" s="5" t="s">
        <v>30</v>
      </c>
      <c r="F758" s="5" t="s">
        <v>24</v>
      </c>
      <c r="G758" s="5" t="s">
        <v>17</v>
      </c>
      <c r="H758" s="5">
        <v>109</v>
      </c>
      <c r="I758" s="5">
        <v>17</v>
      </c>
      <c r="J758" s="5" t="s">
        <v>26</v>
      </c>
      <c r="K758" s="5" t="s">
        <v>27</v>
      </c>
      <c r="L758" s="5" t="s">
        <v>28</v>
      </c>
      <c r="M758" s="7" t="s">
        <v>41</v>
      </c>
      <c r="N758" s="26">
        <f t="shared" si="66"/>
        <v>1</v>
      </c>
      <c r="O758" s="42">
        <f t="shared" si="67"/>
        <v>45174</v>
      </c>
      <c r="P758" s="5" t="str">
        <f t="shared" si="68"/>
        <v>Tuesday</v>
      </c>
      <c r="Q758" s="5">
        <f t="shared" si="69"/>
        <v>10</v>
      </c>
      <c r="R758" s="28">
        <f t="shared" si="70"/>
        <v>0.86507936507936511</v>
      </c>
      <c r="S758" s="29">
        <f t="shared" si="71"/>
        <v>86.507936507936506</v>
      </c>
      <c r="T758" s="5" t="str">
        <f>IF(Delivery_Data[[#This Row],[Delays (min)]]&gt;0,"No","Yes")</f>
        <v>No</v>
      </c>
    </row>
    <row r="759" spans="1:20" ht="15.75" customHeight="1" x14ac:dyDescent="0.3">
      <c r="A759" s="4">
        <v>1758</v>
      </c>
      <c r="B759" s="5" t="s">
        <v>881</v>
      </c>
      <c r="C759" s="6">
        <v>45174.580555555556</v>
      </c>
      <c r="D759" s="5" t="s">
        <v>43</v>
      </c>
      <c r="E759" s="5" t="s">
        <v>270</v>
      </c>
      <c r="F759" s="5" t="s">
        <v>38</v>
      </c>
      <c r="G759" s="5" t="s">
        <v>17</v>
      </c>
      <c r="H759" s="5">
        <v>94</v>
      </c>
      <c r="I759" s="5">
        <v>23</v>
      </c>
      <c r="J759" s="5" t="s">
        <v>32</v>
      </c>
      <c r="K759" s="5" t="s">
        <v>19</v>
      </c>
      <c r="L759" s="5" t="s">
        <v>28</v>
      </c>
      <c r="M759" s="7" t="s">
        <v>46</v>
      </c>
      <c r="N759" s="26">
        <f t="shared" si="66"/>
        <v>-1</v>
      </c>
      <c r="O759" s="42">
        <f t="shared" si="67"/>
        <v>45174</v>
      </c>
      <c r="P759" s="5" t="str">
        <f t="shared" si="68"/>
        <v>Tuesday</v>
      </c>
      <c r="Q759" s="5">
        <f t="shared" si="69"/>
        <v>13</v>
      </c>
      <c r="R759" s="28">
        <f t="shared" si="70"/>
        <v>0.80341880341880345</v>
      </c>
      <c r="S759" s="29">
        <f t="shared" si="71"/>
        <v>80.341880341880341</v>
      </c>
      <c r="T759" s="5" t="str">
        <f>IF(Delivery_Data[[#This Row],[Delays (min)]]&gt;0,"No","Yes")</f>
        <v>No</v>
      </c>
    </row>
    <row r="760" spans="1:20" ht="15.75" customHeight="1" x14ac:dyDescent="0.3">
      <c r="A760" s="4">
        <v>1759</v>
      </c>
      <c r="B760" s="5" t="s">
        <v>882</v>
      </c>
      <c r="C760" s="6">
        <v>45171.362500000003</v>
      </c>
      <c r="D760" s="5" t="s">
        <v>43</v>
      </c>
      <c r="E760" s="5" t="s">
        <v>211</v>
      </c>
      <c r="F760" s="5" t="s">
        <v>24</v>
      </c>
      <c r="G760" s="5" t="s">
        <v>39</v>
      </c>
      <c r="H760" s="5">
        <v>165</v>
      </c>
      <c r="I760" s="5">
        <v>21</v>
      </c>
      <c r="J760" s="5" t="s">
        <v>18</v>
      </c>
      <c r="K760" s="5" t="s">
        <v>35</v>
      </c>
      <c r="L760" s="5" t="s">
        <v>20</v>
      </c>
      <c r="M760" s="7" t="s">
        <v>41</v>
      </c>
      <c r="N760" s="26">
        <f t="shared" si="66"/>
        <v>0</v>
      </c>
      <c r="O760" s="42">
        <f t="shared" si="67"/>
        <v>45171</v>
      </c>
      <c r="P760" s="5" t="str">
        <f t="shared" si="68"/>
        <v>Saturday</v>
      </c>
      <c r="Q760" s="5">
        <f t="shared" si="69"/>
        <v>8</v>
      </c>
      <c r="R760" s="28">
        <f t="shared" si="70"/>
        <v>0.88709677419354838</v>
      </c>
      <c r="S760" s="29">
        <f t="shared" si="71"/>
        <v>88.709677419354833</v>
      </c>
      <c r="T760" s="5" t="str">
        <f>IF(Delivery_Data[[#This Row],[Delays (min)]]&gt;0,"No","Yes")</f>
        <v>No</v>
      </c>
    </row>
    <row r="761" spans="1:20" ht="15.75" customHeight="1" x14ac:dyDescent="0.3">
      <c r="A761" s="4">
        <v>1760</v>
      </c>
      <c r="B761" s="5" t="s">
        <v>883</v>
      </c>
      <c r="C761" s="6">
        <v>45172.672222222223</v>
      </c>
      <c r="D761" s="5" t="s">
        <v>14</v>
      </c>
      <c r="E761" s="5" t="s">
        <v>15</v>
      </c>
      <c r="F761" s="5" t="s">
        <v>24</v>
      </c>
      <c r="G761" s="5" t="s">
        <v>39</v>
      </c>
      <c r="H761" s="5">
        <v>97</v>
      </c>
      <c r="I761" s="5">
        <v>10</v>
      </c>
      <c r="J761" s="5" t="s">
        <v>18</v>
      </c>
      <c r="K761" s="5" t="s">
        <v>49</v>
      </c>
      <c r="L761" s="5" t="s">
        <v>40</v>
      </c>
      <c r="M761" s="7" t="s">
        <v>21</v>
      </c>
      <c r="N761" s="26">
        <f t="shared" si="66"/>
        <v>0</v>
      </c>
      <c r="O761" s="42">
        <f t="shared" si="67"/>
        <v>45172</v>
      </c>
      <c r="P761" s="5" t="str">
        <f t="shared" si="68"/>
        <v>Sunday</v>
      </c>
      <c r="Q761" s="5">
        <f t="shared" si="69"/>
        <v>16</v>
      </c>
      <c r="R761" s="28">
        <f t="shared" si="70"/>
        <v>0.90654205607476634</v>
      </c>
      <c r="S761" s="29">
        <f t="shared" si="71"/>
        <v>90.654205607476641</v>
      </c>
      <c r="T761" s="5" t="str">
        <f>IF(Delivery_Data[[#This Row],[Delays (min)]]&gt;0,"No","Yes")</f>
        <v>No</v>
      </c>
    </row>
    <row r="762" spans="1:20" ht="15.75" customHeight="1" x14ac:dyDescent="0.3">
      <c r="A762" s="4">
        <v>1761</v>
      </c>
      <c r="B762" s="5" t="s">
        <v>884</v>
      </c>
      <c r="C762" s="6">
        <v>45170.631944444445</v>
      </c>
      <c r="D762" s="5" t="s">
        <v>14</v>
      </c>
      <c r="E762" s="5" t="s">
        <v>169</v>
      </c>
      <c r="F762" s="5" t="s">
        <v>16</v>
      </c>
      <c r="G762" s="5" t="s">
        <v>56</v>
      </c>
      <c r="H762" s="5">
        <v>207</v>
      </c>
      <c r="I762" s="5">
        <v>6</v>
      </c>
      <c r="J762" s="5" t="s">
        <v>18</v>
      </c>
      <c r="K762" s="5" t="s">
        <v>45</v>
      </c>
      <c r="L762" s="5" t="s">
        <v>40</v>
      </c>
      <c r="M762" s="7" t="s">
        <v>21</v>
      </c>
      <c r="N762" s="26">
        <f t="shared" si="66"/>
        <v>0</v>
      </c>
      <c r="O762" s="42">
        <f t="shared" si="67"/>
        <v>45170</v>
      </c>
      <c r="P762" s="5" t="str">
        <f t="shared" si="68"/>
        <v>Friday</v>
      </c>
      <c r="Q762" s="5">
        <f t="shared" si="69"/>
        <v>15</v>
      </c>
      <c r="R762" s="28">
        <f t="shared" si="70"/>
        <v>0.971830985915493</v>
      </c>
      <c r="S762" s="29">
        <f t="shared" si="71"/>
        <v>97.183098591549296</v>
      </c>
      <c r="T762" s="5" t="str">
        <f>IF(Delivery_Data[[#This Row],[Delays (min)]]&gt;0,"No","Yes")</f>
        <v>No</v>
      </c>
    </row>
    <row r="763" spans="1:20" ht="15.75" customHeight="1" x14ac:dyDescent="0.3">
      <c r="A763" s="4">
        <v>1762</v>
      </c>
      <c r="B763" s="5" t="s">
        <v>885</v>
      </c>
      <c r="C763" s="6">
        <v>45173.34097222222</v>
      </c>
      <c r="D763" s="5" t="s">
        <v>14</v>
      </c>
      <c r="E763" s="5" t="s">
        <v>132</v>
      </c>
      <c r="F763" s="5" t="s">
        <v>24</v>
      </c>
      <c r="G763" s="5" t="s">
        <v>31</v>
      </c>
      <c r="H763" s="5">
        <v>211</v>
      </c>
      <c r="I763" s="5">
        <v>26</v>
      </c>
      <c r="J763" s="5" t="s">
        <v>32</v>
      </c>
      <c r="K763" s="5" t="s">
        <v>45</v>
      </c>
      <c r="L763" s="5" t="s">
        <v>40</v>
      </c>
      <c r="M763" s="7" t="s">
        <v>41</v>
      </c>
      <c r="N763" s="26">
        <f t="shared" si="66"/>
        <v>-1</v>
      </c>
      <c r="O763" s="42">
        <f t="shared" si="67"/>
        <v>45173</v>
      </c>
      <c r="P763" s="5" t="str">
        <f t="shared" si="68"/>
        <v>Monday</v>
      </c>
      <c r="Q763" s="5">
        <f t="shared" si="69"/>
        <v>8</v>
      </c>
      <c r="R763" s="28">
        <f t="shared" si="70"/>
        <v>0.89029535864978904</v>
      </c>
      <c r="S763" s="29">
        <f t="shared" si="71"/>
        <v>89.029535864978897</v>
      </c>
      <c r="T763" s="5" t="str">
        <f>IF(Delivery_Data[[#This Row],[Delays (min)]]&gt;0,"No","Yes")</f>
        <v>No</v>
      </c>
    </row>
    <row r="764" spans="1:20" ht="15.75" customHeight="1" x14ac:dyDescent="0.3">
      <c r="A764" s="4">
        <v>1763</v>
      </c>
      <c r="B764" s="5" t="s">
        <v>886</v>
      </c>
      <c r="C764" s="6">
        <v>45172.523611111108</v>
      </c>
      <c r="D764" s="5" t="s">
        <v>14</v>
      </c>
      <c r="E764" s="5" t="s">
        <v>64</v>
      </c>
      <c r="F764" s="5" t="s">
        <v>38</v>
      </c>
      <c r="G764" s="5" t="s">
        <v>25</v>
      </c>
      <c r="H764" s="5">
        <v>124</v>
      </c>
      <c r="I764" s="5">
        <v>10</v>
      </c>
      <c r="J764" s="5" t="s">
        <v>26</v>
      </c>
      <c r="K764" s="5" t="s">
        <v>27</v>
      </c>
      <c r="L764" s="5" t="s">
        <v>28</v>
      </c>
      <c r="M764" s="7" t="s">
        <v>21</v>
      </c>
      <c r="N764" s="26">
        <f t="shared" si="66"/>
        <v>1</v>
      </c>
      <c r="O764" s="42">
        <f t="shared" si="67"/>
        <v>45172</v>
      </c>
      <c r="P764" s="5" t="str">
        <f t="shared" si="68"/>
        <v>Sunday</v>
      </c>
      <c r="Q764" s="5">
        <f t="shared" si="69"/>
        <v>12</v>
      </c>
      <c r="R764" s="28">
        <f t="shared" si="70"/>
        <v>0.92537313432835822</v>
      </c>
      <c r="S764" s="29">
        <f t="shared" si="71"/>
        <v>92.537313432835816</v>
      </c>
      <c r="T764" s="5" t="str">
        <f>IF(Delivery_Data[[#This Row],[Delays (min)]]&gt;0,"No","Yes")</f>
        <v>No</v>
      </c>
    </row>
    <row r="765" spans="1:20" ht="15.75" customHeight="1" x14ac:dyDescent="0.3">
      <c r="A765" s="4">
        <v>1764</v>
      </c>
      <c r="B765" s="5" t="s">
        <v>887</v>
      </c>
      <c r="C765" s="6">
        <v>45172.463888888888</v>
      </c>
      <c r="D765" s="5" t="s">
        <v>14</v>
      </c>
      <c r="E765" s="5" t="s">
        <v>468</v>
      </c>
      <c r="F765" s="5" t="s">
        <v>24</v>
      </c>
      <c r="G765" s="5" t="s">
        <v>31</v>
      </c>
      <c r="H765" s="5">
        <v>150</v>
      </c>
      <c r="I765" s="5">
        <v>22</v>
      </c>
      <c r="J765" s="5" t="s">
        <v>18</v>
      </c>
      <c r="K765" s="5" t="s">
        <v>19</v>
      </c>
      <c r="L765" s="5" t="s">
        <v>40</v>
      </c>
      <c r="M765" s="7" t="s">
        <v>21</v>
      </c>
      <c r="N765" s="26">
        <f t="shared" si="66"/>
        <v>0</v>
      </c>
      <c r="O765" s="42">
        <f t="shared" si="67"/>
        <v>45172</v>
      </c>
      <c r="P765" s="5" t="str">
        <f t="shared" si="68"/>
        <v>Sunday</v>
      </c>
      <c r="Q765" s="5">
        <f t="shared" si="69"/>
        <v>11</v>
      </c>
      <c r="R765" s="28">
        <f t="shared" si="70"/>
        <v>0.87209302325581395</v>
      </c>
      <c r="S765" s="29">
        <f t="shared" si="71"/>
        <v>87.20930232558139</v>
      </c>
      <c r="T765" s="5" t="str">
        <f>IF(Delivery_Data[[#This Row],[Delays (min)]]&gt;0,"No","Yes")</f>
        <v>No</v>
      </c>
    </row>
    <row r="766" spans="1:20" ht="15.75" customHeight="1" x14ac:dyDescent="0.3">
      <c r="A766" s="4">
        <v>1765</v>
      </c>
      <c r="B766" s="5" t="s">
        <v>888</v>
      </c>
      <c r="C766" s="6">
        <v>45171.344444444447</v>
      </c>
      <c r="D766" s="5" t="s">
        <v>14</v>
      </c>
      <c r="E766" s="5" t="s">
        <v>30</v>
      </c>
      <c r="F766" s="5" t="s">
        <v>24</v>
      </c>
      <c r="G766" s="5" t="s">
        <v>31</v>
      </c>
      <c r="H766" s="5">
        <v>73</v>
      </c>
      <c r="I766" s="5">
        <v>1</v>
      </c>
      <c r="J766" s="5" t="s">
        <v>32</v>
      </c>
      <c r="K766" s="5" t="s">
        <v>27</v>
      </c>
      <c r="L766" s="5" t="s">
        <v>20</v>
      </c>
      <c r="M766" s="7" t="s">
        <v>21</v>
      </c>
      <c r="N766" s="26">
        <f t="shared" si="66"/>
        <v>-1</v>
      </c>
      <c r="O766" s="42">
        <f t="shared" si="67"/>
        <v>45171</v>
      </c>
      <c r="P766" s="5" t="str">
        <f t="shared" si="68"/>
        <v>Saturday</v>
      </c>
      <c r="Q766" s="5">
        <f t="shared" si="69"/>
        <v>8</v>
      </c>
      <c r="R766" s="28">
        <f t="shared" si="70"/>
        <v>0.98648648648648651</v>
      </c>
      <c r="S766" s="29">
        <f t="shared" si="71"/>
        <v>98.648648648648646</v>
      </c>
      <c r="T766" s="5" t="str">
        <f>IF(Delivery_Data[[#This Row],[Delays (min)]]&gt;0,"No","Yes")</f>
        <v>No</v>
      </c>
    </row>
    <row r="767" spans="1:20" ht="15.75" customHeight="1" x14ac:dyDescent="0.3">
      <c r="A767" s="4">
        <v>1766</v>
      </c>
      <c r="B767" s="5" t="s">
        <v>889</v>
      </c>
      <c r="C767" s="6">
        <v>45177.511805555558</v>
      </c>
      <c r="D767" s="5" t="s">
        <v>14</v>
      </c>
      <c r="E767" s="5" t="s">
        <v>89</v>
      </c>
      <c r="F767" s="5" t="s">
        <v>38</v>
      </c>
      <c r="G767" s="5" t="s">
        <v>25</v>
      </c>
      <c r="H767" s="5">
        <v>134</v>
      </c>
      <c r="I767" s="5">
        <v>13</v>
      </c>
      <c r="J767" s="5" t="s">
        <v>32</v>
      </c>
      <c r="K767" s="5" t="s">
        <v>19</v>
      </c>
      <c r="L767" s="5" t="s">
        <v>20</v>
      </c>
      <c r="M767" s="7" t="s">
        <v>21</v>
      </c>
      <c r="N767" s="26">
        <f t="shared" si="66"/>
        <v>-1</v>
      </c>
      <c r="O767" s="42">
        <f t="shared" si="67"/>
        <v>45177</v>
      </c>
      <c r="P767" s="5" t="str">
        <f t="shared" si="68"/>
        <v>Friday</v>
      </c>
      <c r="Q767" s="5">
        <f t="shared" si="69"/>
        <v>12</v>
      </c>
      <c r="R767" s="28">
        <f t="shared" si="70"/>
        <v>0.91156462585034015</v>
      </c>
      <c r="S767" s="29">
        <f t="shared" si="71"/>
        <v>91.156462585034021</v>
      </c>
      <c r="T767" s="5" t="str">
        <f>IF(Delivery_Data[[#This Row],[Delays (min)]]&gt;0,"No","Yes")</f>
        <v>No</v>
      </c>
    </row>
    <row r="768" spans="1:20" ht="15.75" customHeight="1" x14ac:dyDescent="0.3">
      <c r="A768" s="4">
        <v>1767</v>
      </c>
      <c r="B768" s="5" t="s">
        <v>890</v>
      </c>
      <c r="C768" s="6">
        <v>45173.52847222222</v>
      </c>
      <c r="D768" s="5" t="s">
        <v>14</v>
      </c>
      <c r="E768" s="5" t="s">
        <v>285</v>
      </c>
      <c r="F768" s="5" t="s">
        <v>24</v>
      </c>
      <c r="G768" s="5" t="s">
        <v>17</v>
      </c>
      <c r="H768" s="5">
        <v>171</v>
      </c>
      <c r="I768" s="5">
        <v>2</v>
      </c>
      <c r="J768" s="5" t="s">
        <v>18</v>
      </c>
      <c r="K768" s="5" t="s">
        <v>27</v>
      </c>
      <c r="L768" s="5" t="s">
        <v>20</v>
      </c>
      <c r="M768" s="7" t="s">
        <v>21</v>
      </c>
      <c r="N768" s="26">
        <f t="shared" si="66"/>
        <v>0</v>
      </c>
      <c r="O768" s="42">
        <f t="shared" si="67"/>
        <v>45173</v>
      </c>
      <c r="P768" s="5" t="str">
        <f t="shared" si="68"/>
        <v>Monday</v>
      </c>
      <c r="Q768" s="5">
        <f t="shared" si="69"/>
        <v>12</v>
      </c>
      <c r="R768" s="28">
        <f t="shared" si="70"/>
        <v>0.98843930635838151</v>
      </c>
      <c r="S768" s="29">
        <f t="shared" si="71"/>
        <v>98.843930635838149</v>
      </c>
      <c r="T768" s="5" t="str">
        <f>IF(Delivery_Data[[#This Row],[Delays (min)]]&gt;0,"No","Yes")</f>
        <v>No</v>
      </c>
    </row>
    <row r="769" spans="1:20" ht="15.75" customHeight="1" x14ac:dyDescent="0.3">
      <c r="A769" s="4">
        <v>1768</v>
      </c>
      <c r="B769" s="5" t="s">
        <v>891</v>
      </c>
      <c r="C769" s="6">
        <v>45171.457638888889</v>
      </c>
      <c r="D769" s="5" t="s">
        <v>14</v>
      </c>
      <c r="E769" s="5" t="s">
        <v>48</v>
      </c>
      <c r="F769" s="5" t="s">
        <v>16</v>
      </c>
      <c r="G769" s="5" t="s">
        <v>31</v>
      </c>
      <c r="H769" s="5">
        <v>61</v>
      </c>
      <c r="I769" s="5">
        <v>6</v>
      </c>
      <c r="J769" s="5" t="s">
        <v>26</v>
      </c>
      <c r="K769" s="5" t="s">
        <v>49</v>
      </c>
      <c r="L769" s="5" t="s">
        <v>28</v>
      </c>
      <c r="M769" s="7" t="s">
        <v>46</v>
      </c>
      <c r="N769" s="26">
        <f t="shared" si="66"/>
        <v>1</v>
      </c>
      <c r="O769" s="42">
        <f t="shared" si="67"/>
        <v>45171</v>
      </c>
      <c r="P769" s="5" t="str">
        <f t="shared" si="68"/>
        <v>Saturday</v>
      </c>
      <c r="Q769" s="5">
        <f t="shared" si="69"/>
        <v>10</v>
      </c>
      <c r="R769" s="28">
        <f t="shared" si="70"/>
        <v>0.91044776119402981</v>
      </c>
      <c r="S769" s="29">
        <f t="shared" si="71"/>
        <v>91.044776119402982</v>
      </c>
      <c r="T769" s="5" t="str">
        <f>IF(Delivery_Data[[#This Row],[Delays (min)]]&gt;0,"No","Yes")</f>
        <v>No</v>
      </c>
    </row>
    <row r="770" spans="1:20" ht="15.75" customHeight="1" x14ac:dyDescent="0.3">
      <c r="A770" s="4">
        <v>1769</v>
      </c>
      <c r="B770" s="5" t="s">
        <v>673</v>
      </c>
      <c r="C770" s="6">
        <v>45175.393055555556</v>
      </c>
      <c r="D770" s="5" t="s">
        <v>43</v>
      </c>
      <c r="E770" s="5" t="s">
        <v>122</v>
      </c>
      <c r="F770" s="5" t="s">
        <v>38</v>
      </c>
      <c r="G770" s="5" t="s">
        <v>39</v>
      </c>
      <c r="H770" s="5">
        <v>222</v>
      </c>
      <c r="I770" s="5">
        <v>27</v>
      </c>
      <c r="J770" s="5" t="s">
        <v>26</v>
      </c>
      <c r="K770" s="5" t="s">
        <v>35</v>
      </c>
      <c r="L770" s="5" t="s">
        <v>28</v>
      </c>
      <c r="M770" s="7" t="s">
        <v>41</v>
      </c>
      <c r="N770" s="26">
        <f t="shared" ref="N770:N833" si="72">IF(J770="Positive",1,IF(J770="Neutral",0,IF(J770="Negative",-1,"")))</f>
        <v>1</v>
      </c>
      <c r="O770" s="42">
        <f t="shared" ref="O770:O833" si="73">INT(C770)</f>
        <v>45175</v>
      </c>
      <c r="P770" s="5" t="str">
        <f t="shared" ref="P770:P833" si="74">TEXT(C770,"dddd")</f>
        <v>Wednesday</v>
      </c>
      <c r="Q770" s="5">
        <f t="shared" ref="Q770:Q833" si="75">HOUR(C770)</f>
        <v>9</v>
      </c>
      <c r="R770" s="28">
        <f t="shared" ref="R770:R833" si="76">H770/(H770+I770)</f>
        <v>0.89156626506024095</v>
      </c>
      <c r="S770" s="29">
        <f t="shared" si="71"/>
        <v>89.156626506024097</v>
      </c>
      <c r="T770" s="5" t="str">
        <f>IF(Delivery_Data[[#This Row],[Delays (min)]]&gt;0,"No","Yes")</f>
        <v>No</v>
      </c>
    </row>
    <row r="771" spans="1:20" ht="15.75" customHeight="1" x14ac:dyDescent="0.3">
      <c r="A771" s="4">
        <v>1770</v>
      </c>
      <c r="B771" s="5" t="s">
        <v>892</v>
      </c>
      <c r="C771" s="6">
        <v>45170.488888888889</v>
      </c>
      <c r="D771" s="5" t="s">
        <v>14</v>
      </c>
      <c r="E771" s="5" t="s">
        <v>126</v>
      </c>
      <c r="F771" s="5" t="s">
        <v>38</v>
      </c>
      <c r="G771" s="5" t="s">
        <v>31</v>
      </c>
      <c r="H771" s="5">
        <v>81</v>
      </c>
      <c r="I771" s="5">
        <v>15</v>
      </c>
      <c r="J771" s="5" t="s">
        <v>26</v>
      </c>
      <c r="K771" s="5" t="s">
        <v>45</v>
      </c>
      <c r="L771" s="5" t="s">
        <v>40</v>
      </c>
      <c r="M771" s="7" t="s">
        <v>21</v>
      </c>
      <c r="N771" s="26">
        <f t="shared" si="72"/>
        <v>1</v>
      </c>
      <c r="O771" s="42">
        <f t="shared" si="73"/>
        <v>45170</v>
      </c>
      <c r="P771" s="5" t="str">
        <f t="shared" si="74"/>
        <v>Friday</v>
      </c>
      <c r="Q771" s="5">
        <f t="shared" si="75"/>
        <v>11</v>
      </c>
      <c r="R771" s="28">
        <f t="shared" si="76"/>
        <v>0.84375</v>
      </c>
      <c r="S771" s="29">
        <f t="shared" ref="S771:S834" si="77">IF(H771+I771=0,0,(H771/(H771+I771))*100) + (IFERROR(--J771,0)*10)</f>
        <v>84.375</v>
      </c>
      <c r="T771" s="5" t="str">
        <f>IF(Delivery_Data[[#This Row],[Delays (min)]]&gt;0,"No","Yes")</f>
        <v>No</v>
      </c>
    </row>
    <row r="772" spans="1:20" ht="15.75" customHeight="1" x14ac:dyDescent="0.3">
      <c r="A772" s="4">
        <v>1771</v>
      </c>
      <c r="B772" s="5" t="s">
        <v>893</v>
      </c>
      <c r="C772" s="6">
        <v>45170.449305555558</v>
      </c>
      <c r="D772" s="5" t="s">
        <v>14</v>
      </c>
      <c r="E772" s="5" t="s">
        <v>234</v>
      </c>
      <c r="F772" s="5" t="s">
        <v>16</v>
      </c>
      <c r="G772" s="5" t="s">
        <v>39</v>
      </c>
      <c r="H772" s="5">
        <v>61</v>
      </c>
      <c r="I772" s="5">
        <v>10</v>
      </c>
      <c r="J772" s="5" t="s">
        <v>26</v>
      </c>
      <c r="K772" s="5" t="s">
        <v>35</v>
      </c>
      <c r="L772" s="5" t="s">
        <v>28</v>
      </c>
      <c r="M772" s="7" t="s">
        <v>46</v>
      </c>
      <c r="N772" s="26">
        <f t="shared" si="72"/>
        <v>1</v>
      </c>
      <c r="O772" s="42">
        <f t="shared" si="73"/>
        <v>45170</v>
      </c>
      <c r="P772" s="5" t="str">
        <f t="shared" si="74"/>
        <v>Friday</v>
      </c>
      <c r="Q772" s="5">
        <f t="shared" si="75"/>
        <v>10</v>
      </c>
      <c r="R772" s="28">
        <f t="shared" si="76"/>
        <v>0.85915492957746475</v>
      </c>
      <c r="S772" s="29">
        <f t="shared" si="77"/>
        <v>85.91549295774648</v>
      </c>
      <c r="T772" s="5" t="str">
        <f>IF(Delivery_Data[[#This Row],[Delays (min)]]&gt;0,"No","Yes")</f>
        <v>No</v>
      </c>
    </row>
    <row r="773" spans="1:20" ht="15.75" customHeight="1" x14ac:dyDescent="0.3">
      <c r="A773" s="4">
        <v>1772</v>
      </c>
      <c r="B773" s="5" t="s">
        <v>894</v>
      </c>
      <c r="C773" s="6">
        <v>45173.418055555558</v>
      </c>
      <c r="D773" s="5" t="s">
        <v>14</v>
      </c>
      <c r="E773" s="5" t="s">
        <v>91</v>
      </c>
      <c r="F773" s="5" t="s">
        <v>16</v>
      </c>
      <c r="G773" s="5" t="s">
        <v>31</v>
      </c>
      <c r="H773" s="5">
        <v>114</v>
      </c>
      <c r="I773" s="5">
        <v>3</v>
      </c>
      <c r="J773" s="5" t="s">
        <v>32</v>
      </c>
      <c r="K773" s="5" t="s">
        <v>49</v>
      </c>
      <c r="L773" s="5" t="s">
        <v>20</v>
      </c>
      <c r="M773" s="7" t="s">
        <v>46</v>
      </c>
      <c r="N773" s="26">
        <f t="shared" si="72"/>
        <v>-1</v>
      </c>
      <c r="O773" s="42">
        <f t="shared" si="73"/>
        <v>45173</v>
      </c>
      <c r="P773" s="5" t="str">
        <f t="shared" si="74"/>
        <v>Monday</v>
      </c>
      <c r="Q773" s="5">
        <f t="shared" si="75"/>
        <v>10</v>
      </c>
      <c r="R773" s="28">
        <f t="shared" si="76"/>
        <v>0.97435897435897434</v>
      </c>
      <c r="S773" s="29">
        <f t="shared" si="77"/>
        <v>97.435897435897431</v>
      </c>
      <c r="T773" s="5" t="str">
        <f>IF(Delivery_Data[[#This Row],[Delays (min)]]&gt;0,"No","Yes")</f>
        <v>No</v>
      </c>
    </row>
    <row r="774" spans="1:20" ht="15.75" customHeight="1" x14ac:dyDescent="0.3">
      <c r="A774" s="4">
        <v>1773</v>
      </c>
      <c r="B774" s="5" t="s">
        <v>895</v>
      </c>
      <c r="C774" s="6">
        <v>45172.345138888886</v>
      </c>
      <c r="D774" s="5" t="s">
        <v>43</v>
      </c>
      <c r="E774" s="5" t="s">
        <v>101</v>
      </c>
      <c r="F774" s="5" t="s">
        <v>16</v>
      </c>
      <c r="G774" s="5" t="s">
        <v>31</v>
      </c>
      <c r="H774" s="5">
        <v>238</v>
      </c>
      <c r="I774" s="5">
        <v>9</v>
      </c>
      <c r="J774" s="5" t="s">
        <v>26</v>
      </c>
      <c r="K774" s="5" t="s">
        <v>49</v>
      </c>
      <c r="L774" s="5" t="s">
        <v>28</v>
      </c>
      <c r="M774" s="7" t="s">
        <v>41</v>
      </c>
      <c r="N774" s="26">
        <f t="shared" si="72"/>
        <v>1</v>
      </c>
      <c r="O774" s="42">
        <f t="shared" si="73"/>
        <v>45172</v>
      </c>
      <c r="P774" s="5" t="str">
        <f t="shared" si="74"/>
        <v>Sunday</v>
      </c>
      <c r="Q774" s="5">
        <f t="shared" si="75"/>
        <v>8</v>
      </c>
      <c r="R774" s="28">
        <f t="shared" si="76"/>
        <v>0.96356275303643724</v>
      </c>
      <c r="S774" s="29">
        <f t="shared" si="77"/>
        <v>96.356275303643727</v>
      </c>
      <c r="T774" s="5" t="str">
        <f>IF(Delivery_Data[[#This Row],[Delays (min)]]&gt;0,"No","Yes")</f>
        <v>No</v>
      </c>
    </row>
    <row r="775" spans="1:20" ht="15.75" customHeight="1" x14ac:dyDescent="0.3">
      <c r="A775" s="4">
        <v>1774</v>
      </c>
      <c r="B775" s="5" t="s">
        <v>896</v>
      </c>
      <c r="C775" s="6">
        <v>45172.495833333334</v>
      </c>
      <c r="D775" s="5" t="s">
        <v>14</v>
      </c>
      <c r="E775" s="5" t="s">
        <v>87</v>
      </c>
      <c r="F775" s="5" t="s">
        <v>38</v>
      </c>
      <c r="G775" s="5" t="s">
        <v>56</v>
      </c>
      <c r="H775" s="5">
        <v>161</v>
      </c>
      <c r="I775" s="5">
        <v>1</v>
      </c>
      <c r="J775" s="5" t="s">
        <v>26</v>
      </c>
      <c r="K775" s="5" t="s">
        <v>35</v>
      </c>
      <c r="L775" s="5" t="s">
        <v>20</v>
      </c>
      <c r="M775" s="7" t="s">
        <v>21</v>
      </c>
      <c r="N775" s="26">
        <f t="shared" si="72"/>
        <v>1</v>
      </c>
      <c r="O775" s="42">
        <f t="shared" si="73"/>
        <v>45172</v>
      </c>
      <c r="P775" s="5" t="str">
        <f t="shared" si="74"/>
        <v>Sunday</v>
      </c>
      <c r="Q775" s="5">
        <f t="shared" si="75"/>
        <v>11</v>
      </c>
      <c r="R775" s="28">
        <f t="shared" si="76"/>
        <v>0.99382716049382713</v>
      </c>
      <c r="S775" s="29">
        <f t="shared" si="77"/>
        <v>99.382716049382708</v>
      </c>
      <c r="T775" s="5" t="str">
        <f>IF(Delivery_Data[[#This Row],[Delays (min)]]&gt;0,"No","Yes")</f>
        <v>No</v>
      </c>
    </row>
    <row r="776" spans="1:20" ht="15.75" customHeight="1" x14ac:dyDescent="0.3">
      <c r="A776" s="4">
        <v>1775</v>
      </c>
      <c r="B776" s="5" t="s">
        <v>719</v>
      </c>
      <c r="C776" s="6">
        <v>45177.447916666664</v>
      </c>
      <c r="D776" s="5" t="s">
        <v>43</v>
      </c>
      <c r="E776" s="5" t="s">
        <v>234</v>
      </c>
      <c r="F776" s="5" t="s">
        <v>38</v>
      </c>
      <c r="G776" s="5" t="s">
        <v>31</v>
      </c>
      <c r="H776" s="5">
        <v>125</v>
      </c>
      <c r="I776" s="5">
        <v>13</v>
      </c>
      <c r="J776" s="5" t="s">
        <v>32</v>
      </c>
      <c r="K776" s="5" t="s">
        <v>19</v>
      </c>
      <c r="L776" s="5" t="s">
        <v>28</v>
      </c>
      <c r="M776" s="7" t="s">
        <v>21</v>
      </c>
      <c r="N776" s="26">
        <f t="shared" si="72"/>
        <v>-1</v>
      </c>
      <c r="O776" s="42">
        <f t="shared" si="73"/>
        <v>45177</v>
      </c>
      <c r="P776" s="5" t="str">
        <f t="shared" si="74"/>
        <v>Friday</v>
      </c>
      <c r="Q776" s="5">
        <f t="shared" si="75"/>
        <v>10</v>
      </c>
      <c r="R776" s="28">
        <f t="shared" si="76"/>
        <v>0.90579710144927539</v>
      </c>
      <c r="S776" s="29">
        <f t="shared" si="77"/>
        <v>90.579710144927532</v>
      </c>
      <c r="T776" s="5" t="str">
        <f>IF(Delivery_Data[[#This Row],[Delays (min)]]&gt;0,"No","Yes")</f>
        <v>No</v>
      </c>
    </row>
    <row r="777" spans="1:20" ht="15.75" customHeight="1" x14ac:dyDescent="0.3">
      <c r="A777" s="4">
        <v>1776</v>
      </c>
      <c r="B777" s="5" t="s">
        <v>897</v>
      </c>
      <c r="C777" s="6">
        <v>45172.640277777777</v>
      </c>
      <c r="D777" s="5" t="s">
        <v>14</v>
      </c>
      <c r="E777" s="5" t="s">
        <v>154</v>
      </c>
      <c r="F777" s="5" t="s">
        <v>16</v>
      </c>
      <c r="G777" s="5" t="s">
        <v>56</v>
      </c>
      <c r="H777" s="5">
        <v>159</v>
      </c>
      <c r="I777" s="5">
        <v>22</v>
      </c>
      <c r="J777" s="5" t="s">
        <v>26</v>
      </c>
      <c r="K777" s="5" t="s">
        <v>45</v>
      </c>
      <c r="L777" s="5" t="s">
        <v>20</v>
      </c>
      <c r="M777" s="7" t="s">
        <v>41</v>
      </c>
      <c r="N777" s="26">
        <f t="shared" si="72"/>
        <v>1</v>
      </c>
      <c r="O777" s="42">
        <f t="shared" si="73"/>
        <v>45172</v>
      </c>
      <c r="P777" s="5" t="str">
        <f t="shared" si="74"/>
        <v>Sunday</v>
      </c>
      <c r="Q777" s="5">
        <f t="shared" si="75"/>
        <v>15</v>
      </c>
      <c r="R777" s="28">
        <f t="shared" si="76"/>
        <v>0.87845303867403313</v>
      </c>
      <c r="S777" s="29">
        <f t="shared" si="77"/>
        <v>87.845303867403317</v>
      </c>
      <c r="T777" s="5" t="str">
        <f>IF(Delivery_Data[[#This Row],[Delays (min)]]&gt;0,"No","Yes")</f>
        <v>No</v>
      </c>
    </row>
    <row r="778" spans="1:20" ht="15.75" customHeight="1" x14ac:dyDescent="0.3">
      <c r="A778" s="4">
        <v>1777</v>
      </c>
      <c r="B778" s="5" t="s">
        <v>898</v>
      </c>
      <c r="C778" s="6">
        <v>45175.385416666664</v>
      </c>
      <c r="D778" s="5" t="s">
        <v>14</v>
      </c>
      <c r="E778" s="5" t="s">
        <v>80</v>
      </c>
      <c r="F778" s="5" t="s">
        <v>16</v>
      </c>
      <c r="G778" s="5" t="s">
        <v>31</v>
      </c>
      <c r="H778" s="5">
        <v>115</v>
      </c>
      <c r="I778" s="5">
        <v>22</v>
      </c>
      <c r="J778" s="5" t="s">
        <v>32</v>
      </c>
      <c r="K778" s="5" t="s">
        <v>19</v>
      </c>
      <c r="L778" s="5" t="s">
        <v>40</v>
      </c>
      <c r="M778" s="7" t="s">
        <v>41</v>
      </c>
      <c r="N778" s="26">
        <f t="shared" si="72"/>
        <v>-1</v>
      </c>
      <c r="O778" s="42">
        <f t="shared" si="73"/>
        <v>45175</v>
      </c>
      <c r="P778" s="5" t="str">
        <f t="shared" si="74"/>
        <v>Wednesday</v>
      </c>
      <c r="Q778" s="5">
        <f t="shared" si="75"/>
        <v>9</v>
      </c>
      <c r="R778" s="28">
        <f t="shared" si="76"/>
        <v>0.83941605839416056</v>
      </c>
      <c r="S778" s="29">
        <f t="shared" si="77"/>
        <v>83.941605839416056</v>
      </c>
      <c r="T778" s="5" t="str">
        <f>IF(Delivery_Data[[#This Row],[Delays (min)]]&gt;0,"No","Yes")</f>
        <v>No</v>
      </c>
    </row>
    <row r="779" spans="1:20" ht="15.75" customHeight="1" x14ac:dyDescent="0.3">
      <c r="A779" s="4">
        <v>1778</v>
      </c>
      <c r="B779" s="5" t="s">
        <v>899</v>
      </c>
      <c r="C779" s="6">
        <v>45172.459722222222</v>
      </c>
      <c r="D779" s="5" t="s">
        <v>14</v>
      </c>
      <c r="E779" s="5" t="s">
        <v>44</v>
      </c>
      <c r="F779" s="5" t="s">
        <v>16</v>
      </c>
      <c r="G779" s="5" t="s">
        <v>17</v>
      </c>
      <c r="H779" s="5">
        <v>143</v>
      </c>
      <c r="I779" s="5">
        <v>4</v>
      </c>
      <c r="J779" s="5" t="s">
        <v>26</v>
      </c>
      <c r="K779" s="5" t="s">
        <v>19</v>
      </c>
      <c r="L779" s="5" t="s">
        <v>28</v>
      </c>
      <c r="M779" s="7" t="s">
        <v>46</v>
      </c>
      <c r="N779" s="26">
        <f t="shared" si="72"/>
        <v>1</v>
      </c>
      <c r="O779" s="42">
        <f t="shared" si="73"/>
        <v>45172</v>
      </c>
      <c r="P779" s="5" t="str">
        <f t="shared" si="74"/>
        <v>Sunday</v>
      </c>
      <c r="Q779" s="5">
        <f t="shared" si="75"/>
        <v>11</v>
      </c>
      <c r="R779" s="28">
        <f t="shared" si="76"/>
        <v>0.97278911564625847</v>
      </c>
      <c r="S779" s="29">
        <f t="shared" si="77"/>
        <v>97.278911564625844</v>
      </c>
      <c r="T779" s="5" t="str">
        <f>IF(Delivery_Data[[#This Row],[Delays (min)]]&gt;0,"No","Yes")</f>
        <v>No</v>
      </c>
    </row>
    <row r="780" spans="1:20" ht="15.75" customHeight="1" x14ac:dyDescent="0.3">
      <c r="A780" s="4">
        <v>1779</v>
      </c>
      <c r="B780" s="5" t="s">
        <v>900</v>
      </c>
      <c r="C780" s="6">
        <v>45176.670138888891</v>
      </c>
      <c r="D780" s="5" t="s">
        <v>43</v>
      </c>
      <c r="E780" s="5" t="s">
        <v>76</v>
      </c>
      <c r="F780" s="5" t="s">
        <v>16</v>
      </c>
      <c r="G780" s="5" t="s">
        <v>25</v>
      </c>
      <c r="H780" s="5">
        <v>98</v>
      </c>
      <c r="I780" s="5">
        <v>1</v>
      </c>
      <c r="J780" s="5" t="s">
        <v>18</v>
      </c>
      <c r="K780" s="5" t="s">
        <v>45</v>
      </c>
      <c r="L780" s="5" t="s">
        <v>40</v>
      </c>
      <c r="M780" s="7" t="s">
        <v>21</v>
      </c>
      <c r="N780" s="26">
        <f t="shared" si="72"/>
        <v>0</v>
      </c>
      <c r="O780" s="42">
        <f t="shared" si="73"/>
        <v>45176</v>
      </c>
      <c r="P780" s="5" t="str">
        <f t="shared" si="74"/>
        <v>Thursday</v>
      </c>
      <c r="Q780" s="5">
        <f t="shared" si="75"/>
        <v>16</v>
      </c>
      <c r="R780" s="28">
        <f t="shared" si="76"/>
        <v>0.98989898989898994</v>
      </c>
      <c r="S780" s="29">
        <f t="shared" si="77"/>
        <v>98.98989898989899</v>
      </c>
      <c r="T780" s="5" t="str">
        <f>IF(Delivery_Data[[#This Row],[Delays (min)]]&gt;0,"No","Yes")</f>
        <v>No</v>
      </c>
    </row>
    <row r="781" spans="1:20" ht="15.75" customHeight="1" x14ac:dyDescent="0.3">
      <c r="A781" s="4">
        <v>1780</v>
      </c>
      <c r="B781" s="5" t="s">
        <v>901</v>
      </c>
      <c r="C781" s="6">
        <v>45170.580555555556</v>
      </c>
      <c r="D781" s="5" t="s">
        <v>14</v>
      </c>
      <c r="E781" s="5" t="s">
        <v>189</v>
      </c>
      <c r="F781" s="5" t="s">
        <v>24</v>
      </c>
      <c r="G781" s="5" t="s">
        <v>39</v>
      </c>
      <c r="H781" s="5">
        <v>184</v>
      </c>
      <c r="I781" s="5">
        <v>7</v>
      </c>
      <c r="J781" s="5" t="s">
        <v>26</v>
      </c>
      <c r="K781" s="5" t="s">
        <v>45</v>
      </c>
      <c r="L781" s="5" t="s">
        <v>40</v>
      </c>
      <c r="M781" s="7" t="s">
        <v>41</v>
      </c>
      <c r="N781" s="26">
        <f t="shared" si="72"/>
        <v>1</v>
      </c>
      <c r="O781" s="42">
        <f t="shared" si="73"/>
        <v>45170</v>
      </c>
      <c r="P781" s="5" t="str">
        <f t="shared" si="74"/>
        <v>Friday</v>
      </c>
      <c r="Q781" s="5">
        <f t="shared" si="75"/>
        <v>13</v>
      </c>
      <c r="R781" s="28">
        <f t="shared" si="76"/>
        <v>0.96335078534031415</v>
      </c>
      <c r="S781" s="29">
        <f t="shared" si="77"/>
        <v>96.33507853403141</v>
      </c>
      <c r="T781" s="5" t="str">
        <f>IF(Delivery_Data[[#This Row],[Delays (min)]]&gt;0,"No","Yes")</f>
        <v>No</v>
      </c>
    </row>
    <row r="782" spans="1:20" ht="15.75" customHeight="1" x14ac:dyDescent="0.3">
      <c r="A782" s="4">
        <v>1781</v>
      </c>
      <c r="B782" s="5" t="s">
        <v>902</v>
      </c>
      <c r="C782" s="6">
        <v>45176.594444444447</v>
      </c>
      <c r="D782" s="5" t="s">
        <v>43</v>
      </c>
      <c r="E782" s="5" t="s">
        <v>66</v>
      </c>
      <c r="F782" s="5" t="s">
        <v>24</v>
      </c>
      <c r="G782" s="5" t="s">
        <v>39</v>
      </c>
      <c r="H782" s="5">
        <v>153</v>
      </c>
      <c r="I782" s="5">
        <v>5</v>
      </c>
      <c r="J782" s="5" t="s">
        <v>18</v>
      </c>
      <c r="K782" s="5" t="s">
        <v>19</v>
      </c>
      <c r="L782" s="5" t="s">
        <v>28</v>
      </c>
      <c r="M782" s="7" t="s">
        <v>41</v>
      </c>
      <c r="N782" s="26">
        <f t="shared" si="72"/>
        <v>0</v>
      </c>
      <c r="O782" s="42">
        <f t="shared" si="73"/>
        <v>45176</v>
      </c>
      <c r="P782" s="5" t="str">
        <f t="shared" si="74"/>
        <v>Thursday</v>
      </c>
      <c r="Q782" s="5">
        <f t="shared" si="75"/>
        <v>14</v>
      </c>
      <c r="R782" s="28">
        <f t="shared" si="76"/>
        <v>0.96835443037974689</v>
      </c>
      <c r="S782" s="29">
        <f t="shared" si="77"/>
        <v>96.835443037974684</v>
      </c>
      <c r="T782" s="5" t="str">
        <f>IF(Delivery_Data[[#This Row],[Delays (min)]]&gt;0,"No","Yes")</f>
        <v>No</v>
      </c>
    </row>
    <row r="783" spans="1:20" ht="15.75" customHeight="1" x14ac:dyDescent="0.3">
      <c r="A783" s="4">
        <v>1782</v>
      </c>
      <c r="B783" s="5" t="s">
        <v>903</v>
      </c>
      <c r="C783" s="6">
        <v>45170.458333333336</v>
      </c>
      <c r="D783" s="5" t="s">
        <v>14</v>
      </c>
      <c r="E783" s="5" t="s">
        <v>189</v>
      </c>
      <c r="F783" s="5" t="s">
        <v>24</v>
      </c>
      <c r="G783" s="5" t="s">
        <v>25</v>
      </c>
      <c r="H783" s="5">
        <v>146</v>
      </c>
      <c r="I783" s="5">
        <v>29</v>
      </c>
      <c r="J783" s="5" t="s">
        <v>32</v>
      </c>
      <c r="K783" s="5" t="s">
        <v>35</v>
      </c>
      <c r="L783" s="5" t="s">
        <v>40</v>
      </c>
      <c r="M783" s="7" t="s">
        <v>41</v>
      </c>
      <c r="N783" s="26">
        <f t="shared" si="72"/>
        <v>-1</v>
      </c>
      <c r="O783" s="42">
        <f t="shared" si="73"/>
        <v>45170</v>
      </c>
      <c r="P783" s="5" t="str">
        <f t="shared" si="74"/>
        <v>Friday</v>
      </c>
      <c r="Q783" s="5">
        <f t="shared" si="75"/>
        <v>11</v>
      </c>
      <c r="R783" s="28">
        <f t="shared" si="76"/>
        <v>0.8342857142857143</v>
      </c>
      <c r="S783" s="29">
        <f t="shared" si="77"/>
        <v>83.428571428571431</v>
      </c>
      <c r="T783" s="5" t="str">
        <f>IF(Delivery_Data[[#This Row],[Delays (min)]]&gt;0,"No","Yes")</f>
        <v>No</v>
      </c>
    </row>
    <row r="784" spans="1:20" ht="15.75" customHeight="1" x14ac:dyDescent="0.3">
      <c r="A784" s="4">
        <v>1783</v>
      </c>
      <c r="B784" s="5" t="s">
        <v>904</v>
      </c>
      <c r="C784" s="6">
        <v>45173.572916666664</v>
      </c>
      <c r="D784" s="5" t="s">
        <v>43</v>
      </c>
      <c r="E784" s="5" t="s">
        <v>95</v>
      </c>
      <c r="F784" s="5" t="s">
        <v>38</v>
      </c>
      <c r="G784" s="5" t="s">
        <v>17</v>
      </c>
      <c r="H784" s="5">
        <v>149</v>
      </c>
      <c r="I784" s="5">
        <v>8</v>
      </c>
      <c r="J784" s="5" t="s">
        <v>26</v>
      </c>
      <c r="K784" s="5" t="s">
        <v>35</v>
      </c>
      <c r="L784" s="5" t="s">
        <v>40</v>
      </c>
      <c r="M784" s="7" t="s">
        <v>41</v>
      </c>
      <c r="N784" s="26">
        <f t="shared" si="72"/>
        <v>1</v>
      </c>
      <c r="O784" s="42">
        <f t="shared" si="73"/>
        <v>45173</v>
      </c>
      <c r="P784" s="5" t="str">
        <f t="shared" si="74"/>
        <v>Monday</v>
      </c>
      <c r="Q784" s="5">
        <f t="shared" si="75"/>
        <v>13</v>
      </c>
      <c r="R784" s="28">
        <f t="shared" si="76"/>
        <v>0.94904458598726116</v>
      </c>
      <c r="S784" s="29">
        <f t="shared" si="77"/>
        <v>94.904458598726109</v>
      </c>
      <c r="T784" s="5" t="str">
        <f>IF(Delivery_Data[[#This Row],[Delays (min)]]&gt;0,"No","Yes")</f>
        <v>No</v>
      </c>
    </row>
    <row r="785" spans="1:20" ht="15.75" customHeight="1" x14ac:dyDescent="0.3">
      <c r="A785" s="4">
        <v>1784</v>
      </c>
      <c r="B785" s="5" t="s">
        <v>549</v>
      </c>
      <c r="C785" s="6">
        <v>45177.645138888889</v>
      </c>
      <c r="D785" s="5" t="s">
        <v>14</v>
      </c>
      <c r="E785" s="5" t="s">
        <v>211</v>
      </c>
      <c r="F785" s="5" t="s">
        <v>24</v>
      </c>
      <c r="G785" s="5" t="s">
        <v>39</v>
      </c>
      <c r="H785" s="5">
        <v>209</v>
      </c>
      <c r="I785" s="5">
        <v>24</v>
      </c>
      <c r="J785" s="5" t="s">
        <v>18</v>
      </c>
      <c r="K785" s="5" t="s">
        <v>35</v>
      </c>
      <c r="L785" s="5" t="s">
        <v>40</v>
      </c>
      <c r="M785" s="7" t="s">
        <v>41</v>
      </c>
      <c r="N785" s="26">
        <f t="shared" si="72"/>
        <v>0</v>
      </c>
      <c r="O785" s="42">
        <f t="shared" si="73"/>
        <v>45177</v>
      </c>
      <c r="P785" s="5" t="str">
        <f t="shared" si="74"/>
        <v>Friday</v>
      </c>
      <c r="Q785" s="5">
        <f t="shared" si="75"/>
        <v>15</v>
      </c>
      <c r="R785" s="28">
        <f t="shared" si="76"/>
        <v>0.89699570815450647</v>
      </c>
      <c r="S785" s="29">
        <f t="shared" si="77"/>
        <v>89.699570815450642</v>
      </c>
      <c r="T785" s="5" t="str">
        <f>IF(Delivery_Data[[#This Row],[Delays (min)]]&gt;0,"No","Yes")</f>
        <v>No</v>
      </c>
    </row>
    <row r="786" spans="1:20" ht="15.75" customHeight="1" x14ac:dyDescent="0.3">
      <c r="A786" s="4">
        <v>1785</v>
      </c>
      <c r="B786" s="5" t="s">
        <v>905</v>
      </c>
      <c r="C786" s="6">
        <v>45171.559027777781</v>
      </c>
      <c r="D786" s="5" t="s">
        <v>14</v>
      </c>
      <c r="E786" s="5" t="s">
        <v>193</v>
      </c>
      <c r="F786" s="5" t="s">
        <v>24</v>
      </c>
      <c r="G786" s="5" t="s">
        <v>17</v>
      </c>
      <c r="H786" s="5">
        <v>143</v>
      </c>
      <c r="I786" s="5">
        <v>21</v>
      </c>
      <c r="J786" s="5" t="s">
        <v>26</v>
      </c>
      <c r="K786" s="5" t="s">
        <v>27</v>
      </c>
      <c r="L786" s="5" t="s">
        <v>28</v>
      </c>
      <c r="M786" s="7" t="s">
        <v>21</v>
      </c>
      <c r="N786" s="26">
        <f t="shared" si="72"/>
        <v>1</v>
      </c>
      <c r="O786" s="42">
        <f t="shared" si="73"/>
        <v>45171</v>
      </c>
      <c r="P786" s="5" t="str">
        <f t="shared" si="74"/>
        <v>Saturday</v>
      </c>
      <c r="Q786" s="5">
        <f t="shared" si="75"/>
        <v>13</v>
      </c>
      <c r="R786" s="28">
        <f t="shared" si="76"/>
        <v>0.87195121951219512</v>
      </c>
      <c r="S786" s="29">
        <f t="shared" si="77"/>
        <v>87.195121951219505</v>
      </c>
      <c r="T786" s="5" t="str">
        <f>IF(Delivery_Data[[#This Row],[Delays (min)]]&gt;0,"No","Yes")</f>
        <v>No</v>
      </c>
    </row>
    <row r="787" spans="1:20" ht="15.75" customHeight="1" x14ac:dyDescent="0.3">
      <c r="A787" s="4">
        <v>1786</v>
      </c>
      <c r="B787" s="5" t="s">
        <v>906</v>
      </c>
      <c r="C787" s="6">
        <v>45172.676388888889</v>
      </c>
      <c r="D787" s="5" t="s">
        <v>14</v>
      </c>
      <c r="E787" s="5" t="s">
        <v>169</v>
      </c>
      <c r="F787" s="5" t="s">
        <v>38</v>
      </c>
      <c r="G787" s="5" t="s">
        <v>17</v>
      </c>
      <c r="H787" s="5">
        <v>237</v>
      </c>
      <c r="I787" s="5">
        <v>10</v>
      </c>
      <c r="J787" s="5" t="s">
        <v>32</v>
      </c>
      <c r="K787" s="5" t="s">
        <v>27</v>
      </c>
      <c r="L787" s="5" t="s">
        <v>28</v>
      </c>
      <c r="M787" s="7" t="s">
        <v>46</v>
      </c>
      <c r="N787" s="26">
        <f t="shared" si="72"/>
        <v>-1</v>
      </c>
      <c r="O787" s="42">
        <f t="shared" si="73"/>
        <v>45172</v>
      </c>
      <c r="P787" s="5" t="str">
        <f t="shared" si="74"/>
        <v>Sunday</v>
      </c>
      <c r="Q787" s="5">
        <f t="shared" si="75"/>
        <v>16</v>
      </c>
      <c r="R787" s="28">
        <f t="shared" si="76"/>
        <v>0.95951417004048578</v>
      </c>
      <c r="S787" s="29">
        <f t="shared" si="77"/>
        <v>95.951417004048579</v>
      </c>
      <c r="T787" s="5" t="str">
        <f>IF(Delivery_Data[[#This Row],[Delays (min)]]&gt;0,"No","Yes")</f>
        <v>No</v>
      </c>
    </row>
    <row r="788" spans="1:20" ht="15.75" customHeight="1" x14ac:dyDescent="0.3">
      <c r="A788" s="4">
        <v>1787</v>
      </c>
      <c r="B788" s="5" t="s">
        <v>907</v>
      </c>
      <c r="C788" s="6">
        <v>45170.404861111114</v>
      </c>
      <c r="D788" s="5" t="s">
        <v>43</v>
      </c>
      <c r="E788" s="5" t="s">
        <v>277</v>
      </c>
      <c r="F788" s="5" t="s">
        <v>16</v>
      </c>
      <c r="G788" s="5" t="s">
        <v>17</v>
      </c>
      <c r="H788" s="5">
        <v>115</v>
      </c>
      <c r="I788" s="5">
        <v>20</v>
      </c>
      <c r="J788" s="5" t="s">
        <v>18</v>
      </c>
      <c r="K788" s="5" t="s">
        <v>35</v>
      </c>
      <c r="L788" s="5" t="s">
        <v>20</v>
      </c>
      <c r="M788" s="7" t="s">
        <v>46</v>
      </c>
      <c r="N788" s="26">
        <f t="shared" si="72"/>
        <v>0</v>
      </c>
      <c r="O788" s="42">
        <f t="shared" si="73"/>
        <v>45170</v>
      </c>
      <c r="P788" s="5" t="str">
        <f t="shared" si="74"/>
        <v>Friday</v>
      </c>
      <c r="Q788" s="5">
        <f t="shared" si="75"/>
        <v>9</v>
      </c>
      <c r="R788" s="28">
        <f t="shared" si="76"/>
        <v>0.85185185185185186</v>
      </c>
      <c r="S788" s="29">
        <f t="shared" si="77"/>
        <v>85.18518518518519</v>
      </c>
      <c r="T788" s="5" t="str">
        <f>IF(Delivery_Data[[#This Row],[Delays (min)]]&gt;0,"No","Yes")</f>
        <v>No</v>
      </c>
    </row>
    <row r="789" spans="1:20" ht="15.75" customHeight="1" x14ac:dyDescent="0.3">
      <c r="A789" s="4">
        <v>1788</v>
      </c>
      <c r="B789" s="5" t="s">
        <v>908</v>
      </c>
      <c r="C789" s="6">
        <v>45171.443055555559</v>
      </c>
      <c r="D789" s="5" t="s">
        <v>43</v>
      </c>
      <c r="E789" s="5" t="s">
        <v>120</v>
      </c>
      <c r="F789" s="5" t="s">
        <v>24</v>
      </c>
      <c r="G789" s="5" t="s">
        <v>25</v>
      </c>
      <c r="H789" s="5">
        <v>150</v>
      </c>
      <c r="I789" s="5">
        <v>18</v>
      </c>
      <c r="J789" s="5" t="s">
        <v>32</v>
      </c>
      <c r="K789" s="5" t="s">
        <v>19</v>
      </c>
      <c r="L789" s="5" t="s">
        <v>40</v>
      </c>
      <c r="M789" s="7" t="s">
        <v>46</v>
      </c>
      <c r="N789" s="26">
        <f t="shared" si="72"/>
        <v>-1</v>
      </c>
      <c r="O789" s="42">
        <f t="shared" si="73"/>
        <v>45171</v>
      </c>
      <c r="P789" s="5" t="str">
        <f t="shared" si="74"/>
        <v>Saturday</v>
      </c>
      <c r="Q789" s="5">
        <f t="shared" si="75"/>
        <v>10</v>
      </c>
      <c r="R789" s="28">
        <f t="shared" si="76"/>
        <v>0.8928571428571429</v>
      </c>
      <c r="S789" s="29">
        <f t="shared" si="77"/>
        <v>89.285714285714292</v>
      </c>
      <c r="T789" s="5" t="str">
        <f>IF(Delivery_Data[[#This Row],[Delays (min)]]&gt;0,"No","Yes")</f>
        <v>No</v>
      </c>
    </row>
    <row r="790" spans="1:20" ht="15.75" customHeight="1" x14ac:dyDescent="0.3">
      <c r="A790" s="4">
        <v>1789</v>
      </c>
      <c r="B790" s="5" t="s">
        <v>909</v>
      </c>
      <c r="C790" s="6">
        <v>45171.613194444442</v>
      </c>
      <c r="D790" s="5" t="s">
        <v>43</v>
      </c>
      <c r="E790" s="5" t="s">
        <v>306</v>
      </c>
      <c r="F790" s="5" t="s">
        <v>38</v>
      </c>
      <c r="G790" s="5" t="s">
        <v>25</v>
      </c>
      <c r="H790" s="5">
        <v>181</v>
      </c>
      <c r="I790" s="5">
        <v>13</v>
      </c>
      <c r="J790" s="5" t="s">
        <v>26</v>
      </c>
      <c r="K790" s="5" t="s">
        <v>49</v>
      </c>
      <c r="L790" s="5" t="s">
        <v>20</v>
      </c>
      <c r="M790" s="7" t="s">
        <v>21</v>
      </c>
      <c r="N790" s="26">
        <f t="shared" si="72"/>
        <v>1</v>
      </c>
      <c r="O790" s="42">
        <f t="shared" si="73"/>
        <v>45171</v>
      </c>
      <c r="P790" s="5" t="str">
        <f t="shared" si="74"/>
        <v>Saturday</v>
      </c>
      <c r="Q790" s="5">
        <f t="shared" si="75"/>
        <v>14</v>
      </c>
      <c r="R790" s="28">
        <f t="shared" si="76"/>
        <v>0.9329896907216495</v>
      </c>
      <c r="S790" s="29">
        <f t="shared" si="77"/>
        <v>93.298969072164951</v>
      </c>
      <c r="T790" s="5" t="str">
        <f>IF(Delivery_Data[[#This Row],[Delays (min)]]&gt;0,"No","Yes")</f>
        <v>No</v>
      </c>
    </row>
    <row r="791" spans="1:20" ht="15.75" customHeight="1" x14ac:dyDescent="0.3">
      <c r="A791" s="4">
        <v>1790</v>
      </c>
      <c r="B791" s="5" t="s">
        <v>910</v>
      </c>
      <c r="C791" s="6">
        <v>45176.638194444444</v>
      </c>
      <c r="D791" s="5" t="s">
        <v>14</v>
      </c>
      <c r="E791" s="5" t="s">
        <v>154</v>
      </c>
      <c r="F791" s="5" t="s">
        <v>16</v>
      </c>
      <c r="G791" s="5" t="s">
        <v>56</v>
      </c>
      <c r="H791" s="5">
        <v>146</v>
      </c>
      <c r="I791" s="5">
        <v>29</v>
      </c>
      <c r="J791" s="5" t="s">
        <v>26</v>
      </c>
      <c r="K791" s="5" t="s">
        <v>49</v>
      </c>
      <c r="L791" s="5" t="s">
        <v>28</v>
      </c>
      <c r="M791" s="7" t="s">
        <v>41</v>
      </c>
      <c r="N791" s="26">
        <f t="shared" si="72"/>
        <v>1</v>
      </c>
      <c r="O791" s="42">
        <f t="shared" si="73"/>
        <v>45176</v>
      </c>
      <c r="P791" s="5" t="str">
        <f t="shared" si="74"/>
        <v>Thursday</v>
      </c>
      <c r="Q791" s="5">
        <f t="shared" si="75"/>
        <v>15</v>
      </c>
      <c r="R791" s="28">
        <f t="shared" si="76"/>
        <v>0.8342857142857143</v>
      </c>
      <c r="S791" s="29">
        <f t="shared" si="77"/>
        <v>83.428571428571431</v>
      </c>
      <c r="T791" s="5" t="str">
        <f>IF(Delivery_Data[[#This Row],[Delays (min)]]&gt;0,"No","Yes")</f>
        <v>No</v>
      </c>
    </row>
    <row r="792" spans="1:20" ht="15.75" customHeight="1" x14ac:dyDescent="0.3">
      <c r="A792" s="4">
        <v>1791</v>
      </c>
      <c r="B792" s="5" t="s">
        <v>911</v>
      </c>
      <c r="C792" s="6">
        <v>45172.371527777781</v>
      </c>
      <c r="D792" s="5" t="s">
        <v>43</v>
      </c>
      <c r="E792" s="5" t="s">
        <v>85</v>
      </c>
      <c r="F792" s="5" t="s">
        <v>16</v>
      </c>
      <c r="G792" s="5" t="s">
        <v>31</v>
      </c>
      <c r="H792" s="5">
        <v>140</v>
      </c>
      <c r="I792" s="5">
        <v>9</v>
      </c>
      <c r="J792" s="5" t="s">
        <v>26</v>
      </c>
      <c r="K792" s="5" t="s">
        <v>35</v>
      </c>
      <c r="L792" s="5" t="s">
        <v>20</v>
      </c>
      <c r="M792" s="7" t="s">
        <v>46</v>
      </c>
      <c r="N792" s="26">
        <f t="shared" si="72"/>
        <v>1</v>
      </c>
      <c r="O792" s="42">
        <f t="shared" si="73"/>
        <v>45172</v>
      </c>
      <c r="P792" s="5" t="str">
        <f t="shared" si="74"/>
        <v>Sunday</v>
      </c>
      <c r="Q792" s="5">
        <f t="shared" si="75"/>
        <v>8</v>
      </c>
      <c r="R792" s="28">
        <f t="shared" si="76"/>
        <v>0.93959731543624159</v>
      </c>
      <c r="S792" s="29">
        <f t="shared" si="77"/>
        <v>93.959731543624159</v>
      </c>
      <c r="T792" s="5" t="str">
        <f>IF(Delivery_Data[[#This Row],[Delays (min)]]&gt;0,"No","Yes")</f>
        <v>No</v>
      </c>
    </row>
    <row r="793" spans="1:20" ht="15.75" customHeight="1" x14ac:dyDescent="0.3">
      <c r="A793" s="4">
        <v>1792</v>
      </c>
      <c r="B793" s="5" t="s">
        <v>912</v>
      </c>
      <c r="C793" s="6">
        <v>45171.675694444442</v>
      </c>
      <c r="D793" s="5" t="s">
        <v>14</v>
      </c>
      <c r="E793" s="5" t="s">
        <v>333</v>
      </c>
      <c r="F793" s="5" t="s">
        <v>16</v>
      </c>
      <c r="G793" s="5" t="s">
        <v>31</v>
      </c>
      <c r="H793" s="5">
        <v>198</v>
      </c>
      <c r="I793" s="5">
        <v>5</v>
      </c>
      <c r="J793" s="5" t="s">
        <v>18</v>
      </c>
      <c r="K793" s="5" t="s">
        <v>35</v>
      </c>
      <c r="L793" s="5" t="s">
        <v>28</v>
      </c>
      <c r="M793" s="7" t="s">
        <v>21</v>
      </c>
      <c r="N793" s="26">
        <f t="shared" si="72"/>
        <v>0</v>
      </c>
      <c r="O793" s="42">
        <f t="shared" si="73"/>
        <v>45171</v>
      </c>
      <c r="P793" s="5" t="str">
        <f t="shared" si="74"/>
        <v>Saturday</v>
      </c>
      <c r="Q793" s="5">
        <f t="shared" si="75"/>
        <v>16</v>
      </c>
      <c r="R793" s="28">
        <f t="shared" si="76"/>
        <v>0.97536945812807885</v>
      </c>
      <c r="S793" s="29">
        <f t="shared" si="77"/>
        <v>97.536945812807886</v>
      </c>
      <c r="T793" s="5" t="str">
        <f>IF(Delivery_Data[[#This Row],[Delays (min)]]&gt;0,"No","Yes")</f>
        <v>No</v>
      </c>
    </row>
    <row r="794" spans="1:20" ht="15.75" customHeight="1" x14ac:dyDescent="0.3">
      <c r="A794" s="4">
        <v>1793</v>
      </c>
      <c r="B794" s="5" t="s">
        <v>913</v>
      </c>
      <c r="C794" s="6">
        <v>45173.344444444447</v>
      </c>
      <c r="D794" s="5" t="s">
        <v>14</v>
      </c>
      <c r="E794" s="5" t="s">
        <v>93</v>
      </c>
      <c r="F794" s="5" t="s">
        <v>38</v>
      </c>
      <c r="G794" s="5" t="s">
        <v>56</v>
      </c>
      <c r="H794" s="5">
        <v>65</v>
      </c>
      <c r="I794" s="5">
        <v>6</v>
      </c>
      <c r="J794" s="5" t="s">
        <v>18</v>
      </c>
      <c r="K794" s="5" t="s">
        <v>27</v>
      </c>
      <c r="L794" s="5" t="s">
        <v>20</v>
      </c>
      <c r="M794" s="7" t="s">
        <v>41</v>
      </c>
      <c r="N794" s="26">
        <f t="shared" si="72"/>
        <v>0</v>
      </c>
      <c r="O794" s="42">
        <f t="shared" si="73"/>
        <v>45173</v>
      </c>
      <c r="P794" s="5" t="str">
        <f t="shared" si="74"/>
        <v>Monday</v>
      </c>
      <c r="Q794" s="5">
        <f t="shared" si="75"/>
        <v>8</v>
      </c>
      <c r="R794" s="28">
        <f t="shared" si="76"/>
        <v>0.91549295774647887</v>
      </c>
      <c r="S794" s="29">
        <f t="shared" si="77"/>
        <v>91.549295774647888</v>
      </c>
      <c r="T794" s="5" t="str">
        <f>IF(Delivery_Data[[#This Row],[Delays (min)]]&gt;0,"No","Yes")</f>
        <v>No</v>
      </c>
    </row>
    <row r="795" spans="1:20" ht="15.75" customHeight="1" x14ac:dyDescent="0.3">
      <c r="A795" s="4">
        <v>1794</v>
      </c>
      <c r="B795" s="5" t="s">
        <v>914</v>
      </c>
      <c r="C795" s="6">
        <v>45174.702777777777</v>
      </c>
      <c r="D795" s="5" t="s">
        <v>14</v>
      </c>
      <c r="E795" s="5" t="s">
        <v>187</v>
      </c>
      <c r="F795" s="5" t="s">
        <v>16</v>
      </c>
      <c r="G795" s="5" t="s">
        <v>17</v>
      </c>
      <c r="H795" s="5">
        <v>89</v>
      </c>
      <c r="I795" s="5">
        <v>7</v>
      </c>
      <c r="J795" s="5" t="s">
        <v>26</v>
      </c>
      <c r="K795" s="5" t="s">
        <v>49</v>
      </c>
      <c r="L795" s="5" t="s">
        <v>20</v>
      </c>
      <c r="M795" s="7" t="s">
        <v>41</v>
      </c>
      <c r="N795" s="26">
        <f t="shared" si="72"/>
        <v>1</v>
      </c>
      <c r="O795" s="42">
        <f t="shared" si="73"/>
        <v>45174</v>
      </c>
      <c r="P795" s="5" t="str">
        <f t="shared" si="74"/>
        <v>Tuesday</v>
      </c>
      <c r="Q795" s="5">
        <f t="shared" si="75"/>
        <v>16</v>
      </c>
      <c r="R795" s="28">
        <f t="shared" si="76"/>
        <v>0.92708333333333337</v>
      </c>
      <c r="S795" s="29">
        <f t="shared" si="77"/>
        <v>92.708333333333343</v>
      </c>
      <c r="T795" s="5" t="str">
        <f>IF(Delivery_Data[[#This Row],[Delays (min)]]&gt;0,"No","Yes")</f>
        <v>No</v>
      </c>
    </row>
    <row r="796" spans="1:20" ht="15.75" customHeight="1" x14ac:dyDescent="0.3">
      <c r="A796" s="4">
        <v>1795</v>
      </c>
      <c r="B796" s="5" t="s">
        <v>915</v>
      </c>
      <c r="C796" s="6">
        <v>45176.402083333334</v>
      </c>
      <c r="D796" s="5" t="s">
        <v>14</v>
      </c>
      <c r="E796" s="5" t="s">
        <v>66</v>
      </c>
      <c r="F796" s="5" t="s">
        <v>38</v>
      </c>
      <c r="G796" s="5" t="s">
        <v>25</v>
      </c>
      <c r="H796" s="5">
        <v>195</v>
      </c>
      <c r="I796" s="5">
        <v>6</v>
      </c>
      <c r="J796" s="5" t="s">
        <v>18</v>
      </c>
      <c r="K796" s="5" t="s">
        <v>45</v>
      </c>
      <c r="L796" s="5" t="s">
        <v>20</v>
      </c>
      <c r="M796" s="7" t="s">
        <v>46</v>
      </c>
      <c r="N796" s="26">
        <f t="shared" si="72"/>
        <v>0</v>
      </c>
      <c r="O796" s="42">
        <f t="shared" si="73"/>
        <v>45176</v>
      </c>
      <c r="P796" s="5" t="str">
        <f t="shared" si="74"/>
        <v>Thursday</v>
      </c>
      <c r="Q796" s="5">
        <f t="shared" si="75"/>
        <v>9</v>
      </c>
      <c r="R796" s="28">
        <f t="shared" si="76"/>
        <v>0.97014925373134331</v>
      </c>
      <c r="S796" s="29">
        <f t="shared" si="77"/>
        <v>97.014925373134332</v>
      </c>
      <c r="T796" s="5" t="str">
        <f>IF(Delivery_Data[[#This Row],[Delays (min)]]&gt;0,"No","Yes")</f>
        <v>No</v>
      </c>
    </row>
    <row r="797" spans="1:20" ht="15.75" customHeight="1" x14ac:dyDescent="0.3">
      <c r="A797" s="4">
        <v>1796</v>
      </c>
      <c r="B797" s="5" t="s">
        <v>916</v>
      </c>
      <c r="C797" s="6">
        <v>45172.590277777781</v>
      </c>
      <c r="D797" s="5" t="s">
        <v>14</v>
      </c>
      <c r="E797" s="5" t="s">
        <v>270</v>
      </c>
      <c r="F797" s="5" t="s">
        <v>24</v>
      </c>
      <c r="G797" s="5" t="s">
        <v>25</v>
      </c>
      <c r="H797" s="5">
        <v>151</v>
      </c>
      <c r="I797" s="5">
        <v>2</v>
      </c>
      <c r="J797" s="5" t="s">
        <v>32</v>
      </c>
      <c r="K797" s="5" t="s">
        <v>49</v>
      </c>
      <c r="L797" s="5" t="s">
        <v>40</v>
      </c>
      <c r="M797" s="7" t="s">
        <v>21</v>
      </c>
      <c r="N797" s="26">
        <f t="shared" si="72"/>
        <v>-1</v>
      </c>
      <c r="O797" s="42">
        <f t="shared" si="73"/>
        <v>45172</v>
      </c>
      <c r="P797" s="5" t="str">
        <f t="shared" si="74"/>
        <v>Sunday</v>
      </c>
      <c r="Q797" s="5">
        <f t="shared" si="75"/>
        <v>14</v>
      </c>
      <c r="R797" s="28">
        <f t="shared" si="76"/>
        <v>0.98692810457516345</v>
      </c>
      <c r="S797" s="29">
        <f t="shared" si="77"/>
        <v>98.692810457516345</v>
      </c>
      <c r="T797" s="5" t="str">
        <f>IF(Delivery_Data[[#This Row],[Delays (min)]]&gt;0,"No","Yes")</f>
        <v>No</v>
      </c>
    </row>
    <row r="798" spans="1:20" ht="15.75" customHeight="1" x14ac:dyDescent="0.3">
      <c r="A798" s="4">
        <v>1797</v>
      </c>
      <c r="B798" s="5" t="s">
        <v>917</v>
      </c>
      <c r="C798" s="6">
        <v>45173.410416666666</v>
      </c>
      <c r="D798" s="5" t="s">
        <v>43</v>
      </c>
      <c r="E798" s="5" t="s">
        <v>333</v>
      </c>
      <c r="F798" s="5" t="s">
        <v>24</v>
      </c>
      <c r="G798" s="5" t="s">
        <v>17</v>
      </c>
      <c r="H798" s="5">
        <v>208</v>
      </c>
      <c r="I798" s="5">
        <v>6</v>
      </c>
      <c r="J798" s="5" t="s">
        <v>32</v>
      </c>
      <c r="K798" s="5" t="s">
        <v>19</v>
      </c>
      <c r="L798" s="5" t="s">
        <v>28</v>
      </c>
      <c r="M798" s="7" t="s">
        <v>21</v>
      </c>
      <c r="N798" s="26">
        <f t="shared" si="72"/>
        <v>-1</v>
      </c>
      <c r="O798" s="42">
        <f t="shared" si="73"/>
        <v>45173</v>
      </c>
      <c r="P798" s="5" t="str">
        <f t="shared" si="74"/>
        <v>Monday</v>
      </c>
      <c r="Q798" s="5">
        <f t="shared" si="75"/>
        <v>9</v>
      </c>
      <c r="R798" s="28">
        <f t="shared" si="76"/>
        <v>0.9719626168224299</v>
      </c>
      <c r="S798" s="29">
        <f t="shared" si="77"/>
        <v>97.196261682242991</v>
      </c>
      <c r="T798" s="5" t="str">
        <f>IF(Delivery_Data[[#This Row],[Delays (min)]]&gt;0,"No","Yes")</f>
        <v>No</v>
      </c>
    </row>
    <row r="799" spans="1:20" ht="15.75" customHeight="1" x14ac:dyDescent="0.3">
      <c r="A799" s="4">
        <v>1798</v>
      </c>
      <c r="B799" s="5" t="s">
        <v>918</v>
      </c>
      <c r="C799" s="6">
        <v>45177.393055555556</v>
      </c>
      <c r="D799" s="5" t="s">
        <v>43</v>
      </c>
      <c r="E799" s="5" t="s">
        <v>109</v>
      </c>
      <c r="F799" s="5" t="s">
        <v>24</v>
      </c>
      <c r="G799" s="5" t="s">
        <v>39</v>
      </c>
      <c r="H799" s="5">
        <v>201</v>
      </c>
      <c r="I799" s="5">
        <v>10</v>
      </c>
      <c r="J799" s="5" t="s">
        <v>32</v>
      </c>
      <c r="K799" s="5" t="s">
        <v>27</v>
      </c>
      <c r="L799" s="5" t="s">
        <v>40</v>
      </c>
      <c r="M799" s="7" t="s">
        <v>21</v>
      </c>
      <c r="N799" s="26">
        <f t="shared" si="72"/>
        <v>-1</v>
      </c>
      <c r="O799" s="42">
        <f t="shared" si="73"/>
        <v>45177</v>
      </c>
      <c r="P799" s="5" t="str">
        <f t="shared" si="74"/>
        <v>Friday</v>
      </c>
      <c r="Q799" s="5">
        <f t="shared" si="75"/>
        <v>9</v>
      </c>
      <c r="R799" s="28">
        <f t="shared" si="76"/>
        <v>0.95260663507109</v>
      </c>
      <c r="S799" s="29">
        <f t="shared" si="77"/>
        <v>95.260663507109001</v>
      </c>
      <c r="T799" s="5" t="str">
        <f>IF(Delivery_Data[[#This Row],[Delays (min)]]&gt;0,"No","Yes")</f>
        <v>No</v>
      </c>
    </row>
    <row r="800" spans="1:20" ht="15.75" customHeight="1" x14ac:dyDescent="0.3">
      <c r="A800" s="4">
        <v>1799</v>
      </c>
      <c r="B800" s="5" t="s">
        <v>919</v>
      </c>
      <c r="C800" s="6">
        <v>45170.355555555558</v>
      </c>
      <c r="D800" s="5" t="s">
        <v>43</v>
      </c>
      <c r="E800" s="5" t="s">
        <v>140</v>
      </c>
      <c r="F800" s="5" t="s">
        <v>38</v>
      </c>
      <c r="G800" s="5" t="s">
        <v>39</v>
      </c>
      <c r="H800" s="5">
        <v>68</v>
      </c>
      <c r="I800" s="5">
        <v>4</v>
      </c>
      <c r="J800" s="5" t="s">
        <v>18</v>
      </c>
      <c r="K800" s="5" t="s">
        <v>49</v>
      </c>
      <c r="L800" s="5" t="s">
        <v>40</v>
      </c>
      <c r="M800" s="7" t="s">
        <v>21</v>
      </c>
      <c r="N800" s="26">
        <f t="shared" si="72"/>
        <v>0</v>
      </c>
      <c r="O800" s="42">
        <f t="shared" si="73"/>
        <v>45170</v>
      </c>
      <c r="P800" s="5" t="str">
        <f t="shared" si="74"/>
        <v>Friday</v>
      </c>
      <c r="Q800" s="5">
        <f t="shared" si="75"/>
        <v>8</v>
      </c>
      <c r="R800" s="28">
        <f t="shared" si="76"/>
        <v>0.94444444444444442</v>
      </c>
      <c r="S800" s="29">
        <f t="shared" si="77"/>
        <v>94.444444444444443</v>
      </c>
      <c r="T800" s="5" t="str">
        <f>IF(Delivery_Data[[#This Row],[Delays (min)]]&gt;0,"No","Yes")</f>
        <v>No</v>
      </c>
    </row>
    <row r="801" spans="1:20" ht="15.75" customHeight="1" x14ac:dyDescent="0.3">
      <c r="A801" s="4">
        <v>1800</v>
      </c>
      <c r="B801" s="5" t="s">
        <v>920</v>
      </c>
      <c r="C801" s="6">
        <v>45175.559027777781</v>
      </c>
      <c r="D801" s="5" t="s">
        <v>43</v>
      </c>
      <c r="E801" s="5" t="s">
        <v>55</v>
      </c>
      <c r="F801" s="5" t="s">
        <v>24</v>
      </c>
      <c r="G801" s="5" t="s">
        <v>25</v>
      </c>
      <c r="H801" s="5">
        <v>87</v>
      </c>
      <c r="I801" s="5">
        <v>14</v>
      </c>
      <c r="J801" s="5" t="s">
        <v>26</v>
      </c>
      <c r="K801" s="5" t="s">
        <v>27</v>
      </c>
      <c r="L801" s="5" t="s">
        <v>28</v>
      </c>
      <c r="M801" s="7" t="s">
        <v>46</v>
      </c>
      <c r="N801" s="26">
        <f t="shared" si="72"/>
        <v>1</v>
      </c>
      <c r="O801" s="42">
        <f t="shared" si="73"/>
        <v>45175</v>
      </c>
      <c r="P801" s="5" t="str">
        <f t="shared" si="74"/>
        <v>Wednesday</v>
      </c>
      <c r="Q801" s="5">
        <f t="shared" si="75"/>
        <v>13</v>
      </c>
      <c r="R801" s="28">
        <f t="shared" si="76"/>
        <v>0.86138613861386137</v>
      </c>
      <c r="S801" s="29">
        <f t="shared" si="77"/>
        <v>86.138613861386133</v>
      </c>
      <c r="T801" s="5" t="str">
        <f>IF(Delivery_Data[[#This Row],[Delays (min)]]&gt;0,"No","Yes")</f>
        <v>No</v>
      </c>
    </row>
    <row r="802" spans="1:20" ht="15.75" customHeight="1" x14ac:dyDescent="0.3">
      <c r="A802" s="4">
        <v>1801</v>
      </c>
      <c r="B802" s="5" t="s">
        <v>921</v>
      </c>
      <c r="C802" s="6">
        <v>45176.620138888888</v>
      </c>
      <c r="D802" s="5" t="s">
        <v>43</v>
      </c>
      <c r="E802" s="5" t="s">
        <v>23</v>
      </c>
      <c r="F802" s="5" t="s">
        <v>16</v>
      </c>
      <c r="G802" s="5" t="s">
        <v>31</v>
      </c>
      <c r="H802" s="5">
        <v>121</v>
      </c>
      <c r="I802" s="5">
        <v>16</v>
      </c>
      <c r="J802" s="5" t="s">
        <v>18</v>
      </c>
      <c r="K802" s="5" t="s">
        <v>49</v>
      </c>
      <c r="L802" s="5" t="s">
        <v>28</v>
      </c>
      <c r="M802" s="7" t="s">
        <v>46</v>
      </c>
      <c r="N802" s="26">
        <f t="shared" si="72"/>
        <v>0</v>
      </c>
      <c r="O802" s="42">
        <f t="shared" si="73"/>
        <v>45176</v>
      </c>
      <c r="P802" s="5" t="str">
        <f t="shared" si="74"/>
        <v>Thursday</v>
      </c>
      <c r="Q802" s="5">
        <f t="shared" si="75"/>
        <v>14</v>
      </c>
      <c r="R802" s="28">
        <f t="shared" si="76"/>
        <v>0.88321167883211682</v>
      </c>
      <c r="S802" s="29">
        <f t="shared" si="77"/>
        <v>88.321167883211686</v>
      </c>
      <c r="T802" s="5" t="str">
        <f>IF(Delivery_Data[[#This Row],[Delays (min)]]&gt;0,"No","Yes")</f>
        <v>No</v>
      </c>
    </row>
    <row r="803" spans="1:20" ht="15.75" customHeight="1" x14ac:dyDescent="0.3">
      <c r="A803" s="4">
        <v>1802</v>
      </c>
      <c r="B803" s="5" t="s">
        <v>922</v>
      </c>
      <c r="C803" s="6">
        <v>45170.658333333333</v>
      </c>
      <c r="D803" s="5" t="s">
        <v>14</v>
      </c>
      <c r="E803" s="5" t="s">
        <v>403</v>
      </c>
      <c r="F803" s="5" t="s">
        <v>16</v>
      </c>
      <c r="G803" s="5" t="s">
        <v>17</v>
      </c>
      <c r="H803" s="5">
        <v>235</v>
      </c>
      <c r="I803" s="5">
        <v>7</v>
      </c>
      <c r="J803" s="5" t="s">
        <v>32</v>
      </c>
      <c r="K803" s="5" t="s">
        <v>49</v>
      </c>
      <c r="L803" s="5" t="s">
        <v>40</v>
      </c>
      <c r="M803" s="7" t="s">
        <v>41</v>
      </c>
      <c r="N803" s="26">
        <f t="shared" si="72"/>
        <v>-1</v>
      </c>
      <c r="O803" s="42">
        <f t="shared" si="73"/>
        <v>45170</v>
      </c>
      <c r="P803" s="5" t="str">
        <f t="shared" si="74"/>
        <v>Friday</v>
      </c>
      <c r="Q803" s="5">
        <f t="shared" si="75"/>
        <v>15</v>
      </c>
      <c r="R803" s="28">
        <f t="shared" si="76"/>
        <v>0.97107438016528924</v>
      </c>
      <c r="S803" s="29">
        <f t="shared" si="77"/>
        <v>97.107438016528931</v>
      </c>
      <c r="T803" s="5" t="str">
        <f>IF(Delivery_Data[[#This Row],[Delays (min)]]&gt;0,"No","Yes")</f>
        <v>No</v>
      </c>
    </row>
    <row r="804" spans="1:20" ht="15.75" customHeight="1" x14ac:dyDescent="0.3">
      <c r="A804" s="4">
        <v>1803</v>
      </c>
      <c r="B804" s="5" t="s">
        <v>923</v>
      </c>
      <c r="C804" s="6">
        <v>45176.593055555553</v>
      </c>
      <c r="D804" s="5" t="s">
        <v>43</v>
      </c>
      <c r="E804" s="5" t="s">
        <v>70</v>
      </c>
      <c r="F804" s="5" t="s">
        <v>16</v>
      </c>
      <c r="G804" s="5" t="s">
        <v>31</v>
      </c>
      <c r="H804" s="5">
        <v>125</v>
      </c>
      <c r="I804" s="5">
        <v>10</v>
      </c>
      <c r="J804" s="5" t="s">
        <v>18</v>
      </c>
      <c r="K804" s="5" t="s">
        <v>35</v>
      </c>
      <c r="L804" s="5" t="s">
        <v>40</v>
      </c>
      <c r="M804" s="7" t="s">
        <v>21</v>
      </c>
      <c r="N804" s="26">
        <f t="shared" si="72"/>
        <v>0</v>
      </c>
      <c r="O804" s="42">
        <f t="shared" si="73"/>
        <v>45176</v>
      </c>
      <c r="P804" s="5" t="str">
        <f t="shared" si="74"/>
        <v>Thursday</v>
      </c>
      <c r="Q804" s="5">
        <f t="shared" si="75"/>
        <v>14</v>
      </c>
      <c r="R804" s="28">
        <f t="shared" si="76"/>
        <v>0.92592592592592593</v>
      </c>
      <c r="S804" s="29">
        <f t="shared" si="77"/>
        <v>92.592592592592595</v>
      </c>
      <c r="T804" s="5" t="str">
        <f>IF(Delivery_Data[[#This Row],[Delays (min)]]&gt;0,"No","Yes")</f>
        <v>No</v>
      </c>
    </row>
    <row r="805" spans="1:20" ht="15.75" customHeight="1" x14ac:dyDescent="0.3">
      <c r="A805" s="4">
        <v>1804</v>
      </c>
      <c r="B805" s="5" t="s">
        <v>924</v>
      </c>
      <c r="C805" s="6">
        <v>45176.420138888891</v>
      </c>
      <c r="D805" s="5" t="s">
        <v>43</v>
      </c>
      <c r="E805" s="5" t="s">
        <v>304</v>
      </c>
      <c r="F805" s="5" t="s">
        <v>24</v>
      </c>
      <c r="G805" s="5" t="s">
        <v>25</v>
      </c>
      <c r="H805" s="5">
        <v>168</v>
      </c>
      <c r="I805" s="5">
        <v>17</v>
      </c>
      <c r="J805" s="5" t="s">
        <v>26</v>
      </c>
      <c r="K805" s="5" t="s">
        <v>35</v>
      </c>
      <c r="L805" s="5" t="s">
        <v>28</v>
      </c>
      <c r="M805" s="7" t="s">
        <v>41</v>
      </c>
      <c r="N805" s="26">
        <f t="shared" si="72"/>
        <v>1</v>
      </c>
      <c r="O805" s="42">
        <f t="shared" si="73"/>
        <v>45176</v>
      </c>
      <c r="P805" s="5" t="str">
        <f t="shared" si="74"/>
        <v>Thursday</v>
      </c>
      <c r="Q805" s="5">
        <f t="shared" si="75"/>
        <v>10</v>
      </c>
      <c r="R805" s="28">
        <f t="shared" si="76"/>
        <v>0.90810810810810816</v>
      </c>
      <c r="S805" s="29">
        <f t="shared" si="77"/>
        <v>90.810810810810821</v>
      </c>
      <c r="T805" s="5" t="str">
        <f>IF(Delivery_Data[[#This Row],[Delays (min)]]&gt;0,"No","Yes")</f>
        <v>No</v>
      </c>
    </row>
    <row r="806" spans="1:20" ht="15.75" customHeight="1" x14ac:dyDescent="0.3">
      <c r="A806" s="4">
        <v>1805</v>
      </c>
      <c r="B806" s="5" t="s">
        <v>925</v>
      </c>
      <c r="C806" s="6">
        <v>45170.557638888888</v>
      </c>
      <c r="D806" s="5" t="s">
        <v>43</v>
      </c>
      <c r="E806" s="5" t="s">
        <v>122</v>
      </c>
      <c r="F806" s="5" t="s">
        <v>24</v>
      </c>
      <c r="G806" s="5" t="s">
        <v>39</v>
      </c>
      <c r="H806" s="5">
        <v>153</v>
      </c>
      <c r="I806" s="5">
        <v>3</v>
      </c>
      <c r="J806" s="5" t="s">
        <v>18</v>
      </c>
      <c r="K806" s="5" t="s">
        <v>19</v>
      </c>
      <c r="L806" s="5" t="s">
        <v>28</v>
      </c>
      <c r="M806" s="7" t="s">
        <v>41</v>
      </c>
      <c r="N806" s="26">
        <f t="shared" si="72"/>
        <v>0</v>
      </c>
      <c r="O806" s="42">
        <f t="shared" si="73"/>
        <v>45170</v>
      </c>
      <c r="P806" s="5" t="str">
        <f t="shared" si="74"/>
        <v>Friday</v>
      </c>
      <c r="Q806" s="5">
        <f t="shared" si="75"/>
        <v>13</v>
      </c>
      <c r="R806" s="28">
        <f t="shared" si="76"/>
        <v>0.98076923076923073</v>
      </c>
      <c r="S806" s="29">
        <f t="shared" si="77"/>
        <v>98.076923076923066</v>
      </c>
      <c r="T806" s="5" t="str">
        <f>IF(Delivery_Data[[#This Row],[Delays (min)]]&gt;0,"No","Yes")</f>
        <v>No</v>
      </c>
    </row>
    <row r="807" spans="1:20" ht="15.75" customHeight="1" x14ac:dyDescent="0.3">
      <c r="A807" s="4">
        <v>1806</v>
      </c>
      <c r="B807" s="5" t="s">
        <v>926</v>
      </c>
      <c r="C807" s="6">
        <v>45174.525694444441</v>
      </c>
      <c r="D807" s="5" t="s">
        <v>43</v>
      </c>
      <c r="E807" s="5" t="s">
        <v>62</v>
      </c>
      <c r="F807" s="5" t="s">
        <v>24</v>
      </c>
      <c r="G807" s="5" t="s">
        <v>56</v>
      </c>
      <c r="H807" s="5">
        <v>110</v>
      </c>
      <c r="I807" s="5">
        <v>22</v>
      </c>
      <c r="J807" s="5" t="s">
        <v>32</v>
      </c>
      <c r="K807" s="5" t="s">
        <v>49</v>
      </c>
      <c r="L807" s="5" t="s">
        <v>20</v>
      </c>
      <c r="M807" s="7" t="s">
        <v>21</v>
      </c>
      <c r="N807" s="26">
        <f t="shared" si="72"/>
        <v>-1</v>
      </c>
      <c r="O807" s="42">
        <f t="shared" si="73"/>
        <v>45174</v>
      </c>
      <c r="P807" s="5" t="str">
        <f t="shared" si="74"/>
        <v>Tuesday</v>
      </c>
      <c r="Q807" s="5">
        <f t="shared" si="75"/>
        <v>12</v>
      </c>
      <c r="R807" s="28">
        <f t="shared" si="76"/>
        <v>0.83333333333333337</v>
      </c>
      <c r="S807" s="29">
        <f t="shared" si="77"/>
        <v>83.333333333333343</v>
      </c>
      <c r="T807" s="5" t="str">
        <f>IF(Delivery_Data[[#This Row],[Delays (min)]]&gt;0,"No","Yes")</f>
        <v>No</v>
      </c>
    </row>
    <row r="808" spans="1:20" ht="15.75" customHeight="1" x14ac:dyDescent="0.3">
      <c r="A808" s="4">
        <v>1807</v>
      </c>
      <c r="B808" s="5" t="s">
        <v>476</v>
      </c>
      <c r="C808" s="6">
        <v>45170.513194444444</v>
      </c>
      <c r="D808" s="5" t="s">
        <v>14</v>
      </c>
      <c r="E808" s="5" t="s">
        <v>68</v>
      </c>
      <c r="F808" s="5" t="s">
        <v>16</v>
      </c>
      <c r="G808" s="5" t="s">
        <v>39</v>
      </c>
      <c r="H808" s="5">
        <v>157</v>
      </c>
      <c r="I808" s="5">
        <v>10</v>
      </c>
      <c r="J808" s="5" t="s">
        <v>18</v>
      </c>
      <c r="K808" s="5" t="s">
        <v>27</v>
      </c>
      <c r="L808" s="5" t="s">
        <v>28</v>
      </c>
      <c r="M808" s="7" t="s">
        <v>21</v>
      </c>
      <c r="N808" s="26">
        <f t="shared" si="72"/>
        <v>0</v>
      </c>
      <c r="O808" s="42">
        <f t="shared" si="73"/>
        <v>45170</v>
      </c>
      <c r="P808" s="5" t="str">
        <f t="shared" si="74"/>
        <v>Friday</v>
      </c>
      <c r="Q808" s="5">
        <f t="shared" si="75"/>
        <v>12</v>
      </c>
      <c r="R808" s="28">
        <f t="shared" si="76"/>
        <v>0.94011976047904189</v>
      </c>
      <c r="S808" s="29">
        <f t="shared" si="77"/>
        <v>94.011976047904184</v>
      </c>
      <c r="T808" s="5" t="str">
        <f>IF(Delivery_Data[[#This Row],[Delays (min)]]&gt;0,"No","Yes")</f>
        <v>No</v>
      </c>
    </row>
    <row r="809" spans="1:20" ht="15.75" customHeight="1" x14ac:dyDescent="0.3">
      <c r="A809" s="4">
        <v>1808</v>
      </c>
      <c r="B809" s="5" t="s">
        <v>927</v>
      </c>
      <c r="C809" s="6">
        <v>45176.643750000003</v>
      </c>
      <c r="D809" s="5" t="s">
        <v>14</v>
      </c>
      <c r="E809" s="5" t="s">
        <v>135</v>
      </c>
      <c r="F809" s="5" t="s">
        <v>16</v>
      </c>
      <c r="G809" s="5" t="s">
        <v>31</v>
      </c>
      <c r="H809" s="5">
        <v>150</v>
      </c>
      <c r="I809" s="5">
        <v>6</v>
      </c>
      <c r="J809" s="5" t="s">
        <v>18</v>
      </c>
      <c r="K809" s="5" t="s">
        <v>27</v>
      </c>
      <c r="L809" s="5" t="s">
        <v>40</v>
      </c>
      <c r="M809" s="7" t="s">
        <v>21</v>
      </c>
      <c r="N809" s="26">
        <f t="shared" si="72"/>
        <v>0</v>
      </c>
      <c r="O809" s="42">
        <f t="shared" si="73"/>
        <v>45176</v>
      </c>
      <c r="P809" s="5" t="str">
        <f t="shared" si="74"/>
        <v>Thursday</v>
      </c>
      <c r="Q809" s="5">
        <f t="shared" si="75"/>
        <v>15</v>
      </c>
      <c r="R809" s="28">
        <f t="shared" si="76"/>
        <v>0.96153846153846156</v>
      </c>
      <c r="S809" s="29">
        <f t="shared" si="77"/>
        <v>96.15384615384616</v>
      </c>
      <c r="T809" s="5" t="str">
        <f>IF(Delivery_Data[[#This Row],[Delays (min)]]&gt;0,"No","Yes")</f>
        <v>No</v>
      </c>
    </row>
    <row r="810" spans="1:20" ht="15.75" customHeight="1" x14ac:dyDescent="0.3">
      <c r="A810" s="4">
        <v>1809</v>
      </c>
      <c r="B810" s="5" t="s">
        <v>928</v>
      </c>
      <c r="C810" s="6">
        <v>45174.488194444442</v>
      </c>
      <c r="D810" s="5" t="s">
        <v>14</v>
      </c>
      <c r="E810" s="5" t="s">
        <v>15</v>
      </c>
      <c r="F810" s="5" t="s">
        <v>24</v>
      </c>
      <c r="G810" s="5" t="s">
        <v>31</v>
      </c>
      <c r="H810" s="5">
        <v>81</v>
      </c>
      <c r="I810" s="5">
        <v>12</v>
      </c>
      <c r="J810" s="5" t="s">
        <v>26</v>
      </c>
      <c r="K810" s="5" t="s">
        <v>45</v>
      </c>
      <c r="L810" s="5" t="s">
        <v>28</v>
      </c>
      <c r="M810" s="7" t="s">
        <v>41</v>
      </c>
      <c r="N810" s="26">
        <f t="shared" si="72"/>
        <v>1</v>
      </c>
      <c r="O810" s="42">
        <f t="shared" si="73"/>
        <v>45174</v>
      </c>
      <c r="P810" s="5" t="str">
        <f t="shared" si="74"/>
        <v>Tuesday</v>
      </c>
      <c r="Q810" s="5">
        <f t="shared" si="75"/>
        <v>11</v>
      </c>
      <c r="R810" s="28">
        <f t="shared" si="76"/>
        <v>0.87096774193548387</v>
      </c>
      <c r="S810" s="29">
        <f t="shared" si="77"/>
        <v>87.096774193548384</v>
      </c>
      <c r="T810" s="5" t="str">
        <f>IF(Delivery_Data[[#This Row],[Delays (min)]]&gt;0,"No","Yes")</f>
        <v>No</v>
      </c>
    </row>
    <row r="811" spans="1:20" ht="15.75" customHeight="1" x14ac:dyDescent="0.3">
      <c r="A811" s="4">
        <v>1810</v>
      </c>
      <c r="B811" s="5" t="s">
        <v>929</v>
      </c>
      <c r="C811" s="6">
        <v>45173.489583333336</v>
      </c>
      <c r="D811" s="5" t="s">
        <v>43</v>
      </c>
      <c r="E811" s="5" t="s">
        <v>468</v>
      </c>
      <c r="F811" s="5" t="s">
        <v>38</v>
      </c>
      <c r="G811" s="5" t="s">
        <v>25</v>
      </c>
      <c r="H811" s="5">
        <v>131</v>
      </c>
      <c r="I811" s="5">
        <v>26</v>
      </c>
      <c r="J811" s="5" t="s">
        <v>32</v>
      </c>
      <c r="K811" s="5" t="s">
        <v>27</v>
      </c>
      <c r="L811" s="5" t="s">
        <v>40</v>
      </c>
      <c r="M811" s="7" t="s">
        <v>21</v>
      </c>
      <c r="N811" s="26">
        <f t="shared" si="72"/>
        <v>-1</v>
      </c>
      <c r="O811" s="42">
        <f t="shared" si="73"/>
        <v>45173</v>
      </c>
      <c r="P811" s="5" t="str">
        <f t="shared" si="74"/>
        <v>Monday</v>
      </c>
      <c r="Q811" s="5">
        <f t="shared" si="75"/>
        <v>11</v>
      </c>
      <c r="R811" s="28">
        <f t="shared" si="76"/>
        <v>0.83439490445859876</v>
      </c>
      <c r="S811" s="29">
        <f t="shared" si="77"/>
        <v>83.439490445859875</v>
      </c>
      <c r="T811" s="5" t="str">
        <f>IF(Delivery_Data[[#This Row],[Delays (min)]]&gt;0,"No","Yes")</f>
        <v>No</v>
      </c>
    </row>
    <row r="812" spans="1:20" ht="15.75" customHeight="1" x14ac:dyDescent="0.3">
      <c r="A812" s="4">
        <v>1811</v>
      </c>
      <c r="B812" s="5" t="s">
        <v>930</v>
      </c>
      <c r="C812" s="6">
        <v>45170.598611111112</v>
      </c>
      <c r="D812" s="5" t="s">
        <v>43</v>
      </c>
      <c r="E812" s="5" t="s">
        <v>23</v>
      </c>
      <c r="F812" s="5" t="s">
        <v>24</v>
      </c>
      <c r="G812" s="5" t="s">
        <v>39</v>
      </c>
      <c r="H812" s="5">
        <v>176</v>
      </c>
      <c r="I812" s="5">
        <v>24</v>
      </c>
      <c r="J812" s="5" t="s">
        <v>26</v>
      </c>
      <c r="K812" s="5" t="s">
        <v>35</v>
      </c>
      <c r="L812" s="5" t="s">
        <v>28</v>
      </c>
      <c r="M812" s="7" t="s">
        <v>41</v>
      </c>
      <c r="N812" s="26">
        <f t="shared" si="72"/>
        <v>1</v>
      </c>
      <c r="O812" s="42">
        <f t="shared" si="73"/>
        <v>45170</v>
      </c>
      <c r="P812" s="5" t="str">
        <f t="shared" si="74"/>
        <v>Friday</v>
      </c>
      <c r="Q812" s="5">
        <f t="shared" si="75"/>
        <v>14</v>
      </c>
      <c r="R812" s="28">
        <f t="shared" si="76"/>
        <v>0.88</v>
      </c>
      <c r="S812" s="29">
        <f t="shared" si="77"/>
        <v>88</v>
      </c>
      <c r="T812" s="5" t="str">
        <f>IF(Delivery_Data[[#This Row],[Delays (min)]]&gt;0,"No","Yes")</f>
        <v>No</v>
      </c>
    </row>
    <row r="813" spans="1:20" ht="15.75" customHeight="1" x14ac:dyDescent="0.3">
      <c r="A813" s="4">
        <v>1812</v>
      </c>
      <c r="B813" s="5" t="s">
        <v>931</v>
      </c>
      <c r="C813" s="6">
        <v>45176.52847222222</v>
      </c>
      <c r="D813" s="5" t="s">
        <v>14</v>
      </c>
      <c r="E813" s="5" t="s">
        <v>468</v>
      </c>
      <c r="F813" s="5" t="s">
        <v>24</v>
      </c>
      <c r="G813" s="5" t="s">
        <v>25</v>
      </c>
      <c r="H813" s="5">
        <v>211</v>
      </c>
      <c r="I813" s="5">
        <v>23</v>
      </c>
      <c r="J813" s="5" t="s">
        <v>32</v>
      </c>
      <c r="K813" s="5" t="s">
        <v>27</v>
      </c>
      <c r="L813" s="5" t="s">
        <v>40</v>
      </c>
      <c r="M813" s="7" t="s">
        <v>46</v>
      </c>
      <c r="N813" s="26">
        <f t="shared" si="72"/>
        <v>-1</v>
      </c>
      <c r="O813" s="42">
        <f t="shared" si="73"/>
        <v>45176</v>
      </c>
      <c r="P813" s="5" t="str">
        <f t="shared" si="74"/>
        <v>Thursday</v>
      </c>
      <c r="Q813" s="5">
        <f t="shared" si="75"/>
        <v>12</v>
      </c>
      <c r="R813" s="28">
        <f t="shared" si="76"/>
        <v>0.90170940170940173</v>
      </c>
      <c r="S813" s="29">
        <f t="shared" si="77"/>
        <v>90.17094017094017</v>
      </c>
      <c r="T813" s="5" t="str">
        <f>IF(Delivery_Data[[#This Row],[Delays (min)]]&gt;0,"No","Yes")</f>
        <v>No</v>
      </c>
    </row>
    <row r="814" spans="1:20" ht="15.75" customHeight="1" x14ac:dyDescent="0.3">
      <c r="A814" s="4">
        <v>1813</v>
      </c>
      <c r="B814" s="5" t="s">
        <v>932</v>
      </c>
      <c r="C814" s="6">
        <v>45173.436805555553</v>
      </c>
      <c r="D814" s="5" t="s">
        <v>14</v>
      </c>
      <c r="E814" s="5" t="s">
        <v>245</v>
      </c>
      <c r="F814" s="5" t="s">
        <v>24</v>
      </c>
      <c r="G814" s="5" t="s">
        <v>56</v>
      </c>
      <c r="H814" s="5">
        <v>128</v>
      </c>
      <c r="I814" s="5">
        <v>0</v>
      </c>
      <c r="J814" s="5" t="s">
        <v>32</v>
      </c>
      <c r="K814" s="5" t="s">
        <v>49</v>
      </c>
      <c r="L814" s="5" t="s">
        <v>28</v>
      </c>
      <c r="M814" s="7" t="s">
        <v>21</v>
      </c>
      <c r="N814" s="26">
        <f t="shared" si="72"/>
        <v>-1</v>
      </c>
      <c r="O814" s="42">
        <f t="shared" si="73"/>
        <v>45173</v>
      </c>
      <c r="P814" s="5" t="str">
        <f t="shared" si="74"/>
        <v>Monday</v>
      </c>
      <c r="Q814" s="5">
        <f t="shared" si="75"/>
        <v>10</v>
      </c>
      <c r="R814" s="28">
        <f t="shared" si="76"/>
        <v>1</v>
      </c>
      <c r="S814" s="29">
        <f t="shared" si="77"/>
        <v>100</v>
      </c>
      <c r="T814" s="5" t="str">
        <f>IF(Delivery_Data[[#This Row],[Delays (min)]]&gt;0,"No","Yes")</f>
        <v>Yes</v>
      </c>
    </row>
    <row r="815" spans="1:20" ht="15.75" customHeight="1" x14ac:dyDescent="0.3">
      <c r="A815" s="4">
        <v>1814</v>
      </c>
      <c r="B815" s="5" t="s">
        <v>933</v>
      </c>
      <c r="C815" s="6">
        <v>45172.45416666667</v>
      </c>
      <c r="D815" s="5" t="s">
        <v>43</v>
      </c>
      <c r="E815" s="5" t="s">
        <v>220</v>
      </c>
      <c r="F815" s="5" t="s">
        <v>16</v>
      </c>
      <c r="G815" s="5" t="s">
        <v>56</v>
      </c>
      <c r="H815" s="5">
        <v>238</v>
      </c>
      <c r="I815" s="5">
        <v>27</v>
      </c>
      <c r="J815" s="5" t="s">
        <v>32</v>
      </c>
      <c r="K815" s="5" t="s">
        <v>49</v>
      </c>
      <c r="L815" s="5" t="s">
        <v>28</v>
      </c>
      <c r="M815" s="7" t="s">
        <v>21</v>
      </c>
      <c r="N815" s="26">
        <f t="shared" si="72"/>
        <v>-1</v>
      </c>
      <c r="O815" s="42">
        <f t="shared" si="73"/>
        <v>45172</v>
      </c>
      <c r="P815" s="5" t="str">
        <f t="shared" si="74"/>
        <v>Sunday</v>
      </c>
      <c r="Q815" s="5">
        <f t="shared" si="75"/>
        <v>10</v>
      </c>
      <c r="R815" s="28">
        <f t="shared" si="76"/>
        <v>0.89811320754716983</v>
      </c>
      <c r="S815" s="29">
        <f t="shared" si="77"/>
        <v>89.811320754716988</v>
      </c>
      <c r="T815" s="5" t="str">
        <f>IF(Delivery_Data[[#This Row],[Delays (min)]]&gt;0,"No","Yes")</f>
        <v>No</v>
      </c>
    </row>
    <row r="816" spans="1:20" ht="15.75" customHeight="1" x14ac:dyDescent="0.3">
      <c r="A816" s="4">
        <v>1815</v>
      </c>
      <c r="B816" s="5" t="s">
        <v>934</v>
      </c>
      <c r="C816" s="6">
        <v>45176.588888888888</v>
      </c>
      <c r="D816" s="5" t="s">
        <v>14</v>
      </c>
      <c r="E816" s="5" t="s">
        <v>66</v>
      </c>
      <c r="F816" s="5" t="s">
        <v>38</v>
      </c>
      <c r="G816" s="5" t="s">
        <v>31</v>
      </c>
      <c r="H816" s="5">
        <v>205</v>
      </c>
      <c r="I816" s="5">
        <v>5</v>
      </c>
      <c r="J816" s="5" t="s">
        <v>26</v>
      </c>
      <c r="K816" s="5" t="s">
        <v>49</v>
      </c>
      <c r="L816" s="5" t="s">
        <v>40</v>
      </c>
      <c r="M816" s="7" t="s">
        <v>46</v>
      </c>
      <c r="N816" s="26">
        <f t="shared" si="72"/>
        <v>1</v>
      </c>
      <c r="O816" s="42">
        <f t="shared" si="73"/>
        <v>45176</v>
      </c>
      <c r="P816" s="5" t="str">
        <f t="shared" si="74"/>
        <v>Thursday</v>
      </c>
      <c r="Q816" s="5">
        <f t="shared" si="75"/>
        <v>14</v>
      </c>
      <c r="R816" s="28">
        <f t="shared" si="76"/>
        <v>0.97619047619047616</v>
      </c>
      <c r="S816" s="29">
        <f t="shared" si="77"/>
        <v>97.61904761904762</v>
      </c>
      <c r="T816" s="5" t="str">
        <f>IF(Delivery_Data[[#This Row],[Delays (min)]]&gt;0,"No","Yes")</f>
        <v>No</v>
      </c>
    </row>
    <row r="817" spans="1:20" ht="15.75" customHeight="1" x14ac:dyDescent="0.3">
      <c r="A817" s="4">
        <v>1816</v>
      </c>
      <c r="B817" s="5" t="s">
        <v>935</v>
      </c>
      <c r="C817" s="6">
        <v>45174.378472222219</v>
      </c>
      <c r="D817" s="5" t="s">
        <v>14</v>
      </c>
      <c r="E817" s="5" t="s">
        <v>228</v>
      </c>
      <c r="F817" s="5" t="s">
        <v>38</v>
      </c>
      <c r="G817" s="5" t="s">
        <v>39</v>
      </c>
      <c r="H817" s="5">
        <v>68</v>
      </c>
      <c r="I817" s="5">
        <v>21</v>
      </c>
      <c r="J817" s="5" t="s">
        <v>32</v>
      </c>
      <c r="K817" s="5" t="s">
        <v>49</v>
      </c>
      <c r="L817" s="5" t="s">
        <v>28</v>
      </c>
      <c r="M817" s="7" t="s">
        <v>21</v>
      </c>
      <c r="N817" s="26">
        <f t="shared" si="72"/>
        <v>-1</v>
      </c>
      <c r="O817" s="42">
        <f t="shared" si="73"/>
        <v>45174</v>
      </c>
      <c r="P817" s="5" t="str">
        <f t="shared" si="74"/>
        <v>Tuesday</v>
      </c>
      <c r="Q817" s="5">
        <f t="shared" si="75"/>
        <v>9</v>
      </c>
      <c r="R817" s="28">
        <f t="shared" si="76"/>
        <v>0.7640449438202247</v>
      </c>
      <c r="S817" s="29">
        <f t="shared" si="77"/>
        <v>76.404494382022463</v>
      </c>
      <c r="T817" s="5" t="str">
        <f>IF(Delivery_Data[[#This Row],[Delays (min)]]&gt;0,"No","Yes")</f>
        <v>No</v>
      </c>
    </row>
    <row r="818" spans="1:20" ht="15.75" customHeight="1" x14ac:dyDescent="0.3">
      <c r="A818" s="4">
        <v>1817</v>
      </c>
      <c r="B818" s="5" t="s">
        <v>936</v>
      </c>
      <c r="C818" s="6">
        <v>45173.427777777775</v>
      </c>
      <c r="D818" s="5" t="s">
        <v>43</v>
      </c>
      <c r="E818" s="5" t="s">
        <v>304</v>
      </c>
      <c r="F818" s="5" t="s">
        <v>38</v>
      </c>
      <c r="G818" s="5" t="s">
        <v>31</v>
      </c>
      <c r="H818" s="5">
        <v>159</v>
      </c>
      <c r="I818" s="5">
        <v>1</v>
      </c>
      <c r="J818" s="5" t="s">
        <v>26</v>
      </c>
      <c r="K818" s="5" t="s">
        <v>45</v>
      </c>
      <c r="L818" s="5" t="s">
        <v>28</v>
      </c>
      <c r="M818" s="7" t="s">
        <v>46</v>
      </c>
      <c r="N818" s="26">
        <f t="shared" si="72"/>
        <v>1</v>
      </c>
      <c r="O818" s="42">
        <f t="shared" si="73"/>
        <v>45173</v>
      </c>
      <c r="P818" s="5" t="str">
        <f t="shared" si="74"/>
        <v>Monday</v>
      </c>
      <c r="Q818" s="5">
        <f t="shared" si="75"/>
        <v>10</v>
      </c>
      <c r="R818" s="28">
        <f t="shared" si="76"/>
        <v>0.99375000000000002</v>
      </c>
      <c r="S818" s="29">
        <f t="shared" si="77"/>
        <v>99.375</v>
      </c>
      <c r="T818" s="5" t="str">
        <f>IF(Delivery_Data[[#This Row],[Delays (min)]]&gt;0,"No","Yes")</f>
        <v>No</v>
      </c>
    </row>
    <row r="819" spans="1:20" ht="15.75" customHeight="1" x14ac:dyDescent="0.3">
      <c r="A819" s="4">
        <v>1818</v>
      </c>
      <c r="B819" s="5" t="s">
        <v>937</v>
      </c>
      <c r="C819" s="6">
        <v>45172.612500000003</v>
      </c>
      <c r="D819" s="5" t="s">
        <v>14</v>
      </c>
      <c r="E819" s="5" t="s">
        <v>193</v>
      </c>
      <c r="F819" s="5" t="s">
        <v>24</v>
      </c>
      <c r="G819" s="5" t="s">
        <v>17</v>
      </c>
      <c r="H819" s="5">
        <v>182</v>
      </c>
      <c r="I819" s="5">
        <v>25</v>
      </c>
      <c r="J819" s="5" t="s">
        <v>26</v>
      </c>
      <c r="K819" s="5" t="s">
        <v>35</v>
      </c>
      <c r="L819" s="5" t="s">
        <v>40</v>
      </c>
      <c r="M819" s="7" t="s">
        <v>41</v>
      </c>
      <c r="N819" s="26">
        <f t="shared" si="72"/>
        <v>1</v>
      </c>
      <c r="O819" s="42">
        <f t="shared" si="73"/>
        <v>45172</v>
      </c>
      <c r="P819" s="5" t="str">
        <f t="shared" si="74"/>
        <v>Sunday</v>
      </c>
      <c r="Q819" s="5">
        <f t="shared" si="75"/>
        <v>14</v>
      </c>
      <c r="R819" s="28">
        <f t="shared" si="76"/>
        <v>0.87922705314009664</v>
      </c>
      <c r="S819" s="29">
        <f t="shared" si="77"/>
        <v>87.922705314009661</v>
      </c>
      <c r="T819" s="5" t="str">
        <f>IF(Delivery_Data[[#This Row],[Delays (min)]]&gt;0,"No","Yes")</f>
        <v>No</v>
      </c>
    </row>
    <row r="820" spans="1:20" ht="15.75" customHeight="1" x14ac:dyDescent="0.3">
      <c r="A820" s="4">
        <v>1819</v>
      </c>
      <c r="B820" s="5" t="s">
        <v>938</v>
      </c>
      <c r="C820" s="6">
        <v>45175.570138888892</v>
      </c>
      <c r="D820" s="5" t="s">
        <v>43</v>
      </c>
      <c r="E820" s="5" t="s">
        <v>370</v>
      </c>
      <c r="F820" s="5" t="s">
        <v>38</v>
      </c>
      <c r="G820" s="5" t="s">
        <v>17</v>
      </c>
      <c r="H820" s="5">
        <v>162</v>
      </c>
      <c r="I820" s="5">
        <v>27</v>
      </c>
      <c r="J820" s="5" t="s">
        <v>18</v>
      </c>
      <c r="K820" s="5" t="s">
        <v>19</v>
      </c>
      <c r="L820" s="5" t="s">
        <v>20</v>
      </c>
      <c r="M820" s="7" t="s">
        <v>41</v>
      </c>
      <c r="N820" s="26">
        <f t="shared" si="72"/>
        <v>0</v>
      </c>
      <c r="O820" s="42">
        <f t="shared" si="73"/>
        <v>45175</v>
      </c>
      <c r="P820" s="5" t="str">
        <f t="shared" si="74"/>
        <v>Wednesday</v>
      </c>
      <c r="Q820" s="5">
        <f t="shared" si="75"/>
        <v>13</v>
      </c>
      <c r="R820" s="28">
        <f t="shared" si="76"/>
        <v>0.8571428571428571</v>
      </c>
      <c r="S820" s="29">
        <f t="shared" si="77"/>
        <v>85.714285714285708</v>
      </c>
      <c r="T820" s="5" t="str">
        <f>IF(Delivery_Data[[#This Row],[Delays (min)]]&gt;0,"No","Yes")</f>
        <v>No</v>
      </c>
    </row>
    <row r="821" spans="1:20" ht="15.75" customHeight="1" x14ac:dyDescent="0.3">
      <c r="A821" s="4">
        <v>1820</v>
      </c>
      <c r="B821" s="5" t="s">
        <v>939</v>
      </c>
      <c r="C821" s="6">
        <v>45172.529861111114</v>
      </c>
      <c r="D821" s="5" t="s">
        <v>14</v>
      </c>
      <c r="E821" s="5" t="s">
        <v>189</v>
      </c>
      <c r="F821" s="5" t="s">
        <v>16</v>
      </c>
      <c r="G821" s="5" t="s">
        <v>56</v>
      </c>
      <c r="H821" s="5">
        <v>136</v>
      </c>
      <c r="I821" s="5">
        <v>22</v>
      </c>
      <c r="J821" s="5" t="s">
        <v>32</v>
      </c>
      <c r="K821" s="5" t="s">
        <v>19</v>
      </c>
      <c r="L821" s="5" t="s">
        <v>40</v>
      </c>
      <c r="M821" s="7" t="s">
        <v>46</v>
      </c>
      <c r="N821" s="26">
        <f t="shared" si="72"/>
        <v>-1</v>
      </c>
      <c r="O821" s="42">
        <f t="shared" si="73"/>
        <v>45172</v>
      </c>
      <c r="P821" s="5" t="str">
        <f t="shared" si="74"/>
        <v>Sunday</v>
      </c>
      <c r="Q821" s="5">
        <f t="shared" si="75"/>
        <v>12</v>
      </c>
      <c r="R821" s="28">
        <f t="shared" si="76"/>
        <v>0.86075949367088611</v>
      </c>
      <c r="S821" s="29">
        <f t="shared" si="77"/>
        <v>86.075949367088612</v>
      </c>
      <c r="T821" s="5" t="str">
        <f>IF(Delivery_Data[[#This Row],[Delays (min)]]&gt;0,"No","Yes")</f>
        <v>No</v>
      </c>
    </row>
    <row r="822" spans="1:20" ht="15.75" customHeight="1" x14ac:dyDescent="0.3">
      <c r="A822" s="4">
        <v>1821</v>
      </c>
      <c r="B822" s="5" t="s">
        <v>940</v>
      </c>
      <c r="C822" s="6">
        <v>45170.404861111114</v>
      </c>
      <c r="D822" s="5" t="s">
        <v>43</v>
      </c>
      <c r="E822" s="5" t="s">
        <v>140</v>
      </c>
      <c r="F822" s="5" t="s">
        <v>16</v>
      </c>
      <c r="G822" s="5" t="s">
        <v>56</v>
      </c>
      <c r="H822" s="5">
        <v>142</v>
      </c>
      <c r="I822" s="5">
        <v>2</v>
      </c>
      <c r="J822" s="5" t="s">
        <v>18</v>
      </c>
      <c r="K822" s="5" t="s">
        <v>45</v>
      </c>
      <c r="L822" s="5" t="s">
        <v>20</v>
      </c>
      <c r="M822" s="7" t="s">
        <v>21</v>
      </c>
      <c r="N822" s="26">
        <f t="shared" si="72"/>
        <v>0</v>
      </c>
      <c r="O822" s="42">
        <f t="shared" si="73"/>
        <v>45170</v>
      </c>
      <c r="P822" s="5" t="str">
        <f t="shared" si="74"/>
        <v>Friday</v>
      </c>
      <c r="Q822" s="5">
        <f t="shared" si="75"/>
        <v>9</v>
      </c>
      <c r="R822" s="28">
        <f t="shared" si="76"/>
        <v>0.98611111111111116</v>
      </c>
      <c r="S822" s="29">
        <f t="shared" si="77"/>
        <v>98.611111111111114</v>
      </c>
      <c r="T822" s="5" t="str">
        <f>IF(Delivery_Data[[#This Row],[Delays (min)]]&gt;0,"No","Yes")</f>
        <v>No</v>
      </c>
    </row>
    <row r="823" spans="1:20" ht="15.75" customHeight="1" x14ac:dyDescent="0.3">
      <c r="A823" s="4">
        <v>1822</v>
      </c>
      <c r="B823" s="5" t="s">
        <v>941</v>
      </c>
      <c r="C823" s="6">
        <v>45177.699305555558</v>
      </c>
      <c r="D823" s="5" t="s">
        <v>43</v>
      </c>
      <c r="E823" s="5" t="s">
        <v>76</v>
      </c>
      <c r="F823" s="5" t="s">
        <v>16</v>
      </c>
      <c r="G823" s="5" t="s">
        <v>25</v>
      </c>
      <c r="H823" s="5">
        <v>113</v>
      </c>
      <c r="I823" s="5">
        <v>8</v>
      </c>
      <c r="J823" s="5" t="s">
        <v>26</v>
      </c>
      <c r="K823" s="5" t="s">
        <v>19</v>
      </c>
      <c r="L823" s="5" t="s">
        <v>28</v>
      </c>
      <c r="M823" s="7" t="s">
        <v>41</v>
      </c>
      <c r="N823" s="26">
        <f t="shared" si="72"/>
        <v>1</v>
      </c>
      <c r="O823" s="42">
        <f t="shared" si="73"/>
        <v>45177</v>
      </c>
      <c r="P823" s="5" t="str">
        <f t="shared" si="74"/>
        <v>Friday</v>
      </c>
      <c r="Q823" s="5">
        <f t="shared" si="75"/>
        <v>16</v>
      </c>
      <c r="R823" s="28">
        <f t="shared" si="76"/>
        <v>0.93388429752066116</v>
      </c>
      <c r="S823" s="29">
        <f t="shared" si="77"/>
        <v>93.388429752066116</v>
      </c>
      <c r="T823" s="5" t="str">
        <f>IF(Delivery_Data[[#This Row],[Delays (min)]]&gt;0,"No","Yes")</f>
        <v>No</v>
      </c>
    </row>
    <row r="824" spans="1:20" ht="15.75" customHeight="1" x14ac:dyDescent="0.3">
      <c r="A824" s="4">
        <v>1823</v>
      </c>
      <c r="B824" s="5" t="s">
        <v>942</v>
      </c>
      <c r="C824" s="6">
        <v>45176.407638888886</v>
      </c>
      <c r="D824" s="5" t="s">
        <v>43</v>
      </c>
      <c r="E824" s="5" t="s">
        <v>211</v>
      </c>
      <c r="F824" s="5" t="s">
        <v>16</v>
      </c>
      <c r="G824" s="5" t="s">
        <v>31</v>
      </c>
      <c r="H824" s="5">
        <v>231</v>
      </c>
      <c r="I824" s="5">
        <v>9</v>
      </c>
      <c r="J824" s="5" t="s">
        <v>32</v>
      </c>
      <c r="K824" s="5" t="s">
        <v>27</v>
      </c>
      <c r="L824" s="5" t="s">
        <v>20</v>
      </c>
      <c r="M824" s="7" t="s">
        <v>21</v>
      </c>
      <c r="N824" s="26">
        <f t="shared" si="72"/>
        <v>-1</v>
      </c>
      <c r="O824" s="42">
        <f t="shared" si="73"/>
        <v>45176</v>
      </c>
      <c r="P824" s="5" t="str">
        <f t="shared" si="74"/>
        <v>Thursday</v>
      </c>
      <c r="Q824" s="5">
        <f t="shared" si="75"/>
        <v>9</v>
      </c>
      <c r="R824" s="28">
        <f t="shared" si="76"/>
        <v>0.96250000000000002</v>
      </c>
      <c r="S824" s="29">
        <f t="shared" si="77"/>
        <v>96.25</v>
      </c>
      <c r="T824" s="5" t="str">
        <f>IF(Delivery_Data[[#This Row],[Delays (min)]]&gt;0,"No","Yes")</f>
        <v>No</v>
      </c>
    </row>
    <row r="825" spans="1:20" ht="15.75" customHeight="1" x14ac:dyDescent="0.3">
      <c r="A825" s="4">
        <v>1824</v>
      </c>
      <c r="B825" s="5" t="s">
        <v>943</v>
      </c>
      <c r="C825" s="6">
        <v>45173.444444444445</v>
      </c>
      <c r="D825" s="5" t="s">
        <v>14</v>
      </c>
      <c r="E825" s="5" t="s">
        <v>468</v>
      </c>
      <c r="F825" s="5" t="s">
        <v>16</v>
      </c>
      <c r="G825" s="5" t="s">
        <v>31</v>
      </c>
      <c r="H825" s="5">
        <v>203</v>
      </c>
      <c r="I825" s="5">
        <v>10</v>
      </c>
      <c r="J825" s="5" t="s">
        <v>26</v>
      </c>
      <c r="K825" s="5" t="s">
        <v>27</v>
      </c>
      <c r="L825" s="5" t="s">
        <v>28</v>
      </c>
      <c r="M825" s="7" t="s">
        <v>41</v>
      </c>
      <c r="N825" s="26">
        <f t="shared" si="72"/>
        <v>1</v>
      </c>
      <c r="O825" s="42">
        <f t="shared" si="73"/>
        <v>45173</v>
      </c>
      <c r="P825" s="5" t="str">
        <f t="shared" si="74"/>
        <v>Monday</v>
      </c>
      <c r="Q825" s="5">
        <f t="shared" si="75"/>
        <v>10</v>
      </c>
      <c r="R825" s="28">
        <f t="shared" si="76"/>
        <v>0.95305164319248825</v>
      </c>
      <c r="S825" s="29">
        <f t="shared" si="77"/>
        <v>95.305164319248831</v>
      </c>
      <c r="T825" s="5" t="str">
        <f>IF(Delivery_Data[[#This Row],[Delays (min)]]&gt;0,"No","Yes")</f>
        <v>No</v>
      </c>
    </row>
    <row r="826" spans="1:20" ht="15.75" customHeight="1" x14ac:dyDescent="0.3">
      <c r="A826" s="4">
        <v>1825</v>
      </c>
      <c r="B826" s="5" t="s">
        <v>944</v>
      </c>
      <c r="C826" s="6">
        <v>45171.540277777778</v>
      </c>
      <c r="D826" s="5" t="s">
        <v>43</v>
      </c>
      <c r="E826" s="5" t="s">
        <v>304</v>
      </c>
      <c r="F826" s="5" t="s">
        <v>38</v>
      </c>
      <c r="G826" s="5" t="s">
        <v>31</v>
      </c>
      <c r="H826" s="5">
        <v>239</v>
      </c>
      <c r="I826" s="5">
        <v>24</v>
      </c>
      <c r="J826" s="5" t="s">
        <v>18</v>
      </c>
      <c r="K826" s="5" t="s">
        <v>27</v>
      </c>
      <c r="L826" s="5" t="s">
        <v>20</v>
      </c>
      <c r="M826" s="7" t="s">
        <v>21</v>
      </c>
      <c r="N826" s="26">
        <f t="shared" si="72"/>
        <v>0</v>
      </c>
      <c r="O826" s="42">
        <f t="shared" si="73"/>
        <v>45171</v>
      </c>
      <c r="P826" s="5" t="str">
        <f t="shared" si="74"/>
        <v>Saturday</v>
      </c>
      <c r="Q826" s="5">
        <f t="shared" si="75"/>
        <v>12</v>
      </c>
      <c r="R826" s="28">
        <f t="shared" si="76"/>
        <v>0.90874524714828897</v>
      </c>
      <c r="S826" s="29">
        <f t="shared" si="77"/>
        <v>90.874524714828894</v>
      </c>
      <c r="T826" s="5" t="str">
        <f>IF(Delivery_Data[[#This Row],[Delays (min)]]&gt;0,"No","Yes")</f>
        <v>No</v>
      </c>
    </row>
    <row r="827" spans="1:20" ht="15.75" customHeight="1" x14ac:dyDescent="0.3">
      <c r="A827" s="4">
        <v>1826</v>
      </c>
      <c r="B827" s="5" t="s">
        <v>945</v>
      </c>
      <c r="C827" s="6">
        <v>45173.594444444447</v>
      </c>
      <c r="D827" s="5" t="s">
        <v>43</v>
      </c>
      <c r="E827" s="5" t="s">
        <v>23</v>
      </c>
      <c r="F827" s="5" t="s">
        <v>38</v>
      </c>
      <c r="G827" s="5" t="s">
        <v>56</v>
      </c>
      <c r="H827" s="5">
        <v>74</v>
      </c>
      <c r="I827" s="5">
        <v>22</v>
      </c>
      <c r="J827" s="5" t="s">
        <v>32</v>
      </c>
      <c r="K827" s="5" t="s">
        <v>49</v>
      </c>
      <c r="L827" s="5" t="s">
        <v>20</v>
      </c>
      <c r="M827" s="7" t="s">
        <v>41</v>
      </c>
      <c r="N827" s="26">
        <f t="shared" si="72"/>
        <v>-1</v>
      </c>
      <c r="O827" s="42">
        <f t="shared" si="73"/>
        <v>45173</v>
      </c>
      <c r="P827" s="5" t="str">
        <f t="shared" si="74"/>
        <v>Monday</v>
      </c>
      <c r="Q827" s="5">
        <f t="shared" si="75"/>
        <v>14</v>
      </c>
      <c r="R827" s="28">
        <f t="shared" si="76"/>
        <v>0.77083333333333337</v>
      </c>
      <c r="S827" s="29">
        <f t="shared" si="77"/>
        <v>77.083333333333343</v>
      </c>
      <c r="T827" s="5" t="str">
        <f>IF(Delivery_Data[[#This Row],[Delays (min)]]&gt;0,"No","Yes")</f>
        <v>No</v>
      </c>
    </row>
    <row r="828" spans="1:20" ht="15.75" customHeight="1" x14ac:dyDescent="0.3">
      <c r="A828" s="4">
        <v>1827</v>
      </c>
      <c r="B828" s="5" t="s">
        <v>946</v>
      </c>
      <c r="C828" s="6">
        <v>45175.482638888891</v>
      </c>
      <c r="D828" s="5" t="s">
        <v>14</v>
      </c>
      <c r="E828" s="5" t="s">
        <v>51</v>
      </c>
      <c r="F828" s="5" t="s">
        <v>24</v>
      </c>
      <c r="G828" s="5" t="s">
        <v>25</v>
      </c>
      <c r="H828" s="5">
        <v>238</v>
      </c>
      <c r="I828" s="5">
        <v>4</v>
      </c>
      <c r="J828" s="5" t="s">
        <v>18</v>
      </c>
      <c r="K828" s="5" t="s">
        <v>19</v>
      </c>
      <c r="L828" s="5" t="s">
        <v>40</v>
      </c>
      <c r="M828" s="7" t="s">
        <v>41</v>
      </c>
      <c r="N828" s="26">
        <f t="shared" si="72"/>
        <v>0</v>
      </c>
      <c r="O828" s="42">
        <f t="shared" si="73"/>
        <v>45175</v>
      </c>
      <c r="P828" s="5" t="str">
        <f t="shared" si="74"/>
        <v>Wednesday</v>
      </c>
      <c r="Q828" s="5">
        <f t="shared" si="75"/>
        <v>11</v>
      </c>
      <c r="R828" s="28">
        <f t="shared" si="76"/>
        <v>0.98347107438016534</v>
      </c>
      <c r="S828" s="29">
        <f t="shared" si="77"/>
        <v>98.347107438016536</v>
      </c>
      <c r="T828" s="5" t="str">
        <f>IF(Delivery_Data[[#This Row],[Delays (min)]]&gt;0,"No","Yes")</f>
        <v>No</v>
      </c>
    </row>
    <row r="829" spans="1:20" ht="15.75" customHeight="1" x14ac:dyDescent="0.3">
      <c r="A829" s="4">
        <v>1828</v>
      </c>
      <c r="B829" s="5" t="s">
        <v>947</v>
      </c>
      <c r="C829" s="6">
        <v>45172.49722222222</v>
      </c>
      <c r="D829" s="5" t="s">
        <v>14</v>
      </c>
      <c r="E829" s="5" t="s">
        <v>109</v>
      </c>
      <c r="F829" s="5" t="s">
        <v>24</v>
      </c>
      <c r="G829" s="5" t="s">
        <v>31</v>
      </c>
      <c r="H829" s="5">
        <v>68</v>
      </c>
      <c r="I829" s="5">
        <v>4</v>
      </c>
      <c r="J829" s="5" t="s">
        <v>32</v>
      </c>
      <c r="K829" s="5" t="s">
        <v>49</v>
      </c>
      <c r="L829" s="5" t="s">
        <v>40</v>
      </c>
      <c r="M829" s="7" t="s">
        <v>21</v>
      </c>
      <c r="N829" s="26">
        <f t="shared" si="72"/>
        <v>-1</v>
      </c>
      <c r="O829" s="42">
        <f t="shared" si="73"/>
        <v>45172</v>
      </c>
      <c r="P829" s="5" t="str">
        <f t="shared" si="74"/>
        <v>Sunday</v>
      </c>
      <c r="Q829" s="5">
        <f t="shared" si="75"/>
        <v>11</v>
      </c>
      <c r="R829" s="28">
        <f t="shared" si="76"/>
        <v>0.94444444444444442</v>
      </c>
      <c r="S829" s="29">
        <f t="shared" si="77"/>
        <v>94.444444444444443</v>
      </c>
      <c r="T829" s="5" t="str">
        <f>IF(Delivery_Data[[#This Row],[Delays (min)]]&gt;0,"No","Yes")</f>
        <v>No</v>
      </c>
    </row>
    <row r="830" spans="1:20" ht="15.75" customHeight="1" x14ac:dyDescent="0.3">
      <c r="A830" s="4">
        <v>1829</v>
      </c>
      <c r="B830" s="5" t="s">
        <v>948</v>
      </c>
      <c r="C830" s="6">
        <v>45172.520138888889</v>
      </c>
      <c r="D830" s="5" t="s">
        <v>14</v>
      </c>
      <c r="E830" s="5" t="s">
        <v>103</v>
      </c>
      <c r="F830" s="5" t="s">
        <v>16</v>
      </c>
      <c r="G830" s="5" t="s">
        <v>31</v>
      </c>
      <c r="H830" s="5">
        <v>131</v>
      </c>
      <c r="I830" s="5">
        <v>3</v>
      </c>
      <c r="J830" s="5" t="s">
        <v>18</v>
      </c>
      <c r="K830" s="5" t="s">
        <v>27</v>
      </c>
      <c r="L830" s="5" t="s">
        <v>40</v>
      </c>
      <c r="M830" s="7" t="s">
        <v>21</v>
      </c>
      <c r="N830" s="26">
        <f t="shared" si="72"/>
        <v>0</v>
      </c>
      <c r="O830" s="42">
        <f t="shared" si="73"/>
        <v>45172</v>
      </c>
      <c r="P830" s="5" t="str">
        <f t="shared" si="74"/>
        <v>Sunday</v>
      </c>
      <c r="Q830" s="5">
        <f t="shared" si="75"/>
        <v>12</v>
      </c>
      <c r="R830" s="28">
        <f t="shared" si="76"/>
        <v>0.97761194029850751</v>
      </c>
      <c r="S830" s="29">
        <f t="shared" si="77"/>
        <v>97.761194029850756</v>
      </c>
      <c r="T830" s="5" t="str">
        <f>IF(Delivery_Data[[#This Row],[Delays (min)]]&gt;0,"No","Yes")</f>
        <v>No</v>
      </c>
    </row>
    <row r="831" spans="1:20" ht="15.75" customHeight="1" x14ac:dyDescent="0.3">
      <c r="A831" s="4">
        <v>1830</v>
      </c>
      <c r="B831" s="5" t="s">
        <v>949</v>
      </c>
      <c r="C831" s="6">
        <v>45170.570833333331</v>
      </c>
      <c r="D831" s="5" t="s">
        <v>43</v>
      </c>
      <c r="E831" s="5" t="s">
        <v>288</v>
      </c>
      <c r="F831" s="5" t="s">
        <v>16</v>
      </c>
      <c r="G831" s="5" t="s">
        <v>25</v>
      </c>
      <c r="H831" s="5">
        <v>80</v>
      </c>
      <c r="I831" s="5">
        <v>8</v>
      </c>
      <c r="J831" s="5" t="s">
        <v>18</v>
      </c>
      <c r="K831" s="5" t="s">
        <v>35</v>
      </c>
      <c r="L831" s="5" t="s">
        <v>28</v>
      </c>
      <c r="M831" s="7" t="s">
        <v>21</v>
      </c>
      <c r="N831" s="26">
        <f t="shared" si="72"/>
        <v>0</v>
      </c>
      <c r="O831" s="42">
        <f t="shared" si="73"/>
        <v>45170</v>
      </c>
      <c r="P831" s="5" t="str">
        <f t="shared" si="74"/>
        <v>Friday</v>
      </c>
      <c r="Q831" s="5">
        <f t="shared" si="75"/>
        <v>13</v>
      </c>
      <c r="R831" s="28">
        <f t="shared" si="76"/>
        <v>0.90909090909090906</v>
      </c>
      <c r="S831" s="29">
        <f t="shared" si="77"/>
        <v>90.909090909090907</v>
      </c>
      <c r="T831" s="5" t="str">
        <f>IF(Delivery_Data[[#This Row],[Delays (min)]]&gt;0,"No","Yes")</f>
        <v>No</v>
      </c>
    </row>
    <row r="832" spans="1:20" ht="15.75" customHeight="1" x14ac:dyDescent="0.3">
      <c r="A832" s="4">
        <v>1831</v>
      </c>
      <c r="B832" s="5" t="s">
        <v>950</v>
      </c>
      <c r="C832" s="6">
        <v>45173.56527777778</v>
      </c>
      <c r="D832" s="5" t="s">
        <v>43</v>
      </c>
      <c r="E832" s="5" t="s">
        <v>113</v>
      </c>
      <c r="F832" s="5" t="s">
        <v>24</v>
      </c>
      <c r="G832" s="5" t="s">
        <v>17</v>
      </c>
      <c r="H832" s="5">
        <v>177</v>
      </c>
      <c r="I832" s="5">
        <v>23</v>
      </c>
      <c r="J832" s="5" t="s">
        <v>26</v>
      </c>
      <c r="K832" s="5" t="s">
        <v>45</v>
      </c>
      <c r="L832" s="5" t="s">
        <v>20</v>
      </c>
      <c r="M832" s="7" t="s">
        <v>21</v>
      </c>
      <c r="N832" s="26">
        <f t="shared" si="72"/>
        <v>1</v>
      </c>
      <c r="O832" s="42">
        <f t="shared" si="73"/>
        <v>45173</v>
      </c>
      <c r="P832" s="5" t="str">
        <f t="shared" si="74"/>
        <v>Monday</v>
      </c>
      <c r="Q832" s="5">
        <f t="shared" si="75"/>
        <v>13</v>
      </c>
      <c r="R832" s="28">
        <f t="shared" si="76"/>
        <v>0.88500000000000001</v>
      </c>
      <c r="S832" s="29">
        <f t="shared" si="77"/>
        <v>88.5</v>
      </c>
      <c r="T832" s="5" t="str">
        <f>IF(Delivery_Data[[#This Row],[Delays (min)]]&gt;0,"No","Yes")</f>
        <v>No</v>
      </c>
    </row>
    <row r="833" spans="1:20" ht="15.75" customHeight="1" x14ac:dyDescent="0.3">
      <c r="A833" s="4">
        <v>1832</v>
      </c>
      <c r="B833" s="5" t="s">
        <v>951</v>
      </c>
      <c r="C833" s="6">
        <v>45174.46875</v>
      </c>
      <c r="D833" s="5" t="s">
        <v>14</v>
      </c>
      <c r="E833" s="5" t="s">
        <v>132</v>
      </c>
      <c r="F833" s="5" t="s">
        <v>16</v>
      </c>
      <c r="G833" s="5" t="s">
        <v>56</v>
      </c>
      <c r="H833" s="5">
        <v>171</v>
      </c>
      <c r="I833" s="5">
        <v>28</v>
      </c>
      <c r="J833" s="5" t="s">
        <v>26</v>
      </c>
      <c r="K833" s="5" t="s">
        <v>27</v>
      </c>
      <c r="L833" s="5" t="s">
        <v>40</v>
      </c>
      <c r="M833" s="7" t="s">
        <v>21</v>
      </c>
      <c r="N833" s="26">
        <f t="shared" si="72"/>
        <v>1</v>
      </c>
      <c r="O833" s="42">
        <f t="shared" si="73"/>
        <v>45174</v>
      </c>
      <c r="P833" s="5" t="str">
        <f t="shared" si="74"/>
        <v>Tuesday</v>
      </c>
      <c r="Q833" s="5">
        <f t="shared" si="75"/>
        <v>11</v>
      </c>
      <c r="R833" s="28">
        <f t="shared" si="76"/>
        <v>0.85929648241206025</v>
      </c>
      <c r="S833" s="29">
        <f t="shared" si="77"/>
        <v>85.929648241206024</v>
      </c>
      <c r="T833" s="5" t="str">
        <f>IF(Delivery_Data[[#This Row],[Delays (min)]]&gt;0,"No","Yes")</f>
        <v>No</v>
      </c>
    </row>
    <row r="834" spans="1:20" ht="15.75" customHeight="1" x14ac:dyDescent="0.3">
      <c r="A834" s="4">
        <v>1833</v>
      </c>
      <c r="B834" s="5" t="s">
        <v>952</v>
      </c>
      <c r="C834" s="6">
        <v>45170.494444444441</v>
      </c>
      <c r="D834" s="5" t="s">
        <v>14</v>
      </c>
      <c r="E834" s="5" t="s">
        <v>177</v>
      </c>
      <c r="F834" s="5" t="s">
        <v>24</v>
      </c>
      <c r="G834" s="5" t="s">
        <v>56</v>
      </c>
      <c r="H834" s="5">
        <v>219</v>
      </c>
      <c r="I834" s="5">
        <v>1</v>
      </c>
      <c r="J834" s="5" t="s">
        <v>32</v>
      </c>
      <c r="K834" s="5" t="s">
        <v>19</v>
      </c>
      <c r="L834" s="5" t="s">
        <v>28</v>
      </c>
      <c r="M834" s="7" t="s">
        <v>41</v>
      </c>
      <c r="N834" s="26">
        <f t="shared" ref="N834:N897" si="78">IF(J834="Positive",1,IF(J834="Neutral",0,IF(J834="Negative",-1,"")))</f>
        <v>-1</v>
      </c>
      <c r="O834" s="42">
        <f t="shared" ref="O834:O897" si="79">INT(C834)</f>
        <v>45170</v>
      </c>
      <c r="P834" s="5" t="str">
        <f t="shared" ref="P834:P897" si="80">TEXT(C834,"dddd")</f>
        <v>Friday</v>
      </c>
      <c r="Q834" s="5">
        <f t="shared" ref="Q834:Q897" si="81">HOUR(C834)</f>
        <v>11</v>
      </c>
      <c r="R834" s="28">
        <f t="shared" ref="R834:R897" si="82">H834/(H834+I834)</f>
        <v>0.99545454545454548</v>
      </c>
      <c r="S834" s="29">
        <f t="shared" si="77"/>
        <v>99.545454545454547</v>
      </c>
      <c r="T834" s="5" t="str">
        <f>IF(Delivery_Data[[#This Row],[Delays (min)]]&gt;0,"No","Yes")</f>
        <v>No</v>
      </c>
    </row>
    <row r="835" spans="1:20" ht="15.75" customHeight="1" x14ac:dyDescent="0.3">
      <c r="A835" s="4">
        <v>1834</v>
      </c>
      <c r="B835" s="5" t="s">
        <v>953</v>
      </c>
      <c r="C835" s="6">
        <v>45171.461111111108</v>
      </c>
      <c r="D835" s="5" t="s">
        <v>43</v>
      </c>
      <c r="E835" s="5" t="s">
        <v>370</v>
      </c>
      <c r="F835" s="5" t="s">
        <v>38</v>
      </c>
      <c r="G835" s="5" t="s">
        <v>56</v>
      </c>
      <c r="H835" s="5">
        <v>61</v>
      </c>
      <c r="I835" s="5">
        <v>16</v>
      </c>
      <c r="J835" s="5" t="s">
        <v>18</v>
      </c>
      <c r="K835" s="5" t="s">
        <v>45</v>
      </c>
      <c r="L835" s="5" t="s">
        <v>40</v>
      </c>
      <c r="M835" s="7" t="s">
        <v>21</v>
      </c>
      <c r="N835" s="26">
        <f t="shared" si="78"/>
        <v>0</v>
      </c>
      <c r="O835" s="42">
        <f t="shared" si="79"/>
        <v>45171</v>
      </c>
      <c r="P835" s="5" t="str">
        <f t="shared" si="80"/>
        <v>Saturday</v>
      </c>
      <c r="Q835" s="5">
        <f t="shared" si="81"/>
        <v>11</v>
      </c>
      <c r="R835" s="28">
        <f t="shared" si="82"/>
        <v>0.79220779220779225</v>
      </c>
      <c r="S835" s="29">
        <f t="shared" ref="S835:S898" si="83">IF(H835+I835=0,0,(H835/(H835+I835))*100) + (IFERROR(--J835,0)*10)</f>
        <v>79.220779220779221</v>
      </c>
      <c r="T835" s="5" t="str">
        <f>IF(Delivery_Data[[#This Row],[Delays (min)]]&gt;0,"No","Yes")</f>
        <v>No</v>
      </c>
    </row>
    <row r="836" spans="1:20" ht="15.75" customHeight="1" x14ac:dyDescent="0.3">
      <c r="A836" s="4">
        <v>1835</v>
      </c>
      <c r="B836" s="5" t="s">
        <v>954</v>
      </c>
      <c r="C836" s="6">
        <v>45177.57916666667</v>
      </c>
      <c r="D836" s="5" t="s">
        <v>14</v>
      </c>
      <c r="E836" s="5" t="s">
        <v>140</v>
      </c>
      <c r="F836" s="5" t="s">
        <v>38</v>
      </c>
      <c r="G836" s="5" t="s">
        <v>31</v>
      </c>
      <c r="H836" s="5">
        <v>195</v>
      </c>
      <c r="I836" s="5">
        <v>13</v>
      </c>
      <c r="J836" s="5" t="s">
        <v>26</v>
      </c>
      <c r="K836" s="5" t="s">
        <v>27</v>
      </c>
      <c r="L836" s="5" t="s">
        <v>40</v>
      </c>
      <c r="M836" s="7" t="s">
        <v>41</v>
      </c>
      <c r="N836" s="26">
        <f t="shared" si="78"/>
        <v>1</v>
      </c>
      <c r="O836" s="42">
        <f t="shared" si="79"/>
        <v>45177</v>
      </c>
      <c r="P836" s="5" t="str">
        <f t="shared" si="80"/>
        <v>Friday</v>
      </c>
      <c r="Q836" s="5">
        <f t="shared" si="81"/>
        <v>13</v>
      </c>
      <c r="R836" s="28">
        <f t="shared" si="82"/>
        <v>0.9375</v>
      </c>
      <c r="S836" s="29">
        <f t="shared" si="83"/>
        <v>93.75</v>
      </c>
      <c r="T836" s="5" t="str">
        <f>IF(Delivery_Data[[#This Row],[Delays (min)]]&gt;0,"No","Yes")</f>
        <v>No</v>
      </c>
    </row>
    <row r="837" spans="1:20" ht="15.75" customHeight="1" x14ac:dyDescent="0.3">
      <c r="A837" s="4">
        <v>1836</v>
      </c>
      <c r="B837" s="5" t="s">
        <v>955</v>
      </c>
      <c r="C837" s="6">
        <v>45175.584027777775</v>
      </c>
      <c r="D837" s="5" t="s">
        <v>43</v>
      </c>
      <c r="E837" s="5" t="s">
        <v>410</v>
      </c>
      <c r="F837" s="5" t="s">
        <v>16</v>
      </c>
      <c r="G837" s="5" t="s">
        <v>31</v>
      </c>
      <c r="H837" s="5">
        <v>70</v>
      </c>
      <c r="I837" s="5">
        <v>21</v>
      </c>
      <c r="J837" s="5" t="s">
        <v>18</v>
      </c>
      <c r="K837" s="5" t="s">
        <v>19</v>
      </c>
      <c r="L837" s="5" t="s">
        <v>40</v>
      </c>
      <c r="M837" s="7" t="s">
        <v>21</v>
      </c>
      <c r="N837" s="26">
        <f t="shared" si="78"/>
        <v>0</v>
      </c>
      <c r="O837" s="42">
        <f t="shared" si="79"/>
        <v>45175</v>
      </c>
      <c r="P837" s="5" t="str">
        <f t="shared" si="80"/>
        <v>Wednesday</v>
      </c>
      <c r="Q837" s="5">
        <f t="shared" si="81"/>
        <v>14</v>
      </c>
      <c r="R837" s="28">
        <f t="shared" si="82"/>
        <v>0.76923076923076927</v>
      </c>
      <c r="S837" s="29">
        <f t="shared" si="83"/>
        <v>76.923076923076934</v>
      </c>
      <c r="T837" s="5" t="str">
        <f>IF(Delivery_Data[[#This Row],[Delays (min)]]&gt;0,"No","Yes")</f>
        <v>No</v>
      </c>
    </row>
    <row r="838" spans="1:20" ht="15.75" customHeight="1" x14ac:dyDescent="0.3">
      <c r="A838" s="4">
        <v>1837</v>
      </c>
      <c r="B838" s="5" t="s">
        <v>956</v>
      </c>
      <c r="C838" s="6">
        <v>45177.515972222223</v>
      </c>
      <c r="D838" s="5" t="s">
        <v>14</v>
      </c>
      <c r="E838" s="5" t="s">
        <v>158</v>
      </c>
      <c r="F838" s="5" t="s">
        <v>24</v>
      </c>
      <c r="G838" s="5" t="s">
        <v>31</v>
      </c>
      <c r="H838" s="5">
        <v>114</v>
      </c>
      <c r="I838" s="5">
        <v>17</v>
      </c>
      <c r="J838" s="5" t="s">
        <v>26</v>
      </c>
      <c r="K838" s="5" t="s">
        <v>19</v>
      </c>
      <c r="L838" s="5" t="s">
        <v>40</v>
      </c>
      <c r="M838" s="7" t="s">
        <v>41</v>
      </c>
      <c r="N838" s="26">
        <f t="shared" si="78"/>
        <v>1</v>
      </c>
      <c r="O838" s="42">
        <f t="shared" si="79"/>
        <v>45177</v>
      </c>
      <c r="P838" s="5" t="str">
        <f t="shared" si="80"/>
        <v>Friday</v>
      </c>
      <c r="Q838" s="5">
        <f t="shared" si="81"/>
        <v>12</v>
      </c>
      <c r="R838" s="28">
        <f t="shared" si="82"/>
        <v>0.87022900763358779</v>
      </c>
      <c r="S838" s="29">
        <f t="shared" si="83"/>
        <v>87.022900763358777</v>
      </c>
      <c r="T838" s="5" t="str">
        <f>IF(Delivery_Data[[#This Row],[Delays (min)]]&gt;0,"No","Yes")</f>
        <v>No</v>
      </c>
    </row>
    <row r="839" spans="1:20" ht="15.75" customHeight="1" x14ac:dyDescent="0.3">
      <c r="A839" s="4">
        <v>1838</v>
      </c>
      <c r="B839" s="5" t="s">
        <v>957</v>
      </c>
      <c r="C839" s="6">
        <v>45174.623611111114</v>
      </c>
      <c r="D839" s="5" t="s">
        <v>43</v>
      </c>
      <c r="E839" s="5" t="s">
        <v>95</v>
      </c>
      <c r="F839" s="5" t="s">
        <v>24</v>
      </c>
      <c r="G839" s="5" t="s">
        <v>17</v>
      </c>
      <c r="H839" s="5">
        <v>206</v>
      </c>
      <c r="I839" s="5">
        <v>20</v>
      </c>
      <c r="J839" s="5" t="s">
        <v>32</v>
      </c>
      <c r="K839" s="5" t="s">
        <v>27</v>
      </c>
      <c r="L839" s="5" t="s">
        <v>40</v>
      </c>
      <c r="M839" s="7" t="s">
        <v>46</v>
      </c>
      <c r="N839" s="26">
        <f t="shared" si="78"/>
        <v>-1</v>
      </c>
      <c r="O839" s="42">
        <f t="shared" si="79"/>
        <v>45174</v>
      </c>
      <c r="P839" s="5" t="str">
        <f t="shared" si="80"/>
        <v>Tuesday</v>
      </c>
      <c r="Q839" s="5">
        <f t="shared" si="81"/>
        <v>14</v>
      </c>
      <c r="R839" s="28">
        <f t="shared" si="82"/>
        <v>0.91150442477876104</v>
      </c>
      <c r="S839" s="29">
        <f t="shared" si="83"/>
        <v>91.150442477876098</v>
      </c>
      <c r="T839" s="5" t="str">
        <f>IF(Delivery_Data[[#This Row],[Delays (min)]]&gt;0,"No","Yes")</f>
        <v>No</v>
      </c>
    </row>
    <row r="840" spans="1:20" ht="15.75" customHeight="1" x14ac:dyDescent="0.3">
      <c r="A840" s="4">
        <v>1839</v>
      </c>
      <c r="B840" s="5" t="s">
        <v>958</v>
      </c>
      <c r="C840" s="6">
        <v>45177.63958333333</v>
      </c>
      <c r="D840" s="5" t="s">
        <v>14</v>
      </c>
      <c r="E840" s="5" t="s">
        <v>270</v>
      </c>
      <c r="F840" s="5" t="s">
        <v>24</v>
      </c>
      <c r="G840" s="5" t="s">
        <v>39</v>
      </c>
      <c r="H840" s="5">
        <v>140</v>
      </c>
      <c r="I840" s="5">
        <v>18</v>
      </c>
      <c r="J840" s="5" t="s">
        <v>26</v>
      </c>
      <c r="K840" s="5" t="s">
        <v>49</v>
      </c>
      <c r="L840" s="5" t="s">
        <v>40</v>
      </c>
      <c r="M840" s="7" t="s">
        <v>21</v>
      </c>
      <c r="N840" s="26">
        <f t="shared" si="78"/>
        <v>1</v>
      </c>
      <c r="O840" s="42">
        <f t="shared" si="79"/>
        <v>45177</v>
      </c>
      <c r="P840" s="5" t="str">
        <f t="shared" si="80"/>
        <v>Friday</v>
      </c>
      <c r="Q840" s="5">
        <f t="shared" si="81"/>
        <v>15</v>
      </c>
      <c r="R840" s="28">
        <f t="shared" si="82"/>
        <v>0.88607594936708856</v>
      </c>
      <c r="S840" s="29">
        <f t="shared" si="83"/>
        <v>88.60759493670885</v>
      </c>
      <c r="T840" s="5" t="str">
        <f>IF(Delivery_Data[[#This Row],[Delays (min)]]&gt;0,"No","Yes")</f>
        <v>No</v>
      </c>
    </row>
    <row r="841" spans="1:20" ht="15.75" customHeight="1" x14ac:dyDescent="0.3">
      <c r="A841" s="4">
        <v>1840</v>
      </c>
      <c r="B841" s="5" t="s">
        <v>959</v>
      </c>
      <c r="C841" s="6">
        <v>45174.609027777777</v>
      </c>
      <c r="D841" s="5" t="s">
        <v>14</v>
      </c>
      <c r="E841" s="5" t="s">
        <v>48</v>
      </c>
      <c r="F841" s="5" t="s">
        <v>16</v>
      </c>
      <c r="G841" s="5" t="s">
        <v>25</v>
      </c>
      <c r="H841" s="5">
        <v>134</v>
      </c>
      <c r="I841" s="5">
        <v>5</v>
      </c>
      <c r="J841" s="5" t="s">
        <v>32</v>
      </c>
      <c r="K841" s="5" t="s">
        <v>45</v>
      </c>
      <c r="L841" s="5" t="s">
        <v>20</v>
      </c>
      <c r="M841" s="7" t="s">
        <v>46</v>
      </c>
      <c r="N841" s="26">
        <f t="shared" si="78"/>
        <v>-1</v>
      </c>
      <c r="O841" s="42">
        <f t="shared" si="79"/>
        <v>45174</v>
      </c>
      <c r="P841" s="5" t="str">
        <f t="shared" si="80"/>
        <v>Tuesday</v>
      </c>
      <c r="Q841" s="5">
        <f t="shared" si="81"/>
        <v>14</v>
      </c>
      <c r="R841" s="28">
        <f t="shared" si="82"/>
        <v>0.96402877697841727</v>
      </c>
      <c r="S841" s="29">
        <f t="shared" si="83"/>
        <v>96.402877697841731</v>
      </c>
      <c r="T841" s="5" t="str">
        <f>IF(Delivery_Data[[#This Row],[Delays (min)]]&gt;0,"No","Yes")</f>
        <v>No</v>
      </c>
    </row>
    <row r="842" spans="1:20" ht="15.75" customHeight="1" x14ac:dyDescent="0.3">
      <c r="A842" s="4">
        <v>1841</v>
      </c>
      <c r="B842" s="5" t="s">
        <v>960</v>
      </c>
      <c r="C842" s="6">
        <v>45175.55</v>
      </c>
      <c r="D842" s="5" t="s">
        <v>14</v>
      </c>
      <c r="E842" s="5" t="s">
        <v>272</v>
      </c>
      <c r="F842" s="5" t="s">
        <v>24</v>
      </c>
      <c r="G842" s="5" t="s">
        <v>17</v>
      </c>
      <c r="H842" s="5">
        <v>124</v>
      </c>
      <c r="I842" s="5">
        <v>23</v>
      </c>
      <c r="J842" s="5" t="s">
        <v>18</v>
      </c>
      <c r="K842" s="5" t="s">
        <v>49</v>
      </c>
      <c r="L842" s="5" t="s">
        <v>20</v>
      </c>
      <c r="M842" s="7" t="s">
        <v>21</v>
      </c>
      <c r="N842" s="26">
        <f t="shared" si="78"/>
        <v>0</v>
      </c>
      <c r="O842" s="42">
        <f t="shared" si="79"/>
        <v>45175</v>
      </c>
      <c r="P842" s="5" t="str">
        <f t="shared" si="80"/>
        <v>Wednesday</v>
      </c>
      <c r="Q842" s="5">
        <f t="shared" si="81"/>
        <v>13</v>
      </c>
      <c r="R842" s="28">
        <f t="shared" si="82"/>
        <v>0.84353741496598644</v>
      </c>
      <c r="S842" s="29">
        <f t="shared" si="83"/>
        <v>84.353741496598644</v>
      </c>
      <c r="T842" s="5" t="str">
        <f>IF(Delivery_Data[[#This Row],[Delays (min)]]&gt;0,"No","Yes")</f>
        <v>No</v>
      </c>
    </row>
    <row r="843" spans="1:20" ht="15.75" customHeight="1" x14ac:dyDescent="0.3">
      <c r="A843" s="4">
        <v>1842</v>
      </c>
      <c r="B843" s="5" t="s">
        <v>825</v>
      </c>
      <c r="C843" s="6">
        <v>45175.477083333331</v>
      </c>
      <c r="D843" s="5" t="s">
        <v>14</v>
      </c>
      <c r="E843" s="5" t="s">
        <v>158</v>
      </c>
      <c r="F843" s="5" t="s">
        <v>16</v>
      </c>
      <c r="G843" s="5" t="s">
        <v>25</v>
      </c>
      <c r="H843" s="5">
        <v>121</v>
      </c>
      <c r="I843" s="5">
        <v>4</v>
      </c>
      <c r="J843" s="5" t="s">
        <v>18</v>
      </c>
      <c r="K843" s="5" t="s">
        <v>49</v>
      </c>
      <c r="L843" s="5" t="s">
        <v>40</v>
      </c>
      <c r="M843" s="7" t="s">
        <v>46</v>
      </c>
      <c r="N843" s="26">
        <f t="shared" si="78"/>
        <v>0</v>
      </c>
      <c r="O843" s="42">
        <f t="shared" si="79"/>
        <v>45175</v>
      </c>
      <c r="P843" s="5" t="str">
        <f t="shared" si="80"/>
        <v>Wednesday</v>
      </c>
      <c r="Q843" s="5">
        <f t="shared" si="81"/>
        <v>11</v>
      </c>
      <c r="R843" s="28">
        <f t="shared" si="82"/>
        <v>0.96799999999999997</v>
      </c>
      <c r="S843" s="29">
        <f t="shared" si="83"/>
        <v>96.8</v>
      </c>
      <c r="T843" s="5" t="str">
        <f>IF(Delivery_Data[[#This Row],[Delays (min)]]&gt;0,"No","Yes")</f>
        <v>No</v>
      </c>
    </row>
    <row r="844" spans="1:20" ht="15.75" customHeight="1" x14ac:dyDescent="0.3">
      <c r="A844" s="4">
        <v>1843</v>
      </c>
      <c r="B844" s="5" t="s">
        <v>961</v>
      </c>
      <c r="C844" s="6">
        <v>45174.662499999999</v>
      </c>
      <c r="D844" s="5" t="s">
        <v>14</v>
      </c>
      <c r="E844" s="5" t="s">
        <v>109</v>
      </c>
      <c r="F844" s="5" t="s">
        <v>16</v>
      </c>
      <c r="G844" s="5" t="s">
        <v>17</v>
      </c>
      <c r="H844" s="5">
        <v>131</v>
      </c>
      <c r="I844" s="5">
        <v>22</v>
      </c>
      <c r="J844" s="5" t="s">
        <v>26</v>
      </c>
      <c r="K844" s="5" t="s">
        <v>49</v>
      </c>
      <c r="L844" s="5" t="s">
        <v>28</v>
      </c>
      <c r="M844" s="7" t="s">
        <v>46</v>
      </c>
      <c r="N844" s="26">
        <f t="shared" si="78"/>
        <v>1</v>
      </c>
      <c r="O844" s="42">
        <f t="shared" si="79"/>
        <v>45174</v>
      </c>
      <c r="P844" s="5" t="str">
        <f t="shared" si="80"/>
        <v>Tuesday</v>
      </c>
      <c r="Q844" s="5">
        <f t="shared" si="81"/>
        <v>15</v>
      </c>
      <c r="R844" s="28">
        <f t="shared" si="82"/>
        <v>0.85620915032679734</v>
      </c>
      <c r="S844" s="29">
        <f t="shared" si="83"/>
        <v>85.620915032679733</v>
      </c>
      <c r="T844" s="5" t="str">
        <f>IF(Delivery_Data[[#This Row],[Delays (min)]]&gt;0,"No","Yes")</f>
        <v>No</v>
      </c>
    </row>
    <row r="845" spans="1:20" ht="15.75" customHeight="1" x14ac:dyDescent="0.3">
      <c r="A845" s="4">
        <v>1844</v>
      </c>
      <c r="B845" s="5" t="s">
        <v>962</v>
      </c>
      <c r="C845" s="6">
        <v>45176.6</v>
      </c>
      <c r="D845" s="5" t="s">
        <v>14</v>
      </c>
      <c r="E845" s="5" t="s">
        <v>249</v>
      </c>
      <c r="F845" s="5" t="s">
        <v>16</v>
      </c>
      <c r="G845" s="5" t="s">
        <v>31</v>
      </c>
      <c r="H845" s="5">
        <v>95</v>
      </c>
      <c r="I845" s="5">
        <v>4</v>
      </c>
      <c r="J845" s="5" t="s">
        <v>26</v>
      </c>
      <c r="K845" s="5" t="s">
        <v>45</v>
      </c>
      <c r="L845" s="5" t="s">
        <v>40</v>
      </c>
      <c r="M845" s="7" t="s">
        <v>41</v>
      </c>
      <c r="N845" s="26">
        <f t="shared" si="78"/>
        <v>1</v>
      </c>
      <c r="O845" s="42">
        <f t="shared" si="79"/>
        <v>45176</v>
      </c>
      <c r="P845" s="5" t="str">
        <f t="shared" si="80"/>
        <v>Thursday</v>
      </c>
      <c r="Q845" s="5">
        <f t="shared" si="81"/>
        <v>14</v>
      </c>
      <c r="R845" s="28">
        <f t="shared" si="82"/>
        <v>0.95959595959595956</v>
      </c>
      <c r="S845" s="29">
        <f t="shared" si="83"/>
        <v>95.959595959595958</v>
      </c>
      <c r="T845" s="5" t="str">
        <f>IF(Delivery_Data[[#This Row],[Delays (min)]]&gt;0,"No","Yes")</f>
        <v>No</v>
      </c>
    </row>
    <row r="846" spans="1:20" ht="15.75" customHeight="1" x14ac:dyDescent="0.3">
      <c r="A846" s="4">
        <v>1845</v>
      </c>
      <c r="B846" s="5" t="s">
        <v>963</v>
      </c>
      <c r="C846" s="6">
        <v>45173.393750000003</v>
      </c>
      <c r="D846" s="5" t="s">
        <v>14</v>
      </c>
      <c r="E846" s="5" t="s">
        <v>53</v>
      </c>
      <c r="F846" s="5" t="s">
        <v>16</v>
      </c>
      <c r="G846" s="5" t="s">
        <v>17</v>
      </c>
      <c r="H846" s="5">
        <v>109</v>
      </c>
      <c r="I846" s="5">
        <v>21</v>
      </c>
      <c r="J846" s="5" t="s">
        <v>18</v>
      </c>
      <c r="K846" s="5" t="s">
        <v>35</v>
      </c>
      <c r="L846" s="5" t="s">
        <v>40</v>
      </c>
      <c r="M846" s="7" t="s">
        <v>41</v>
      </c>
      <c r="N846" s="26">
        <f t="shared" si="78"/>
        <v>0</v>
      </c>
      <c r="O846" s="42">
        <f t="shared" si="79"/>
        <v>45173</v>
      </c>
      <c r="P846" s="5" t="str">
        <f t="shared" si="80"/>
        <v>Monday</v>
      </c>
      <c r="Q846" s="5">
        <f t="shared" si="81"/>
        <v>9</v>
      </c>
      <c r="R846" s="28">
        <f t="shared" si="82"/>
        <v>0.83846153846153848</v>
      </c>
      <c r="S846" s="29">
        <f t="shared" si="83"/>
        <v>83.846153846153854</v>
      </c>
      <c r="T846" s="5" t="str">
        <f>IF(Delivery_Data[[#This Row],[Delays (min)]]&gt;0,"No","Yes")</f>
        <v>No</v>
      </c>
    </row>
    <row r="847" spans="1:20" ht="15.75" customHeight="1" x14ac:dyDescent="0.3">
      <c r="A847" s="4">
        <v>1846</v>
      </c>
      <c r="B847" s="5" t="s">
        <v>964</v>
      </c>
      <c r="C847" s="6">
        <v>45171.505555555559</v>
      </c>
      <c r="D847" s="5" t="s">
        <v>43</v>
      </c>
      <c r="E847" s="5" t="s">
        <v>245</v>
      </c>
      <c r="F847" s="5" t="s">
        <v>16</v>
      </c>
      <c r="G847" s="5" t="s">
        <v>17</v>
      </c>
      <c r="H847" s="5">
        <v>168</v>
      </c>
      <c r="I847" s="5">
        <v>12</v>
      </c>
      <c r="J847" s="5" t="s">
        <v>26</v>
      </c>
      <c r="K847" s="5" t="s">
        <v>49</v>
      </c>
      <c r="L847" s="5" t="s">
        <v>20</v>
      </c>
      <c r="M847" s="7" t="s">
        <v>46</v>
      </c>
      <c r="N847" s="26">
        <f t="shared" si="78"/>
        <v>1</v>
      </c>
      <c r="O847" s="42">
        <f t="shared" si="79"/>
        <v>45171</v>
      </c>
      <c r="P847" s="5" t="str">
        <f t="shared" si="80"/>
        <v>Saturday</v>
      </c>
      <c r="Q847" s="5">
        <f t="shared" si="81"/>
        <v>12</v>
      </c>
      <c r="R847" s="28">
        <f t="shared" si="82"/>
        <v>0.93333333333333335</v>
      </c>
      <c r="S847" s="29">
        <f t="shared" si="83"/>
        <v>93.333333333333329</v>
      </c>
      <c r="T847" s="5" t="str">
        <f>IF(Delivery_Data[[#This Row],[Delays (min)]]&gt;0,"No","Yes")</f>
        <v>No</v>
      </c>
    </row>
    <row r="848" spans="1:20" ht="15.75" customHeight="1" x14ac:dyDescent="0.3">
      <c r="A848" s="4">
        <v>1847</v>
      </c>
      <c r="B848" s="5" t="s">
        <v>965</v>
      </c>
      <c r="C848" s="6">
        <v>45174.431250000001</v>
      </c>
      <c r="D848" s="5" t="s">
        <v>14</v>
      </c>
      <c r="E848" s="5" t="s">
        <v>111</v>
      </c>
      <c r="F848" s="5" t="s">
        <v>38</v>
      </c>
      <c r="G848" s="5" t="s">
        <v>31</v>
      </c>
      <c r="H848" s="5">
        <v>187</v>
      </c>
      <c r="I848" s="5">
        <v>28</v>
      </c>
      <c r="J848" s="5" t="s">
        <v>32</v>
      </c>
      <c r="K848" s="5" t="s">
        <v>35</v>
      </c>
      <c r="L848" s="5" t="s">
        <v>20</v>
      </c>
      <c r="M848" s="7" t="s">
        <v>21</v>
      </c>
      <c r="N848" s="26">
        <f t="shared" si="78"/>
        <v>-1</v>
      </c>
      <c r="O848" s="42">
        <f t="shared" si="79"/>
        <v>45174</v>
      </c>
      <c r="P848" s="5" t="str">
        <f t="shared" si="80"/>
        <v>Tuesday</v>
      </c>
      <c r="Q848" s="5">
        <f t="shared" si="81"/>
        <v>10</v>
      </c>
      <c r="R848" s="28">
        <f t="shared" si="82"/>
        <v>0.86976744186046506</v>
      </c>
      <c r="S848" s="29">
        <f t="shared" si="83"/>
        <v>86.976744186046503</v>
      </c>
      <c r="T848" s="5" t="str">
        <f>IF(Delivery_Data[[#This Row],[Delays (min)]]&gt;0,"No","Yes")</f>
        <v>No</v>
      </c>
    </row>
    <row r="849" spans="1:20" ht="15.75" customHeight="1" x14ac:dyDescent="0.3">
      <c r="A849" s="4">
        <v>1848</v>
      </c>
      <c r="B849" s="5" t="s">
        <v>966</v>
      </c>
      <c r="C849" s="6">
        <v>45170.542361111111</v>
      </c>
      <c r="D849" s="5" t="s">
        <v>43</v>
      </c>
      <c r="E849" s="5" t="s">
        <v>249</v>
      </c>
      <c r="F849" s="5" t="s">
        <v>38</v>
      </c>
      <c r="G849" s="5" t="s">
        <v>39</v>
      </c>
      <c r="H849" s="5">
        <v>188</v>
      </c>
      <c r="I849" s="5">
        <v>8</v>
      </c>
      <c r="J849" s="5" t="s">
        <v>18</v>
      </c>
      <c r="K849" s="5" t="s">
        <v>19</v>
      </c>
      <c r="L849" s="5" t="s">
        <v>40</v>
      </c>
      <c r="M849" s="7" t="s">
        <v>21</v>
      </c>
      <c r="N849" s="26">
        <f t="shared" si="78"/>
        <v>0</v>
      </c>
      <c r="O849" s="42">
        <f t="shared" si="79"/>
        <v>45170</v>
      </c>
      <c r="P849" s="5" t="str">
        <f t="shared" si="80"/>
        <v>Friday</v>
      </c>
      <c r="Q849" s="5">
        <f t="shared" si="81"/>
        <v>13</v>
      </c>
      <c r="R849" s="28">
        <f t="shared" si="82"/>
        <v>0.95918367346938771</v>
      </c>
      <c r="S849" s="29">
        <f t="shared" si="83"/>
        <v>95.918367346938766</v>
      </c>
      <c r="T849" s="5" t="str">
        <f>IF(Delivery_Data[[#This Row],[Delays (min)]]&gt;0,"No","Yes")</f>
        <v>No</v>
      </c>
    </row>
    <row r="850" spans="1:20" ht="15.75" customHeight="1" x14ac:dyDescent="0.3">
      <c r="A850" s="4">
        <v>1849</v>
      </c>
      <c r="B850" s="5" t="s">
        <v>967</v>
      </c>
      <c r="C850" s="6">
        <v>45174.582638888889</v>
      </c>
      <c r="D850" s="5" t="s">
        <v>43</v>
      </c>
      <c r="E850" s="5" t="s">
        <v>51</v>
      </c>
      <c r="F850" s="5" t="s">
        <v>24</v>
      </c>
      <c r="G850" s="5" t="s">
        <v>56</v>
      </c>
      <c r="H850" s="5">
        <v>168</v>
      </c>
      <c r="I850" s="5">
        <v>27</v>
      </c>
      <c r="J850" s="5" t="s">
        <v>18</v>
      </c>
      <c r="K850" s="5" t="s">
        <v>49</v>
      </c>
      <c r="L850" s="5" t="s">
        <v>40</v>
      </c>
      <c r="M850" s="7" t="s">
        <v>21</v>
      </c>
      <c r="N850" s="26">
        <f t="shared" si="78"/>
        <v>0</v>
      </c>
      <c r="O850" s="42">
        <f t="shared" si="79"/>
        <v>45174</v>
      </c>
      <c r="P850" s="5" t="str">
        <f t="shared" si="80"/>
        <v>Tuesday</v>
      </c>
      <c r="Q850" s="5">
        <f t="shared" si="81"/>
        <v>13</v>
      </c>
      <c r="R850" s="28">
        <f t="shared" si="82"/>
        <v>0.86153846153846159</v>
      </c>
      <c r="S850" s="29">
        <f t="shared" si="83"/>
        <v>86.15384615384616</v>
      </c>
      <c r="T850" s="5" t="str">
        <f>IF(Delivery_Data[[#This Row],[Delays (min)]]&gt;0,"No","Yes")</f>
        <v>No</v>
      </c>
    </row>
    <row r="851" spans="1:20" ht="15.75" customHeight="1" x14ac:dyDescent="0.3">
      <c r="A851" s="4">
        <v>1850</v>
      </c>
      <c r="B851" s="5" t="s">
        <v>968</v>
      </c>
      <c r="C851" s="6">
        <v>45175.670138888891</v>
      </c>
      <c r="D851" s="5" t="s">
        <v>14</v>
      </c>
      <c r="E851" s="5" t="s">
        <v>66</v>
      </c>
      <c r="F851" s="5" t="s">
        <v>38</v>
      </c>
      <c r="G851" s="5" t="s">
        <v>17</v>
      </c>
      <c r="H851" s="5">
        <v>199</v>
      </c>
      <c r="I851" s="5">
        <v>27</v>
      </c>
      <c r="J851" s="5" t="s">
        <v>18</v>
      </c>
      <c r="K851" s="5" t="s">
        <v>35</v>
      </c>
      <c r="L851" s="5" t="s">
        <v>40</v>
      </c>
      <c r="M851" s="7" t="s">
        <v>21</v>
      </c>
      <c r="N851" s="26">
        <f t="shared" si="78"/>
        <v>0</v>
      </c>
      <c r="O851" s="42">
        <f t="shared" si="79"/>
        <v>45175</v>
      </c>
      <c r="P851" s="5" t="str">
        <f t="shared" si="80"/>
        <v>Wednesday</v>
      </c>
      <c r="Q851" s="5">
        <f t="shared" si="81"/>
        <v>16</v>
      </c>
      <c r="R851" s="28">
        <f t="shared" si="82"/>
        <v>0.88053097345132747</v>
      </c>
      <c r="S851" s="29">
        <f t="shared" si="83"/>
        <v>88.053097345132741</v>
      </c>
      <c r="T851" s="5" t="str">
        <f>IF(Delivery_Data[[#This Row],[Delays (min)]]&gt;0,"No","Yes")</f>
        <v>No</v>
      </c>
    </row>
    <row r="852" spans="1:20" ht="15.75" customHeight="1" x14ac:dyDescent="0.3">
      <c r="A852" s="4">
        <v>1851</v>
      </c>
      <c r="B852" s="5" t="s">
        <v>969</v>
      </c>
      <c r="C852" s="6">
        <v>45176.45</v>
      </c>
      <c r="D852" s="5" t="s">
        <v>43</v>
      </c>
      <c r="E852" s="5" t="s">
        <v>135</v>
      </c>
      <c r="F852" s="5" t="s">
        <v>38</v>
      </c>
      <c r="G852" s="5" t="s">
        <v>39</v>
      </c>
      <c r="H852" s="5">
        <v>129</v>
      </c>
      <c r="I852" s="5">
        <v>17</v>
      </c>
      <c r="J852" s="5" t="s">
        <v>32</v>
      </c>
      <c r="K852" s="5" t="s">
        <v>27</v>
      </c>
      <c r="L852" s="5" t="s">
        <v>40</v>
      </c>
      <c r="M852" s="7" t="s">
        <v>21</v>
      </c>
      <c r="N852" s="26">
        <f t="shared" si="78"/>
        <v>-1</v>
      </c>
      <c r="O852" s="42">
        <f t="shared" si="79"/>
        <v>45176</v>
      </c>
      <c r="P852" s="5" t="str">
        <f t="shared" si="80"/>
        <v>Thursday</v>
      </c>
      <c r="Q852" s="5">
        <f t="shared" si="81"/>
        <v>10</v>
      </c>
      <c r="R852" s="28">
        <f t="shared" si="82"/>
        <v>0.88356164383561642</v>
      </c>
      <c r="S852" s="29">
        <f t="shared" si="83"/>
        <v>88.356164383561648</v>
      </c>
      <c r="T852" s="5" t="str">
        <f>IF(Delivery_Data[[#This Row],[Delays (min)]]&gt;0,"No","Yes")</f>
        <v>No</v>
      </c>
    </row>
    <row r="853" spans="1:20" ht="15.75" customHeight="1" x14ac:dyDescent="0.3">
      <c r="A853" s="4">
        <v>1852</v>
      </c>
      <c r="B853" s="5" t="s">
        <v>970</v>
      </c>
      <c r="C853" s="6">
        <v>45175.430555555555</v>
      </c>
      <c r="D853" s="5" t="s">
        <v>14</v>
      </c>
      <c r="E853" s="5" t="s">
        <v>263</v>
      </c>
      <c r="F853" s="5" t="s">
        <v>38</v>
      </c>
      <c r="G853" s="5" t="s">
        <v>17</v>
      </c>
      <c r="H853" s="5">
        <v>213</v>
      </c>
      <c r="I853" s="5">
        <v>27</v>
      </c>
      <c r="J853" s="5" t="s">
        <v>18</v>
      </c>
      <c r="K853" s="5" t="s">
        <v>45</v>
      </c>
      <c r="L853" s="5" t="s">
        <v>40</v>
      </c>
      <c r="M853" s="7" t="s">
        <v>46</v>
      </c>
      <c r="N853" s="26">
        <f t="shared" si="78"/>
        <v>0</v>
      </c>
      <c r="O853" s="42">
        <f t="shared" si="79"/>
        <v>45175</v>
      </c>
      <c r="P853" s="5" t="str">
        <f t="shared" si="80"/>
        <v>Wednesday</v>
      </c>
      <c r="Q853" s="5">
        <f t="shared" si="81"/>
        <v>10</v>
      </c>
      <c r="R853" s="28">
        <f t="shared" si="82"/>
        <v>0.88749999999999996</v>
      </c>
      <c r="S853" s="29">
        <f t="shared" si="83"/>
        <v>88.75</v>
      </c>
      <c r="T853" s="5" t="str">
        <f>IF(Delivery_Data[[#This Row],[Delays (min)]]&gt;0,"No","Yes")</f>
        <v>No</v>
      </c>
    </row>
    <row r="854" spans="1:20" ht="15.75" customHeight="1" x14ac:dyDescent="0.3">
      <c r="A854" s="4">
        <v>1853</v>
      </c>
      <c r="B854" s="5" t="s">
        <v>447</v>
      </c>
      <c r="C854" s="6">
        <v>45174.600694444445</v>
      </c>
      <c r="D854" s="5" t="s">
        <v>14</v>
      </c>
      <c r="E854" s="5" t="s">
        <v>44</v>
      </c>
      <c r="F854" s="5" t="s">
        <v>16</v>
      </c>
      <c r="G854" s="5" t="s">
        <v>25</v>
      </c>
      <c r="H854" s="5">
        <v>111</v>
      </c>
      <c r="I854" s="5">
        <v>4</v>
      </c>
      <c r="J854" s="5" t="s">
        <v>32</v>
      </c>
      <c r="K854" s="5" t="s">
        <v>19</v>
      </c>
      <c r="L854" s="5" t="s">
        <v>20</v>
      </c>
      <c r="M854" s="7" t="s">
        <v>41</v>
      </c>
      <c r="N854" s="26">
        <f t="shared" si="78"/>
        <v>-1</v>
      </c>
      <c r="O854" s="42">
        <f t="shared" si="79"/>
        <v>45174</v>
      </c>
      <c r="P854" s="5" t="str">
        <f t="shared" si="80"/>
        <v>Tuesday</v>
      </c>
      <c r="Q854" s="5">
        <f t="shared" si="81"/>
        <v>14</v>
      </c>
      <c r="R854" s="28">
        <f t="shared" si="82"/>
        <v>0.9652173913043478</v>
      </c>
      <c r="S854" s="29">
        <f t="shared" si="83"/>
        <v>96.521739130434781</v>
      </c>
      <c r="T854" s="5" t="str">
        <f>IF(Delivery_Data[[#This Row],[Delays (min)]]&gt;0,"No","Yes")</f>
        <v>No</v>
      </c>
    </row>
    <row r="855" spans="1:20" ht="15.75" customHeight="1" x14ac:dyDescent="0.3">
      <c r="A855" s="4">
        <v>1854</v>
      </c>
      <c r="B855" s="5" t="s">
        <v>971</v>
      </c>
      <c r="C855" s="6">
        <v>45171.632638888892</v>
      </c>
      <c r="D855" s="5" t="s">
        <v>43</v>
      </c>
      <c r="E855" s="5" t="s">
        <v>270</v>
      </c>
      <c r="F855" s="5" t="s">
        <v>16</v>
      </c>
      <c r="G855" s="5" t="s">
        <v>31</v>
      </c>
      <c r="H855" s="5">
        <v>173</v>
      </c>
      <c r="I855" s="5">
        <v>29</v>
      </c>
      <c r="J855" s="5" t="s">
        <v>18</v>
      </c>
      <c r="K855" s="5" t="s">
        <v>27</v>
      </c>
      <c r="L855" s="5" t="s">
        <v>28</v>
      </c>
      <c r="M855" s="7" t="s">
        <v>41</v>
      </c>
      <c r="N855" s="26">
        <f t="shared" si="78"/>
        <v>0</v>
      </c>
      <c r="O855" s="42">
        <f t="shared" si="79"/>
        <v>45171</v>
      </c>
      <c r="P855" s="5" t="str">
        <f t="shared" si="80"/>
        <v>Saturday</v>
      </c>
      <c r="Q855" s="5">
        <f t="shared" si="81"/>
        <v>15</v>
      </c>
      <c r="R855" s="28">
        <f t="shared" si="82"/>
        <v>0.85643564356435642</v>
      </c>
      <c r="S855" s="29">
        <f t="shared" si="83"/>
        <v>85.643564356435647</v>
      </c>
      <c r="T855" s="5" t="str">
        <f>IF(Delivery_Data[[#This Row],[Delays (min)]]&gt;0,"No","Yes")</f>
        <v>No</v>
      </c>
    </row>
    <row r="856" spans="1:20" ht="15.75" customHeight="1" x14ac:dyDescent="0.3">
      <c r="A856" s="4">
        <v>1855</v>
      </c>
      <c r="B856" s="5" t="s">
        <v>972</v>
      </c>
      <c r="C856" s="6">
        <v>45177.458333333336</v>
      </c>
      <c r="D856" s="5" t="s">
        <v>14</v>
      </c>
      <c r="E856" s="5" t="s">
        <v>97</v>
      </c>
      <c r="F856" s="5" t="s">
        <v>38</v>
      </c>
      <c r="G856" s="5" t="s">
        <v>31</v>
      </c>
      <c r="H856" s="5">
        <v>155</v>
      </c>
      <c r="I856" s="5">
        <v>20</v>
      </c>
      <c r="J856" s="5" t="s">
        <v>26</v>
      </c>
      <c r="K856" s="5" t="s">
        <v>49</v>
      </c>
      <c r="L856" s="5" t="s">
        <v>20</v>
      </c>
      <c r="M856" s="7" t="s">
        <v>41</v>
      </c>
      <c r="N856" s="26">
        <f t="shared" si="78"/>
        <v>1</v>
      </c>
      <c r="O856" s="42">
        <f t="shared" si="79"/>
        <v>45177</v>
      </c>
      <c r="P856" s="5" t="str">
        <f t="shared" si="80"/>
        <v>Friday</v>
      </c>
      <c r="Q856" s="5">
        <f t="shared" si="81"/>
        <v>11</v>
      </c>
      <c r="R856" s="28">
        <f t="shared" si="82"/>
        <v>0.88571428571428568</v>
      </c>
      <c r="S856" s="29">
        <f t="shared" si="83"/>
        <v>88.571428571428569</v>
      </c>
      <c r="T856" s="5" t="str">
        <f>IF(Delivery_Data[[#This Row],[Delays (min)]]&gt;0,"No","Yes")</f>
        <v>No</v>
      </c>
    </row>
    <row r="857" spans="1:20" ht="15.75" customHeight="1" x14ac:dyDescent="0.3">
      <c r="A857" s="4">
        <v>1856</v>
      </c>
      <c r="B857" s="5" t="s">
        <v>973</v>
      </c>
      <c r="C857" s="6">
        <v>45173.505555555559</v>
      </c>
      <c r="D857" s="5" t="s">
        <v>43</v>
      </c>
      <c r="E857" s="5" t="s">
        <v>106</v>
      </c>
      <c r="F857" s="5" t="s">
        <v>24</v>
      </c>
      <c r="G857" s="5" t="s">
        <v>56</v>
      </c>
      <c r="H857" s="5">
        <v>122</v>
      </c>
      <c r="I857" s="5">
        <v>5</v>
      </c>
      <c r="J857" s="5" t="s">
        <v>32</v>
      </c>
      <c r="K857" s="5" t="s">
        <v>49</v>
      </c>
      <c r="L857" s="5" t="s">
        <v>28</v>
      </c>
      <c r="M857" s="7" t="s">
        <v>41</v>
      </c>
      <c r="N857" s="26">
        <f t="shared" si="78"/>
        <v>-1</v>
      </c>
      <c r="O857" s="42">
        <f t="shared" si="79"/>
        <v>45173</v>
      </c>
      <c r="P857" s="5" t="str">
        <f t="shared" si="80"/>
        <v>Monday</v>
      </c>
      <c r="Q857" s="5">
        <f t="shared" si="81"/>
        <v>12</v>
      </c>
      <c r="R857" s="28">
        <f t="shared" si="82"/>
        <v>0.96062992125984248</v>
      </c>
      <c r="S857" s="29">
        <f t="shared" si="83"/>
        <v>96.062992125984252</v>
      </c>
      <c r="T857" s="5" t="str">
        <f>IF(Delivery_Data[[#This Row],[Delays (min)]]&gt;0,"No","Yes")</f>
        <v>No</v>
      </c>
    </row>
    <row r="858" spans="1:20" ht="15.75" customHeight="1" x14ac:dyDescent="0.3">
      <c r="A858" s="4">
        <v>1857</v>
      </c>
      <c r="B858" s="5" t="s">
        <v>974</v>
      </c>
      <c r="C858" s="6">
        <v>45171.575694444444</v>
      </c>
      <c r="D858" s="5" t="s">
        <v>14</v>
      </c>
      <c r="E858" s="5" t="s">
        <v>240</v>
      </c>
      <c r="F858" s="5" t="s">
        <v>24</v>
      </c>
      <c r="G858" s="5" t="s">
        <v>17</v>
      </c>
      <c r="H858" s="5">
        <v>141</v>
      </c>
      <c r="I858" s="5">
        <v>7</v>
      </c>
      <c r="J858" s="5" t="s">
        <v>32</v>
      </c>
      <c r="K858" s="5" t="s">
        <v>35</v>
      </c>
      <c r="L858" s="5" t="s">
        <v>40</v>
      </c>
      <c r="M858" s="7" t="s">
        <v>21</v>
      </c>
      <c r="N858" s="26">
        <f t="shared" si="78"/>
        <v>-1</v>
      </c>
      <c r="O858" s="42">
        <f t="shared" si="79"/>
        <v>45171</v>
      </c>
      <c r="P858" s="5" t="str">
        <f t="shared" si="80"/>
        <v>Saturday</v>
      </c>
      <c r="Q858" s="5">
        <f t="shared" si="81"/>
        <v>13</v>
      </c>
      <c r="R858" s="28">
        <f t="shared" si="82"/>
        <v>0.95270270270270274</v>
      </c>
      <c r="S858" s="29">
        <f t="shared" si="83"/>
        <v>95.270270270270274</v>
      </c>
      <c r="T858" s="5" t="str">
        <f>IF(Delivery_Data[[#This Row],[Delays (min)]]&gt;0,"No","Yes")</f>
        <v>No</v>
      </c>
    </row>
    <row r="859" spans="1:20" ht="15.75" customHeight="1" x14ac:dyDescent="0.3">
      <c r="A859" s="4">
        <v>1858</v>
      </c>
      <c r="B859" s="5" t="s">
        <v>975</v>
      </c>
      <c r="C859" s="6">
        <v>45176.507638888892</v>
      </c>
      <c r="D859" s="5" t="s">
        <v>14</v>
      </c>
      <c r="E859" s="5" t="s">
        <v>23</v>
      </c>
      <c r="F859" s="5" t="s">
        <v>24</v>
      </c>
      <c r="G859" s="5" t="s">
        <v>31</v>
      </c>
      <c r="H859" s="5">
        <v>153</v>
      </c>
      <c r="I859" s="5">
        <v>20</v>
      </c>
      <c r="J859" s="5" t="s">
        <v>26</v>
      </c>
      <c r="K859" s="5" t="s">
        <v>19</v>
      </c>
      <c r="L859" s="5" t="s">
        <v>28</v>
      </c>
      <c r="M859" s="7" t="s">
        <v>21</v>
      </c>
      <c r="N859" s="26">
        <f t="shared" si="78"/>
        <v>1</v>
      </c>
      <c r="O859" s="42">
        <f t="shared" si="79"/>
        <v>45176</v>
      </c>
      <c r="P859" s="5" t="str">
        <f t="shared" si="80"/>
        <v>Thursday</v>
      </c>
      <c r="Q859" s="5">
        <f t="shared" si="81"/>
        <v>12</v>
      </c>
      <c r="R859" s="28">
        <f t="shared" si="82"/>
        <v>0.88439306358381498</v>
      </c>
      <c r="S859" s="29">
        <f t="shared" si="83"/>
        <v>88.439306358381501</v>
      </c>
      <c r="T859" s="5" t="str">
        <f>IF(Delivery_Data[[#This Row],[Delays (min)]]&gt;0,"No","Yes")</f>
        <v>No</v>
      </c>
    </row>
    <row r="860" spans="1:20" ht="15.75" customHeight="1" x14ac:dyDescent="0.3">
      <c r="A860" s="4">
        <v>1859</v>
      </c>
      <c r="B860" s="5" t="s">
        <v>976</v>
      </c>
      <c r="C860" s="6">
        <v>45174.415972222225</v>
      </c>
      <c r="D860" s="5" t="s">
        <v>43</v>
      </c>
      <c r="E860" s="5" t="s">
        <v>87</v>
      </c>
      <c r="F860" s="5" t="s">
        <v>38</v>
      </c>
      <c r="G860" s="5" t="s">
        <v>56</v>
      </c>
      <c r="H860" s="5">
        <v>215</v>
      </c>
      <c r="I860" s="5">
        <v>13</v>
      </c>
      <c r="J860" s="5" t="s">
        <v>18</v>
      </c>
      <c r="K860" s="5" t="s">
        <v>27</v>
      </c>
      <c r="L860" s="5" t="s">
        <v>20</v>
      </c>
      <c r="M860" s="7" t="s">
        <v>41</v>
      </c>
      <c r="N860" s="26">
        <f t="shared" si="78"/>
        <v>0</v>
      </c>
      <c r="O860" s="42">
        <f t="shared" si="79"/>
        <v>45174</v>
      </c>
      <c r="P860" s="5" t="str">
        <f t="shared" si="80"/>
        <v>Tuesday</v>
      </c>
      <c r="Q860" s="5">
        <f t="shared" si="81"/>
        <v>9</v>
      </c>
      <c r="R860" s="28">
        <f t="shared" si="82"/>
        <v>0.94298245614035092</v>
      </c>
      <c r="S860" s="29">
        <f t="shared" si="83"/>
        <v>94.298245614035096</v>
      </c>
      <c r="T860" s="5" t="str">
        <f>IF(Delivery_Data[[#This Row],[Delays (min)]]&gt;0,"No","Yes")</f>
        <v>No</v>
      </c>
    </row>
    <row r="861" spans="1:20" ht="15.75" customHeight="1" x14ac:dyDescent="0.3">
      <c r="A861" s="4">
        <v>1860</v>
      </c>
      <c r="B861" s="5" t="s">
        <v>977</v>
      </c>
      <c r="C861" s="6">
        <v>45174.362500000003</v>
      </c>
      <c r="D861" s="5" t="s">
        <v>14</v>
      </c>
      <c r="E861" s="5" t="s">
        <v>89</v>
      </c>
      <c r="F861" s="5" t="s">
        <v>24</v>
      </c>
      <c r="G861" s="5" t="s">
        <v>39</v>
      </c>
      <c r="H861" s="5">
        <v>222</v>
      </c>
      <c r="I861" s="5">
        <v>22</v>
      </c>
      <c r="J861" s="5" t="s">
        <v>26</v>
      </c>
      <c r="K861" s="5" t="s">
        <v>49</v>
      </c>
      <c r="L861" s="5" t="s">
        <v>28</v>
      </c>
      <c r="M861" s="7" t="s">
        <v>46</v>
      </c>
      <c r="N861" s="26">
        <f t="shared" si="78"/>
        <v>1</v>
      </c>
      <c r="O861" s="42">
        <f t="shared" si="79"/>
        <v>45174</v>
      </c>
      <c r="P861" s="5" t="str">
        <f t="shared" si="80"/>
        <v>Tuesday</v>
      </c>
      <c r="Q861" s="5">
        <f t="shared" si="81"/>
        <v>8</v>
      </c>
      <c r="R861" s="28">
        <f t="shared" si="82"/>
        <v>0.9098360655737705</v>
      </c>
      <c r="S861" s="29">
        <f t="shared" si="83"/>
        <v>90.983606557377044</v>
      </c>
      <c r="T861" s="5" t="str">
        <f>IF(Delivery_Data[[#This Row],[Delays (min)]]&gt;0,"No","Yes")</f>
        <v>No</v>
      </c>
    </row>
    <row r="862" spans="1:20" ht="15.75" customHeight="1" x14ac:dyDescent="0.3">
      <c r="A862" s="4">
        <v>1861</v>
      </c>
      <c r="B862" s="5" t="s">
        <v>978</v>
      </c>
      <c r="C862" s="6">
        <v>45173.692361111112</v>
      </c>
      <c r="D862" s="5" t="s">
        <v>43</v>
      </c>
      <c r="E862" s="5" t="s">
        <v>468</v>
      </c>
      <c r="F862" s="5" t="s">
        <v>38</v>
      </c>
      <c r="G862" s="5" t="s">
        <v>56</v>
      </c>
      <c r="H862" s="5">
        <v>127</v>
      </c>
      <c r="I862" s="5">
        <v>7</v>
      </c>
      <c r="J862" s="5" t="s">
        <v>26</v>
      </c>
      <c r="K862" s="5" t="s">
        <v>35</v>
      </c>
      <c r="L862" s="5" t="s">
        <v>40</v>
      </c>
      <c r="M862" s="7" t="s">
        <v>46</v>
      </c>
      <c r="N862" s="26">
        <f t="shared" si="78"/>
        <v>1</v>
      </c>
      <c r="O862" s="42">
        <f t="shared" si="79"/>
        <v>45173</v>
      </c>
      <c r="P862" s="5" t="str">
        <f t="shared" si="80"/>
        <v>Monday</v>
      </c>
      <c r="Q862" s="5">
        <f t="shared" si="81"/>
        <v>16</v>
      </c>
      <c r="R862" s="28">
        <f t="shared" si="82"/>
        <v>0.94776119402985071</v>
      </c>
      <c r="S862" s="29">
        <f t="shared" si="83"/>
        <v>94.776119402985074</v>
      </c>
      <c r="T862" s="5" t="str">
        <f>IF(Delivery_Data[[#This Row],[Delays (min)]]&gt;0,"No","Yes")</f>
        <v>No</v>
      </c>
    </row>
    <row r="863" spans="1:20" ht="15.75" customHeight="1" x14ac:dyDescent="0.3">
      <c r="A863" s="4">
        <v>1862</v>
      </c>
      <c r="B863" s="5" t="s">
        <v>979</v>
      </c>
      <c r="C863" s="6">
        <v>45172.493055555555</v>
      </c>
      <c r="D863" s="5" t="s">
        <v>14</v>
      </c>
      <c r="E863" s="5" t="s">
        <v>101</v>
      </c>
      <c r="F863" s="5" t="s">
        <v>16</v>
      </c>
      <c r="G863" s="5" t="s">
        <v>17</v>
      </c>
      <c r="H863" s="5">
        <v>128</v>
      </c>
      <c r="I863" s="5">
        <v>22</v>
      </c>
      <c r="J863" s="5" t="s">
        <v>32</v>
      </c>
      <c r="K863" s="5" t="s">
        <v>49</v>
      </c>
      <c r="L863" s="5" t="s">
        <v>20</v>
      </c>
      <c r="M863" s="7" t="s">
        <v>46</v>
      </c>
      <c r="N863" s="26">
        <f t="shared" si="78"/>
        <v>-1</v>
      </c>
      <c r="O863" s="42">
        <f t="shared" si="79"/>
        <v>45172</v>
      </c>
      <c r="P863" s="5" t="str">
        <f t="shared" si="80"/>
        <v>Sunday</v>
      </c>
      <c r="Q863" s="5">
        <f t="shared" si="81"/>
        <v>11</v>
      </c>
      <c r="R863" s="28">
        <f t="shared" si="82"/>
        <v>0.85333333333333339</v>
      </c>
      <c r="S863" s="29">
        <f t="shared" si="83"/>
        <v>85.333333333333343</v>
      </c>
      <c r="T863" s="5" t="str">
        <f>IF(Delivery_Data[[#This Row],[Delays (min)]]&gt;0,"No","Yes")</f>
        <v>No</v>
      </c>
    </row>
    <row r="864" spans="1:20" ht="15.75" customHeight="1" x14ac:dyDescent="0.3">
      <c r="A864" s="4">
        <v>1863</v>
      </c>
      <c r="B864" s="5" t="s">
        <v>142</v>
      </c>
      <c r="C864" s="6">
        <v>45171.619444444441</v>
      </c>
      <c r="D864" s="5" t="s">
        <v>14</v>
      </c>
      <c r="E864" s="5" t="s">
        <v>215</v>
      </c>
      <c r="F864" s="5" t="s">
        <v>38</v>
      </c>
      <c r="G864" s="5" t="s">
        <v>17</v>
      </c>
      <c r="H864" s="5">
        <v>108</v>
      </c>
      <c r="I864" s="5">
        <v>12</v>
      </c>
      <c r="J864" s="5" t="s">
        <v>32</v>
      </c>
      <c r="K864" s="5" t="s">
        <v>49</v>
      </c>
      <c r="L864" s="5" t="s">
        <v>28</v>
      </c>
      <c r="M864" s="7" t="s">
        <v>41</v>
      </c>
      <c r="N864" s="26">
        <f t="shared" si="78"/>
        <v>-1</v>
      </c>
      <c r="O864" s="42">
        <f t="shared" si="79"/>
        <v>45171</v>
      </c>
      <c r="P864" s="5" t="str">
        <f t="shared" si="80"/>
        <v>Saturday</v>
      </c>
      <c r="Q864" s="5">
        <f t="shared" si="81"/>
        <v>14</v>
      </c>
      <c r="R864" s="28">
        <f t="shared" si="82"/>
        <v>0.9</v>
      </c>
      <c r="S864" s="29">
        <f t="shared" si="83"/>
        <v>90</v>
      </c>
      <c r="T864" s="5" t="str">
        <f>IF(Delivery_Data[[#This Row],[Delays (min)]]&gt;0,"No","Yes")</f>
        <v>No</v>
      </c>
    </row>
    <row r="865" spans="1:20" ht="15.75" customHeight="1" x14ac:dyDescent="0.3">
      <c r="A865" s="4">
        <v>1864</v>
      </c>
      <c r="B865" s="5" t="s">
        <v>980</v>
      </c>
      <c r="C865" s="6">
        <v>45175.53402777778</v>
      </c>
      <c r="D865" s="5" t="s">
        <v>14</v>
      </c>
      <c r="E865" s="5" t="s">
        <v>58</v>
      </c>
      <c r="F865" s="5" t="s">
        <v>38</v>
      </c>
      <c r="G865" s="5" t="s">
        <v>17</v>
      </c>
      <c r="H865" s="5">
        <v>96</v>
      </c>
      <c r="I865" s="5">
        <v>28</v>
      </c>
      <c r="J865" s="5" t="s">
        <v>32</v>
      </c>
      <c r="K865" s="5" t="s">
        <v>19</v>
      </c>
      <c r="L865" s="5" t="s">
        <v>28</v>
      </c>
      <c r="M865" s="7" t="s">
        <v>21</v>
      </c>
      <c r="N865" s="26">
        <f t="shared" si="78"/>
        <v>-1</v>
      </c>
      <c r="O865" s="42">
        <f t="shared" si="79"/>
        <v>45175</v>
      </c>
      <c r="P865" s="5" t="str">
        <f t="shared" si="80"/>
        <v>Wednesday</v>
      </c>
      <c r="Q865" s="5">
        <f t="shared" si="81"/>
        <v>12</v>
      </c>
      <c r="R865" s="28">
        <f t="shared" si="82"/>
        <v>0.77419354838709675</v>
      </c>
      <c r="S865" s="29">
        <f t="shared" si="83"/>
        <v>77.41935483870968</v>
      </c>
      <c r="T865" s="5" t="str">
        <f>IF(Delivery_Data[[#This Row],[Delays (min)]]&gt;0,"No","Yes")</f>
        <v>No</v>
      </c>
    </row>
    <row r="866" spans="1:20" ht="15.75" customHeight="1" x14ac:dyDescent="0.3">
      <c r="A866" s="4">
        <v>1865</v>
      </c>
      <c r="B866" s="5" t="s">
        <v>981</v>
      </c>
      <c r="C866" s="6">
        <v>45170.509027777778</v>
      </c>
      <c r="D866" s="5" t="s">
        <v>43</v>
      </c>
      <c r="E866" s="5" t="s">
        <v>441</v>
      </c>
      <c r="F866" s="5" t="s">
        <v>24</v>
      </c>
      <c r="G866" s="5" t="s">
        <v>31</v>
      </c>
      <c r="H866" s="5">
        <v>119</v>
      </c>
      <c r="I866" s="5">
        <v>26</v>
      </c>
      <c r="J866" s="5" t="s">
        <v>18</v>
      </c>
      <c r="K866" s="5" t="s">
        <v>35</v>
      </c>
      <c r="L866" s="5" t="s">
        <v>40</v>
      </c>
      <c r="M866" s="7" t="s">
        <v>21</v>
      </c>
      <c r="N866" s="26">
        <f t="shared" si="78"/>
        <v>0</v>
      </c>
      <c r="O866" s="42">
        <f t="shared" si="79"/>
        <v>45170</v>
      </c>
      <c r="P866" s="5" t="str">
        <f t="shared" si="80"/>
        <v>Friday</v>
      </c>
      <c r="Q866" s="5">
        <f t="shared" si="81"/>
        <v>12</v>
      </c>
      <c r="R866" s="28">
        <f t="shared" si="82"/>
        <v>0.82068965517241377</v>
      </c>
      <c r="S866" s="29">
        <f t="shared" si="83"/>
        <v>82.068965517241381</v>
      </c>
      <c r="T866" s="5" t="str">
        <f>IF(Delivery_Data[[#This Row],[Delays (min)]]&gt;0,"No","Yes")</f>
        <v>No</v>
      </c>
    </row>
    <row r="867" spans="1:20" ht="15.75" customHeight="1" x14ac:dyDescent="0.3">
      <c r="A867" s="4">
        <v>1866</v>
      </c>
      <c r="B867" s="5" t="s">
        <v>982</v>
      </c>
      <c r="C867" s="6">
        <v>45176.65</v>
      </c>
      <c r="D867" s="5" t="s">
        <v>43</v>
      </c>
      <c r="E867" s="5" t="s">
        <v>177</v>
      </c>
      <c r="F867" s="5" t="s">
        <v>38</v>
      </c>
      <c r="G867" s="5" t="s">
        <v>31</v>
      </c>
      <c r="H867" s="5">
        <v>157</v>
      </c>
      <c r="I867" s="5">
        <v>6</v>
      </c>
      <c r="J867" s="5" t="s">
        <v>26</v>
      </c>
      <c r="K867" s="5" t="s">
        <v>49</v>
      </c>
      <c r="L867" s="5" t="s">
        <v>40</v>
      </c>
      <c r="M867" s="7" t="s">
        <v>41</v>
      </c>
      <c r="N867" s="26">
        <f t="shared" si="78"/>
        <v>1</v>
      </c>
      <c r="O867" s="42">
        <f t="shared" si="79"/>
        <v>45176</v>
      </c>
      <c r="P867" s="5" t="str">
        <f t="shared" si="80"/>
        <v>Thursday</v>
      </c>
      <c r="Q867" s="5">
        <f t="shared" si="81"/>
        <v>15</v>
      </c>
      <c r="R867" s="28">
        <f t="shared" si="82"/>
        <v>0.96319018404907975</v>
      </c>
      <c r="S867" s="29">
        <f t="shared" si="83"/>
        <v>96.319018404907979</v>
      </c>
      <c r="T867" s="5" t="str">
        <f>IF(Delivery_Data[[#This Row],[Delays (min)]]&gt;0,"No","Yes")</f>
        <v>No</v>
      </c>
    </row>
    <row r="868" spans="1:20" ht="15.75" customHeight="1" x14ac:dyDescent="0.3">
      <c r="A868" s="4">
        <v>1867</v>
      </c>
      <c r="B868" s="5" t="s">
        <v>983</v>
      </c>
      <c r="C868" s="6">
        <v>45177.487500000003</v>
      </c>
      <c r="D868" s="5" t="s">
        <v>43</v>
      </c>
      <c r="E868" s="5" t="s">
        <v>245</v>
      </c>
      <c r="F868" s="5" t="s">
        <v>38</v>
      </c>
      <c r="G868" s="5" t="s">
        <v>25</v>
      </c>
      <c r="H868" s="5">
        <v>186</v>
      </c>
      <c r="I868" s="5">
        <v>15</v>
      </c>
      <c r="J868" s="5" t="s">
        <v>18</v>
      </c>
      <c r="K868" s="5" t="s">
        <v>35</v>
      </c>
      <c r="L868" s="5" t="s">
        <v>20</v>
      </c>
      <c r="M868" s="7" t="s">
        <v>46</v>
      </c>
      <c r="N868" s="26">
        <f t="shared" si="78"/>
        <v>0</v>
      </c>
      <c r="O868" s="42">
        <f t="shared" si="79"/>
        <v>45177</v>
      </c>
      <c r="P868" s="5" t="str">
        <f t="shared" si="80"/>
        <v>Friday</v>
      </c>
      <c r="Q868" s="5">
        <f t="shared" si="81"/>
        <v>11</v>
      </c>
      <c r="R868" s="28">
        <f t="shared" si="82"/>
        <v>0.92537313432835822</v>
      </c>
      <c r="S868" s="29">
        <f t="shared" si="83"/>
        <v>92.537313432835816</v>
      </c>
      <c r="T868" s="5" t="str">
        <f>IF(Delivery_Data[[#This Row],[Delays (min)]]&gt;0,"No","Yes")</f>
        <v>No</v>
      </c>
    </row>
    <row r="869" spans="1:20" ht="15.75" customHeight="1" x14ac:dyDescent="0.3">
      <c r="A869" s="4">
        <v>1868</v>
      </c>
      <c r="B869" s="5" t="s">
        <v>984</v>
      </c>
      <c r="C869" s="6">
        <v>45170.462500000001</v>
      </c>
      <c r="D869" s="5" t="s">
        <v>43</v>
      </c>
      <c r="E869" s="5" t="s">
        <v>220</v>
      </c>
      <c r="F869" s="5" t="s">
        <v>24</v>
      </c>
      <c r="G869" s="5" t="s">
        <v>39</v>
      </c>
      <c r="H869" s="5">
        <v>115</v>
      </c>
      <c r="I869" s="5">
        <v>7</v>
      </c>
      <c r="J869" s="5" t="s">
        <v>26</v>
      </c>
      <c r="K869" s="5" t="s">
        <v>19</v>
      </c>
      <c r="L869" s="5" t="s">
        <v>40</v>
      </c>
      <c r="M869" s="7" t="s">
        <v>46</v>
      </c>
      <c r="N869" s="26">
        <f t="shared" si="78"/>
        <v>1</v>
      </c>
      <c r="O869" s="42">
        <f t="shared" si="79"/>
        <v>45170</v>
      </c>
      <c r="P869" s="5" t="str">
        <f t="shared" si="80"/>
        <v>Friday</v>
      </c>
      <c r="Q869" s="5">
        <f t="shared" si="81"/>
        <v>11</v>
      </c>
      <c r="R869" s="28">
        <f t="shared" si="82"/>
        <v>0.94262295081967218</v>
      </c>
      <c r="S869" s="29">
        <f t="shared" si="83"/>
        <v>94.262295081967224</v>
      </c>
      <c r="T869" s="5" t="str">
        <f>IF(Delivery_Data[[#This Row],[Delays (min)]]&gt;0,"No","Yes")</f>
        <v>No</v>
      </c>
    </row>
    <row r="870" spans="1:20" ht="15.75" customHeight="1" x14ac:dyDescent="0.3">
      <c r="A870" s="4">
        <v>1869</v>
      </c>
      <c r="B870" s="5" t="s">
        <v>985</v>
      </c>
      <c r="C870" s="6">
        <v>45171.356944444444</v>
      </c>
      <c r="D870" s="5" t="s">
        <v>14</v>
      </c>
      <c r="E870" s="5" t="s">
        <v>189</v>
      </c>
      <c r="F870" s="5" t="s">
        <v>38</v>
      </c>
      <c r="G870" s="5" t="s">
        <v>39</v>
      </c>
      <c r="H870" s="5">
        <v>146</v>
      </c>
      <c r="I870" s="5">
        <v>8</v>
      </c>
      <c r="J870" s="5" t="s">
        <v>26</v>
      </c>
      <c r="K870" s="5" t="s">
        <v>49</v>
      </c>
      <c r="L870" s="5" t="s">
        <v>28</v>
      </c>
      <c r="M870" s="7" t="s">
        <v>41</v>
      </c>
      <c r="N870" s="26">
        <f t="shared" si="78"/>
        <v>1</v>
      </c>
      <c r="O870" s="42">
        <f t="shared" si="79"/>
        <v>45171</v>
      </c>
      <c r="P870" s="5" t="str">
        <f t="shared" si="80"/>
        <v>Saturday</v>
      </c>
      <c r="Q870" s="5">
        <f t="shared" si="81"/>
        <v>8</v>
      </c>
      <c r="R870" s="28">
        <f t="shared" si="82"/>
        <v>0.94805194805194803</v>
      </c>
      <c r="S870" s="29">
        <f t="shared" si="83"/>
        <v>94.805194805194802</v>
      </c>
      <c r="T870" s="5" t="str">
        <f>IF(Delivery_Data[[#This Row],[Delays (min)]]&gt;0,"No","Yes")</f>
        <v>No</v>
      </c>
    </row>
    <row r="871" spans="1:20" ht="15.75" customHeight="1" x14ac:dyDescent="0.3">
      <c r="A871" s="4">
        <v>1870</v>
      </c>
      <c r="B871" s="5" t="s">
        <v>986</v>
      </c>
      <c r="C871" s="6">
        <v>45175.647916666669</v>
      </c>
      <c r="D871" s="5" t="s">
        <v>43</v>
      </c>
      <c r="E871" s="5" t="s">
        <v>99</v>
      </c>
      <c r="F871" s="5" t="s">
        <v>24</v>
      </c>
      <c r="G871" s="5" t="s">
        <v>25</v>
      </c>
      <c r="H871" s="5">
        <v>119</v>
      </c>
      <c r="I871" s="5">
        <v>4</v>
      </c>
      <c r="J871" s="5" t="s">
        <v>18</v>
      </c>
      <c r="K871" s="5" t="s">
        <v>19</v>
      </c>
      <c r="L871" s="5" t="s">
        <v>20</v>
      </c>
      <c r="M871" s="7" t="s">
        <v>41</v>
      </c>
      <c r="N871" s="26">
        <f t="shared" si="78"/>
        <v>0</v>
      </c>
      <c r="O871" s="42">
        <f t="shared" si="79"/>
        <v>45175</v>
      </c>
      <c r="P871" s="5" t="str">
        <f t="shared" si="80"/>
        <v>Wednesday</v>
      </c>
      <c r="Q871" s="5">
        <f t="shared" si="81"/>
        <v>15</v>
      </c>
      <c r="R871" s="28">
        <f t="shared" si="82"/>
        <v>0.96747967479674801</v>
      </c>
      <c r="S871" s="29">
        <f t="shared" si="83"/>
        <v>96.747967479674799</v>
      </c>
      <c r="T871" s="5" t="str">
        <f>IF(Delivery_Data[[#This Row],[Delays (min)]]&gt;0,"No","Yes")</f>
        <v>No</v>
      </c>
    </row>
    <row r="872" spans="1:20" ht="15.75" customHeight="1" x14ac:dyDescent="0.3">
      <c r="A872" s="4">
        <v>1871</v>
      </c>
      <c r="B872" s="5" t="s">
        <v>987</v>
      </c>
      <c r="C872" s="6">
        <v>45171.42291666667</v>
      </c>
      <c r="D872" s="5" t="s">
        <v>43</v>
      </c>
      <c r="E872" s="5" t="s">
        <v>272</v>
      </c>
      <c r="F872" s="5" t="s">
        <v>24</v>
      </c>
      <c r="G872" s="5" t="s">
        <v>39</v>
      </c>
      <c r="H872" s="5">
        <v>202</v>
      </c>
      <c r="I872" s="5">
        <v>16</v>
      </c>
      <c r="J872" s="5" t="s">
        <v>32</v>
      </c>
      <c r="K872" s="5" t="s">
        <v>27</v>
      </c>
      <c r="L872" s="5" t="s">
        <v>40</v>
      </c>
      <c r="M872" s="7" t="s">
        <v>46</v>
      </c>
      <c r="N872" s="26">
        <f t="shared" si="78"/>
        <v>-1</v>
      </c>
      <c r="O872" s="42">
        <f t="shared" si="79"/>
        <v>45171</v>
      </c>
      <c r="P872" s="5" t="str">
        <f t="shared" si="80"/>
        <v>Saturday</v>
      </c>
      <c r="Q872" s="5">
        <f t="shared" si="81"/>
        <v>10</v>
      </c>
      <c r="R872" s="28">
        <f t="shared" si="82"/>
        <v>0.92660550458715596</v>
      </c>
      <c r="S872" s="29">
        <f t="shared" si="83"/>
        <v>92.660550458715591</v>
      </c>
      <c r="T872" s="5" t="str">
        <f>IF(Delivery_Data[[#This Row],[Delays (min)]]&gt;0,"No","Yes")</f>
        <v>No</v>
      </c>
    </row>
    <row r="873" spans="1:20" ht="15.75" customHeight="1" x14ac:dyDescent="0.3">
      <c r="A873" s="4">
        <v>1872</v>
      </c>
      <c r="B873" s="5" t="s">
        <v>988</v>
      </c>
      <c r="C873" s="6">
        <v>45177.390972222223</v>
      </c>
      <c r="D873" s="5" t="s">
        <v>43</v>
      </c>
      <c r="E873" s="5" t="s">
        <v>249</v>
      </c>
      <c r="F873" s="5" t="s">
        <v>16</v>
      </c>
      <c r="G873" s="5" t="s">
        <v>17</v>
      </c>
      <c r="H873" s="5">
        <v>184</v>
      </c>
      <c r="I873" s="5">
        <v>16</v>
      </c>
      <c r="J873" s="5" t="s">
        <v>32</v>
      </c>
      <c r="K873" s="5" t="s">
        <v>27</v>
      </c>
      <c r="L873" s="5" t="s">
        <v>20</v>
      </c>
      <c r="M873" s="7" t="s">
        <v>46</v>
      </c>
      <c r="N873" s="26">
        <f t="shared" si="78"/>
        <v>-1</v>
      </c>
      <c r="O873" s="42">
        <f t="shared" si="79"/>
        <v>45177</v>
      </c>
      <c r="P873" s="5" t="str">
        <f t="shared" si="80"/>
        <v>Friday</v>
      </c>
      <c r="Q873" s="5">
        <f t="shared" si="81"/>
        <v>9</v>
      </c>
      <c r="R873" s="28">
        <f t="shared" si="82"/>
        <v>0.92</v>
      </c>
      <c r="S873" s="29">
        <f t="shared" si="83"/>
        <v>92</v>
      </c>
      <c r="T873" s="5" t="str">
        <f>IF(Delivery_Data[[#This Row],[Delays (min)]]&gt;0,"No","Yes")</f>
        <v>No</v>
      </c>
    </row>
    <row r="874" spans="1:20" ht="15.75" customHeight="1" x14ac:dyDescent="0.3">
      <c r="A874" s="4">
        <v>1873</v>
      </c>
      <c r="B874" s="5" t="s">
        <v>989</v>
      </c>
      <c r="C874" s="6">
        <v>45174.415277777778</v>
      </c>
      <c r="D874" s="5" t="s">
        <v>43</v>
      </c>
      <c r="E874" s="5" t="s">
        <v>128</v>
      </c>
      <c r="F874" s="5" t="s">
        <v>38</v>
      </c>
      <c r="G874" s="5" t="s">
        <v>56</v>
      </c>
      <c r="H874" s="5">
        <v>125</v>
      </c>
      <c r="I874" s="5">
        <v>21</v>
      </c>
      <c r="J874" s="5" t="s">
        <v>18</v>
      </c>
      <c r="K874" s="5" t="s">
        <v>19</v>
      </c>
      <c r="L874" s="5" t="s">
        <v>20</v>
      </c>
      <c r="M874" s="7" t="s">
        <v>21</v>
      </c>
      <c r="N874" s="26">
        <f t="shared" si="78"/>
        <v>0</v>
      </c>
      <c r="O874" s="42">
        <f t="shared" si="79"/>
        <v>45174</v>
      </c>
      <c r="P874" s="5" t="str">
        <f t="shared" si="80"/>
        <v>Tuesday</v>
      </c>
      <c r="Q874" s="5">
        <f t="shared" si="81"/>
        <v>9</v>
      </c>
      <c r="R874" s="28">
        <f t="shared" si="82"/>
        <v>0.85616438356164382</v>
      </c>
      <c r="S874" s="29">
        <f t="shared" si="83"/>
        <v>85.61643835616438</v>
      </c>
      <c r="T874" s="5" t="str">
        <f>IF(Delivery_Data[[#This Row],[Delays (min)]]&gt;0,"No","Yes")</f>
        <v>No</v>
      </c>
    </row>
    <row r="875" spans="1:20" ht="15.75" customHeight="1" x14ac:dyDescent="0.3">
      <c r="A875" s="4">
        <v>1874</v>
      </c>
      <c r="B875" s="5" t="s">
        <v>990</v>
      </c>
      <c r="C875" s="6">
        <v>45173.548611111109</v>
      </c>
      <c r="D875" s="5" t="s">
        <v>43</v>
      </c>
      <c r="E875" s="5" t="s">
        <v>374</v>
      </c>
      <c r="F875" s="5" t="s">
        <v>24</v>
      </c>
      <c r="G875" s="5" t="s">
        <v>56</v>
      </c>
      <c r="H875" s="5">
        <v>227</v>
      </c>
      <c r="I875" s="5">
        <v>28</v>
      </c>
      <c r="J875" s="5" t="s">
        <v>26</v>
      </c>
      <c r="K875" s="5" t="s">
        <v>27</v>
      </c>
      <c r="L875" s="5" t="s">
        <v>40</v>
      </c>
      <c r="M875" s="7" t="s">
        <v>21</v>
      </c>
      <c r="N875" s="26">
        <f t="shared" si="78"/>
        <v>1</v>
      </c>
      <c r="O875" s="42">
        <f t="shared" si="79"/>
        <v>45173</v>
      </c>
      <c r="P875" s="5" t="str">
        <f t="shared" si="80"/>
        <v>Monday</v>
      </c>
      <c r="Q875" s="5">
        <f t="shared" si="81"/>
        <v>13</v>
      </c>
      <c r="R875" s="28">
        <f t="shared" si="82"/>
        <v>0.8901960784313725</v>
      </c>
      <c r="S875" s="29">
        <f t="shared" si="83"/>
        <v>89.019607843137251</v>
      </c>
      <c r="T875" s="5" t="str">
        <f>IF(Delivery_Data[[#This Row],[Delays (min)]]&gt;0,"No","Yes")</f>
        <v>No</v>
      </c>
    </row>
    <row r="876" spans="1:20" ht="15.75" customHeight="1" x14ac:dyDescent="0.3">
      <c r="A876" s="4">
        <v>1875</v>
      </c>
      <c r="B876" s="5" t="s">
        <v>991</v>
      </c>
      <c r="C876" s="6">
        <v>45174.577777777777</v>
      </c>
      <c r="D876" s="5" t="s">
        <v>43</v>
      </c>
      <c r="E876" s="5" t="s">
        <v>109</v>
      </c>
      <c r="F876" s="5" t="s">
        <v>38</v>
      </c>
      <c r="G876" s="5" t="s">
        <v>25</v>
      </c>
      <c r="H876" s="5">
        <v>188</v>
      </c>
      <c r="I876" s="5">
        <v>8</v>
      </c>
      <c r="J876" s="5" t="s">
        <v>26</v>
      </c>
      <c r="K876" s="5" t="s">
        <v>35</v>
      </c>
      <c r="L876" s="5" t="s">
        <v>20</v>
      </c>
      <c r="M876" s="7" t="s">
        <v>46</v>
      </c>
      <c r="N876" s="26">
        <f t="shared" si="78"/>
        <v>1</v>
      </c>
      <c r="O876" s="42">
        <f t="shared" si="79"/>
        <v>45174</v>
      </c>
      <c r="P876" s="5" t="str">
        <f t="shared" si="80"/>
        <v>Tuesday</v>
      </c>
      <c r="Q876" s="5">
        <f t="shared" si="81"/>
        <v>13</v>
      </c>
      <c r="R876" s="28">
        <f t="shared" si="82"/>
        <v>0.95918367346938771</v>
      </c>
      <c r="S876" s="29">
        <f t="shared" si="83"/>
        <v>95.918367346938766</v>
      </c>
      <c r="T876" s="5" t="str">
        <f>IF(Delivery_Data[[#This Row],[Delays (min)]]&gt;0,"No","Yes")</f>
        <v>No</v>
      </c>
    </row>
    <row r="877" spans="1:20" ht="15.75" customHeight="1" x14ac:dyDescent="0.3">
      <c r="A877" s="4">
        <v>1876</v>
      </c>
      <c r="B877" s="5" t="s">
        <v>992</v>
      </c>
      <c r="C877" s="6">
        <v>45177.435416666667</v>
      </c>
      <c r="D877" s="5" t="s">
        <v>43</v>
      </c>
      <c r="E877" s="5" t="s">
        <v>215</v>
      </c>
      <c r="F877" s="5" t="s">
        <v>24</v>
      </c>
      <c r="G877" s="5" t="s">
        <v>31</v>
      </c>
      <c r="H877" s="5">
        <v>192</v>
      </c>
      <c r="I877" s="5">
        <v>15</v>
      </c>
      <c r="J877" s="5" t="s">
        <v>18</v>
      </c>
      <c r="K877" s="5" t="s">
        <v>49</v>
      </c>
      <c r="L877" s="5" t="s">
        <v>40</v>
      </c>
      <c r="M877" s="7" t="s">
        <v>41</v>
      </c>
      <c r="N877" s="26">
        <f t="shared" si="78"/>
        <v>0</v>
      </c>
      <c r="O877" s="42">
        <f t="shared" si="79"/>
        <v>45177</v>
      </c>
      <c r="P877" s="5" t="str">
        <f t="shared" si="80"/>
        <v>Friday</v>
      </c>
      <c r="Q877" s="5">
        <f t="shared" si="81"/>
        <v>10</v>
      </c>
      <c r="R877" s="28">
        <f t="shared" si="82"/>
        <v>0.92753623188405798</v>
      </c>
      <c r="S877" s="29">
        <f t="shared" si="83"/>
        <v>92.753623188405797</v>
      </c>
      <c r="T877" s="5" t="str">
        <f>IF(Delivery_Data[[#This Row],[Delays (min)]]&gt;0,"No","Yes")</f>
        <v>No</v>
      </c>
    </row>
    <row r="878" spans="1:20" ht="15.75" customHeight="1" x14ac:dyDescent="0.3">
      <c r="A878" s="4">
        <v>1877</v>
      </c>
      <c r="B878" s="5" t="s">
        <v>993</v>
      </c>
      <c r="C878" s="6">
        <v>45177.511805555558</v>
      </c>
      <c r="D878" s="5" t="s">
        <v>43</v>
      </c>
      <c r="E878" s="5" t="s">
        <v>211</v>
      </c>
      <c r="F878" s="5" t="s">
        <v>24</v>
      </c>
      <c r="G878" s="5" t="s">
        <v>25</v>
      </c>
      <c r="H878" s="5">
        <v>219</v>
      </c>
      <c r="I878" s="5">
        <v>12</v>
      </c>
      <c r="J878" s="5" t="s">
        <v>18</v>
      </c>
      <c r="K878" s="5" t="s">
        <v>35</v>
      </c>
      <c r="L878" s="5" t="s">
        <v>28</v>
      </c>
      <c r="M878" s="7" t="s">
        <v>41</v>
      </c>
      <c r="N878" s="26">
        <f t="shared" si="78"/>
        <v>0</v>
      </c>
      <c r="O878" s="42">
        <f t="shared" si="79"/>
        <v>45177</v>
      </c>
      <c r="P878" s="5" t="str">
        <f t="shared" si="80"/>
        <v>Friday</v>
      </c>
      <c r="Q878" s="5">
        <f t="shared" si="81"/>
        <v>12</v>
      </c>
      <c r="R878" s="28">
        <f t="shared" si="82"/>
        <v>0.94805194805194803</v>
      </c>
      <c r="S878" s="29">
        <f t="shared" si="83"/>
        <v>94.805194805194802</v>
      </c>
      <c r="T878" s="5" t="str">
        <f>IF(Delivery_Data[[#This Row],[Delays (min)]]&gt;0,"No","Yes")</f>
        <v>No</v>
      </c>
    </row>
    <row r="879" spans="1:20" ht="15.75" customHeight="1" x14ac:dyDescent="0.3">
      <c r="A879" s="4">
        <v>1878</v>
      </c>
      <c r="B879" s="5" t="s">
        <v>994</v>
      </c>
      <c r="C879" s="6">
        <v>45177.338194444441</v>
      </c>
      <c r="D879" s="5" t="s">
        <v>43</v>
      </c>
      <c r="E879" s="5" t="s">
        <v>122</v>
      </c>
      <c r="F879" s="5" t="s">
        <v>24</v>
      </c>
      <c r="G879" s="5" t="s">
        <v>39</v>
      </c>
      <c r="H879" s="5">
        <v>173</v>
      </c>
      <c r="I879" s="5">
        <v>10</v>
      </c>
      <c r="J879" s="5" t="s">
        <v>32</v>
      </c>
      <c r="K879" s="5" t="s">
        <v>35</v>
      </c>
      <c r="L879" s="5" t="s">
        <v>20</v>
      </c>
      <c r="M879" s="7" t="s">
        <v>46</v>
      </c>
      <c r="N879" s="26">
        <f t="shared" si="78"/>
        <v>-1</v>
      </c>
      <c r="O879" s="42">
        <f t="shared" si="79"/>
        <v>45177</v>
      </c>
      <c r="P879" s="5" t="str">
        <f t="shared" si="80"/>
        <v>Friday</v>
      </c>
      <c r="Q879" s="5">
        <f t="shared" si="81"/>
        <v>8</v>
      </c>
      <c r="R879" s="28">
        <f t="shared" si="82"/>
        <v>0.94535519125683065</v>
      </c>
      <c r="S879" s="29">
        <f t="shared" si="83"/>
        <v>94.535519125683066</v>
      </c>
      <c r="T879" s="5" t="str">
        <f>IF(Delivery_Data[[#This Row],[Delays (min)]]&gt;0,"No","Yes")</f>
        <v>No</v>
      </c>
    </row>
    <row r="880" spans="1:20" ht="15.75" customHeight="1" x14ac:dyDescent="0.3">
      <c r="A880" s="4">
        <v>1879</v>
      </c>
      <c r="B880" s="5" t="s">
        <v>995</v>
      </c>
      <c r="C880" s="6">
        <v>45172.486805555556</v>
      </c>
      <c r="D880" s="5" t="s">
        <v>14</v>
      </c>
      <c r="E880" s="5" t="s">
        <v>44</v>
      </c>
      <c r="F880" s="5" t="s">
        <v>16</v>
      </c>
      <c r="G880" s="5" t="s">
        <v>17</v>
      </c>
      <c r="H880" s="5">
        <v>176</v>
      </c>
      <c r="I880" s="5">
        <v>28</v>
      </c>
      <c r="J880" s="5" t="s">
        <v>32</v>
      </c>
      <c r="K880" s="5" t="s">
        <v>45</v>
      </c>
      <c r="L880" s="5" t="s">
        <v>28</v>
      </c>
      <c r="M880" s="7" t="s">
        <v>41</v>
      </c>
      <c r="N880" s="26">
        <f t="shared" si="78"/>
        <v>-1</v>
      </c>
      <c r="O880" s="42">
        <f t="shared" si="79"/>
        <v>45172</v>
      </c>
      <c r="P880" s="5" t="str">
        <f t="shared" si="80"/>
        <v>Sunday</v>
      </c>
      <c r="Q880" s="5">
        <f t="shared" si="81"/>
        <v>11</v>
      </c>
      <c r="R880" s="28">
        <f t="shared" si="82"/>
        <v>0.86274509803921573</v>
      </c>
      <c r="S880" s="29">
        <f t="shared" si="83"/>
        <v>86.274509803921575</v>
      </c>
      <c r="T880" s="5" t="str">
        <f>IF(Delivery_Data[[#This Row],[Delays (min)]]&gt;0,"No","Yes")</f>
        <v>No</v>
      </c>
    </row>
    <row r="881" spans="1:20" ht="15.75" customHeight="1" x14ac:dyDescent="0.3">
      <c r="A881" s="4">
        <v>1880</v>
      </c>
      <c r="B881" s="5" t="s">
        <v>996</v>
      </c>
      <c r="C881" s="6">
        <v>45176.363888888889</v>
      </c>
      <c r="D881" s="5" t="s">
        <v>43</v>
      </c>
      <c r="E881" s="5" t="s">
        <v>70</v>
      </c>
      <c r="F881" s="5" t="s">
        <v>16</v>
      </c>
      <c r="G881" s="5" t="s">
        <v>31</v>
      </c>
      <c r="H881" s="5">
        <v>167</v>
      </c>
      <c r="I881" s="5">
        <v>4</v>
      </c>
      <c r="J881" s="5" t="s">
        <v>26</v>
      </c>
      <c r="K881" s="5" t="s">
        <v>19</v>
      </c>
      <c r="L881" s="5" t="s">
        <v>40</v>
      </c>
      <c r="M881" s="7" t="s">
        <v>41</v>
      </c>
      <c r="N881" s="26">
        <f t="shared" si="78"/>
        <v>1</v>
      </c>
      <c r="O881" s="42">
        <f t="shared" si="79"/>
        <v>45176</v>
      </c>
      <c r="P881" s="5" t="str">
        <f t="shared" si="80"/>
        <v>Thursday</v>
      </c>
      <c r="Q881" s="5">
        <f t="shared" si="81"/>
        <v>8</v>
      </c>
      <c r="R881" s="28">
        <f t="shared" si="82"/>
        <v>0.97660818713450293</v>
      </c>
      <c r="S881" s="29">
        <f t="shared" si="83"/>
        <v>97.660818713450297</v>
      </c>
      <c r="T881" s="5" t="str">
        <f>IF(Delivery_Data[[#This Row],[Delays (min)]]&gt;0,"No","Yes")</f>
        <v>No</v>
      </c>
    </row>
    <row r="882" spans="1:20" ht="15.75" customHeight="1" x14ac:dyDescent="0.3">
      <c r="A882" s="4">
        <v>1881</v>
      </c>
      <c r="B882" s="5" t="s">
        <v>997</v>
      </c>
      <c r="C882" s="6">
        <v>45172.580555555556</v>
      </c>
      <c r="D882" s="5" t="s">
        <v>14</v>
      </c>
      <c r="E882" s="5" t="s">
        <v>128</v>
      </c>
      <c r="F882" s="5" t="s">
        <v>24</v>
      </c>
      <c r="G882" s="5" t="s">
        <v>25</v>
      </c>
      <c r="H882" s="5">
        <v>228</v>
      </c>
      <c r="I882" s="5">
        <v>13</v>
      </c>
      <c r="J882" s="5" t="s">
        <v>26</v>
      </c>
      <c r="K882" s="5" t="s">
        <v>19</v>
      </c>
      <c r="L882" s="5" t="s">
        <v>28</v>
      </c>
      <c r="M882" s="7" t="s">
        <v>46</v>
      </c>
      <c r="N882" s="26">
        <f t="shared" si="78"/>
        <v>1</v>
      </c>
      <c r="O882" s="42">
        <f t="shared" si="79"/>
        <v>45172</v>
      </c>
      <c r="P882" s="5" t="str">
        <f t="shared" si="80"/>
        <v>Sunday</v>
      </c>
      <c r="Q882" s="5">
        <f t="shared" si="81"/>
        <v>13</v>
      </c>
      <c r="R882" s="28">
        <f t="shared" si="82"/>
        <v>0.94605809128630702</v>
      </c>
      <c r="S882" s="29">
        <f t="shared" si="83"/>
        <v>94.605809128630696</v>
      </c>
      <c r="T882" s="5" t="str">
        <f>IF(Delivery_Data[[#This Row],[Delays (min)]]&gt;0,"No","Yes")</f>
        <v>No</v>
      </c>
    </row>
    <row r="883" spans="1:20" ht="15.75" customHeight="1" x14ac:dyDescent="0.3">
      <c r="A883" s="4">
        <v>1882</v>
      </c>
      <c r="B883" s="5" t="s">
        <v>998</v>
      </c>
      <c r="C883" s="6">
        <v>45177.497916666667</v>
      </c>
      <c r="D883" s="5" t="s">
        <v>43</v>
      </c>
      <c r="E883" s="5" t="s">
        <v>55</v>
      </c>
      <c r="F883" s="5" t="s">
        <v>16</v>
      </c>
      <c r="G883" s="5" t="s">
        <v>17</v>
      </c>
      <c r="H883" s="5">
        <v>228</v>
      </c>
      <c r="I883" s="5">
        <v>13</v>
      </c>
      <c r="J883" s="5" t="s">
        <v>18</v>
      </c>
      <c r="K883" s="5" t="s">
        <v>19</v>
      </c>
      <c r="L883" s="5" t="s">
        <v>28</v>
      </c>
      <c r="M883" s="7" t="s">
        <v>41</v>
      </c>
      <c r="N883" s="26">
        <f t="shared" si="78"/>
        <v>0</v>
      </c>
      <c r="O883" s="42">
        <f t="shared" si="79"/>
        <v>45177</v>
      </c>
      <c r="P883" s="5" t="str">
        <f t="shared" si="80"/>
        <v>Friday</v>
      </c>
      <c r="Q883" s="5">
        <f t="shared" si="81"/>
        <v>11</v>
      </c>
      <c r="R883" s="28">
        <f t="shared" si="82"/>
        <v>0.94605809128630702</v>
      </c>
      <c r="S883" s="29">
        <f t="shared" si="83"/>
        <v>94.605809128630696</v>
      </c>
      <c r="T883" s="5" t="str">
        <f>IF(Delivery_Data[[#This Row],[Delays (min)]]&gt;0,"No","Yes")</f>
        <v>No</v>
      </c>
    </row>
    <row r="884" spans="1:20" ht="15.75" customHeight="1" x14ac:dyDescent="0.3">
      <c r="A884" s="4">
        <v>1883</v>
      </c>
      <c r="B884" s="5" t="s">
        <v>999</v>
      </c>
      <c r="C884" s="6">
        <v>45172.644444444442</v>
      </c>
      <c r="D884" s="5" t="s">
        <v>43</v>
      </c>
      <c r="E884" s="5" t="s">
        <v>103</v>
      </c>
      <c r="F884" s="5" t="s">
        <v>16</v>
      </c>
      <c r="G884" s="5" t="s">
        <v>31</v>
      </c>
      <c r="H884" s="5">
        <v>74</v>
      </c>
      <c r="I884" s="5">
        <v>24</v>
      </c>
      <c r="J884" s="5" t="s">
        <v>32</v>
      </c>
      <c r="K884" s="5" t="s">
        <v>45</v>
      </c>
      <c r="L884" s="5" t="s">
        <v>40</v>
      </c>
      <c r="M884" s="7" t="s">
        <v>46</v>
      </c>
      <c r="N884" s="26">
        <f t="shared" si="78"/>
        <v>-1</v>
      </c>
      <c r="O884" s="42">
        <f t="shared" si="79"/>
        <v>45172</v>
      </c>
      <c r="P884" s="5" t="str">
        <f t="shared" si="80"/>
        <v>Sunday</v>
      </c>
      <c r="Q884" s="5">
        <f t="shared" si="81"/>
        <v>15</v>
      </c>
      <c r="R884" s="28">
        <f t="shared" si="82"/>
        <v>0.75510204081632648</v>
      </c>
      <c r="S884" s="29">
        <f t="shared" si="83"/>
        <v>75.510204081632651</v>
      </c>
      <c r="T884" s="5" t="str">
        <f>IF(Delivery_Data[[#This Row],[Delays (min)]]&gt;0,"No","Yes")</f>
        <v>No</v>
      </c>
    </row>
    <row r="885" spans="1:20" ht="15.75" customHeight="1" x14ac:dyDescent="0.3">
      <c r="A885" s="4">
        <v>1884</v>
      </c>
      <c r="B885" s="5" t="s">
        <v>1000</v>
      </c>
      <c r="C885" s="6">
        <v>45175.600694444445</v>
      </c>
      <c r="D885" s="5" t="s">
        <v>14</v>
      </c>
      <c r="E885" s="5" t="s">
        <v>311</v>
      </c>
      <c r="F885" s="5" t="s">
        <v>16</v>
      </c>
      <c r="G885" s="5" t="s">
        <v>31</v>
      </c>
      <c r="H885" s="5">
        <v>209</v>
      </c>
      <c r="I885" s="5">
        <v>8</v>
      </c>
      <c r="J885" s="5" t="s">
        <v>18</v>
      </c>
      <c r="K885" s="5" t="s">
        <v>49</v>
      </c>
      <c r="L885" s="5" t="s">
        <v>28</v>
      </c>
      <c r="M885" s="7" t="s">
        <v>46</v>
      </c>
      <c r="N885" s="26">
        <f t="shared" si="78"/>
        <v>0</v>
      </c>
      <c r="O885" s="42">
        <f t="shared" si="79"/>
        <v>45175</v>
      </c>
      <c r="P885" s="5" t="str">
        <f t="shared" si="80"/>
        <v>Wednesday</v>
      </c>
      <c r="Q885" s="5">
        <f t="shared" si="81"/>
        <v>14</v>
      </c>
      <c r="R885" s="28">
        <f t="shared" si="82"/>
        <v>0.96313364055299544</v>
      </c>
      <c r="S885" s="29">
        <f t="shared" si="83"/>
        <v>96.313364055299544</v>
      </c>
      <c r="T885" s="5" t="str">
        <f>IF(Delivery_Data[[#This Row],[Delays (min)]]&gt;0,"No","Yes")</f>
        <v>No</v>
      </c>
    </row>
    <row r="886" spans="1:20" ht="15.75" customHeight="1" x14ac:dyDescent="0.3">
      <c r="A886" s="4">
        <v>1885</v>
      </c>
      <c r="B886" s="5" t="s">
        <v>1001</v>
      </c>
      <c r="C886" s="6">
        <v>45173.591666666667</v>
      </c>
      <c r="D886" s="5" t="s">
        <v>43</v>
      </c>
      <c r="E886" s="5" t="s">
        <v>30</v>
      </c>
      <c r="F886" s="5" t="s">
        <v>38</v>
      </c>
      <c r="G886" s="5" t="s">
        <v>25</v>
      </c>
      <c r="H886" s="5">
        <v>232</v>
      </c>
      <c r="I886" s="5">
        <v>29</v>
      </c>
      <c r="J886" s="5" t="s">
        <v>18</v>
      </c>
      <c r="K886" s="5" t="s">
        <v>19</v>
      </c>
      <c r="L886" s="5" t="s">
        <v>20</v>
      </c>
      <c r="M886" s="7" t="s">
        <v>21</v>
      </c>
      <c r="N886" s="26">
        <f t="shared" si="78"/>
        <v>0</v>
      </c>
      <c r="O886" s="42">
        <f t="shared" si="79"/>
        <v>45173</v>
      </c>
      <c r="P886" s="5" t="str">
        <f t="shared" si="80"/>
        <v>Monday</v>
      </c>
      <c r="Q886" s="5">
        <f t="shared" si="81"/>
        <v>14</v>
      </c>
      <c r="R886" s="28">
        <f t="shared" si="82"/>
        <v>0.88888888888888884</v>
      </c>
      <c r="S886" s="29">
        <f t="shared" si="83"/>
        <v>88.888888888888886</v>
      </c>
      <c r="T886" s="5" t="str">
        <f>IF(Delivery_Data[[#This Row],[Delays (min)]]&gt;0,"No","Yes")</f>
        <v>No</v>
      </c>
    </row>
    <row r="887" spans="1:20" ht="15.75" customHeight="1" x14ac:dyDescent="0.3">
      <c r="A887" s="4">
        <v>1886</v>
      </c>
      <c r="B887" s="5" t="s">
        <v>1002</v>
      </c>
      <c r="C887" s="6">
        <v>45171.625</v>
      </c>
      <c r="D887" s="5" t="s">
        <v>43</v>
      </c>
      <c r="E887" s="5" t="s">
        <v>166</v>
      </c>
      <c r="F887" s="5" t="s">
        <v>16</v>
      </c>
      <c r="G887" s="5" t="s">
        <v>31</v>
      </c>
      <c r="H887" s="5">
        <v>71</v>
      </c>
      <c r="I887" s="5">
        <v>25</v>
      </c>
      <c r="J887" s="5" t="s">
        <v>26</v>
      </c>
      <c r="K887" s="5" t="s">
        <v>49</v>
      </c>
      <c r="L887" s="5" t="s">
        <v>20</v>
      </c>
      <c r="M887" s="7" t="s">
        <v>21</v>
      </c>
      <c r="N887" s="26">
        <f t="shared" si="78"/>
        <v>1</v>
      </c>
      <c r="O887" s="42">
        <f t="shared" si="79"/>
        <v>45171</v>
      </c>
      <c r="P887" s="5" t="str">
        <f t="shared" si="80"/>
        <v>Saturday</v>
      </c>
      <c r="Q887" s="5">
        <f t="shared" si="81"/>
        <v>15</v>
      </c>
      <c r="R887" s="28">
        <f t="shared" si="82"/>
        <v>0.73958333333333337</v>
      </c>
      <c r="S887" s="29">
        <f t="shared" si="83"/>
        <v>73.958333333333343</v>
      </c>
      <c r="T887" s="5" t="str">
        <f>IF(Delivery_Data[[#This Row],[Delays (min)]]&gt;0,"No","Yes")</f>
        <v>No</v>
      </c>
    </row>
    <row r="888" spans="1:20" ht="15.75" customHeight="1" x14ac:dyDescent="0.3">
      <c r="A888" s="4">
        <v>1887</v>
      </c>
      <c r="B888" s="5" t="s">
        <v>1003</v>
      </c>
      <c r="C888" s="6">
        <v>45170.540277777778</v>
      </c>
      <c r="D888" s="5" t="s">
        <v>14</v>
      </c>
      <c r="E888" s="5" t="s">
        <v>158</v>
      </c>
      <c r="F888" s="5" t="s">
        <v>24</v>
      </c>
      <c r="G888" s="5" t="s">
        <v>31</v>
      </c>
      <c r="H888" s="5">
        <v>123</v>
      </c>
      <c r="I888" s="5">
        <v>19</v>
      </c>
      <c r="J888" s="5" t="s">
        <v>26</v>
      </c>
      <c r="K888" s="5" t="s">
        <v>19</v>
      </c>
      <c r="L888" s="5" t="s">
        <v>28</v>
      </c>
      <c r="M888" s="7" t="s">
        <v>46</v>
      </c>
      <c r="N888" s="26">
        <f t="shared" si="78"/>
        <v>1</v>
      </c>
      <c r="O888" s="42">
        <f t="shared" si="79"/>
        <v>45170</v>
      </c>
      <c r="P888" s="5" t="str">
        <f t="shared" si="80"/>
        <v>Friday</v>
      </c>
      <c r="Q888" s="5">
        <f t="shared" si="81"/>
        <v>12</v>
      </c>
      <c r="R888" s="28">
        <f t="shared" si="82"/>
        <v>0.86619718309859151</v>
      </c>
      <c r="S888" s="29">
        <f t="shared" si="83"/>
        <v>86.619718309859152</v>
      </c>
      <c r="T888" s="5" t="str">
        <f>IF(Delivery_Data[[#This Row],[Delays (min)]]&gt;0,"No","Yes")</f>
        <v>No</v>
      </c>
    </row>
    <row r="889" spans="1:20" ht="15.75" customHeight="1" x14ac:dyDescent="0.3">
      <c r="A889" s="4">
        <v>1888</v>
      </c>
      <c r="B889" s="5" t="s">
        <v>1004</v>
      </c>
      <c r="C889" s="6">
        <v>45175.374305555553</v>
      </c>
      <c r="D889" s="5" t="s">
        <v>14</v>
      </c>
      <c r="E889" s="5" t="s">
        <v>285</v>
      </c>
      <c r="F889" s="5" t="s">
        <v>16</v>
      </c>
      <c r="G889" s="5" t="s">
        <v>56</v>
      </c>
      <c r="H889" s="5">
        <v>222</v>
      </c>
      <c r="I889" s="5">
        <v>27</v>
      </c>
      <c r="J889" s="5" t="s">
        <v>18</v>
      </c>
      <c r="K889" s="5" t="s">
        <v>49</v>
      </c>
      <c r="L889" s="5" t="s">
        <v>28</v>
      </c>
      <c r="M889" s="7" t="s">
        <v>41</v>
      </c>
      <c r="N889" s="26">
        <f t="shared" si="78"/>
        <v>0</v>
      </c>
      <c r="O889" s="42">
        <f t="shared" si="79"/>
        <v>45175</v>
      </c>
      <c r="P889" s="5" t="str">
        <f t="shared" si="80"/>
        <v>Wednesday</v>
      </c>
      <c r="Q889" s="5">
        <f t="shared" si="81"/>
        <v>8</v>
      </c>
      <c r="R889" s="28">
        <f t="shared" si="82"/>
        <v>0.89156626506024095</v>
      </c>
      <c r="S889" s="29">
        <f t="shared" si="83"/>
        <v>89.156626506024097</v>
      </c>
      <c r="T889" s="5" t="str">
        <f>IF(Delivery_Data[[#This Row],[Delays (min)]]&gt;0,"No","Yes")</f>
        <v>No</v>
      </c>
    </row>
    <row r="890" spans="1:20" ht="15.75" customHeight="1" x14ac:dyDescent="0.3">
      <c r="A890" s="4">
        <v>1889</v>
      </c>
      <c r="B890" s="5" t="s">
        <v>1005</v>
      </c>
      <c r="C890" s="6">
        <v>45177.452777777777</v>
      </c>
      <c r="D890" s="5" t="s">
        <v>43</v>
      </c>
      <c r="E890" s="5" t="s">
        <v>220</v>
      </c>
      <c r="F890" s="5" t="s">
        <v>16</v>
      </c>
      <c r="G890" s="5" t="s">
        <v>56</v>
      </c>
      <c r="H890" s="5">
        <v>91</v>
      </c>
      <c r="I890" s="5">
        <v>28</v>
      </c>
      <c r="J890" s="5" t="s">
        <v>32</v>
      </c>
      <c r="K890" s="5" t="s">
        <v>35</v>
      </c>
      <c r="L890" s="5" t="s">
        <v>20</v>
      </c>
      <c r="M890" s="7" t="s">
        <v>21</v>
      </c>
      <c r="N890" s="26">
        <f t="shared" si="78"/>
        <v>-1</v>
      </c>
      <c r="O890" s="42">
        <f t="shared" si="79"/>
        <v>45177</v>
      </c>
      <c r="P890" s="5" t="str">
        <f t="shared" si="80"/>
        <v>Friday</v>
      </c>
      <c r="Q890" s="5">
        <f t="shared" si="81"/>
        <v>10</v>
      </c>
      <c r="R890" s="28">
        <f t="shared" si="82"/>
        <v>0.76470588235294112</v>
      </c>
      <c r="S890" s="29">
        <f t="shared" si="83"/>
        <v>76.470588235294116</v>
      </c>
      <c r="T890" s="5" t="str">
        <f>IF(Delivery_Data[[#This Row],[Delays (min)]]&gt;0,"No","Yes")</f>
        <v>No</v>
      </c>
    </row>
    <row r="891" spans="1:20" ht="15.75" customHeight="1" x14ac:dyDescent="0.3">
      <c r="A891" s="4">
        <v>1890</v>
      </c>
      <c r="B891" s="5" t="s">
        <v>1006</v>
      </c>
      <c r="C891" s="6">
        <v>45170.669444444444</v>
      </c>
      <c r="D891" s="5" t="s">
        <v>14</v>
      </c>
      <c r="E891" s="5" t="s">
        <v>149</v>
      </c>
      <c r="F891" s="5" t="s">
        <v>38</v>
      </c>
      <c r="G891" s="5" t="s">
        <v>25</v>
      </c>
      <c r="H891" s="5">
        <v>180</v>
      </c>
      <c r="I891" s="5">
        <v>7</v>
      </c>
      <c r="J891" s="5" t="s">
        <v>26</v>
      </c>
      <c r="K891" s="5" t="s">
        <v>35</v>
      </c>
      <c r="L891" s="5" t="s">
        <v>20</v>
      </c>
      <c r="M891" s="7" t="s">
        <v>46</v>
      </c>
      <c r="N891" s="26">
        <f t="shared" si="78"/>
        <v>1</v>
      </c>
      <c r="O891" s="42">
        <f t="shared" si="79"/>
        <v>45170</v>
      </c>
      <c r="P891" s="5" t="str">
        <f t="shared" si="80"/>
        <v>Friday</v>
      </c>
      <c r="Q891" s="5">
        <f t="shared" si="81"/>
        <v>16</v>
      </c>
      <c r="R891" s="28">
        <f t="shared" si="82"/>
        <v>0.96256684491978606</v>
      </c>
      <c r="S891" s="29">
        <f t="shared" si="83"/>
        <v>96.256684491978604</v>
      </c>
      <c r="T891" s="5" t="str">
        <f>IF(Delivery_Data[[#This Row],[Delays (min)]]&gt;0,"No","Yes")</f>
        <v>No</v>
      </c>
    </row>
    <row r="892" spans="1:20" ht="15.75" customHeight="1" x14ac:dyDescent="0.3">
      <c r="A892" s="4">
        <v>1891</v>
      </c>
      <c r="B892" s="5" t="s">
        <v>759</v>
      </c>
      <c r="C892" s="6">
        <v>45170.555555555555</v>
      </c>
      <c r="D892" s="5" t="s">
        <v>14</v>
      </c>
      <c r="E892" s="5" t="s">
        <v>304</v>
      </c>
      <c r="F892" s="5" t="s">
        <v>16</v>
      </c>
      <c r="G892" s="5" t="s">
        <v>25</v>
      </c>
      <c r="H892" s="5">
        <v>232</v>
      </c>
      <c r="I892" s="5">
        <v>23</v>
      </c>
      <c r="J892" s="5" t="s">
        <v>32</v>
      </c>
      <c r="K892" s="5" t="s">
        <v>45</v>
      </c>
      <c r="L892" s="5" t="s">
        <v>20</v>
      </c>
      <c r="M892" s="7" t="s">
        <v>41</v>
      </c>
      <c r="N892" s="26">
        <f t="shared" si="78"/>
        <v>-1</v>
      </c>
      <c r="O892" s="42">
        <f t="shared" si="79"/>
        <v>45170</v>
      </c>
      <c r="P892" s="5" t="str">
        <f t="shared" si="80"/>
        <v>Friday</v>
      </c>
      <c r="Q892" s="5">
        <f t="shared" si="81"/>
        <v>13</v>
      </c>
      <c r="R892" s="28">
        <f t="shared" si="82"/>
        <v>0.90980392156862744</v>
      </c>
      <c r="S892" s="29">
        <f t="shared" si="83"/>
        <v>90.980392156862749</v>
      </c>
      <c r="T892" s="5" t="str">
        <f>IF(Delivery_Data[[#This Row],[Delays (min)]]&gt;0,"No","Yes")</f>
        <v>No</v>
      </c>
    </row>
    <row r="893" spans="1:20" ht="15.75" customHeight="1" x14ac:dyDescent="0.3">
      <c r="A893" s="4">
        <v>1892</v>
      </c>
      <c r="B893" s="5" t="s">
        <v>1007</v>
      </c>
      <c r="C893" s="6">
        <v>45172.334027777775</v>
      </c>
      <c r="D893" s="5" t="s">
        <v>14</v>
      </c>
      <c r="E893" s="5" t="s">
        <v>15</v>
      </c>
      <c r="F893" s="5" t="s">
        <v>38</v>
      </c>
      <c r="G893" s="5" t="s">
        <v>31</v>
      </c>
      <c r="H893" s="5">
        <v>64</v>
      </c>
      <c r="I893" s="5">
        <v>18</v>
      </c>
      <c r="J893" s="5" t="s">
        <v>32</v>
      </c>
      <c r="K893" s="5" t="s">
        <v>45</v>
      </c>
      <c r="L893" s="5" t="s">
        <v>20</v>
      </c>
      <c r="M893" s="7" t="s">
        <v>21</v>
      </c>
      <c r="N893" s="26">
        <f t="shared" si="78"/>
        <v>-1</v>
      </c>
      <c r="O893" s="42">
        <f t="shared" si="79"/>
        <v>45172</v>
      </c>
      <c r="P893" s="5" t="str">
        <f t="shared" si="80"/>
        <v>Sunday</v>
      </c>
      <c r="Q893" s="5">
        <f t="shared" si="81"/>
        <v>8</v>
      </c>
      <c r="R893" s="28">
        <f t="shared" si="82"/>
        <v>0.78048780487804881</v>
      </c>
      <c r="S893" s="29">
        <f t="shared" si="83"/>
        <v>78.048780487804876</v>
      </c>
      <c r="T893" s="5" t="str">
        <f>IF(Delivery_Data[[#This Row],[Delays (min)]]&gt;0,"No","Yes")</f>
        <v>No</v>
      </c>
    </row>
    <row r="894" spans="1:20" ht="15.75" customHeight="1" x14ac:dyDescent="0.3">
      <c r="A894" s="4">
        <v>1893</v>
      </c>
      <c r="B894" s="5" t="s">
        <v>1008</v>
      </c>
      <c r="C894" s="6">
        <v>45172.662499999999</v>
      </c>
      <c r="D894" s="5" t="s">
        <v>14</v>
      </c>
      <c r="E894" s="5" t="s">
        <v>120</v>
      </c>
      <c r="F894" s="5" t="s">
        <v>24</v>
      </c>
      <c r="G894" s="5" t="s">
        <v>56</v>
      </c>
      <c r="H894" s="5">
        <v>164</v>
      </c>
      <c r="I894" s="5">
        <v>10</v>
      </c>
      <c r="J894" s="5" t="s">
        <v>18</v>
      </c>
      <c r="K894" s="5" t="s">
        <v>45</v>
      </c>
      <c r="L894" s="5" t="s">
        <v>28</v>
      </c>
      <c r="M894" s="7" t="s">
        <v>41</v>
      </c>
      <c r="N894" s="26">
        <f t="shared" si="78"/>
        <v>0</v>
      </c>
      <c r="O894" s="42">
        <f t="shared" si="79"/>
        <v>45172</v>
      </c>
      <c r="P894" s="5" t="str">
        <f t="shared" si="80"/>
        <v>Sunday</v>
      </c>
      <c r="Q894" s="5">
        <f t="shared" si="81"/>
        <v>15</v>
      </c>
      <c r="R894" s="28">
        <f t="shared" si="82"/>
        <v>0.94252873563218387</v>
      </c>
      <c r="S894" s="29">
        <f t="shared" si="83"/>
        <v>94.252873563218387</v>
      </c>
      <c r="T894" s="5" t="str">
        <f>IF(Delivery_Data[[#This Row],[Delays (min)]]&gt;0,"No","Yes")</f>
        <v>No</v>
      </c>
    </row>
    <row r="895" spans="1:20" ht="15.75" customHeight="1" x14ac:dyDescent="0.3">
      <c r="A895" s="4">
        <v>1894</v>
      </c>
      <c r="B895" s="5" t="s">
        <v>1009</v>
      </c>
      <c r="C895" s="6">
        <v>45174.419444444444</v>
      </c>
      <c r="D895" s="5" t="s">
        <v>43</v>
      </c>
      <c r="E895" s="5" t="s">
        <v>301</v>
      </c>
      <c r="F895" s="5" t="s">
        <v>38</v>
      </c>
      <c r="G895" s="5" t="s">
        <v>17</v>
      </c>
      <c r="H895" s="5">
        <v>107</v>
      </c>
      <c r="I895" s="5">
        <v>7</v>
      </c>
      <c r="J895" s="5" t="s">
        <v>18</v>
      </c>
      <c r="K895" s="5" t="s">
        <v>27</v>
      </c>
      <c r="L895" s="5" t="s">
        <v>40</v>
      </c>
      <c r="M895" s="7" t="s">
        <v>46</v>
      </c>
      <c r="N895" s="26">
        <f t="shared" si="78"/>
        <v>0</v>
      </c>
      <c r="O895" s="42">
        <f t="shared" si="79"/>
        <v>45174</v>
      </c>
      <c r="P895" s="5" t="str">
        <f t="shared" si="80"/>
        <v>Tuesday</v>
      </c>
      <c r="Q895" s="5">
        <f t="shared" si="81"/>
        <v>10</v>
      </c>
      <c r="R895" s="28">
        <f t="shared" si="82"/>
        <v>0.93859649122807021</v>
      </c>
      <c r="S895" s="29">
        <f t="shared" si="83"/>
        <v>93.859649122807014</v>
      </c>
      <c r="T895" s="5" t="str">
        <f>IF(Delivery_Data[[#This Row],[Delays (min)]]&gt;0,"No","Yes")</f>
        <v>No</v>
      </c>
    </row>
    <row r="896" spans="1:20" ht="15.75" customHeight="1" x14ac:dyDescent="0.3">
      <c r="A896" s="4">
        <v>1895</v>
      </c>
      <c r="B896" s="5" t="s">
        <v>1010</v>
      </c>
      <c r="C896" s="6">
        <v>45177.430555555555</v>
      </c>
      <c r="D896" s="5" t="s">
        <v>43</v>
      </c>
      <c r="E896" s="5" t="s">
        <v>306</v>
      </c>
      <c r="F896" s="5" t="s">
        <v>16</v>
      </c>
      <c r="G896" s="5" t="s">
        <v>25</v>
      </c>
      <c r="H896" s="5">
        <v>181</v>
      </c>
      <c r="I896" s="5">
        <v>11</v>
      </c>
      <c r="J896" s="5" t="s">
        <v>18</v>
      </c>
      <c r="K896" s="5" t="s">
        <v>19</v>
      </c>
      <c r="L896" s="5" t="s">
        <v>20</v>
      </c>
      <c r="M896" s="7" t="s">
        <v>21</v>
      </c>
      <c r="N896" s="26">
        <f t="shared" si="78"/>
        <v>0</v>
      </c>
      <c r="O896" s="42">
        <f t="shared" si="79"/>
        <v>45177</v>
      </c>
      <c r="P896" s="5" t="str">
        <f t="shared" si="80"/>
        <v>Friday</v>
      </c>
      <c r="Q896" s="5">
        <f t="shared" si="81"/>
        <v>10</v>
      </c>
      <c r="R896" s="28">
        <f t="shared" si="82"/>
        <v>0.94270833333333337</v>
      </c>
      <c r="S896" s="29">
        <f t="shared" si="83"/>
        <v>94.270833333333343</v>
      </c>
      <c r="T896" s="5" t="str">
        <f>IF(Delivery_Data[[#This Row],[Delays (min)]]&gt;0,"No","Yes")</f>
        <v>No</v>
      </c>
    </row>
    <row r="897" spans="1:20" ht="15.75" customHeight="1" x14ac:dyDescent="0.3">
      <c r="A897" s="4">
        <v>1896</v>
      </c>
      <c r="B897" s="5" t="s">
        <v>1011</v>
      </c>
      <c r="C897" s="6">
        <v>45176.463194444441</v>
      </c>
      <c r="D897" s="5" t="s">
        <v>43</v>
      </c>
      <c r="E897" s="5" t="s">
        <v>281</v>
      </c>
      <c r="F897" s="5" t="s">
        <v>38</v>
      </c>
      <c r="G897" s="5" t="s">
        <v>31</v>
      </c>
      <c r="H897" s="5">
        <v>72</v>
      </c>
      <c r="I897" s="5">
        <v>22</v>
      </c>
      <c r="J897" s="5" t="s">
        <v>26</v>
      </c>
      <c r="K897" s="5" t="s">
        <v>19</v>
      </c>
      <c r="L897" s="5" t="s">
        <v>20</v>
      </c>
      <c r="M897" s="7" t="s">
        <v>46</v>
      </c>
      <c r="N897" s="26">
        <f t="shared" si="78"/>
        <v>1</v>
      </c>
      <c r="O897" s="42">
        <f t="shared" si="79"/>
        <v>45176</v>
      </c>
      <c r="P897" s="5" t="str">
        <f t="shared" si="80"/>
        <v>Thursday</v>
      </c>
      <c r="Q897" s="5">
        <f t="shared" si="81"/>
        <v>11</v>
      </c>
      <c r="R897" s="28">
        <f t="shared" si="82"/>
        <v>0.76595744680851063</v>
      </c>
      <c r="S897" s="29">
        <f t="shared" si="83"/>
        <v>76.59574468085107</v>
      </c>
      <c r="T897" s="5" t="str">
        <f>IF(Delivery_Data[[#This Row],[Delays (min)]]&gt;0,"No","Yes")</f>
        <v>No</v>
      </c>
    </row>
    <row r="898" spans="1:20" ht="15.75" customHeight="1" x14ac:dyDescent="0.3">
      <c r="A898" s="4">
        <v>1897</v>
      </c>
      <c r="B898" s="5" t="s">
        <v>1012</v>
      </c>
      <c r="C898" s="6">
        <v>45174.359722222223</v>
      </c>
      <c r="D898" s="5" t="s">
        <v>43</v>
      </c>
      <c r="E898" s="5" t="s">
        <v>58</v>
      </c>
      <c r="F898" s="5" t="s">
        <v>24</v>
      </c>
      <c r="G898" s="5" t="s">
        <v>56</v>
      </c>
      <c r="H898" s="5">
        <v>183</v>
      </c>
      <c r="I898" s="5">
        <v>6</v>
      </c>
      <c r="J898" s="5" t="s">
        <v>18</v>
      </c>
      <c r="K898" s="5" t="s">
        <v>19</v>
      </c>
      <c r="L898" s="5" t="s">
        <v>20</v>
      </c>
      <c r="M898" s="7" t="s">
        <v>46</v>
      </c>
      <c r="N898" s="26">
        <f t="shared" ref="N898:N961" si="84">IF(J898="Positive",1,IF(J898="Neutral",0,IF(J898="Negative",-1,"")))</f>
        <v>0</v>
      </c>
      <c r="O898" s="42">
        <f t="shared" ref="O898:O961" si="85">INT(C898)</f>
        <v>45174</v>
      </c>
      <c r="P898" s="5" t="str">
        <f t="shared" ref="P898:P961" si="86">TEXT(C898,"dddd")</f>
        <v>Tuesday</v>
      </c>
      <c r="Q898" s="5">
        <f t="shared" ref="Q898:Q961" si="87">HOUR(C898)</f>
        <v>8</v>
      </c>
      <c r="R898" s="28">
        <f t="shared" ref="R898:R961" si="88">H898/(H898+I898)</f>
        <v>0.96825396825396826</v>
      </c>
      <c r="S898" s="29">
        <f t="shared" si="83"/>
        <v>96.825396825396822</v>
      </c>
      <c r="T898" s="5" t="str">
        <f>IF(Delivery_Data[[#This Row],[Delays (min)]]&gt;0,"No","Yes")</f>
        <v>No</v>
      </c>
    </row>
    <row r="899" spans="1:20" ht="15.75" customHeight="1" x14ac:dyDescent="0.3">
      <c r="A899" s="4">
        <v>1898</v>
      </c>
      <c r="B899" s="5" t="s">
        <v>1013</v>
      </c>
      <c r="C899" s="6">
        <v>45171.48333333333</v>
      </c>
      <c r="D899" s="5" t="s">
        <v>14</v>
      </c>
      <c r="E899" s="5" t="s">
        <v>143</v>
      </c>
      <c r="F899" s="5" t="s">
        <v>16</v>
      </c>
      <c r="G899" s="5" t="s">
        <v>17</v>
      </c>
      <c r="H899" s="5">
        <v>172</v>
      </c>
      <c r="I899" s="5">
        <v>28</v>
      </c>
      <c r="J899" s="5" t="s">
        <v>26</v>
      </c>
      <c r="K899" s="5" t="s">
        <v>27</v>
      </c>
      <c r="L899" s="5" t="s">
        <v>20</v>
      </c>
      <c r="M899" s="7" t="s">
        <v>41</v>
      </c>
      <c r="N899" s="26">
        <f t="shared" si="84"/>
        <v>1</v>
      </c>
      <c r="O899" s="42">
        <f t="shared" si="85"/>
        <v>45171</v>
      </c>
      <c r="P899" s="5" t="str">
        <f t="shared" si="86"/>
        <v>Saturday</v>
      </c>
      <c r="Q899" s="5">
        <f t="shared" si="87"/>
        <v>11</v>
      </c>
      <c r="R899" s="28">
        <f t="shared" si="88"/>
        <v>0.86</v>
      </c>
      <c r="S899" s="29">
        <f t="shared" ref="S899:S962" si="89">IF(H899+I899=0,0,(H899/(H899+I899))*100) + (IFERROR(--J899,0)*10)</f>
        <v>86</v>
      </c>
      <c r="T899" s="5" t="str">
        <f>IF(Delivery_Data[[#This Row],[Delays (min)]]&gt;0,"No","Yes")</f>
        <v>No</v>
      </c>
    </row>
    <row r="900" spans="1:20" ht="15.75" customHeight="1" x14ac:dyDescent="0.3">
      <c r="A900" s="4">
        <v>1899</v>
      </c>
      <c r="B900" s="5" t="s">
        <v>1014</v>
      </c>
      <c r="C900" s="6">
        <v>45176.491666666669</v>
      </c>
      <c r="D900" s="5" t="s">
        <v>14</v>
      </c>
      <c r="E900" s="5" t="s">
        <v>306</v>
      </c>
      <c r="F900" s="5" t="s">
        <v>24</v>
      </c>
      <c r="G900" s="5" t="s">
        <v>17</v>
      </c>
      <c r="H900" s="5">
        <v>103</v>
      </c>
      <c r="I900" s="5">
        <v>6</v>
      </c>
      <c r="J900" s="5" t="s">
        <v>26</v>
      </c>
      <c r="K900" s="5" t="s">
        <v>49</v>
      </c>
      <c r="L900" s="5" t="s">
        <v>20</v>
      </c>
      <c r="M900" s="7" t="s">
        <v>46</v>
      </c>
      <c r="N900" s="26">
        <f t="shared" si="84"/>
        <v>1</v>
      </c>
      <c r="O900" s="42">
        <f t="shared" si="85"/>
        <v>45176</v>
      </c>
      <c r="P900" s="5" t="str">
        <f t="shared" si="86"/>
        <v>Thursday</v>
      </c>
      <c r="Q900" s="5">
        <f t="shared" si="87"/>
        <v>11</v>
      </c>
      <c r="R900" s="28">
        <f t="shared" si="88"/>
        <v>0.94495412844036697</v>
      </c>
      <c r="S900" s="29">
        <f t="shared" si="89"/>
        <v>94.495412844036693</v>
      </c>
      <c r="T900" s="5" t="str">
        <f>IF(Delivery_Data[[#This Row],[Delays (min)]]&gt;0,"No","Yes")</f>
        <v>No</v>
      </c>
    </row>
    <row r="901" spans="1:20" ht="15.75" customHeight="1" x14ac:dyDescent="0.3">
      <c r="A901" s="4">
        <v>1900</v>
      </c>
      <c r="B901" s="5" t="s">
        <v>1015</v>
      </c>
      <c r="C901" s="6">
        <v>45171.70208333333</v>
      </c>
      <c r="D901" s="5" t="s">
        <v>14</v>
      </c>
      <c r="E901" s="5" t="s">
        <v>44</v>
      </c>
      <c r="F901" s="5" t="s">
        <v>24</v>
      </c>
      <c r="G901" s="5" t="s">
        <v>56</v>
      </c>
      <c r="H901" s="5">
        <v>226</v>
      </c>
      <c r="I901" s="5">
        <v>12</v>
      </c>
      <c r="J901" s="5" t="s">
        <v>18</v>
      </c>
      <c r="K901" s="5" t="s">
        <v>35</v>
      </c>
      <c r="L901" s="5" t="s">
        <v>28</v>
      </c>
      <c r="M901" s="7" t="s">
        <v>41</v>
      </c>
      <c r="N901" s="26">
        <f t="shared" si="84"/>
        <v>0</v>
      </c>
      <c r="O901" s="42">
        <f t="shared" si="85"/>
        <v>45171</v>
      </c>
      <c r="P901" s="5" t="str">
        <f t="shared" si="86"/>
        <v>Saturday</v>
      </c>
      <c r="Q901" s="5">
        <f t="shared" si="87"/>
        <v>16</v>
      </c>
      <c r="R901" s="28">
        <f t="shared" si="88"/>
        <v>0.94957983193277307</v>
      </c>
      <c r="S901" s="29">
        <f t="shared" si="89"/>
        <v>94.9579831932773</v>
      </c>
      <c r="T901" s="5" t="str">
        <f>IF(Delivery_Data[[#This Row],[Delays (min)]]&gt;0,"No","Yes")</f>
        <v>No</v>
      </c>
    </row>
    <row r="902" spans="1:20" ht="15.75" customHeight="1" x14ac:dyDescent="0.3">
      <c r="A902" s="4">
        <v>1901</v>
      </c>
      <c r="B902" s="5" t="s">
        <v>1016</v>
      </c>
      <c r="C902" s="6">
        <v>45170.631944444445</v>
      </c>
      <c r="D902" s="5" t="s">
        <v>43</v>
      </c>
      <c r="E902" s="5" t="s">
        <v>78</v>
      </c>
      <c r="F902" s="5" t="s">
        <v>38</v>
      </c>
      <c r="G902" s="5" t="s">
        <v>17</v>
      </c>
      <c r="H902" s="5">
        <v>214</v>
      </c>
      <c r="I902" s="5">
        <v>16</v>
      </c>
      <c r="J902" s="5" t="s">
        <v>32</v>
      </c>
      <c r="K902" s="5" t="s">
        <v>19</v>
      </c>
      <c r="L902" s="5" t="s">
        <v>28</v>
      </c>
      <c r="M902" s="7" t="s">
        <v>46</v>
      </c>
      <c r="N902" s="26">
        <f t="shared" si="84"/>
        <v>-1</v>
      </c>
      <c r="O902" s="42">
        <f t="shared" si="85"/>
        <v>45170</v>
      </c>
      <c r="P902" s="5" t="str">
        <f t="shared" si="86"/>
        <v>Friday</v>
      </c>
      <c r="Q902" s="5">
        <f t="shared" si="87"/>
        <v>15</v>
      </c>
      <c r="R902" s="28">
        <f t="shared" si="88"/>
        <v>0.93043478260869561</v>
      </c>
      <c r="S902" s="29">
        <f t="shared" si="89"/>
        <v>93.043478260869563</v>
      </c>
      <c r="T902" s="5" t="str">
        <f>IF(Delivery_Data[[#This Row],[Delays (min)]]&gt;0,"No","Yes")</f>
        <v>No</v>
      </c>
    </row>
    <row r="903" spans="1:20" ht="15.75" customHeight="1" x14ac:dyDescent="0.3">
      <c r="A903" s="4">
        <v>1902</v>
      </c>
      <c r="B903" s="5" t="s">
        <v>1017</v>
      </c>
      <c r="C903" s="6">
        <v>45173.463194444441</v>
      </c>
      <c r="D903" s="5" t="s">
        <v>43</v>
      </c>
      <c r="E903" s="5" t="s">
        <v>240</v>
      </c>
      <c r="F903" s="5" t="s">
        <v>38</v>
      </c>
      <c r="G903" s="5" t="s">
        <v>17</v>
      </c>
      <c r="H903" s="5">
        <v>158</v>
      </c>
      <c r="I903" s="5">
        <v>24</v>
      </c>
      <c r="J903" s="5" t="s">
        <v>32</v>
      </c>
      <c r="K903" s="5" t="s">
        <v>49</v>
      </c>
      <c r="L903" s="5" t="s">
        <v>20</v>
      </c>
      <c r="M903" s="7" t="s">
        <v>21</v>
      </c>
      <c r="N903" s="26">
        <f t="shared" si="84"/>
        <v>-1</v>
      </c>
      <c r="O903" s="42">
        <f t="shared" si="85"/>
        <v>45173</v>
      </c>
      <c r="P903" s="5" t="str">
        <f t="shared" si="86"/>
        <v>Monday</v>
      </c>
      <c r="Q903" s="5">
        <f t="shared" si="87"/>
        <v>11</v>
      </c>
      <c r="R903" s="28">
        <f t="shared" si="88"/>
        <v>0.86813186813186816</v>
      </c>
      <c r="S903" s="29">
        <f t="shared" si="89"/>
        <v>86.813186813186817</v>
      </c>
      <c r="T903" s="5" t="str">
        <f>IF(Delivery_Data[[#This Row],[Delays (min)]]&gt;0,"No","Yes")</f>
        <v>No</v>
      </c>
    </row>
    <row r="904" spans="1:20" ht="15.75" customHeight="1" x14ac:dyDescent="0.3">
      <c r="A904" s="4">
        <v>1903</v>
      </c>
      <c r="B904" s="5" t="s">
        <v>1018</v>
      </c>
      <c r="C904" s="6">
        <v>45175.61041666667</v>
      </c>
      <c r="D904" s="5" t="s">
        <v>14</v>
      </c>
      <c r="E904" s="5" t="s">
        <v>211</v>
      </c>
      <c r="F904" s="5" t="s">
        <v>16</v>
      </c>
      <c r="G904" s="5" t="s">
        <v>25</v>
      </c>
      <c r="H904" s="5">
        <v>234</v>
      </c>
      <c r="I904" s="5">
        <v>28</v>
      </c>
      <c r="J904" s="5" t="s">
        <v>32</v>
      </c>
      <c r="K904" s="5" t="s">
        <v>45</v>
      </c>
      <c r="L904" s="5" t="s">
        <v>20</v>
      </c>
      <c r="M904" s="7" t="s">
        <v>46</v>
      </c>
      <c r="N904" s="26">
        <f t="shared" si="84"/>
        <v>-1</v>
      </c>
      <c r="O904" s="42">
        <f t="shared" si="85"/>
        <v>45175</v>
      </c>
      <c r="P904" s="5" t="str">
        <f t="shared" si="86"/>
        <v>Wednesday</v>
      </c>
      <c r="Q904" s="5">
        <f t="shared" si="87"/>
        <v>14</v>
      </c>
      <c r="R904" s="28">
        <f t="shared" si="88"/>
        <v>0.89312977099236646</v>
      </c>
      <c r="S904" s="29">
        <f t="shared" si="89"/>
        <v>89.312977099236647</v>
      </c>
      <c r="T904" s="5" t="str">
        <f>IF(Delivery_Data[[#This Row],[Delays (min)]]&gt;0,"No","Yes")</f>
        <v>No</v>
      </c>
    </row>
    <row r="905" spans="1:20" ht="15.75" customHeight="1" x14ac:dyDescent="0.3">
      <c r="A905" s="4">
        <v>1904</v>
      </c>
      <c r="B905" s="5" t="s">
        <v>1019</v>
      </c>
      <c r="C905" s="6">
        <v>45172.572916666664</v>
      </c>
      <c r="D905" s="5" t="s">
        <v>14</v>
      </c>
      <c r="E905" s="5" t="s">
        <v>91</v>
      </c>
      <c r="F905" s="5" t="s">
        <v>24</v>
      </c>
      <c r="G905" s="5" t="s">
        <v>17</v>
      </c>
      <c r="H905" s="5">
        <v>229</v>
      </c>
      <c r="I905" s="5">
        <v>10</v>
      </c>
      <c r="J905" s="5" t="s">
        <v>26</v>
      </c>
      <c r="K905" s="5" t="s">
        <v>19</v>
      </c>
      <c r="L905" s="5" t="s">
        <v>20</v>
      </c>
      <c r="M905" s="7" t="s">
        <v>46</v>
      </c>
      <c r="N905" s="26">
        <f t="shared" si="84"/>
        <v>1</v>
      </c>
      <c r="O905" s="42">
        <f t="shared" si="85"/>
        <v>45172</v>
      </c>
      <c r="P905" s="5" t="str">
        <f t="shared" si="86"/>
        <v>Sunday</v>
      </c>
      <c r="Q905" s="5">
        <f t="shared" si="87"/>
        <v>13</v>
      </c>
      <c r="R905" s="28">
        <f t="shared" si="88"/>
        <v>0.95815899581589958</v>
      </c>
      <c r="S905" s="29">
        <f t="shared" si="89"/>
        <v>95.81589958158996</v>
      </c>
      <c r="T905" s="5" t="str">
        <f>IF(Delivery_Data[[#This Row],[Delays (min)]]&gt;0,"No","Yes")</f>
        <v>No</v>
      </c>
    </row>
    <row r="906" spans="1:20" ht="15.75" customHeight="1" x14ac:dyDescent="0.3">
      <c r="A906" s="4">
        <v>1905</v>
      </c>
      <c r="B906" s="5" t="s">
        <v>1020</v>
      </c>
      <c r="C906" s="6">
        <v>45176.700694444444</v>
      </c>
      <c r="D906" s="5" t="s">
        <v>14</v>
      </c>
      <c r="E906" s="5" t="s">
        <v>179</v>
      </c>
      <c r="F906" s="5" t="s">
        <v>38</v>
      </c>
      <c r="G906" s="5" t="s">
        <v>17</v>
      </c>
      <c r="H906" s="5">
        <v>108</v>
      </c>
      <c r="I906" s="5">
        <v>23</v>
      </c>
      <c r="J906" s="5" t="s">
        <v>32</v>
      </c>
      <c r="K906" s="5" t="s">
        <v>19</v>
      </c>
      <c r="L906" s="5" t="s">
        <v>28</v>
      </c>
      <c r="M906" s="7" t="s">
        <v>46</v>
      </c>
      <c r="N906" s="26">
        <f t="shared" si="84"/>
        <v>-1</v>
      </c>
      <c r="O906" s="42">
        <f t="shared" si="85"/>
        <v>45176</v>
      </c>
      <c r="P906" s="5" t="str">
        <f t="shared" si="86"/>
        <v>Thursday</v>
      </c>
      <c r="Q906" s="5">
        <f t="shared" si="87"/>
        <v>16</v>
      </c>
      <c r="R906" s="28">
        <f t="shared" si="88"/>
        <v>0.82442748091603058</v>
      </c>
      <c r="S906" s="29">
        <f t="shared" si="89"/>
        <v>82.44274809160305</v>
      </c>
      <c r="T906" s="5" t="str">
        <f>IF(Delivery_Data[[#This Row],[Delays (min)]]&gt;0,"No","Yes")</f>
        <v>No</v>
      </c>
    </row>
    <row r="907" spans="1:20" ht="15.75" customHeight="1" x14ac:dyDescent="0.3">
      <c r="A907" s="4">
        <v>1906</v>
      </c>
      <c r="B907" s="5" t="s">
        <v>1021</v>
      </c>
      <c r="C907" s="6">
        <v>45170.456944444442</v>
      </c>
      <c r="D907" s="5" t="s">
        <v>43</v>
      </c>
      <c r="E907" s="5" t="s">
        <v>374</v>
      </c>
      <c r="F907" s="5" t="s">
        <v>24</v>
      </c>
      <c r="G907" s="5" t="s">
        <v>56</v>
      </c>
      <c r="H907" s="5">
        <v>77</v>
      </c>
      <c r="I907" s="5">
        <v>3</v>
      </c>
      <c r="J907" s="5" t="s">
        <v>32</v>
      </c>
      <c r="K907" s="5" t="s">
        <v>49</v>
      </c>
      <c r="L907" s="5" t="s">
        <v>28</v>
      </c>
      <c r="M907" s="7" t="s">
        <v>46</v>
      </c>
      <c r="N907" s="26">
        <f t="shared" si="84"/>
        <v>-1</v>
      </c>
      <c r="O907" s="42">
        <f t="shared" si="85"/>
        <v>45170</v>
      </c>
      <c r="P907" s="5" t="str">
        <f t="shared" si="86"/>
        <v>Friday</v>
      </c>
      <c r="Q907" s="5">
        <f t="shared" si="87"/>
        <v>10</v>
      </c>
      <c r="R907" s="28">
        <f t="shared" si="88"/>
        <v>0.96250000000000002</v>
      </c>
      <c r="S907" s="29">
        <f t="shared" si="89"/>
        <v>96.25</v>
      </c>
      <c r="T907" s="5" t="str">
        <f>IF(Delivery_Data[[#This Row],[Delays (min)]]&gt;0,"No","Yes")</f>
        <v>No</v>
      </c>
    </row>
    <row r="908" spans="1:20" ht="15.75" customHeight="1" x14ac:dyDescent="0.3">
      <c r="A908" s="4">
        <v>1907</v>
      </c>
      <c r="B908" s="5" t="s">
        <v>1022</v>
      </c>
      <c r="C908" s="6">
        <v>45177.441666666666</v>
      </c>
      <c r="D908" s="5" t="s">
        <v>14</v>
      </c>
      <c r="E908" s="5" t="s">
        <v>304</v>
      </c>
      <c r="F908" s="5" t="s">
        <v>16</v>
      </c>
      <c r="G908" s="5" t="s">
        <v>31</v>
      </c>
      <c r="H908" s="5">
        <v>125</v>
      </c>
      <c r="I908" s="5">
        <v>8</v>
      </c>
      <c r="J908" s="5" t="s">
        <v>32</v>
      </c>
      <c r="K908" s="5" t="s">
        <v>27</v>
      </c>
      <c r="L908" s="5" t="s">
        <v>40</v>
      </c>
      <c r="M908" s="7" t="s">
        <v>41</v>
      </c>
      <c r="N908" s="26">
        <f t="shared" si="84"/>
        <v>-1</v>
      </c>
      <c r="O908" s="42">
        <f t="shared" si="85"/>
        <v>45177</v>
      </c>
      <c r="P908" s="5" t="str">
        <f t="shared" si="86"/>
        <v>Friday</v>
      </c>
      <c r="Q908" s="5">
        <f t="shared" si="87"/>
        <v>10</v>
      </c>
      <c r="R908" s="28">
        <f t="shared" si="88"/>
        <v>0.93984962406015038</v>
      </c>
      <c r="S908" s="29">
        <f t="shared" si="89"/>
        <v>93.984962406015043</v>
      </c>
      <c r="T908" s="5" t="str">
        <f>IF(Delivery_Data[[#This Row],[Delays (min)]]&gt;0,"No","Yes")</f>
        <v>No</v>
      </c>
    </row>
    <row r="909" spans="1:20" ht="15.75" customHeight="1" x14ac:dyDescent="0.3">
      <c r="A909" s="4">
        <v>1908</v>
      </c>
      <c r="B909" s="5" t="s">
        <v>1023</v>
      </c>
      <c r="C909" s="6">
        <v>45172.473611111112</v>
      </c>
      <c r="D909" s="5" t="s">
        <v>14</v>
      </c>
      <c r="E909" s="5" t="s">
        <v>202</v>
      </c>
      <c r="F909" s="5" t="s">
        <v>38</v>
      </c>
      <c r="G909" s="5" t="s">
        <v>25</v>
      </c>
      <c r="H909" s="5">
        <v>205</v>
      </c>
      <c r="I909" s="5">
        <v>2</v>
      </c>
      <c r="J909" s="5" t="s">
        <v>26</v>
      </c>
      <c r="K909" s="5" t="s">
        <v>19</v>
      </c>
      <c r="L909" s="5" t="s">
        <v>40</v>
      </c>
      <c r="M909" s="7" t="s">
        <v>21</v>
      </c>
      <c r="N909" s="26">
        <f t="shared" si="84"/>
        <v>1</v>
      </c>
      <c r="O909" s="42">
        <f t="shared" si="85"/>
        <v>45172</v>
      </c>
      <c r="P909" s="5" t="str">
        <f t="shared" si="86"/>
        <v>Sunday</v>
      </c>
      <c r="Q909" s="5">
        <f t="shared" si="87"/>
        <v>11</v>
      </c>
      <c r="R909" s="28">
        <f t="shared" si="88"/>
        <v>0.99033816425120769</v>
      </c>
      <c r="S909" s="29">
        <f t="shared" si="89"/>
        <v>99.033816425120762</v>
      </c>
      <c r="T909" s="5" t="str">
        <f>IF(Delivery_Data[[#This Row],[Delays (min)]]&gt;0,"No","Yes")</f>
        <v>No</v>
      </c>
    </row>
    <row r="910" spans="1:20" ht="15.75" customHeight="1" x14ac:dyDescent="0.3">
      <c r="A910" s="4">
        <v>1909</v>
      </c>
      <c r="B910" s="5" t="s">
        <v>250</v>
      </c>
      <c r="C910" s="6">
        <v>45175.568749999999</v>
      </c>
      <c r="D910" s="5" t="s">
        <v>43</v>
      </c>
      <c r="E910" s="5" t="s">
        <v>83</v>
      </c>
      <c r="F910" s="5" t="s">
        <v>38</v>
      </c>
      <c r="G910" s="5" t="s">
        <v>17</v>
      </c>
      <c r="H910" s="5">
        <v>128</v>
      </c>
      <c r="I910" s="5">
        <v>17</v>
      </c>
      <c r="J910" s="5" t="s">
        <v>32</v>
      </c>
      <c r="K910" s="5" t="s">
        <v>19</v>
      </c>
      <c r="L910" s="5" t="s">
        <v>28</v>
      </c>
      <c r="M910" s="7" t="s">
        <v>21</v>
      </c>
      <c r="N910" s="26">
        <f t="shared" si="84"/>
        <v>-1</v>
      </c>
      <c r="O910" s="42">
        <f t="shared" si="85"/>
        <v>45175</v>
      </c>
      <c r="P910" s="5" t="str">
        <f t="shared" si="86"/>
        <v>Wednesday</v>
      </c>
      <c r="Q910" s="5">
        <f t="shared" si="87"/>
        <v>13</v>
      </c>
      <c r="R910" s="28">
        <f t="shared" si="88"/>
        <v>0.88275862068965516</v>
      </c>
      <c r="S910" s="29">
        <f t="shared" si="89"/>
        <v>88.275862068965523</v>
      </c>
      <c r="T910" s="5" t="str">
        <f>IF(Delivery_Data[[#This Row],[Delays (min)]]&gt;0,"No","Yes")</f>
        <v>No</v>
      </c>
    </row>
    <row r="911" spans="1:20" ht="15.75" customHeight="1" x14ac:dyDescent="0.3">
      <c r="A911" s="4">
        <v>1910</v>
      </c>
      <c r="B911" s="5" t="s">
        <v>965</v>
      </c>
      <c r="C911" s="6">
        <v>45173.498611111114</v>
      </c>
      <c r="D911" s="5" t="s">
        <v>14</v>
      </c>
      <c r="E911" s="5" t="s">
        <v>89</v>
      </c>
      <c r="F911" s="5" t="s">
        <v>16</v>
      </c>
      <c r="G911" s="5" t="s">
        <v>56</v>
      </c>
      <c r="H911" s="5">
        <v>204</v>
      </c>
      <c r="I911" s="5">
        <v>17</v>
      </c>
      <c r="J911" s="5" t="s">
        <v>32</v>
      </c>
      <c r="K911" s="5" t="s">
        <v>19</v>
      </c>
      <c r="L911" s="5" t="s">
        <v>28</v>
      </c>
      <c r="M911" s="7" t="s">
        <v>41</v>
      </c>
      <c r="N911" s="26">
        <f t="shared" si="84"/>
        <v>-1</v>
      </c>
      <c r="O911" s="42">
        <f t="shared" si="85"/>
        <v>45173</v>
      </c>
      <c r="P911" s="5" t="str">
        <f t="shared" si="86"/>
        <v>Monday</v>
      </c>
      <c r="Q911" s="5">
        <f t="shared" si="87"/>
        <v>11</v>
      </c>
      <c r="R911" s="28">
        <f t="shared" si="88"/>
        <v>0.92307692307692313</v>
      </c>
      <c r="S911" s="29">
        <f t="shared" si="89"/>
        <v>92.307692307692307</v>
      </c>
      <c r="T911" s="5" t="str">
        <f>IF(Delivery_Data[[#This Row],[Delays (min)]]&gt;0,"No","Yes")</f>
        <v>No</v>
      </c>
    </row>
    <row r="912" spans="1:20" ht="15.75" customHeight="1" x14ac:dyDescent="0.3">
      <c r="A912" s="4">
        <v>1911</v>
      </c>
      <c r="B912" s="5" t="s">
        <v>1024</v>
      </c>
      <c r="C912" s="6">
        <v>45172.423611111109</v>
      </c>
      <c r="D912" s="5" t="s">
        <v>14</v>
      </c>
      <c r="E912" s="5" t="s">
        <v>263</v>
      </c>
      <c r="F912" s="5" t="s">
        <v>38</v>
      </c>
      <c r="G912" s="5" t="s">
        <v>31</v>
      </c>
      <c r="H912" s="5">
        <v>61</v>
      </c>
      <c r="I912" s="5">
        <v>20</v>
      </c>
      <c r="J912" s="5" t="s">
        <v>26</v>
      </c>
      <c r="K912" s="5" t="s">
        <v>49</v>
      </c>
      <c r="L912" s="5" t="s">
        <v>40</v>
      </c>
      <c r="M912" s="7" t="s">
        <v>21</v>
      </c>
      <c r="N912" s="26">
        <f t="shared" si="84"/>
        <v>1</v>
      </c>
      <c r="O912" s="42">
        <f t="shared" si="85"/>
        <v>45172</v>
      </c>
      <c r="P912" s="5" t="str">
        <f t="shared" si="86"/>
        <v>Sunday</v>
      </c>
      <c r="Q912" s="5">
        <f t="shared" si="87"/>
        <v>10</v>
      </c>
      <c r="R912" s="28">
        <f t="shared" si="88"/>
        <v>0.75308641975308643</v>
      </c>
      <c r="S912" s="29">
        <f t="shared" si="89"/>
        <v>75.308641975308646</v>
      </c>
      <c r="T912" s="5" t="str">
        <f>IF(Delivery_Data[[#This Row],[Delays (min)]]&gt;0,"No","Yes")</f>
        <v>No</v>
      </c>
    </row>
    <row r="913" spans="1:20" ht="15.75" customHeight="1" x14ac:dyDescent="0.3">
      <c r="A913" s="4">
        <v>1912</v>
      </c>
      <c r="B913" s="5" t="s">
        <v>1025</v>
      </c>
      <c r="C913" s="6">
        <v>45173.634722222225</v>
      </c>
      <c r="D913" s="5" t="s">
        <v>14</v>
      </c>
      <c r="E913" s="5" t="s">
        <v>55</v>
      </c>
      <c r="F913" s="5" t="s">
        <v>16</v>
      </c>
      <c r="G913" s="5" t="s">
        <v>39</v>
      </c>
      <c r="H913" s="5">
        <v>85</v>
      </c>
      <c r="I913" s="5">
        <v>2</v>
      </c>
      <c r="J913" s="5" t="s">
        <v>18</v>
      </c>
      <c r="K913" s="5" t="s">
        <v>45</v>
      </c>
      <c r="L913" s="5" t="s">
        <v>40</v>
      </c>
      <c r="M913" s="7" t="s">
        <v>21</v>
      </c>
      <c r="N913" s="26">
        <f t="shared" si="84"/>
        <v>0</v>
      </c>
      <c r="O913" s="42">
        <f t="shared" si="85"/>
        <v>45173</v>
      </c>
      <c r="P913" s="5" t="str">
        <f t="shared" si="86"/>
        <v>Monday</v>
      </c>
      <c r="Q913" s="5">
        <f t="shared" si="87"/>
        <v>15</v>
      </c>
      <c r="R913" s="28">
        <f t="shared" si="88"/>
        <v>0.97701149425287359</v>
      </c>
      <c r="S913" s="29">
        <f t="shared" si="89"/>
        <v>97.701149425287355</v>
      </c>
      <c r="T913" s="5" t="str">
        <f>IF(Delivery_Data[[#This Row],[Delays (min)]]&gt;0,"No","Yes")</f>
        <v>No</v>
      </c>
    </row>
    <row r="914" spans="1:20" ht="15.75" customHeight="1" x14ac:dyDescent="0.3">
      <c r="A914" s="4">
        <v>1913</v>
      </c>
      <c r="B914" s="5" t="s">
        <v>1026</v>
      </c>
      <c r="C914" s="6">
        <v>45172.693055555559</v>
      </c>
      <c r="D914" s="5" t="s">
        <v>43</v>
      </c>
      <c r="E914" s="5" t="s">
        <v>34</v>
      </c>
      <c r="F914" s="5" t="s">
        <v>16</v>
      </c>
      <c r="G914" s="5" t="s">
        <v>56</v>
      </c>
      <c r="H914" s="5">
        <v>68</v>
      </c>
      <c r="I914" s="5">
        <v>14</v>
      </c>
      <c r="J914" s="5" t="s">
        <v>18</v>
      </c>
      <c r="K914" s="5" t="s">
        <v>45</v>
      </c>
      <c r="L914" s="5" t="s">
        <v>20</v>
      </c>
      <c r="M914" s="7" t="s">
        <v>21</v>
      </c>
      <c r="N914" s="26">
        <f t="shared" si="84"/>
        <v>0</v>
      </c>
      <c r="O914" s="42">
        <f t="shared" si="85"/>
        <v>45172</v>
      </c>
      <c r="P914" s="5" t="str">
        <f t="shared" si="86"/>
        <v>Sunday</v>
      </c>
      <c r="Q914" s="5">
        <f t="shared" si="87"/>
        <v>16</v>
      </c>
      <c r="R914" s="28">
        <f t="shared" si="88"/>
        <v>0.82926829268292679</v>
      </c>
      <c r="S914" s="29">
        <f t="shared" si="89"/>
        <v>82.926829268292678</v>
      </c>
      <c r="T914" s="5" t="str">
        <f>IF(Delivery_Data[[#This Row],[Delays (min)]]&gt;0,"No","Yes")</f>
        <v>No</v>
      </c>
    </row>
    <row r="915" spans="1:20" ht="15.75" customHeight="1" x14ac:dyDescent="0.3">
      <c r="A915" s="4">
        <v>1914</v>
      </c>
      <c r="B915" s="5" t="s">
        <v>1027</v>
      </c>
      <c r="C915" s="6">
        <v>45175.345833333333</v>
      </c>
      <c r="D915" s="5" t="s">
        <v>14</v>
      </c>
      <c r="E915" s="5" t="s">
        <v>263</v>
      </c>
      <c r="F915" s="5" t="s">
        <v>38</v>
      </c>
      <c r="G915" s="5" t="s">
        <v>56</v>
      </c>
      <c r="H915" s="5">
        <v>72</v>
      </c>
      <c r="I915" s="5">
        <v>25</v>
      </c>
      <c r="J915" s="5" t="s">
        <v>32</v>
      </c>
      <c r="K915" s="5" t="s">
        <v>35</v>
      </c>
      <c r="L915" s="5" t="s">
        <v>20</v>
      </c>
      <c r="M915" s="7" t="s">
        <v>41</v>
      </c>
      <c r="N915" s="26">
        <f t="shared" si="84"/>
        <v>-1</v>
      </c>
      <c r="O915" s="42">
        <f t="shared" si="85"/>
        <v>45175</v>
      </c>
      <c r="P915" s="5" t="str">
        <f t="shared" si="86"/>
        <v>Wednesday</v>
      </c>
      <c r="Q915" s="5">
        <f t="shared" si="87"/>
        <v>8</v>
      </c>
      <c r="R915" s="28">
        <f t="shared" si="88"/>
        <v>0.74226804123711343</v>
      </c>
      <c r="S915" s="29">
        <f t="shared" si="89"/>
        <v>74.226804123711347</v>
      </c>
      <c r="T915" s="5" t="str">
        <f>IF(Delivery_Data[[#This Row],[Delays (min)]]&gt;0,"No","Yes")</f>
        <v>No</v>
      </c>
    </row>
    <row r="916" spans="1:20" ht="15.75" customHeight="1" x14ac:dyDescent="0.3">
      <c r="A916" s="4">
        <v>1915</v>
      </c>
      <c r="B916" s="5" t="s">
        <v>1028</v>
      </c>
      <c r="C916" s="6">
        <v>45173.655555555553</v>
      </c>
      <c r="D916" s="5" t="s">
        <v>14</v>
      </c>
      <c r="E916" s="5" t="s">
        <v>143</v>
      </c>
      <c r="F916" s="5" t="s">
        <v>16</v>
      </c>
      <c r="G916" s="5" t="s">
        <v>31</v>
      </c>
      <c r="H916" s="5">
        <v>214</v>
      </c>
      <c r="I916" s="5">
        <v>13</v>
      </c>
      <c r="J916" s="5" t="s">
        <v>26</v>
      </c>
      <c r="K916" s="5" t="s">
        <v>45</v>
      </c>
      <c r="L916" s="5" t="s">
        <v>40</v>
      </c>
      <c r="M916" s="7" t="s">
        <v>41</v>
      </c>
      <c r="N916" s="26">
        <f t="shared" si="84"/>
        <v>1</v>
      </c>
      <c r="O916" s="42">
        <f t="shared" si="85"/>
        <v>45173</v>
      </c>
      <c r="P916" s="5" t="str">
        <f t="shared" si="86"/>
        <v>Monday</v>
      </c>
      <c r="Q916" s="5">
        <f t="shared" si="87"/>
        <v>15</v>
      </c>
      <c r="R916" s="28">
        <f t="shared" si="88"/>
        <v>0.94273127753303965</v>
      </c>
      <c r="S916" s="29">
        <f t="shared" si="89"/>
        <v>94.273127753303967</v>
      </c>
      <c r="T916" s="5" t="str">
        <f>IF(Delivery_Data[[#This Row],[Delays (min)]]&gt;0,"No","Yes")</f>
        <v>No</v>
      </c>
    </row>
    <row r="917" spans="1:20" ht="15.75" customHeight="1" x14ac:dyDescent="0.3">
      <c r="A917" s="4">
        <v>1916</v>
      </c>
      <c r="B917" s="5" t="s">
        <v>1029</v>
      </c>
      <c r="C917" s="6">
        <v>45172.551388888889</v>
      </c>
      <c r="D917" s="5" t="s">
        <v>43</v>
      </c>
      <c r="E917" s="5" t="s">
        <v>151</v>
      </c>
      <c r="F917" s="5" t="s">
        <v>38</v>
      </c>
      <c r="G917" s="5" t="s">
        <v>25</v>
      </c>
      <c r="H917" s="5">
        <v>194</v>
      </c>
      <c r="I917" s="5">
        <v>12</v>
      </c>
      <c r="J917" s="5" t="s">
        <v>26</v>
      </c>
      <c r="K917" s="5" t="s">
        <v>49</v>
      </c>
      <c r="L917" s="5" t="s">
        <v>20</v>
      </c>
      <c r="M917" s="7" t="s">
        <v>21</v>
      </c>
      <c r="N917" s="26">
        <f t="shared" si="84"/>
        <v>1</v>
      </c>
      <c r="O917" s="42">
        <f t="shared" si="85"/>
        <v>45172</v>
      </c>
      <c r="P917" s="5" t="str">
        <f t="shared" si="86"/>
        <v>Sunday</v>
      </c>
      <c r="Q917" s="5">
        <f t="shared" si="87"/>
        <v>13</v>
      </c>
      <c r="R917" s="28">
        <f t="shared" si="88"/>
        <v>0.94174757281553401</v>
      </c>
      <c r="S917" s="29">
        <f t="shared" si="89"/>
        <v>94.174757281553397</v>
      </c>
      <c r="T917" s="5" t="str">
        <f>IF(Delivery_Data[[#This Row],[Delays (min)]]&gt;0,"No","Yes")</f>
        <v>No</v>
      </c>
    </row>
    <row r="918" spans="1:20" ht="15.75" customHeight="1" x14ac:dyDescent="0.3">
      <c r="A918" s="4">
        <v>1917</v>
      </c>
      <c r="B918" s="5" t="s">
        <v>1030</v>
      </c>
      <c r="C918" s="6">
        <v>45176.477083333331</v>
      </c>
      <c r="D918" s="5" t="s">
        <v>14</v>
      </c>
      <c r="E918" s="5" t="s">
        <v>89</v>
      </c>
      <c r="F918" s="5" t="s">
        <v>38</v>
      </c>
      <c r="G918" s="5" t="s">
        <v>31</v>
      </c>
      <c r="H918" s="5">
        <v>140</v>
      </c>
      <c r="I918" s="5">
        <v>3</v>
      </c>
      <c r="J918" s="5" t="s">
        <v>18</v>
      </c>
      <c r="K918" s="5" t="s">
        <v>19</v>
      </c>
      <c r="L918" s="5" t="s">
        <v>28</v>
      </c>
      <c r="M918" s="7" t="s">
        <v>41</v>
      </c>
      <c r="N918" s="26">
        <f t="shared" si="84"/>
        <v>0</v>
      </c>
      <c r="O918" s="42">
        <f t="shared" si="85"/>
        <v>45176</v>
      </c>
      <c r="P918" s="5" t="str">
        <f t="shared" si="86"/>
        <v>Thursday</v>
      </c>
      <c r="Q918" s="5">
        <f t="shared" si="87"/>
        <v>11</v>
      </c>
      <c r="R918" s="28">
        <f t="shared" si="88"/>
        <v>0.97902097902097907</v>
      </c>
      <c r="S918" s="29">
        <f t="shared" si="89"/>
        <v>97.902097902097907</v>
      </c>
      <c r="T918" s="5" t="str">
        <f>IF(Delivery_Data[[#This Row],[Delays (min)]]&gt;0,"No","Yes")</f>
        <v>No</v>
      </c>
    </row>
    <row r="919" spans="1:20" ht="15.75" customHeight="1" x14ac:dyDescent="0.3">
      <c r="A919" s="4">
        <v>1918</v>
      </c>
      <c r="B919" s="5" t="s">
        <v>1031</v>
      </c>
      <c r="C919" s="6">
        <v>45175.397222222222</v>
      </c>
      <c r="D919" s="5" t="s">
        <v>14</v>
      </c>
      <c r="E919" s="5" t="s">
        <v>64</v>
      </c>
      <c r="F919" s="5" t="s">
        <v>16</v>
      </c>
      <c r="G919" s="5" t="s">
        <v>25</v>
      </c>
      <c r="H919" s="5">
        <v>106</v>
      </c>
      <c r="I919" s="5">
        <v>14</v>
      </c>
      <c r="J919" s="5" t="s">
        <v>32</v>
      </c>
      <c r="K919" s="5" t="s">
        <v>27</v>
      </c>
      <c r="L919" s="5" t="s">
        <v>28</v>
      </c>
      <c r="M919" s="7" t="s">
        <v>21</v>
      </c>
      <c r="N919" s="26">
        <f t="shared" si="84"/>
        <v>-1</v>
      </c>
      <c r="O919" s="42">
        <f t="shared" si="85"/>
        <v>45175</v>
      </c>
      <c r="P919" s="5" t="str">
        <f t="shared" si="86"/>
        <v>Wednesday</v>
      </c>
      <c r="Q919" s="5">
        <f t="shared" si="87"/>
        <v>9</v>
      </c>
      <c r="R919" s="28">
        <f t="shared" si="88"/>
        <v>0.8833333333333333</v>
      </c>
      <c r="S919" s="29">
        <f t="shared" si="89"/>
        <v>88.333333333333329</v>
      </c>
      <c r="T919" s="5" t="str">
        <f>IF(Delivery_Data[[#This Row],[Delays (min)]]&gt;0,"No","Yes")</f>
        <v>No</v>
      </c>
    </row>
    <row r="920" spans="1:20" ht="15.75" customHeight="1" x14ac:dyDescent="0.3">
      <c r="A920" s="4">
        <v>1919</v>
      </c>
      <c r="B920" s="5" t="s">
        <v>313</v>
      </c>
      <c r="C920" s="6">
        <v>45176.354166666664</v>
      </c>
      <c r="D920" s="5" t="s">
        <v>43</v>
      </c>
      <c r="E920" s="5" t="s">
        <v>261</v>
      </c>
      <c r="F920" s="5" t="s">
        <v>24</v>
      </c>
      <c r="G920" s="5" t="s">
        <v>17</v>
      </c>
      <c r="H920" s="5">
        <v>122</v>
      </c>
      <c r="I920" s="5">
        <v>6</v>
      </c>
      <c r="J920" s="5" t="s">
        <v>26</v>
      </c>
      <c r="K920" s="5" t="s">
        <v>45</v>
      </c>
      <c r="L920" s="5" t="s">
        <v>40</v>
      </c>
      <c r="M920" s="7" t="s">
        <v>41</v>
      </c>
      <c r="N920" s="26">
        <f t="shared" si="84"/>
        <v>1</v>
      </c>
      <c r="O920" s="42">
        <f t="shared" si="85"/>
        <v>45176</v>
      </c>
      <c r="P920" s="5" t="str">
        <f t="shared" si="86"/>
        <v>Thursday</v>
      </c>
      <c r="Q920" s="5">
        <f t="shared" si="87"/>
        <v>8</v>
      </c>
      <c r="R920" s="28">
        <f t="shared" si="88"/>
        <v>0.953125</v>
      </c>
      <c r="S920" s="29">
        <f t="shared" si="89"/>
        <v>95.3125</v>
      </c>
      <c r="T920" s="5" t="str">
        <f>IF(Delivery_Data[[#This Row],[Delays (min)]]&gt;0,"No","Yes")</f>
        <v>No</v>
      </c>
    </row>
    <row r="921" spans="1:20" ht="15.75" customHeight="1" x14ac:dyDescent="0.3">
      <c r="A921" s="4">
        <v>1920</v>
      </c>
      <c r="B921" s="5" t="s">
        <v>1032</v>
      </c>
      <c r="C921" s="6">
        <v>45170.415277777778</v>
      </c>
      <c r="D921" s="5" t="s">
        <v>14</v>
      </c>
      <c r="E921" s="5" t="s">
        <v>93</v>
      </c>
      <c r="F921" s="5" t="s">
        <v>24</v>
      </c>
      <c r="G921" s="5" t="s">
        <v>31</v>
      </c>
      <c r="H921" s="5">
        <v>141</v>
      </c>
      <c r="I921" s="5">
        <v>20</v>
      </c>
      <c r="J921" s="5" t="s">
        <v>18</v>
      </c>
      <c r="K921" s="5" t="s">
        <v>49</v>
      </c>
      <c r="L921" s="5" t="s">
        <v>28</v>
      </c>
      <c r="M921" s="7" t="s">
        <v>41</v>
      </c>
      <c r="N921" s="26">
        <f t="shared" si="84"/>
        <v>0</v>
      </c>
      <c r="O921" s="42">
        <f t="shared" si="85"/>
        <v>45170</v>
      </c>
      <c r="P921" s="5" t="str">
        <f t="shared" si="86"/>
        <v>Friday</v>
      </c>
      <c r="Q921" s="5">
        <f t="shared" si="87"/>
        <v>9</v>
      </c>
      <c r="R921" s="28">
        <f t="shared" si="88"/>
        <v>0.87577639751552794</v>
      </c>
      <c r="S921" s="29">
        <f t="shared" si="89"/>
        <v>87.577639751552795</v>
      </c>
      <c r="T921" s="5" t="str">
        <f>IF(Delivery_Data[[#This Row],[Delays (min)]]&gt;0,"No","Yes")</f>
        <v>No</v>
      </c>
    </row>
    <row r="922" spans="1:20" ht="15.75" customHeight="1" x14ac:dyDescent="0.3">
      <c r="A922" s="4">
        <v>1921</v>
      </c>
      <c r="B922" s="5" t="s">
        <v>1033</v>
      </c>
      <c r="C922" s="6">
        <v>45170.686805555553</v>
      </c>
      <c r="D922" s="5" t="s">
        <v>14</v>
      </c>
      <c r="E922" s="5" t="s">
        <v>70</v>
      </c>
      <c r="F922" s="5" t="s">
        <v>24</v>
      </c>
      <c r="G922" s="5" t="s">
        <v>39</v>
      </c>
      <c r="H922" s="5">
        <v>67</v>
      </c>
      <c r="I922" s="5">
        <v>1</v>
      </c>
      <c r="J922" s="5" t="s">
        <v>18</v>
      </c>
      <c r="K922" s="5" t="s">
        <v>35</v>
      </c>
      <c r="L922" s="5" t="s">
        <v>20</v>
      </c>
      <c r="M922" s="7" t="s">
        <v>21</v>
      </c>
      <c r="N922" s="26">
        <f t="shared" si="84"/>
        <v>0</v>
      </c>
      <c r="O922" s="42">
        <f t="shared" si="85"/>
        <v>45170</v>
      </c>
      <c r="P922" s="5" t="str">
        <f t="shared" si="86"/>
        <v>Friday</v>
      </c>
      <c r="Q922" s="5">
        <f t="shared" si="87"/>
        <v>16</v>
      </c>
      <c r="R922" s="28">
        <f t="shared" si="88"/>
        <v>0.98529411764705888</v>
      </c>
      <c r="S922" s="29">
        <f t="shared" si="89"/>
        <v>98.529411764705884</v>
      </c>
      <c r="T922" s="5" t="str">
        <f>IF(Delivery_Data[[#This Row],[Delays (min)]]&gt;0,"No","Yes")</f>
        <v>No</v>
      </c>
    </row>
    <row r="923" spans="1:20" ht="15.75" customHeight="1" x14ac:dyDescent="0.3">
      <c r="A923" s="4">
        <v>1922</v>
      </c>
      <c r="B923" s="5" t="s">
        <v>1034</v>
      </c>
      <c r="C923" s="6">
        <v>45176.674305555556</v>
      </c>
      <c r="D923" s="5" t="s">
        <v>43</v>
      </c>
      <c r="E923" s="5" t="s">
        <v>185</v>
      </c>
      <c r="F923" s="5" t="s">
        <v>16</v>
      </c>
      <c r="G923" s="5" t="s">
        <v>17</v>
      </c>
      <c r="H923" s="5">
        <v>217</v>
      </c>
      <c r="I923" s="5">
        <v>3</v>
      </c>
      <c r="J923" s="5" t="s">
        <v>32</v>
      </c>
      <c r="K923" s="5" t="s">
        <v>27</v>
      </c>
      <c r="L923" s="5" t="s">
        <v>40</v>
      </c>
      <c r="M923" s="7" t="s">
        <v>46</v>
      </c>
      <c r="N923" s="26">
        <f t="shared" si="84"/>
        <v>-1</v>
      </c>
      <c r="O923" s="42">
        <f t="shared" si="85"/>
        <v>45176</v>
      </c>
      <c r="P923" s="5" t="str">
        <f t="shared" si="86"/>
        <v>Thursday</v>
      </c>
      <c r="Q923" s="5">
        <f t="shared" si="87"/>
        <v>16</v>
      </c>
      <c r="R923" s="28">
        <f t="shared" si="88"/>
        <v>0.98636363636363633</v>
      </c>
      <c r="S923" s="29">
        <f t="shared" si="89"/>
        <v>98.636363636363626</v>
      </c>
      <c r="T923" s="5" t="str">
        <f>IF(Delivery_Data[[#This Row],[Delays (min)]]&gt;0,"No","Yes")</f>
        <v>No</v>
      </c>
    </row>
    <row r="924" spans="1:20" ht="15.75" customHeight="1" x14ac:dyDescent="0.3">
      <c r="A924" s="4">
        <v>1923</v>
      </c>
      <c r="B924" s="5" t="s">
        <v>1035</v>
      </c>
      <c r="C924" s="6">
        <v>45171.659722222219</v>
      </c>
      <c r="D924" s="5" t="s">
        <v>43</v>
      </c>
      <c r="E924" s="5" t="s">
        <v>30</v>
      </c>
      <c r="F924" s="5" t="s">
        <v>16</v>
      </c>
      <c r="G924" s="5" t="s">
        <v>39</v>
      </c>
      <c r="H924" s="5">
        <v>90</v>
      </c>
      <c r="I924" s="5">
        <v>9</v>
      </c>
      <c r="J924" s="5" t="s">
        <v>32</v>
      </c>
      <c r="K924" s="5" t="s">
        <v>35</v>
      </c>
      <c r="L924" s="5" t="s">
        <v>40</v>
      </c>
      <c r="M924" s="7" t="s">
        <v>21</v>
      </c>
      <c r="N924" s="26">
        <f t="shared" si="84"/>
        <v>-1</v>
      </c>
      <c r="O924" s="42">
        <f t="shared" si="85"/>
        <v>45171</v>
      </c>
      <c r="P924" s="5" t="str">
        <f t="shared" si="86"/>
        <v>Saturday</v>
      </c>
      <c r="Q924" s="5">
        <f t="shared" si="87"/>
        <v>15</v>
      </c>
      <c r="R924" s="28">
        <f t="shared" si="88"/>
        <v>0.90909090909090906</v>
      </c>
      <c r="S924" s="29">
        <f t="shared" si="89"/>
        <v>90.909090909090907</v>
      </c>
      <c r="T924" s="5" t="str">
        <f>IF(Delivery_Data[[#This Row],[Delays (min)]]&gt;0,"No","Yes")</f>
        <v>No</v>
      </c>
    </row>
    <row r="925" spans="1:20" ht="15.75" customHeight="1" x14ac:dyDescent="0.3">
      <c r="A925" s="4">
        <v>1924</v>
      </c>
      <c r="B925" s="5" t="s">
        <v>1036</v>
      </c>
      <c r="C925" s="6">
        <v>45172.70208333333</v>
      </c>
      <c r="D925" s="5" t="s">
        <v>43</v>
      </c>
      <c r="E925" s="5" t="s">
        <v>160</v>
      </c>
      <c r="F925" s="5" t="s">
        <v>16</v>
      </c>
      <c r="G925" s="5" t="s">
        <v>56</v>
      </c>
      <c r="H925" s="5">
        <v>115</v>
      </c>
      <c r="I925" s="5">
        <v>9</v>
      </c>
      <c r="J925" s="5" t="s">
        <v>26</v>
      </c>
      <c r="K925" s="5" t="s">
        <v>45</v>
      </c>
      <c r="L925" s="5" t="s">
        <v>40</v>
      </c>
      <c r="M925" s="7" t="s">
        <v>21</v>
      </c>
      <c r="N925" s="26">
        <f t="shared" si="84"/>
        <v>1</v>
      </c>
      <c r="O925" s="42">
        <f t="shared" si="85"/>
        <v>45172</v>
      </c>
      <c r="P925" s="5" t="str">
        <f t="shared" si="86"/>
        <v>Sunday</v>
      </c>
      <c r="Q925" s="5">
        <f t="shared" si="87"/>
        <v>16</v>
      </c>
      <c r="R925" s="28">
        <f t="shared" si="88"/>
        <v>0.92741935483870963</v>
      </c>
      <c r="S925" s="29">
        <f t="shared" si="89"/>
        <v>92.741935483870961</v>
      </c>
      <c r="T925" s="5" t="str">
        <f>IF(Delivery_Data[[#This Row],[Delays (min)]]&gt;0,"No","Yes")</f>
        <v>No</v>
      </c>
    </row>
    <row r="926" spans="1:20" ht="15.75" customHeight="1" x14ac:dyDescent="0.3">
      <c r="A926" s="4">
        <v>1925</v>
      </c>
      <c r="B926" s="5" t="s">
        <v>1037</v>
      </c>
      <c r="C926" s="6">
        <v>45170.474999999999</v>
      </c>
      <c r="D926" s="5" t="s">
        <v>14</v>
      </c>
      <c r="E926" s="5" t="s">
        <v>333</v>
      </c>
      <c r="F926" s="5" t="s">
        <v>38</v>
      </c>
      <c r="G926" s="5" t="s">
        <v>31</v>
      </c>
      <c r="H926" s="5">
        <v>198</v>
      </c>
      <c r="I926" s="5">
        <v>17</v>
      </c>
      <c r="J926" s="5" t="s">
        <v>26</v>
      </c>
      <c r="K926" s="5" t="s">
        <v>27</v>
      </c>
      <c r="L926" s="5" t="s">
        <v>28</v>
      </c>
      <c r="M926" s="7" t="s">
        <v>21</v>
      </c>
      <c r="N926" s="26">
        <f t="shared" si="84"/>
        <v>1</v>
      </c>
      <c r="O926" s="42">
        <f t="shared" si="85"/>
        <v>45170</v>
      </c>
      <c r="P926" s="5" t="str">
        <f t="shared" si="86"/>
        <v>Friday</v>
      </c>
      <c r="Q926" s="5">
        <f t="shared" si="87"/>
        <v>11</v>
      </c>
      <c r="R926" s="28">
        <f t="shared" si="88"/>
        <v>0.92093023255813955</v>
      </c>
      <c r="S926" s="29">
        <f t="shared" si="89"/>
        <v>92.093023255813961</v>
      </c>
      <c r="T926" s="5" t="str">
        <f>IF(Delivery_Data[[#This Row],[Delays (min)]]&gt;0,"No","Yes")</f>
        <v>No</v>
      </c>
    </row>
    <row r="927" spans="1:20" ht="15.75" customHeight="1" x14ac:dyDescent="0.3">
      <c r="A927" s="4">
        <v>1926</v>
      </c>
      <c r="B927" s="5" t="s">
        <v>1038</v>
      </c>
      <c r="C927" s="6">
        <v>45177.375</v>
      </c>
      <c r="D927" s="5" t="s">
        <v>43</v>
      </c>
      <c r="E927" s="5" t="s">
        <v>97</v>
      </c>
      <c r="F927" s="5" t="s">
        <v>16</v>
      </c>
      <c r="G927" s="5" t="s">
        <v>17</v>
      </c>
      <c r="H927" s="5">
        <v>181</v>
      </c>
      <c r="I927" s="5">
        <v>7</v>
      </c>
      <c r="J927" s="5" t="s">
        <v>32</v>
      </c>
      <c r="K927" s="5" t="s">
        <v>49</v>
      </c>
      <c r="L927" s="5" t="s">
        <v>20</v>
      </c>
      <c r="M927" s="7" t="s">
        <v>46</v>
      </c>
      <c r="N927" s="26">
        <f t="shared" si="84"/>
        <v>-1</v>
      </c>
      <c r="O927" s="42">
        <f t="shared" si="85"/>
        <v>45177</v>
      </c>
      <c r="P927" s="5" t="str">
        <f t="shared" si="86"/>
        <v>Friday</v>
      </c>
      <c r="Q927" s="5">
        <f t="shared" si="87"/>
        <v>9</v>
      </c>
      <c r="R927" s="28">
        <f t="shared" si="88"/>
        <v>0.96276595744680848</v>
      </c>
      <c r="S927" s="29">
        <f t="shared" si="89"/>
        <v>96.276595744680847</v>
      </c>
      <c r="T927" s="5" t="str">
        <f>IF(Delivery_Data[[#This Row],[Delays (min)]]&gt;0,"No","Yes")</f>
        <v>No</v>
      </c>
    </row>
    <row r="928" spans="1:20" ht="15.75" customHeight="1" x14ac:dyDescent="0.3">
      <c r="A928" s="4">
        <v>1927</v>
      </c>
      <c r="B928" s="5" t="s">
        <v>1039</v>
      </c>
      <c r="C928" s="6">
        <v>45176.381249999999</v>
      </c>
      <c r="D928" s="5" t="s">
        <v>43</v>
      </c>
      <c r="E928" s="5" t="s">
        <v>99</v>
      </c>
      <c r="F928" s="5" t="s">
        <v>16</v>
      </c>
      <c r="G928" s="5" t="s">
        <v>39</v>
      </c>
      <c r="H928" s="5">
        <v>72</v>
      </c>
      <c r="I928" s="5">
        <v>27</v>
      </c>
      <c r="J928" s="5" t="s">
        <v>26</v>
      </c>
      <c r="K928" s="5" t="s">
        <v>45</v>
      </c>
      <c r="L928" s="5" t="s">
        <v>40</v>
      </c>
      <c r="M928" s="7" t="s">
        <v>21</v>
      </c>
      <c r="N928" s="26">
        <f t="shared" si="84"/>
        <v>1</v>
      </c>
      <c r="O928" s="42">
        <f t="shared" si="85"/>
        <v>45176</v>
      </c>
      <c r="P928" s="5" t="str">
        <f t="shared" si="86"/>
        <v>Thursday</v>
      </c>
      <c r="Q928" s="5">
        <f t="shared" si="87"/>
        <v>9</v>
      </c>
      <c r="R928" s="28">
        <f t="shared" si="88"/>
        <v>0.72727272727272729</v>
      </c>
      <c r="S928" s="29">
        <f t="shared" si="89"/>
        <v>72.727272727272734</v>
      </c>
      <c r="T928" s="5" t="str">
        <f>IF(Delivery_Data[[#This Row],[Delays (min)]]&gt;0,"No","Yes")</f>
        <v>No</v>
      </c>
    </row>
    <row r="929" spans="1:20" ht="15.75" customHeight="1" x14ac:dyDescent="0.3">
      <c r="A929" s="4">
        <v>1928</v>
      </c>
      <c r="B929" s="5" t="s">
        <v>1040</v>
      </c>
      <c r="C929" s="6">
        <v>45173.390277777777</v>
      </c>
      <c r="D929" s="5" t="s">
        <v>14</v>
      </c>
      <c r="E929" s="5" t="s">
        <v>441</v>
      </c>
      <c r="F929" s="5" t="s">
        <v>16</v>
      </c>
      <c r="G929" s="5" t="s">
        <v>56</v>
      </c>
      <c r="H929" s="5">
        <v>205</v>
      </c>
      <c r="I929" s="5">
        <v>14</v>
      </c>
      <c r="J929" s="5" t="s">
        <v>18</v>
      </c>
      <c r="K929" s="5" t="s">
        <v>35</v>
      </c>
      <c r="L929" s="5" t="s">
        <v>40</v>
      </c>
      <c r="M929" s="7" t="s">
        <v>46</v>
      </c>
      <c r="N929" s="26">
        <f t="shared" si="84"/>
        <v>0</v>
      </c>
      <c r="O929" s="42">
        <f t="shared" si="85"/>
        <v>45173</v>
      </c>
      <c r="P929" s="5" t="str">
        <f t="shared" si="86"/>
        <v>Monday</v>
      </c>
      <c r="Q929" s="5">
        <f t="shared" si="87"/>
        <v>9</v>
      </c>
      <c r="R929" s="28">
        <f t="shared" si="88"/>
        <v>0.9360730593607306</v>
      </c>
      <c r="S929" s="29">
        <f t="shared" si="89"/>
        <v>93.607305936073061</v>
      </c>
      <c r="T929" s="5" t="str">
        <f>IF(Delivery_Data[[#This Row],[Delays (min)]]&gt;0,"No","Yes")</f>
        <v>No</v>
      </c>
    </row>
    <row r="930" spans="1:20" ht="15.75" customHeight="1" x14ac:dyDescent="0.3">
      <c r="A930" s="4">
        <v>1929</v>
      </c>
      <c r="B930" s="5" t="s">
        <v>1041</v>
      </c>
      <c r="C930" s="6">
        <v>45172.696527777778</v>
      </c>
      <c r="D930" s="5" t="s">
        <v>14</v>
      </c>
      <c r="E930" s="5" t="s">
        <v>132</v>
      </c>
      <c r="F930" s="5" t="s">
        <v>38</v>
      </c>
      <c r="G930" s="5" t="s">
        <v>25</v>
      </c>
      <c r="H930" s="5">
        <v>95</v>
      </c>
      <c r="I930" s="5">
        <v>13</v>
      </c>
      <c r="J930" s="5" t="s">
        <v>32</v>
      </c>
      <c r="K930" s="5" t="s">
        <v>35</v>
      </c>
      <c r="L930" s="5" t="s">
        <v>28</v>
      </c>
      <c r="M930" s="7" t="s">
        <v>46</v>
      </c>
      <c r="N930" s="26">
        <f t="shared" si="84"/>
        <v>-1</v>
      </c>
      <c r="O930" s="42">
        <f t="shared" si="85"/>
        <v>45172</v>
      </c>
      <c r="P930" s="5" t="str">
        <f t="shared" si="86"/>
        <v>Sunday</v>
      </c>
      <c r="Q930" s="5">
        <f t="shared" si="87"/>
        <v>16</v>
      </c>
      <c r="R930" s="28">
        <f t="shared" si="88"/>
        <v>0.87962962962962965</v>
      </c>
      <c r="S930" s="29">
        <f t="shared" si="89"/>
        <v>87.962962962962962</v>
      </c>
      <c r="T930" s="5" t="str">
        <f>IF(Delivery_Data[[#This Row],[Delays (min)]]&gt;0,"No","Yes")</f>
        <v>No</v>
      </c>
    </row>
    <row r="931" spans="1:20" ht="15.75" customHeight="1" x14ac:dyDescent="0.3">
      <c r="A931" s="4">
        <v>1930</v>
      </c>
      <c r="B931" s="5" t="s">
        <v>1042</v>
      </c>
      <c r="C931" s="6">
        <v>45177.412499999999</v>
      </c>
      <c r="D931" s="5" t="s">
        <v>43</v>
      </c>
      <c r="E931" s="5" t="s">
        <v>85</v>
      </c>
      <c r="F931" s="5" t="s">
        <v>38</v>
      </c>
      <c r="G931" s="5" t="s">
        <v>56</v>
      </c>
      <c r="H931" s="5">
        <v>232</v>
      </c>
      <c r="I931" s="5">
        <v>24</v>
      </c>
      <c r="J931" s="5" t="s">
        <v>32</v>
      </c>
      <c r="K931" s="5" t="s">
        <v>35</v>
      </c>
      <c r="L931" s="5" t="s">
        <v>20</v>
      </c>
      <c r="M931" s="7" t="s">
        <v>46</v>
      </c>
      <c r="N931" s="26">
        <f t="shared" si="84"/>
        <v>-1</v>
      </c>
      <c r="O931" s="42">
        <f t="shared" si="85"/>
        <v>45177</v>
      </c>
      <c r="P931" s="5" t="str">
        <f t="shared" si="86"/>
        <v>Friday</v>
      </c>
      <c r="Q931" s="5">
        <f t="shared" si="87"/>
        <v>9</v>
      </c>
      <c r="R931" s="28">
        <f t="shared" si="88"/>
        <v>0.90625</v>
      </c>
      <c r="S931" s="29">
        <f t="shared" si="89"/>
        <v>90.625</v>
      </c>
      <c r="T931" s="5" t="str">
        <f>IF(Delivery_Data[[#This Row],[Delays (min)]]&gt;0,"No","Yes")</f>
        <v>No</v>
      </c>
    </row>
    <row r="932" spans="1:20" ht="15.75" customHeight="1" x14ac:dyDescent="0.3">
      <c r="A932" s="4">
        <v>1931</v>
      </c>
      <c r="B932" s="5" t="s">
        <v>1043</v>
      </c>
      <c r="C932" s="6">
        <v>45174.624305555553</v>
      </c>
      <c r="D932" s="5" t="s">
        <v>14</v>
      </c>
      <c r="E932" s="5" t="s">
        <v>55</v>
      </c>
      <c r="F932" s="5" t="s">
        <v>24</v>
      </c>
      <c r="G932" s="5" t="s">
        <v>17</v>
      </c>
      <c r="H932" s="5">
        <v>196</v>
      </c>
      <c r="I932" s="5">
        <v>5</v>
      </c>
      <c r="J932" s="5" t="s">
        <v>32</v>
      </c>
      <c r="K932" s="5" t="s">
        <v>45</v>
      </c>
      <c r="L932" s="5" t="s">
        <v>28</v>
      </c>
      <c r="M932" s="7" t="s">
        <v>41</v>
      </c>
      <c r="N932" s="26">
        <f t="shared" si="84"/>
        <v>-1</v>
      </c>
      <c r="O932" s="42">
        <f t="shared" si="85"/>
        <v>45174</v>
      </c>
      <c r="P932" s="5" t="str">
        <f t="shared" si="86"/>
        <v>Tuesday</v>
      </c>
      <c r="Q932" s="5">
        <f t="shared" si="87"/>
        <v>14</v>
      </c>
      <c r="R932" s="28">
        <f t="shared" si="88"/>
        <v>0.97512437810945274</v>
      </c>
      <c r="S932" s="29">
        <f t="shared" si="89"/>
        <v>97.512437810945272</v>
      </c>
      <c r="T932" s="5" t="str">
        <f>IF(Delivery_Data[[#This Row],[Delays (min)]]&gt;0,"No","Yes")</f>
        <v>No</v>
      </c>
    </row>
    <row r="933" spans="1:20" ht="15.75" customHeight="1" x14ac:dyDescent="0.3">
      <c r="A933" s="4">
        <v>1932</v>
      </c>
      <c r="B933" s="5" t="s">
        <v>1044</v>
      </c>
      <c r="C933" s="6">
        <v>45174.704861111109</v>
      </c>
      <c r="D933" s="5" t="s">
        <v>14</v>
      </c>
      <c r="E933" s="5" t="s">
        <v>87</v>
      </c>
      <c r="F933" s="5" t="s">
        <v>16</v>
      </c>
      <c r="G933" s="5" t="s">
        <v>17</v>
      </c>
      <c r="H933" s="5">
        <v>168</v>
      </c>
      <c r="I933" s="5">
        <v>12</v>
      </c>
      <c r="J933" s="5" t="s">
        <v>32</v>
      </c>
      <c r="K933" s="5" t="s">
        <v>27</v>
      </c>
      <c r="L933" s="5" t="s">
        <v>28</v>
      </c>
      <c r="M933" s="7" t="s">
        <v>46</v>
      </c>
      <c r="N933" s="26">
        <f t="shared" si="84"/>
        <v>-1</v>
      </c>
      <c r="O933" s="42">
        <f t="shared" si="85"/>
        <v>45174</v>
      </c>
      <c r="P933" s="5" t="str">
        <f t="shared" si="86"/>
        <v>Tuesday</v>
      </c>
      <c r="Q933" s="5">
        <f t="shared" si="87"/>
        <v>16</v>
      </c>
      <c r="R933" s="28">
        <f t="shared" si="88"/>
        <v>0.93333333333333335</v>
      </c>
      <c r="S933" s="29">
        <f t="shared" si="89"/>
        <v>93.333333333333329</v>
      </c>
      <c r="T933" s="5" t="str">
        <f>IF(Delivery_Data[[#This Row],[Delays (min)]]&gt;0,"No","Yes")</f>
        <v>No</v>
      </c>
    </row>
    <row r="934" spans="1:20" ht="15.75" customHeight="1" x14ac:dyDescent="0.3">
      <c r="A934" s="4">
        <v>1933</v>
      </c>
      <c r="B934" s="5" t="s">
        <v>1045</v>
      </c>
      <c r="C934" s="6">
        <v>45173.604166666664</v>
      </c>
      <c r="D934" s="5" t="s">
        <v>43</v>
      </c>
      <c r="E934" s="5" t="s">
        <v>143</v>
      </c>
      <c r="F934" s="5" t="s">
        <v>16</v>
      </c>
      <c r="G934" s="5" t="s">
        <v>56</v>
      </c>
      <c r="H934" s="5">
        <v>85</v>
      </c>
      <c r="I934" s="5">
        <v>22</v>
      </c>
      <c r="J934" s="5" t="s">
        <v>18</v>
      </c>
      <c r="K934" s="5" t="s">
        <v>19</v>
      </c>
      <c r="L934" s="5" t="s">
        <v>20</v>
      </c>
      <c r="M934" s="7" t="s">
        <v>41</v>
      </c>
      <c r="N934" s="26">
        <f t="shared" si="84"/>
        <v>0</v>
      </c>
      <c r="O934" s="42">
        <f t="shared" si="85"/>
        <v>45173</v>
      </c>
      <c r="P934" s="5" t="str">
        <f t="shared" si="86"/>
        <v>Monday</v>
      </c>
      <c r="Q934" s="5">
        <f t="shared" si="87"/>
        <v>14</v>
      </c>
      <c r="R934" s="28">
        <f t="shared" si="88"/>
        <v>0.79439252336448596</v>
      </c>
      <c r="S934" s="29">
        <f t="shared" si="89"/>
        <v>79.43925233644859</v>
      </c>
      <c r="T934" s="5" t="str">
        <f>IF(Delivery_Data[[#This Row],[Delays (min)]]&gt;0,"No","Yes")</f>
        <v>No</v>
      </c>
    </row>
    <row r="935" spans="1:20" ht="15.75" customHeight="1" x14ac:dyDescent="0.3">
      <c r="A935" s="4">
        <v>1934</v>
      </c>
      <c r="B935" s="5" t="s">
        <v>1046</v>
      </c>
      <c r="C935" s="6">
        <v>45174.561111111114</v>
      </c>
      <c r="D935" s="5" t="s">
        <v>14</v>
      </c>
      <c r="E935" s="5" t="s">
        <v>106</v>
      </c>
      <c r="F935" s="5" t="s">
        <v>16</v>
      </c>
      <c r="G935" s="5" t="s">
        <v>25</v>
      </c>
      <c r="H935" s="5">
        <v>206</v>
      </c>
      <c r="I935" s="5">
        <v>13</v>
      </c>
      <c r="J935" s="5" t="s">
        <v>32</v>
      </c>
      <c r="K935" s="5" t="s">
        <v>19</v>
      </c>
      <c r="L935" s="5" t="s">
        <v>40</v>
      </c>
      <c r="M935" s="7" t="s">
        <v>46</v>
      </c>
      <c r="N935" s="26">
        <f t="shared" si="84"/>
        <v>-1</v>
      </c>
      <c r="O935" s="42">
        <f t="shared" si="85"/>
        <v>45174</v>
      </c>
      <c r="P935" s="5" t="str">
        <f t="shared" si="86"/>
        <v>Tuesday</v>
      </c>
      <c r="Q935" s="5">
        <f t="shared" si="87"/>
        <v>13</v>
      </c>
      <c r="R935" s="28">
        <f t="shared" si="88"/>
        <v>0.94063926940639264</v>
      </c>
      <c r="S935" s="29">
        <f t="shared" si="89"/>
        <v>94.063926940639263</v>
      </c>
      <c r="T935" s="5" t="str">
        <f>IF(Delivery_Data[[#This Row],[Delays (min)]]&gt;0,"No","Yes")</f>
        <v>No</v>
      </c>
    </row>
    <row r="936" spans="1:20" ht="15.75" customHeight="1" x14ac:dyDescent="0.3">
      <c r="A936" s="4">
        <v>1935</v>
      </c>
      <c r="B936" s="5" t="s">
        <v>1047</v>
      </c>
      <c r="C936" s="6">
        <v>45173.42291666667</v>
      </c>
      <c r="D936" s="5" t="s">
        <v>14</v>
      </c>
      <c r="E936" s="5" t="s">
        <v>197</v>
      </c>
      <c r="F936" s="5" t="s">
        <v>16</v>
      </c>
      <c r="G936" s="5" t="s">
        <v>56</v>
      </c>
      <c r="H936" s="5">
        <v>188</v>
      </c>
      <c r="I936" s="5">
        <v>15</v>
      </c>
      <c r="J936" s="5" t="s">
        <v>18</v>
      </c>
      <c r="K936" s="5" t="s">
        <v>19</v>
      </c>
      <c r="L936" s="5" t="s">
        <v>28</v>
      </c>
      <c r="M936" s="7" t="s">
        <v>21</v>
      </c>
      <c r="N936" s="26">
        <f t="shared" si="84"/>
        <v>0</v>
      </c>
      <c r="O936" s="42">
        <f t="shared" si="85"/>
        <v>45173</v>
      </c>
      <c r="P936" s="5" t="str">
        <f t="shared" si="86"/>
        <v>Monday</v>
      </c>
      <c r="Q936" s="5">
        <f t="shared" si="87"/>
        <v>10</v>
      </c>
      <c r="R936" s="28">
        <f t="shared" si="88"/>
        <v>0.92610837438423643</v>
      </c>
      <c r="S936" s="29">
        <f t="shared" si="89"/>
        <v>92.610837438423644</v>
      </c>
      <c r="T936" s="5" t="str">
        <f>IF(Delivery_Data[[#This Row],[Delays (min)]]&gt;0,"No","Yes")</f>
        <v>No</v>
      </c>
    </row>
    <row r="937" spans="1:20" ht="15.75" customHeight="1" x14ac:dyDescent="0.3">
      <c r="A937" s="4">
        <v>1936</v>
      </c>
      <c r="B937" s="5" t="s">
        <v>1048</v>
      </c>
      <c r="C937" s="6">
        <v>45172.488888888889</v>
      </c>
      <c r="D937" s="5" t="s">
        <v>14</v>
      </c>
      <c r="E937" s="5" t="s">
        <v>193</v>
      </c>
      <c r="F937" s="5" t="s">
        <v>38</v>
      </c>
      <c r="G937" s="5" t="s">
        <v>39</v>
      </c>
      <c r="H937" s="5">
        <v>173</v>
      </c>
      <c r="I937" s="5">
        <v>19</v>
      </c>
      <c r="J937" s="5" t="s">
        <v>26</v>
      </c>
      <c r="K937" s="5" t="s">
        <v>35</v>
      </c>
      <c r="L937" s="5" t="s">
        <v>28</v>
      </c>
      <c r="M937" s="7" t="s">
        <v>46</v>
      </c>
      <c r="N937" s="26">
        <f t="shared" si="84"/>
        <v>1</v>
      </c>
      <c r="O937" s="42">
        <f t="shared" si="85"/>
        <v>45172</v>
      </c>
      <c r="P937" s="5" t="str">
        <f t="shared" si="86"/>
        <v>Sunday</v>
      </c>
      <c r="Q937" s="5">
        <f t="shared" si="87"/>
        <v>11</v>
      </c>
      <c r="R937" s="28">
        <f t="shared" si="88"/>
        <v>0.90104166666666663</v>
      </c>
      <c r="S937" s="29">
        <f t="shared" si="89"/>
        <v>90.104166666666657</v>
      </c>
      <c r="T937" s="5" t="str">
        <f>IF(Delivery_Data[[#This Row],[Delays (min)]]&gt;0,"No","Yes")</f>
        <v>No</v>
      </c>
    </row>
    <row r="938" spans="1:20" ht="15.75" customHeight="1" x14ac:dyDescent="0.3">
      <c r="A938" s="4">
        <v>1937</v>
      </c>
      <c r="B938" s="5" t="s">
        <v>575</v>
      </c>
      <c r="C938" s="6">
        <v>45170.423611111109</v>
      </c>
      <c r="D938" s="5" t="s">
        <v>43</v>
      </c>
      <c r="E938" s="5" t="s">
        <v>355</v>
      </c>
      <c r="F938" s="5" t="s">
        <v>16</v>
      </c>
      <c r="G938" s="5" t="s">
        <v>39</v>
      </c>
      <c r="H938" s="5">
        <v>222</v>
      </c>
      <c r="I938" s="5">
        <v>7</v>
      </c>
      <c r="J938" s="5" t="s">
        <v>18</v>
      </c>
      <c r="K938" s="5" t="s">
        <v>27</v>
      </c>
      <c r="L938" s="5" t="s">
        <v>20</v>
      </c>
      <c r="M938" s="7" t="s">
        <v>41</v>
      </c>
      <c r="N938" s="26">
        <f t="shared" si="84"/>
        <v>0</v>
      </c>
      <c r="O938" s="42">
        <f t="shared" si="85"/>
        <v>45170</v>
      </c>
      <c r="P938" s="5" t="str">
        <f t="shared" si="86"/>
        <v>Friday</v>
      </c>
      <c r="Q938" s="5">
        <f t="shared" si="87"/>
        <v>10</v>
      </c>
      <c r="R938" s="28">
        <f t="shared" si="88"/>
        <v>0.96943231441048039</v>
      </c>
      <c r="S938" s="29">
        <f t="shared" si="89"/>
        <v>96.943231441048042</v>
      </c>
      <c r="T938" s="5" t="str">
        <f>IF(Delivery_Data[[#This Row],[Delays (min)]]&gt;0,"No","Yes")</f>
        <v>No</v>
      </c>
    </row>
    <row r="939" spans="1:20" ht="15.75" customHeight="1" x14ac:dyDescent="0.3">
      <c r="A939" s="4">
        <v>1938</v>
      </c>
      <c r="B939" s="5" t="s">
        <v>1049</v>
      </c>
      <c r="C939" s="6">
        <v>45174.408333333333</v>
      </c>
      <c r="D939" s="5" t="s">
        <v>43</v>
      </c>
      <c r="E939" s="5" t="s">
        <v>106</v>
      </c>
      <c r="F939" s="5" t="s">
        <v>38</v>
      </c>
      <c r="G939" s="5" t="s">
        <v>17</v>
      </c>
      <c r="H939" s="5">
        <v>73</v>
      </c>
      <c r="I939" s="5">
        <v>21</v>
      </c>
      <c r="J939" s="5" t="s">
        <v>18</v>
      </c>
      <c r="K939" s="5" t="s">
        <v>35</v>
      </c>
      <c r="L939" s="5" t="s">
        <v>40</v>
      </c>
      <c r="M939" s="7" t="s">
        <v>21</v>
      </c>
      <c r="N939" s="26">
        <f t="shared" si="84"/>
        <v>0</v>
      </c>
      <c r="O939" s="42">
        <f t="shared" si="85"/>
        <v>45174</v>
      </c>
      <c r="P939" s="5" t="str">
        <f t="shared" si="86"/>
        <v>Tuesday</v>
      </c>
      <c r="Q939" s="5">
        <f t="shared" si="87"/>
        <v>9</v>
      </c>
      <c r="R939" s="28">
        <f t="shared" si="88"/>
        <v>0.77659574468085102</v>
      </c>
      <c r="S939" s="29">
        <f t="shared" si="89"/>
        <v>77.659574468085097</v>
      </c>
      <c r="T939" s="5" t="str">
        <f>IF(Delivery_Data[[#This Row],[Delays (min)]]&gt;0,"No","Yes")</f>
        <v>No</v>
      </c>
    </row>
    <row r="940" spans="1:20" ht="15.75" customHeight="1" x14ac:dyDescent="0.3">
      <c r="A940" s="4">
        <v>1939</v>
      </c>
      <c r="B940" s="5" t="s">
        <v>1050</v>
      </c>
      <c r="C940" s="6">
        <v>45175.506249999999</v>
      </c>
      <c r="D940" s="5" t="s">
        <v>14</v>
      </c>
      <c r="E940" s="5" t="s">
        <v>135</v>
      </c>
      <c r="F940" s="5" t="s">
        <v>24</v>
      </c>
      <c r="G940" s="5" t="s">
        <v>25</v>
      </c>
      <c r="H940" s="5">
        <v>187</v>
      </c>
      <c r="I940" s="5">
        <v>22</v>
      </c>
      <c r="J940" s="5" t="s">
        <v>18</v>
      </c>
      <c r="K940" s="5" t="s">
        <v>19</v>
      </c>
      <c r="L940" s="5" t="s">
        <v>20</v>
      </c>
      <c r="M940" s="7" t="s">
        <v>41</v>
      </c>
      <c r="N940" s="26">
        <f t="shared" si="84"/>
        <v>0</v>
      </c>
      <c r="O940" s="42">
        <f t="shared" si="85"/>
        <v>45175</v>
      </c>
      <c r="P940" s="5" t="str">
        <f t="shared" si="86"/>
        <v>Wednesday</v>
      </c>
      <c r="Q940" s="5">
        <f t="shared" si="87"/>
        <v>12</v>
      </c>
      <c r="R940" s="28">
        <f t="shared" si="88"/>
        <v>0.89473684210526316</v>
      </c>
      <c r="S940" s="29">
        <f t="shared" si="89"/>
        <v>89.473684210526315</v>
      </c>
      <c r="T940" s="5" t="str">
        <f>IF(Delivery_Data[[#This Row],[Delays (min)]]&gt;0,"No","Yes")</f>
        <v>No</v>
      </c>
    </row>
    <row r="941" spans="1:20" ht="15.75" customHeight="1" x14ac:dyDescent="0.3">
      <c r="A941" s="4">
        <v>1940</v>
      </c>
      <c r="B941" s="5" t="s">
        <v>1051</v>
      </c>
      <c r="C941" s="6">
        <v>45172.695833333331</v>
      </c>
      <c r="D941" s="5" t="s">
        <v>43</v>
      </c>
      <c r="E941" s="5" t="s">
        <v>304</v>
      </c>
      <c r="F941" s="5" t="s">
        <v>16</v>
      </c>
      <c r="G941" s="5" t="s">
        <v>25</v>
      </c>
      <c r="H941" s="5">
        <v>143</v>
      </c>
      <c r="I941" s="5">
        <v>23</v>
      </c>
      <c r="J941" s="5" t="s">
        <v>26</v>
      </c>
      <c r="K941" s="5" t="s">
        <v>19</v>
      </c>
      <c r="L941" s="5" t="s">
        <v>40</v>
      </c>
      <c r="M941" s="7" t="s">
        <v>46</v>
      </c>
      <c r="N941" s="26">
        <f t="shared" si="84"/>
        <v>1</v>
      </c>
      <c r="O941" s="42">
        <f t="shared" si="85"/>
        <v>45172</v>
      </c>
      <c r="P941" s="5" t="str">
        <f t="shared" si="86"/>
        <v>Sunday</v>
      </c>
      <c r="Q941" s="5">
        <f t="shared" si="87"/>
        <v>16</v>
      </c>
      <c r="R941" s="28">
        <f t="shared" si="88"/>
        <v>0.86144578313253017</v>
      </c>
      <c r="S941" s="29">
        <f t="shared" si="89"/>
        <v>86.144578313253021</v>
      </c>
      <c r="T941" s="5" t="str">
        <f>IF(Delivery_Data[[#This Row],[Delays (min)]]&gt;0,"No","Yes")</f>
        <v>No</v>
      </c>
    </row>
    <row r="942" spans="1:20" ht="15.75" customHeight="1" x14ac:dyDescent="0.3">
      <c r="A942" s="4">
        <v>1941</v>
      </c>
      <c r="B942" s="5" t="s">
        <v>1052</v>
      </c>
      <c r="C942" s="6">
        <v>45175.424305555556</v>
      </c>
      <c r="D942" s="5" t="s">
        <v>14</v>
      </c>
      <c r="E942" s="5" t="s">
        <v>215</v>
      </c>
      <c r="F942" s="5" t="s">
        <v>38</v>
      </c>
      <c r="G942" s="5" t="s">
        <v>39</v>
      </c>
      <c r="H942" s="5">
        <v>115</v>
      </c>
      <c r="I942" s="5">
        <v>16</v>
      </c>
      <c r="J942" s="5" t="s">
        <v>26</v>
      </c>
      <c r="K942" s="5" t="s">
        <v>35</v>
      </c>
      <c r="L942" s="5" t="s">
        <v>20</v>
      </c>
      <c r="M942" s="7" t="s">
        <v>46</v>
      </c>
      <c r="N942" s="26">
        <f t="shared" si="84"/>
        <v>1</v>
      </c>
      <c r="O942" s="42">
        <f t="shared" si="85"/>
        <v>45175</v>
      </c>
      <c r="P942" s="5" t="str">
        <f t="shared" si="86"/>
        <v>Wednesday</v>
      </c>
      <c r="Q942" s="5">
        <f t="shared" si="87"/>
        <v>10</v>
      </c>
      <c r="R942" s="28">
        <f t="shared" si="88"/>
        <v>0.87786259541984735</v>
      </c>
      <c r="S942" s="29">
        <f t="shared" si="89"/>
        <v>87.786259541984734</v>
      </c>
      <c r="T942" s="5" t="str">
        <f>IF(Delivery_Data[[#This Row],[Delays (min)]]&gt;0,"No","Yes")</f>
        <v>No</v>
      </c>
    </row>
    <row r="943" spans="1:20" ht="15.75" customHeight="1" x14ac:dyDescent="0.3">
      <c r="A943" s="4">
        <v>1942</v>
      </c>
      <c r="B943" s="5" t="s">
        <v>1053</v>
      </c>
      <c r="C943" s="6">
        <v>45176.585416666669</v>
      </c>
      <c r="D943" s="5" t="s">
        <v>14</v>
      </c>
      <c r="E943" s="5" t="s">
        <v>166</v>
      </c>
      <c r="F943" s="5" t="s">
        <v>24</v>
      </c>
      <c r="G943" s="5" t="s">
        <v>39</v>
      </c>
      <c r="H943" s="5">
        <v>161</v>
      </c>
      <c r="I943" s="5">
        <v>6</v>
      </c>
      <c r="J943" s="5" t="s">
        <v>18</v>
      </c>
      <c r="K943" s="5" t="s">
        <v>35</v>
      </c>
      <c r="L943" s="5" t="s">
        <v>40</v>
      </c>
      <c r="M943" s="7" t="s">
        <v>21</v>
      </c>
      <c r="N943" s="26">
        <f t="shared" si="84"/>
        <v>0</v>
      </c>
      <c r="O943" s="42">
        <f t="shared" si="85"/>
        <v>45176</v>
      </c>
      <c r="P943" s="5" t="str">
        <f t="shared" si="86"/>
        <v>Thursday</v>
      </c>
      <c r="Q943" s="5">
        <f t="shared" si="87"/>
        <v>14</v>
      </c>
      <c r="R943" s="28">
        <f t="shared" si="88"/>
        <v>0.9640718562874252</v>
      </c>
      <c r="S943" s="29">
        <f t="shared" si="89"/>
        <v>96.407185628742525</v>
      </c>
      <c r="T943" s="5" t="str">
        <f>IF(Delivery_Data[[#This Row],[Delays (min)]]&gt;0,"No","Yes")</f>
        <v>No</v>
      </c>
    </row>
    <row r="944" spans="1:20" ht="15.75" customHeight="1" x14ac:dyDescent="0.3">
      <c r="A944" s="4">
        <v>1943</v>
      </c>
      <c r="B944" s="5" t="s">
        <v>1054</v>
      </c>
      <c r="C944" s="6">
        <v>45175.452777777777</v>
      </c>
      <c r="D944" s="5" t="s">
        <v>14</v>
      </c>
      <c r="E944" s="5" t="s">
        <v>151</v>
      </c>
      <c r="F944" s="5" t="s">
        <v>24</v>
      </c>
      <c r="G944" s="5" t="s">
        <v>17</v>
      </c>
      <c r="H944" s="5">
        <v>200</v>
      </c>
      <c r="I944" s="5">
        <v>21</v>
      </c>
      <c r="J944" s="5" t="s">
        <v>32</v>
      </c>
      <c r="K944" s="5" t="s">
        <v>45</v>
      </c>
      <c r="L944" s="5" t="s">
        <v>20</v>
      </c>
      <c r="M944" s="7" t="s">
        <v>46</v>
      </c>
      <c r="N944" s="26">
        <f t="shared" si="84"/>
        <v>-1</v>
      </c>
      <c r="O944" s="42">
        <f t="shared" si="85"/>
        <v>45175</v>
      </c>
      <c r="P944" s="5" t="str">
        <f t="shared" si="86"/>
        <v>Wednesday</v>
      </c>
      <c r="Q944" s="5">
        <f t="shared" si="87"/>
        <v>10</v>
      </c>
      <c r="R944" s="28">
        <f t="shared" si="88"/>
        <v>0.90497737556561086</v>
      </c>
      <c r="S944" s="29">
        <f t="shared" si="89"/>
        <v>90.497737556561091</v>
      </c>
      <c r="T944" s="5" t="str">
        <f>IF(Delivery_Data[[#This Row],[Delays (min)]]&gt;0,"No","Yes")</f>
        <v>No</v>
      </c>
    </row>
    <row r="945" spans="1:20" ht="15.75" customHeight="1" x14ac:dyDescent="0.3">
      <c r="A945" s="4">
        <v>1944</v>
      </c>
      <c r="B945" s="5" t="s">
        <v>1055</v>
      </c>
      <c r="C945" s="6">
        <v>45170.474305555559</v>
      </c>
      <c r="D945" s="5" t="s">
        <v>43</v>
      </c>
      <c r="E945" s="5" t="s">
        <v>99</v>
      </c>
      <c r="F945" s="5" t="s">
        <v>38</v>
      </c>
      <c r="G945" s="5" t="s">
        <v>17</v>
      </c>
      <c r="H945" s="5">
        <v>91</v>
      </c>
      <c r="I945" s="5">
        <v>19</v>
      </c>
      <c r="J945" s="5" t="s">
        <v>32</v>
      </c>
      <c r="K945" s="5" t="s">
        <v>35</v>
      </c>
      <c r="L945" s="5" t="s">
        <v>20</v>
      </c>
      <c r="M945" s="7" t="s">
        <v>21</v>
      </c>
      <c r="N945" s="26">
        <f t="shared" si="84"/>
        <v>-1</v>
      </c>
      <c r="O945" s="42">
        <f t="shared" si="85"/>
        <v>45170</v>
      </c>
      <c r="P945" s="5" t="str">
        <f t="shared" si="86"/>
        <v>Friday</v>
      </c>
      <c r="Q945" s="5">
        <f t="shared" si="87"/>
        <v>11</v>
      </c>
      <c r="R945" s="28">
        <f t="shared" si="88"/>
        <v>0.82727272727272727</v>
      </c>
      <c r="S945" s="29">
        <f t="shared" si="89"/>
        <v>82.727272727272734</v>
      </c>
      <c r="T945" s="5" t="str">
        <f>IF(Delivery_Data[[#This Row],[Delays (min)]]&gt;0,"No","Yes")</f>
        <v>No</v>
      </c>
    </row>
    <row r="946" spans="1:20" ht="15.75" customHeight="1" x14ac:dyDescent="0.3">
      <c r="A946" s="4">
        <v>1945</v>
      </c>
      <c r="B946" s="5" t="s">
        <v>1056</v>
      </c>
      <c r="C946" s="6">
        <v>45177.59375</v>
      </c>
      <c r="D946" s="5" t="s">
        <v>43</v>
      </c>
      <c r="E946" s="5" t="s">
        <v>249</v>
      </c>
      <c r="F946" s="5" t="s">
        <v>38</v>
      </c>
      <c r="G946" s="5" t="s">
        <v>31</v>
      </c>
      <c r="H946" s="5">
        <v>177</v>
      </c>
      <c r="I946" s="5">
        <v>17</v>
      </c>
      <c r="J946" s="5" t="s">
        <v>32</v>
      </c>
      <c r="K946" s="5" t="s">
        <v>49</v>
      </c>
      <c r="L946" s="5" t="s">
        <v>40</v>
      </c>
      <c r="M946" s="7" t="s">
        <v>21</v>
      </c>
      <c r="N946" s="26">
        <f t="shared" si="84"/>
        <v>-1</v>
      </c>
      <c r="O946" s="42">
        <f t="shared" si="85"/>
        <v>45177</v>
      </c>
      <c r="P946" s="5" t="str">
        <f t="shared" si="86"/>
        <v>Friday</v>
      </c>
      <c r="Q946" s="5">
        <f t="shared" si="87"/>
        <v>14</v>
      </c>
      <c r="R946" s="28">
        <f t="shared" si="88"/>
        <v>0.91237113402061853</v>
      </c>
      <c r="S946" s="29">
        <f t="shared" si="89"/>
        <v>91.237113402061851</v>
      </c>
      <c r="T946" s="5" t="str">
        <f>IF(Delivery_Data[[#This Row],[Delays (min)]]&gt;0,"No","Yes")</f>
        <v>No</v>
      </c>
    </row>
    <row r="947" spans="1:20" ht="15.75" customHeight="1" x14ac:dyDescent="0.3">
      <c r="A947" s="4">
        <v>1946</v>
      </c>
      <c r="B947" s="5" t="s">
        <v>1057</v>
      </c>
      <c r="C947" s="6">
        <v>45171.461111111108</v>
      </c>
      <c r="D947" s="5" t="s">
        <v>14</v>
      </c>
      <c r="E947" s="5" t="s">
        <v>403</v>
      </c>
      <c r="F947" s="5" t="s">
        <v>38</v>
      </c>
      <c r="G947" s="5" t="s">
        <v>31</v>
      </c>
      <c r="H947" s="5">
        <v>128</v>
      </c>
      <c r="I947" s="5">
        <v>13</v>
      </c>
      <c r="J947" s="5" t="s">
        <v>32</v>
      </c>
      <c r="K947" s="5" t="s">
        <v>45</v>
      </c>
      <c r="L947" s="5" t="s">
        <v>40</v>
      </c>
      <c r="M947" s="7" t="s">
        <v>41</v>
      </c>
      <c r="N947" s="26">
        <f t="shared" si="84"/>
        <v>-1</v>
      </c>
      <c r="O947" s="42">
        <f t="shared" si="85"/>
        <v>45171</v>
      </c>
      <c r="P947" s="5" t="str">
        <f t="shared" si="86"/>
        <v>Saturday</v>
      </c>
      <c r="Q947" s="5">
        <f t="shared" si="87"/>
        <v>11</v>
      </c>
      <c r="R947" s="28">
        <f t="shared" si="88"/>
        <v>0.90780141843971629</v>
      </c>
      <c r="S947" s="29">
        <f t="shared" si="89"/>
        <v>90.780141843971634</v>
      </c>
      <c r="T947" s="5" t="str">
        <f>IF(Delivery_Data[[#This Row],[Delays (min)]]&gt;0,"No","Yes")</f>
        <v>No</v>
      </c>
    </row>
    <row r="948" spans="1:20" ht="15.75" customHeight="1" x14ac:dyDescent="0.3">
      <c r="A948" s="4">
        <v>1947</v>
      </c>
      <c r="B948" s="5" t="s">
        <v>1058</v>
      </c>
      <c r="C948" s="6">
        <v>45174.668749999997</v>
      </c>
      <c r="D948" s="5" t="s">
        <v>43</v>
      </c>
      <c r="E948" s="5" t="s">
        <v>249</v>
      </c>
      <c r="F948" s="5" t="s">
        <v>24</v>
      </c>
      <c r="G948" s="5" t="s">
        <v>25</v>
      </c>
      <c r="H948" s="5">
        <v>109</v>
      </c>
      <c r="I948" s="5">
        <v>12</v>
      </c>
      <c r="J948" s="5" t="s">
        <v>18</v>
      </c>
      <c r="K948" s="5" t="s">
        <v>49</v>
      </c>
      <c r="L948" s="5" t="s">
        <v>40</v>
      </c>
      <c r="M948" s="7" t="s">
        <v>46</v>
      </c>
      <c r="N948" s="26">
        <f t="shared" si="84"/>
        <v>0</v>
      </c>
      <c r="O948" s="42">
        <f t="shared" si="85"/>
        <v>45174</v>
      </c>
      <c r="P948" s="5" t="str">
        <f t="shared" si="86"/>
        <v>Tuesday</v>
      </c>
      <c r="Q948" s="5">
        <f t="shared" si="87"/>
        <v>16</v>
      </c>
      <c r="R948" s="28">
        <f t="shared" si="88"/>
        <v>0.90082644628099173</v>
      </c>
      <c r="S948" s="29">
        <f t="shared" si="89"/>
        <v>90.082644628099175</v>
      </c>
      <c r="T948" s="5" t="str">
        <f>IF(Delivery_Data[[#This Row],[Delays (min)]]&gt;0,"No","Yes")</f>
        <v>No</v>
      </c>
    </row>
    <row r="949" spans="1:20" ht="15.75" customHeight="1" x14ac:dyDescent="0.3">
      <c r="A949" s="4">
        <v>1948</v>
      </c>
      <c r="B949" s="5" t="s">
        <v>1059</v>
      </c>
      <c r="C949" s="6">
        <v>45177.613194444442</v>
      </c>
      <c r="D949" s="5" t="s">
        <v>43</v>
      </c>
      <c r="E949" s="5" t="s">
        <v>245</v>
      </c>
      <c r="F949" s="5" t="s">
        <v>38</v>
      </c>
      <c r="G949" s="5" t="s">
        <v>31</v>
      </c>
      <c r="H949" s="5">
        <v>120</v>
      </c>
      <c r="I949" s="5">
        <v>16</v>
      </c>
      <c r="J949" s="5" t="s">
        <v>32</v>
      </c>
      <c r="K949" s="5" t="s">
        <v>27</v>
      </c>
      <c r="L949" s="5" t="s">
        <v>40</v>
      </c>
      <c r="M949" s="7" t="s">
        <v>41</v>
      </c>
      <c r="N949" s="26">
        <f t="shared" si="84"/>
        <v>-1</v>
      </c>
      <c r="O949" s="42">
        <f t="shared" si="85"/>
        <v>45177</v>
      </c>
      <c r="P949" s="5" t="str">
        <f t="shared" si="86"/>
        <v>Friday</v>
      </c>
      <c r="Q949" s="5">
        <f t="shared" si="87"/>
        <v>14</v>
      </c>
      <c r="R949" s="28">
        <f t="shared" si="88"/>
        <v>0.88235294117647056</v>
      </c>
      <c r="S949" s="29">
        <f t="shared" si="89"/>
        <v>88.235294117647058</v>
      </c>
      <c r="T949" s="5" t="str">
        <f>IF(Delivery_Data[[#This Row],[Delays (min)]]&gt;0,"No","Yes")</f>
        <v>No</v>
      </c>
    </row>
    <row r="950" spans="1:20" ht="15.75" customHeight="1" x14ac:dyDescent="0.3">
      <c r="A950" s="4">
        <v>1949</v>
      </c>
      <c r="B950" s="5" t="s">
        <v>1060</v>
      </c>
      <c r="C950" s="6">
        <v>45173.504166666666</v>
      </c>
      <c r="D950" s="5" t="s">
        <v>43</v>
      </c>
      <c r="E950" s="5" t="s">
        <v>44</v>
      </c>
      <c r="F950" s="5" t="s">
        <v>16</v>
      </c>
      <c r="G950" s="5" t="s">
        <v>17</v>
      </c>
      <c r="H950" s="5">
        <v>233</v>
      </c>
      <c r="I950" s="5">
        <v>24</v>
      </c>
      <c r="J950" s="5" t="s">
        <v>26</v>
      </c>
      <c r="K950" s="5" t="s">
        <v>45</v>
      </c>
      <c r="L950" s="5" t="s">
        <v>40</v>
      </c>
      <c r="M950" s="7" t="s">
        <v>21</v>
      </c>
      <c r="N950" s="26">
        <f t="shared" si="84"/>
        <v>1</v>
      </c>
      <c r="O950" s="42">
        <f t="shared" si="85"/>
        <v>45173</v>
      </c>
      <c r="P950" s="5" t="str">
        <f t="shared" si="86"/>
        <v>Monday</v>
      </c>
      <c r="Q950" s="5">
        <f t="shared" si="87"/>
        <v>12</v>
      </c>
      <c r="R950" s="28">
        <f t="shared" si="88"/>
        <v>0.9066147859922179</v>
      </c>
      <c r="S950" s="29">
        <f t="shared" si="89"/>
        <v>90.661478599221795</v>
      </c>
      <c r="T950" s="5" t="str">
        <f>IF(Delivery_Data[[#This Row],[Delays (min)]]&gt;0,"No","Yes")</f>
        <v>No</v>
      </c>
    </row>
    <row r="951" spans="1:20" ht="15.75" customHeight="1" x14ac:dyDescent="0.3">
      <c r="A951" s="4">
        <v>1950</v>
      </c>
      <c r="B951" s="5" t="s">
        <v>1061</v>
      </c>
      <c r="C951" s="6">
        <v>45175.354861111111</v>
      </c>
      <c r="D951" s="5" t="s">
        <v>14</v>
      </c>
      <c r="E951" s="5" t="s">
        <v>370</v>
      </c>
      <c r="F951" s="5" t="s">
        <v>16</v>
      </c>
      <c r="G951" s="5" t="s">
        <v>56</v>
      </c>
      <c r="H951" s="5">
        <v>65</v>
      </c>
      <c r="I951" s="5">
        <v>20</v>
      </c>
      <c r="J951" s="5" t="s">
        <v>32</v>
      </c>
      <c r="K951" s="5" t="s">
        <v>49</v>
      </c>
      <c r="L951" s="5" t="s">
        <v>20</v>
      </c>
      <c r="M951" s="7" t="s">
        <v>46</v>
      </c>
      <c r="N951" s="26">
        <f t="shared" si="84"/>
        <v>-1</v>
      </c>
      <c r="O951" s="42">
        <f t="shared" si="85"/>
        <v>45175</v>
      </c>
      <c r="P951" s="5" t="str">
        <f t="shared" si="86"/>
        <v>Wednesday</v>
      </c>
      <c r="Q951" s="5">
        <f t="shared" si="87"/>
        <v>8</v>
      </c>
      <c r="R951" s="28">
        <f t="shared" si="88"/>
        <v>0.76470588235294112</v>
      </c>
      <c r="S951" s="29">
        <f t="shared" si="89"/>
        <v>76.470588235294116</v>
      </c>
      <c r="T951" s="5" t="str">
        <f>IF(Delivery_Data[[#This Row],[Delays (min)]]&gt;0,"No","Yes")</f>
        <v>No</v>
      </c>
    </row>
    <row r="952" spans="1:20" ht="15.75" customHeight="1" x14ac:dyDescent="0.3">
      <c r="A952" s="4">
        <v>1951</v>
      </c>
      <c r="B952" s="5" t="s">
        <v>1062</v>
      </c>
      <c r="C952" s="6">
        <v>45174.495833333334</v>
      </c>
      <c r="D952" s="5" t="s">
        <v>14</v>
      </c>
      <c r="E952" s="5" t="s">
        <v>158</v>
      </c>
      <c r="F952" s="5" t="s">
        <v>16</v>
      </c>
      <c r="G952" s="5" t="s">
        <v>25</v>
      </c>
      <c r="H952" s="5">
        <v>207</v>
      </c>
      <c r="I952" s="5">
        <v>19</v>
      </c>
      <c r="J952" s="5" t="s">
        <v>18</v>
      </c>
      <c r="K952" s="5" t="s">
        <v>19</v>
      </c>
      <c r="L952" s="5" t="s">
        <v>28</v>
      </c>
      <c r="M952" s="7" t="s">
        <v>46</v>
      </c>
      <c r="N952" s="26">
        <f t="shared" si="84"/>
        <v>0</v>
      </c>
      <c r="O952" s="42">
        <f t="shared" si="85"/>
        <v>45174</v>
      </c>
      <c r="P952" s="5" t="str">
        <f t="shared" si="86"/>
        <v>Tuesday</v>
      </c>
      <c r="Q952" s="5">
        <f t="shared" si="87"/>
        <v>11</v>
      </c>
      <c r="R952" s="28">
        <f t="shared" si="88"/>
        <v>0.91592920353982299</v>
      </c>
      <c r="S952" s="29">
        <f t="shared" si="89"/>
        <v>91.592920353982294</v>
      </c>
      <c r="T952" s="5" t="str">
        <f>IF(Delivery_Data[[#This Row],[Delays (min)]]&gt;0,"No","Yes")</f>
        <v>No</v>
      </c>
    </row>
    <row r="953" spans="1:20" ht="15.75" customHeight="1" x14ac:dyDescent="0.3">
      <c r="A953" s="4">
        <v>1952</v>
      </c>
      <c r="B953" s="5" t="s">
        <v>1063</v>
      </c>
      <c r="C953" s="6">
        <v>45175.40347222222</v>
      </c>
      <c r="D953" s="5" t="s">
        <v>43</v>
      </c>
      <c r="E953" s="5" t="s">
        <v>53</v>
      </c>
      <c r="F953" s="5" t="s">
        <v>16</v>
      </c>
      <c r="G953" s="5" t="s">
        <v>17</v>
      </c>
      <c r="H953" s="5">
        <v>172</v>
      </c>
      <c r="I953" s="5">
        <v>24</v>
      </c>
      <c r="J953" s="5" t="s">
        <v>26</v>
      </c>
      <c r="K953" s="5" t="s">
        <v>35</v>
      </c>
      <c r="L953" s="5" t="s">
        <v>20</v>
      </c>
      <c r="M953" s="7" t="s">
        <v>46</v>
      </c>
      <c r="N953" s="26">
        <f t="shared" si="84"/>
        <v>1</v>
      </c>
      <c r="O953" s="42">
        <f t="shared" si="85"/>
        <v>45175</v>
      </c>
      <c r="P953" s="5" t="str">
        <f t="shared" si="86"/>
        <v>Wednesday</v>
      </c>
      <c r="Q953" s="5">
        <f t="shared" si="87"/>
        <v>9</v>
      </c>
      <c r="R953" s="28">
        <f t="shared" si="88"/>
        <v>0.87755102040816324</v>
      </c>
      <c r="S953" s="29">
        <f t="shared" si="89"/>
        <v>87.755102040816325</v>
      </c>
      <c r="T953" s="5" t="str">
        <f>IF(Delivery_Data[[#This Row],[Delays (min)]]&gt;0,"No","Yes")</f>
        <v>No</v>
      </c>
    </row>
    <row r="954" spans="1:20" ht="15.75" customHeight="1" x14ac:dyDescent="0.3">
      <c r="A954" s="4">
        <v>1953</v>
      </c>
      <c r="B954" s="5" t="s">
        <v>1064</v>
      </c>
      <c r="C954" s="6">
        <v>45171.416666666664</v>
      </c>
      <c r="D954" s="5" t="s">
        <v>14</v>
      </c>
      <c r="E954" s="5" t="s">
        <v>234</v>
      </c>
      <c r="F954" s="5" t="s">
        <v>16</v>
      </c>
      <c r="G954" s="5" t="s">
        <v>39</v>
      </c>
      <c r="H954" s="5">
        <v>65</v>
      </c>
      <c r="I954" s="5">
        <v>0</v>
      </c>
      <c r="J954" s="5" t="s">
        <v>18</v>
      </c>
      <c r="K954" s="5" t="s">
        <v>19</v>
      </c>
      <c r="L954" s="5" t="s">
        <v>28</v>
      </c>
      <c r="M954" s="7" t="s">
        <v>46</v>
      </c>
      <c r="N954" s="26">
        <f t="shared" si="84"/>
        <v>0</v>
      </c>
      <c r="O954" s="42">
        <f t="shared" si="85"/>
        <v>45171</v>
      </c>
      <c r="P954" s="5" t="str">
        <f t="shared" si="86"/>
        <v>Saturday</v>
      </c>
      <c r="Q954" s="5">
        <f t="shared" si="87"/>
        <v>10</v>
      </c>
      <c r="R954" s="28">
        <f t="shared" si="88"/>
        <v>1</v>
      </c>
      <c r="S954" s="29">
        <f t="shared" si="89"/>
        <v>100</v>
      </c>
      <c r="T954" s="5" t="str">
        <f>IF(Delivery_Data[[#This Row],[Delays (min)]]&gt;0,"No","Yes")</f>
        <v>Yes</v>
      </c>
    </row>
    <row r="955" spans="1:20" ht="15.75" customHeight="1" x14ac:dyDescent="0.3">
      <c r="A955" s="4">
        <v>1954</v>
      </c>
      <c r="B955" s="5" t="s">
        <v>1065</v>
      </c>
      <c r="C955" s="6">
        <v>45176.492361111108</v>
      </c>
      <c r="D955" s="5" t="s">
        <v>43</v>
      </c>
      <c r="E955" s="5" t="s">
        <v>374</v>
      </c>
      <c r="F955" s="5" t="s">
        <v>24</v>
      </c>
      <c r="G955" s="5" t="s">
        <v>17</v>
      </c>
      <c r="H955" s="5">
        <v>185</v>
      </c>
      <c r="I955" s="5">
        <v>14</v>
      </c>
      <c r="J955" s="5" t="s">
        <v>26</v>
      </c>
      <c r="K955" s="5" t="s">
        <v>45</v>
      </c>
      <c r="L955" s="5" t="s">
        <v>40</v>
      </c>
      <c r="M955" s="7" t="s">
        <v>41</v>
      </c>
      <c r="N955" s="26">
        <f t="shared" si="84"/>
        <v>1</v>
      </c>
      <c r="O955" s="42">
        <f t="shared" si="85"/>
        <v>45176</v>
      </c>
      <c r="P955" s="5" t="str">
        <f t="shared" si="86"/>
        <v>Thursday</v>
      </c>
      <c r="Q955" s="5">
        <f t="shared" si="87"/>
        <v>11</v>
      </c>
      <c r="R955" s="28">
        <f t="shared" si="88"/>
        <v>0.92964824120603018</v>
      </c>
      <c r="S955" s="29">
        <f t="shared" si="89"/>
        <v>92.964824120603012</v>
      </c>
      <c r="T955" s="5" t="str">
        <f>IF(Delivery_Data[[#This Row],[Delays (min)]]&gt;0,"No","Yes")</f>
        <v>No</v>
      </c>
    </row>
    <row r="956" spans="1:20" ht="15.75" customHeight="1" x14ac:dyDescent="0.3">
      <c r="A956" s="4">
        <v>1955</v>
      </c>
      <c r="B956" s="5" t="s">
        <v>1066</v>
      </c>
      <c r="C956" s="6">
        <v>45170.434027777781</v>
      </c>
      <c r="D956" s="5" t="s">
        <v>43</v>
      </c>
      <c r="E956" s="5" t="s">
        <v>154</v>
      </c>
      <c r="F956" s="5" t="s">
        <v>38</v>
      </c>
      <c r="G956" s="5" t="s">
        <v>31</v>
      </c>
      <c r="H956" s="5">
        <v>92</v>
      </c>
      <c r="I956" s="5">
        <v>18</v>
      </c>
      <c r="J956" s="5" t="s">
        <v>18</v>
      </c>
      <c r="K956" s="5" t="s">
        <v>27</v>
      </c>
      <c r="L956" s="5" t="s">
        <v>28</v>
      </c>
      <c r="M956" s="7" t="s">
        <v>46</v>
      </c>
      <c r="N956" s="26">
        <f t="shared" si="84"/>
        <v>0</v>
      </c>
      <c r="O956" s="42">
        <f t="shared" si="85"/>
        <v>45170</v>
      </c>
      <c r="P956" s="5" t="str">
        <f t="shared" si="86"/>
        <v>Friday</v>
      </c>
      <c r="Q956" s="5">
        <f t="shared" si="87"/>
        <v>10</v>
      </c>
      <c r="R956" s="28">
        <f t="shared" si="88"/>
        <v>0.83636363636363631</v>
      </c>
      <c r="S956" s="29">
        <f t="shared" si="89"/>
        <v>83.636363636363626</v>
      </c>
      <c r="T956" s="5" t="str">
        <f>IF(Delivery_Data[[#This Row],[Delays (min)]]&gt;0,"No","Yes")</f>
        <v>No</v>
      </c>
    </row>
    <row r="957" spans="1:20" ht="15.75" customHeight="1" x14ac:dyDescent="0.3">
      <c r="A957" s="4">
        <v>1956</v>
      </c>
      <c r="B957" s="5" t="s">
        <v>1067</v>
      </c>
      <c r="C957" s="6">
        <v>45174.701388888891</v>
      </c>
      <c r="D957" s="5" t="s">
        <v>43</v>
      </c>
      <c r="E957" s="5" t="s">
        <v>374</v>
      </c>
      <c r="F957" s="5" t="s">
        <v>24</v>
      </c>
      <c r="G957" s="5" t="s">
        <v>56</v>
      </c>
      <c r="H957" s="5">
        <v>101</v>
      </c>
      <c r="I957" s="5">
        <v>26</v>
      </c>
      <c r="J957" s="5" t="s">
        <v>32</v>
      </c>
      <c r="K957" s="5" t="s">
        <v>35</v>
      </c>
      <c r="L957" s="5" t="s">
        <v>40</v>
      </c>
      <c r="M957" s="7" t="s">
        <v>21</v>
      </c>
      <c r="N957" s="26">
        <f t="shared" si="84"/>
        <v>-1</v>
      </c>
      <c r="O957" s="42">
        <f t="shared" si="85"/>
        <v>45174</v>
      </c>
      <c r="P957" s="5" t="str">
        <f t="shared" si="86"/>
        <v>Tuesday</v>
      </c>
      <c r="Q957" s="5">
        <f t="shared" si="87"/>
        <v>16</v>
      </c>
      <c r="R957" s="28">
        <f t="shared" si="88"/>
        <v>0.79527559055118113</v>
      </c>
      <c r="S957" s="29">
        <f t="shared" si="89"/>
        <v>79.527559055118118</v>
      </c>
      <c r="T957" s="5" t="str">
        <f>IF(Delivery_Data[[#This Row],[Delays (min)]]&gt;0,"No","Yes")</f>
        <v>No</v>
      </c>
    </row>
    <row r="958" spans="1:20" ht="15.75" customHeight="1" x14ac:dyDescent="0.3">
      <c r="A958" s="4">
        <v>1957</v>
      </c>
      <c r="B958" s="5" t="s">
        <v>1068</v>
      </c>
      <c r="C958" s="6">
        <v>45177.593055555553</v>
      </c>
      <c r="D958" s="5" t="s">
        <v>43</v>
      </c>
      <c r="E958" s="5" t="s">
        <v>468</v>
      </c>
      <c r="F958" s="5" t="s">
        <v>24</v>
      </c>
      <c r="G958" s="5" t="s">
        <v>25</v>
      </c>
      <c r="H958" s="5">
        <v>215</v>
      </c>
      <c r="I958" s="5">
        <v>5</v>
      </c>
      <c r="J958" s="5" t="s">
        <v>26</v>
      </c>
      <c r="K958" s="5" t="s">
        <v>49</v>
      </c>
      <c r="L958" s="5" t="s">
        <v>40</v>
      </c>
      <c r="M958" s="7" t="s">
        <v>41</v>
      </c>
      <c r="N958" s="26">
        <f t="shared" si="84"/>
        <v>1</v>
      </c>
      <c r="O958" s="42">
        <f t="shared" si="85"/>
        <v>45177</v>
      </c>
      <c r="P958" s="5" t="str">
        <f t="shared" si="86"/>
        <v>Friday</v>
      </c>
      <c r="Q958" s="5">
        <f t="shared" si="87"/>
        <v>14</v>
      </c>
      <c r="R958" s="28">
        <f t="shared" si="88"/>
        <v>0.97727272727272729</v>
      </c>
      <c r="S958" s="29">
        <f t="shared" si="89"/>
        <v>97.727272727272734</v>
      </c>
      <c r="T958" s="5" t="str">
        <f>IF(Delivery_Data[[#This Row],[Delays (min)]]&gt;0,"No","Yes")</f>
        <v>No</v>
      </c>
    </row>
    <row r="959" spans="1:20" ht="15.75" customHeight="1" x14ac:dyDescent="0.3">
      <c r="A959" s="4">
        <v>1958</v>
      </c>
      <c r="B959" s="5" t="s">
        <v>1069</v>
      </c>
      <c r="C959" s="6">
        <v>45171.558333333334</v>
      </c>
      <c r="D959" s="5" t="s">
        <v>43</v>
      </c>
      <c r="E959" s="5" t="s">
        <v>60</v>
      </c>
      <c r="F959" s="5" t="s">
        <v>24</v>
      </c>
      <c r="G959" s="5" t="s">
        <v>39</v>
      </c>
      <c r="H959" s="5">
        <v>228</v>
      </c>
      <c r="I959" s="5">
        <v>21</v>
      </c>
      <c r="J959" s="5" t="s">
        <v>26</v>
      </c>
      <c r="K959" s="5" t="s">
        <v>45</v>
      </c>
      <c r="L959" s="5" t="s">
        <v>20</v>
      </c>
      <c r="M959" s="7" t="s">
        <v>41</v>
      </c>
      <c r="N959" s="26">
        <f t="shared" si="84"/>
        <v>1</v>
      </c>
      <c r="O959" s="42">
        <f t="shared" si="85"/>
        <v>45171</v>
      </c>
      <c r="P959" s="5" t="str">
        <f t="shared" si="86"/>
        <v>Saturday</v>
      </c>
      <c r="Q959" s="5">
        <f t="shared" si="87"/>
        <v>13</v>
      </c>
      <c r="R959" s="28">
        <f t="shared" si="88"/>
        <v>0.91566265060240959</v>
      </c>
      <c r="S959" s="29">
        <f t="shared" si="89"/>
        <v>91.566265060240966</v>
      </c>
      <c r="T959" s="5" t="str">
        <f>IF(Delivery_Data[[#This Row],[Delays (min)]]&gt;0,"No","Yes")</f>
        <v>No</v>
      </c>
    </row>
    <row r="960" spans="1:20" ht="15.75" customHeight="1" x14ac:dyDescent="0.3">
      <c r="A960" s="4">
        <v>1959</v>
      </c>
      <c r="B960" s="5" t="s">
        <v>1070</v>
      </c>
      <c r="C960" s="6">
        <v>45174.573611111111</v>
      </c>
      <c r="D960" s="5" t="s">
        <v>43</v>
      </c>
      <c r="E960" s="5" t="s">
        <v>97</v>
      </c>
      <c r="F960" s="5" t="s">
        <v>38</v>
      </c>
      <c r="G960" s="5" t="s">
        <v>39</v>
      </c>
      <c r="H960" s="5">
        <v>63</v>
      </c>
      <c r="I960" s="5">
        <v>10</v>
      </c>
      <c r="J960" s="5" t="s">
        <v>26</v>
      </c>
      <c r="K960" s="5" t="s">
        <v>35</v>
      </c>
      <c r="L960" s="5" t="s">
        <v>40</v>
      </c>
      <c r="M960" s="7" t="s">
        <v>21</v>
      </c>
      <c r="N960" s="26">
        <f t="shared" si="84"/>
        <v>1</v>
      </c>
      <c r="O960" s="42">
        <f t="shared" si="85"/>
        <v>45174</v>
      </c>
      <c r="P960" s="5" t="str">
        <f t="shared" si="86"/>
        <v>Tuesday</v>
      </c>
      <c r="Q960" s="5">
        <f t="shared" si="87"/>
        <v>13</v>
      </c>
      <c r="R960" s="28">
        <f t="shared" si="88"/>
        <v>0.86301369863013699</v>
      </c>
      <c r="S960" s="29">
        <f t="shared" si="89"/>
        <v>86.301369863013704</v>
      </c>
      <c r="T960" s="5" t="str">
        <f>IF(Delivery_Data[[#This Row],[Delays (min)]]&gt;0,"No","Yes")</f>
        <v>No</v>
      </c>
    </row>
    <row r="961" spans="1:20" ht="15.75" customHeight="1" x14ac:dyDescent="0.3">
      <c r="A961" s="4">
        <v>1960</v>
      </c>
      <c r="B961" s="5" t="s">
        <v>1071</v>
      </c>
      <c r="C961" s="6">
        <v>45175.626388888886</v>
      </c>
      <c r="D961" s="5" t="s">
        <v>43</v>
      </c>
      <c r="E961" s="5" t="s">
        <v>410</v>
      </c>
      <c r="F961" s="5" t="s">
        <v>24</v>
      </c>
      <c r="G961" s="5" t="s">
        <v>17</v>
      </c>
      <c r="H961" s="5">
        <v>116</v>
      </c>
      <c r="I961" s="5">
        <v>26</v>
      </c>
      <c r="J961" s="5" t="s">
        <v>32</v>
      </c>
      <c r="K961" s="5" t="s">
        <v>49</v>
      </c>
      <c r="L961" s="5" t="s">
        <v>28</v>
      </c>
      <c r="M961" s="7" t="s">
        <v>46</v>
      </c>
      <c r="N961" s="26">
        <f t="shared" si="84"/>
        <v>-1</v>
      </c>
      <c r="O961" s="42">
        <f t="shared" si="85"/>
        <v>45175</v>
      </c>
      <c r="P961" s="5" t="str">
        <f t="shared" si="86"/>
        <v>Wednesday</v>
      </c>
      <c r="Q961" s="5">
        <f t="shared" si="87"/>
        <v>15</v>
      </c>
      <c r="R961" s="28">
        <f t="shared" si="88"/>
        <v>0.81690140845070425</v>
      </c>
      <c r="S961" s="29">
        <f t="shared" si="89"/>
        <v>81.690140845070431</v>
      </c>
      <c r="T961" s="5" t="str">
        <f>IF(Delivery_Data[[#This Row],[Delays (min)]]&gt;0,"No","Yes")</f>
        <v>No</v>
      </c>
    </row>
    <row r="962" spans="1:20" ht="15.75" customHeight="1" x14ac:dyDescent="0.3">
      <c r="A962" s="4">
        <v>1961</v>
      </c>
      <c r="B962" s="5" t="s">
        <v>1072</v>
      </c>
      <c r="C962" s="6">
        <v>45171.552777777775</v>
      </c>
      <c r="D962" s="5" t="s">
        <v>14</v>
      </c>
      <c r="E962" s="5" t="s">
        <v>73</v>
      </c>
      <c r="F962" s="5" t="s">
        <v>38</v>
      </c>
      <c r="G962" s="5" t="s">
        <v>17</v>
      </c>
      <c r="H962" s="5">
        <v>208</v>
      </c>
      <c r="I962" s="5">
        <v>20</v>
      </c>
      <c r="J962" s="5" t="s">
        <v>32</v>
      </c>
      <c r="K962" s="5" t="s">
        <v>45</v>
      </c>
      <c r="L962" s="5" t="s">
        <v>20</v>
      </c>
      <c r="M962" s="7" t="s">
        <v>21</v>
      </c>
      <c r="N962" s="26">
        <f t="shared" ref="N962:N1025" si="90">IF(J962="Positive",1,IF(J962="Neutral",0,IF(J962="Negative",-1,"")))</f>
        <v>-1</v>
      </c>
      <c r="O962" s="42">
        <f t="shared" ref="O962:O1025" si="91">INT(C962)</f>
        <v>45171</v>
      </c>
      <c r="P962" s="5" t="str">
        <f t="shared" ref="P962:P1025" si="92">TEXT(C962,"dddd")</f>
        <v>Saturday</v>
      </c>
      <c r="Q962" s="5">
        <f t="shared" ref="Q962:Q1025" si="93">HOUR(C962)</f>
        <v>13</v>
      </c>
      <c r="R962" s="28">
        <f t="shared" ref="R962:R1025" si="94">H962/(H962+I962)</f>
        <v>0.91228070175438591</v>
      </c>
      <c r="S962" s="29">
        <f t="shared" si="89"/>
        <v>91.228070175438589</v>
      </c>
      <c r="T962" s="5" t="str">
        <f>IF(Delivery_Data[[#This Row],[Delays (min)]]&gt;0,"No","Yes")</f>
        <v>No</v>
      </c>
    </row>
    <row r="963" spans="1:20" ht="15.75" customHeight="1" x14ac:dyDescent="0.3">
      <c r="A963" s="4">
        <v>1962</v>
      </c>
      <c r="B963" s="5" t="s">
        <v>1073</v>
      </c>
      <c r="C963" s="6">
        <v>45171.457638888889</v>
      </c>
      <c r="D963" s="5" t="s">
        <v>14</v>
      </c>
      <c r="E963" s="5" t="s">
        <v>187</v>
      </c>
      <c r="F963" s="5" t="s">
        <v>24</v>
      </c>
      <c r="G963" s="5" t="s">
        <v>56</v>
      </c>
      <c r="H963" s="5">
        <v>224</v>
      </c>
      <c r="I963" s="5">
        <v>10</v>
      </c>
      <c r="J963" s="5" t="s">
        <v>32</v>
      </c>
      <c r="K963" s="5" t="s">
        <v>19</v>
      </c>
      <c r="L963" s="5" t="s">
        <v>40</v>
      </c>
      <c r="M963" s="7" t="s">
        <v>21</v>
      </c>
      <c r="N963" s="26">
        <f t="shared" si="90"/>
        <v>-1</v>
      </c>
      <c r="O963" s="42">
        <f t="shared" si="91"/>
        <v>45171</v>
      </c>
      <c r="P963" s="5" t="str">
        <f t="shared" si="92"/>
        <v>Saturday</v>
      </c>
      <c r="Q963" s="5">
        <f t="shared" si="93"/>
        <v>10</v>
      </c>
      <c r="R963" s="28">
        <f t="shared" si="94"/>
        <v>0.95726495726495731</v>
      </c>
      <c r="S963" s="29">
        <f t="shared" ref="S963:S1026" si="95">IF(H963+I963=0,0,(H963/(H963+I963))*100) + (IFERROR(--J963,0)*10)</f>
        <v>95.726495726495727</v>
      </c>
      <c r="T963" s="5" t="str">
        <f>IF(Delivery_Data[[#This Row],[Delays (min)]]&gt;0,"No","Yes")</f>
        <v>No</v>
      </c>
    </row>
    <row r="964" spans="1:20" ht="15.75" customHeight="1" x14ac:dyDescent="0.3">
      <c r="A964" s="4">
        <v>1963</v>
      </c>
      <c r="B964" s="5" t="s">
        <v>1074</v>
      </c>
      <c r="C964" s="6">
        <v>45176.545138888891</v>
      </c>
      <c r="D964" s="5" t="s">
        <v>43</v>
      </c>
      <c r="E964" s="5" t="s">
        <v>370</v>
      </c>
      <c r="F964" s="5" t="s">
        <v>38</v>
      </c>
      <c r="G964" s="5" t="s">
        <v>39</v>
      </c>
      <c r="H964" s="5">
        <v>230</v>
      </c>
      <c r="I964" s="5">
        <v>21</v>
      </c>
      <c r="J964" s="5" t="s">
        <v>32</v>
      </c>
      <c r="K964" s="5" t="s">
        <v>45</v>
      </c>
      <c r="L964" s="5" t="s">
        <v>20</v>
      </c>
      <c r="M964" s="7" t="s">
        <v>46</v>
      </c>
      <c r="N964" s="26">
        <f t="shared" si="90"/>
        <v>-1</v>
      </c>
      <c r="O964" s="42">
        <f t="shared" si="91"/>
        <v>45176</v>
      </c>
      <c r="P964" s="5" t="str">
        <f t="shared" si="92"/>
        <v>Thursday</v>
      </c>
      <c r="Q964" s="5">
        <f t="shared" si="93"/>
        <v>13</v>
      </c>
      <c r="R964" s="28">
        <f t="shared" si="94"/>
        <v>0.91633466135458164</v>
      </c>
      <c r="S964" s="29">
        <f t="shared" si="95"/>
        <v>91.633466135458164</v>
      </c>
      <c r="T964" s="5" t="str">
        <f>IF(Delivery_Data[[#This Row],[Delays (min)]]&gt;0,"No","Yes")</f>
        <v>No</v>
      </c>
    </row>
    <row r="965" spans="1:20" ht="15.75" customHeight="1" x14ac:dyDescent="0.3">
      <c r="A965" s="4">
        <v>1964</v>
      </c>
      <c r="B965" s="5" t="s">
        <v>1075</v>
      </c>
      <c r="C965" s="6">
        <v>45171.50277777778</v>
      </c>
      <c r="D965" s="5" t="s">
        <v>14</v>
      </c>
      <c r="E965" s="5" t="s">
        <v>158</v>
      </c>
      <c r="F965" s="5" t="s">
        <v>16</v>
      </c>
      <c r="G965" s="5" t="s">
        <v>56</v>
      </c>
      <c r="H965" s="5">
        <v>130</v>
      </c>
      <c r="I965" s="5">
        <v>18</v>
      </c>
      <c r="J965" s="5" t="s">
        <v>32</v>
      </c>
      <c r="K965" s="5" t="s">
        <v>49</v>
      </c>
      <c r="L965" s="5" t="s">
        <v>40</v>
      </c>
      <c r="M965" s="7" t="s">
        <v>46</v>
      </c>
      <c r="N965" s="26">
        <f t="shared" si="90"/>
        <v>-1</v>
      </c>
      <c r="O965" s="42">
        <f t="shared" si="91"/>
        <v>45171</v>
      </c>
      <c r="P965" s="5" t="str">
        <f t="shared" si="92"/>
        <v>Saturday</v>
      </c>
      <c r="Q965" s="5">
        <f t="shared" si="93"/>
        <v>12</v>
      </c>
      <c r="R965" s="28">
        <f t="shared" si="94"/>
        <v>0.8783783783783784</v>
      </c>
      <c r="S965" s="29">
        <f t="shared" si="95"/>
        <v>87.837837837837839</v>
      </c>
      <c r="T965" s="5" t="str">
        <f>IF(Delivery_Data[[#This Row],[Delays (min)]]&gt;0,"No","Yes")</f>
        <v>No</v>
      </c>
    </row>
    <row r="966" spans="1:20" ht="15.75" customHeight="1" x14ac:dyDescent="0.3">
      <c r="A966" s="4">
        <v>1965</v>
      </c>
      <c r="B966" s="5" t="s">
        <v>1076</v>
      </c>
      <c r="C966" s="6">
        <v>45176.556250000001</v>
      </c>
      <c r="D966" s="5" t="s">
        <v>43</v>
      </c>
      <c r="E966" s="5" t="s">
        <v>267</v>
      </c>
      <c r="F966" s="5" t="s">
        <v>16</v>
      </c>
      <c r="G966" s="5" t="s">
        <v>17</v>
      </c>
      <c r="H966" s="5">
        <v>230</v>
      </c>
      <c r="I966" s="5">
        <v>14</v>
      </c>
      <c r="J966" s="5" t="s">
        <v>32</v>
      </c>
      <c r="K966" s="5" t="s">
        <v>19</v>
      </c>
      <c r="L966" s="5" t="s">
        <v>40</v>
      </c>
      <c r="M966" s="7" t="s">
        <v>41</v>
      </c>
      <c r="N966" s="26">
        <f t="shared" si="90"/>
        <v>-1</v>
      </c>
      <c r="O966" s="42">
        <f t="shared" si="91"/>
        <v>45176</v>
      </c>
      <c r="P966" s="5" t="str">
        <f t="shared" si="92"/>
        <v>Thursday</v>
      </c>
      <c r="Q966" s="5">
        <f t="shared" si="93"/>
        <v>13</v>
      </c>
      <c r="R966" s="28">
        <f t="shared" si="94"/>
        <v>0.94262295081967218</v>
      </c>
      <c r="S966" s="29">
        <f t="shared" si="95"/>
        <v>94.262295081967224</v>
      </c>
      <c r="T966" s="5" t="str">
        <f>IF(Delivery_Data[[#This Row],[Delays (min)]]&gt;0,"No","Yes")</f>
        <v>No</v>
      </c>
    </row>
    <row r="967" spans="1:20" ht="15.75" customHeight="1" x14ac:dyDescent="0.3">
      <c r="A967" s="4">
        <v>1966</v>
      </c>
      <c r="B967" s="5" t="s">
        <v>1077</v>
      </c>
      <c r="C967" s="6">
        <v>45171.500694444447</v>
      </c>
      <c r="D967" s="5" t="s">
        <v>43</v>
      </c>
      <c r="E967" s="5" t="s">
        <v>30</v>
      </c>
      <c r="F967" s="5" t="s">
        <v>16</v>
      </c>
      <c r="G967" s="5" t="s">
        <v>17</v>
      </c>
      <c r="H967" s="5">
        <v>168</v>
      </c>
      <c r="I967" s="5">
        <v>28</v>
      </c>
      <c r="J967" s="5" t="s">
        <v>18</v>
      </c>
      <c r="K967" s="5" t="s">
        <v>35</v>
      </c>
      <c r="L967" s="5" t="s">
        <v>28</v>
      </c>
      <c r="M967" s="7" t="s">
        <v>46</v>
      </c>
      <c r="N967" s="26">
        <f t="shared" si="90"/>
        <v>0</v>
      </c>
      <c r="O967" s="42">
        <f t="shared" si="91"/>
        <v>45171</v>
      </c>
      <c r="P967" s="5" t="str">
        <f t="shared" si="92"/>
        <v>Saturday</v>
      </c>
      <c r="Q967" s="5">
        <f t="shared" si="93"/>
        <v>12</v>
      </c>
      <c r="R967" s="28">
        <f t="shared" si="94"/>
        <v>0.8571428571428571</v>
      </c>
      <c r="S967" s="29">
        <f t="shared" si="95"/>
        <v>85.714285714285708</v>
      </c>
      <c r="T967" s="5" t="str">
        <f>IF(Delivery_Data[[#This Row],[Delays (min)]]&gt;0,"No","Yes")</f>
        <v>No</v>
      </c>
    </row>
    <row r="968" spans="1:20" ht="15.75" customHeight="1" x14ac:dyDescent="0.3">
      <c r="A968" s="4">
        <v>1967</v>
      </c>
      <c r="B968" s="5" t="s">
        <v>1078</v>
      </c>
      <c r="C968" s="6">
        <v>45173.609027777777</v>
      </c>
      <c r="D968" s="5" t="s">
        <v>43</v>
      </c>
      <c r="E968" s="5" t="s">
        <v>267</v>
      </c>
      <c r="F968" s="5" t="s">
        <v>16</v>
      </c>
      <c r="G968" s="5" t="s">
        <v>39</v>
      </c>
      <c r="H968" s="5">
        <v>202</v>
      </c>
      <c r="I968" s="5">
        <v>14</v>
      </c>
      <c r="J968" s="5" t="s">
        <v>18</v>
      </c>
      <c r="K968" s="5" t="s">
        <v>49</v>
      </c>
      <c r="L968" s="5" t="s">
        <v>20</v>
      </c>
      <c r="M968" s="7" t="s">
        <v>46</v>
      </c>
      <c r="N968" s="26">
        <f t="shared" si="90"/>
        <v>0</v>
      </c>
      <c r="O968" s="42">
        <f t="shared" si="91"/>
        <v>45173</v>
      </c>
      <c r="P968" s="5" t="str">
        <f t="shared" si="92"/>
        <v>Monday</v>
      </c>
      <c r="Q968" s="5">
        <f t="shared" si="93"/>
        <v>14</v>
      </c>
      <c r="R968" s="28">
        <f t="shared" si="94"/>
        <v>0.93518518518518523</v>
      </c>
      <c r="S968" s="29">
        <f t="shared" si="95"/>
        <v>93.518518518518519</v>
      </c>
      <c r="T968" s="5" t="str">
        <f>IF(Delivery_Data[[#This Row],[Delays (min)]]&gt;0,"No","Yes")</f>
        <v>No</v>
      </c>
    </row>
    <row r="969" spans="1:20" ht="15.75" customHeight="1" x14ac:dyDescent="0.3">
      <c r="A969" s="4">
        <v>1968</v>
      </c>
      <c r="B969" s="5" t="s">
        <v>1079</v>
      </c>
      <c r="C969" s="6">
        <v>45177.561111111114</v>
      </c>
      <c r="D969" s="5" t="s">
        <v>14</v>
      </c>
      <c r="E969" s="5" t="s">
        <v>73</v>
      </c>
      <c r="F969" s="5" t="s">
        <v>38</v>
      </c>
      <c r="G969" s="5" t="s">
        <v>56</v>
      </c>
      <c r="H969" s="5">
        <v>141</v>
      </c>
      <c r="I969" s="5">
        <v>2</v>
      </c>
      <c r="J969" s="5" t="s">
        <v>18</v>
      </c>
      <c r="K969" s="5" t="s">
        <v>27</v>
      </c>
      <c r="L969" s="5" t="s">
        <v>20</v>
      </c>
      <c r="M969" s="7" t="s">
        <v>46</v>
      </c>
      <c r="N969" s="26">
        <f t="shared" si="90"/>
        <v>0</v>
      </c>
      <c r="O969" s="42">
        <f t="shared" si="91"/>
        <v>45177</v>
      </c>
      <c r="P969" s="5" t="str">
        <f t="shared" si="92"/>
        <v>Friday</v>
      </c>
      <c r="Q969" s="5">
        <f t="shared" si="93"/>
        <v>13</v>
      </c>
      <c r="R969" s="28">
        <f t="shared" si="94"/>
        <v>0.98601398601398604</v>
      </c>
      <c r="S969" s="29">
        <f t="shared" si="95"/>
        <v>98.6013986013986</v>
      </c>
      <c r="T969" s="5" t="str">
        <f>IF(Delivery_Data[[#This Row],[Delays (min)]]&gt;0,"No","Yes")</f>
        <v>No</v>
      </c>
    </row>
    <row r="970" spans="1:20" ht="15.75" customHeight="1" x14ac:dyDescent="0.3">
      <c r="A970" s="4">
        <v>1969</v>
      </c>
      <c r="B970" s="5" t="s">
        <v>1080</v>
      </c>
      <c r="C970" s="6">
        <v>45172.57708333333</v>
      </c>
      <c r="D970" s="5" t="s">
        <v>43</v>
      </c>
      <c r="E970" s="5" t="s">
        <v>171</v>
      </c>
      <c r="F970" s="5" t="s">
        <v>38</v>
      </c>
      <c r="G970" s="5" t="s">
        <v>25</v>
      </c>
      <c r="H970" s="5">
        <v>219</v>
      </c>
      <c r="I970" s="5">
        <v>13</v>
      </c>
      <c r="J970" s="5" t="s">
        <v>26</v>
      </c>
      <c r="K970" s="5" t="s">
        <v>27</v>
      </c>
      <c r="L970" s="5" t="s">
        <v>28</v>
      </c>
      <c r="M970" s="7" t="s">
        <v>41</v>
      </c>
      <c r="N970" s="26">
        <f t="shared" si="90"/>
        <v>1</v>
      </c>
      <c r="O970" s="42">
        <f t="shared" si="91"/>
        <v>45172</v>
      </c>
      <c r="P970" s="5" t="str">
        <f t="shared" si="92"/>
        <v>Sunday</v>
      </c>
      <c r="Q970" s="5">
        <f t="shared" si="93"/>
        <v>13</v>
      </c>
      <c r="R970" s="28">
        <f t="shared" si="94"/>
        <v>0.94396551724137934</v>
      </c>
      <c r="S970" s="29">
        <f t="shared" si="95"/>
        <v>94.396551724137936</v>
      </c>
      <c r="T970" s="5" t="str">
        <f>IF(Delivery_Data[[#This Row],[Delays (min)]]&gt;0,"No","Yes")</f>
        <v>No</v>
      </c>
    </row>
    <row r="971" spans="1:20" ht="15.75" customHeight="1" x14ac:dyDescent="0.3">
      <c r="A971" s="4">
        <v>1970</v>
      </c>
      <c r="B971" s="5" t="s">
        <v>1081</v>
      </c>
      <c r="C971" s="6">
        <v>45170.354166666664</v>
      </c>
      <c r="D971" s="5" t="s">
        <v>43</v>
      </c>
      <c r="E971" s="5" t="s">
        <v>66</v>
      </c>
      <c r="F971" s="5" t="s">
        <v>24</v>
      </c>
      <c r="G971" s="5" t="s">
        <v>56</v>
      </c>
      <c r="H971" s="5">
        <v>78</v>
      </c>
      <c r="I971" s="5">
        <v>3</v>
      </c>
      <c r="J971" s="5" t="s">
        <v>18</v>
      </c>
      <c r="K971" s="5" t="s">
        <v>49</v>
      </c>
      <c r="L971" s="5" t="s">
        <v>40</v>
      </c>
      <c r="M971" s="7" t="s">
        <v>46</v>
      </c>
      <c r="N971" s="26">
        <f t="shared" si="90"/>
        <v>0</v>
      </c>
      <c r="O971" s="42">
        <f t="shared" si="91"/>
        <v>45170</v>
      </c>
      <c r="P971" s="5" t="str">
        <f t="shared" si="92"/>
        <v>Friday</v>
      </c>
      <c r="Q971" s="5">
        <f t="shared" si="93"/>
        <v>8</v>
      </c>
      <c r="R971" s="28">
        <f t="shared" si="94"/>
        <v>0.96296296296296291</v>
      </c>
      <c r="S971" s="29">
        <f t="shared" si="95"/>
        <v>96.296296296296291</v>
      </c>
      <c r="T971" s="5" t="str">
        <f>IF(Delivery_Data[[#This Row],[Delays (min)]]&gt;0,"No","Yes")</f>
        <v>No</v>
      </c>
    </row>
    <row r="972" spans="1:20" ht="15.75" customHeight="1" x14ac:dyDescent="0.3">
      <c r="A972" s="4">
        <v>1971</v>
      </c>
      <c r="B972" s="5" t="s">
        <v>1082</v>
      </c>
      <c r="C972" s="6">
        <v>45174.417361111111</v>
      </c>
      <c r="D972" s="5" t="s">
        <v>43</v>
      </c>
      <c r="E972" s="5" t="s">
        <v>169</v>
      </c>
      <c r="F972" s="5" t="s">
        <v>24</v>
      </c>
      <c r="G972" s="5" t="s">
        <v>25</v>
      </c>
      <c r="H972" s="5">
        <v>202</v>
      </c>
      <c r="I972" s="5">
        <v>15</v>
      </c>
      <c r="J972" s="5" t="s">
        <v>18</v>
      </c>
      <c r="K972" s="5" t="s">
        <v>19</v>
      </c>
      <c r="L972" s="5" t="s">
        <v>28</v>
      </c>
      <c r="M972" s="7" t="s">
        <v>41</v>
      </c>
      <c r="N972" s="26">
        <f t="shared" si="90"/>
        <v>0</v>
      </c>
      <c r="O972" s="42">
        <f t="shared" si="91"/>
        <v>45174</v>
      </c>
      <c r="P972" s="5" t="str">
        <f t="shared" si="92"/>
        <v>Tuesday</v>
      </c>
      <c r="Q972" s="5">
        <f t="shared" si="93"/>
        <v>10</v>
      </c>
      <c r="R972" s="28">
        <f t="shared" si="94"/>
        <v>0.93087557603686633</v>
      </c>
      <c r="S972" s="29">
        <f t="shared" si="95"/>
        <v>93.087557603686633</v>
      </c>
      <c r="T972" s="5" t="str">
        <f>IF(Delivery_Data[[#This Row],[Delays (min)]]&gt;0,"No","Yes")</f>
        <v>No</v>
      </c>
    </row>
    <row r="973" spans="1:20" ht="15.75" customHeight="1" x14ac:dyDescent="0.3">
      <c r="A973" s="4">
        <v>1972</v>
      </c>
      <c r="B973" s="5" t="s">
        <v>1083</v>
      </c>
      <c r="C973" s="6">
        <v>45172.435416666667</v>
      </c>
      <c r="D973" s="5" t="s">
        <v>43</v>
      </c>
      <c r="E973" s="5" t="s">
        <v>179</v>
      </c>
      <c r="F973" s="5" t="s">
        <v>24</v>
      </c>
      <c r="G973" s="5" t="s">
        <v>31</v>
      </c>
      <c r="H973" s="5">
        <v>93</v>
      </c>
      <c r="I973" s="5">
        <v>6</v>
      </c>
      <c r="J973" s="5" t="s">
        <v>26</v>
      </c>
      <c r="K973" s="5" t="s">
        <v>49</v>
      </c>
      <c r="L973" s="5" t="s">
        <v>40</v>
      </c>
      <c r="M973" s="7" t="s">
        <v>21</v>
      </c>
      <c r="N973" s="26">
        <f t="shared" si="90"/>
        <v>1</v>
      </c>
      <c r="O973" s="42">
        <f t="shared" si="91"/>
        <v>45172</v>
      </c>
      <c r="P973" s="5" t="str">
        <f t="shared" si="92"/>
        <v>Sunday</v>
      </c>
      <c r="Q973" s="5">
        <f t="shared" si="93"/>
        <v>10</v>
      </c>
      <c r="R973" s="28">
        <f t="shared" si="94"/>
        <v>0.93939393939393945</v>
      </c>
      <c r="S973" s="29">
        <f t="shared" si="95"/>
        <v>93.939393939393938</v>
      </c>
      <c r="T973" s="5" t="str">
        <f>IF(Delivery_Data[[#This Row],[Delays (min)]]&gt;0,"No","Yes")</f>
        <v>No</v>
      </c>
    </row>
    <row r="974" spans="1:20" ht="15.75" customHeight="1" x14ac:dyDescent="0.3">
      <c r="A974" s="4">
        <v>1973</v>
      </c>
      <c r="B974" s="5" t="s">
        <v>1084</v>
      </c>
      <c r="C974" s="6">
        <v>45177.336111111108</v>
      </c>
      <c r="D974" s="5" t="s">
        <v>14</v>
      </c>
      <c r="E974" s="5" t="s">
        <v>185</v>
      </c>
      <c r="F974" s="5" t="s">
        <v>38</v>
      </c>
      <c r="G974" s="5" t="s">
        <v>17</v>
      </c>
      <c r="H974" s="5">
        <v>170</v>
      </c>
      <c r="I974" s="5">
        <v>1</v>
      </c>
      <c r="J974" s="5" t="s">
        <v>26</v>
      </c>
      <c r="K974" s="5" t="s">
        <v>49</v>
      </c>
      <c r="L974" s="5" t="s">
        <v>20</v>
      </c>
      <c r="M974" s="7" t="s">
        <v>21</v>
      </c>
      <c r="N974" s="26">
        <f t="shared" si="90"/>
        <v>1</v>
      </c>
      <c r="O974" s="42">
        <f t="shared" si="91"/>
        <v>45177</v>
      </c>
      <c r="P974" s="5" t="str">
        <f t="shared" si="92"/>
        <v>Friday</v>
      </c>
      <c r="Q974" s="5">
        <f t="shared" si="93"/>
        <v>8</v>
      </c>
      <c r="R974" s="28">
        <f t="shared" si="94"/>
        <v>0.99415204678362568</v>
      </c>
      <c r="S974" s="29">
        <f t="shared" si="95"/>
        <v>99.415204678362571</v>
      </c>
      <c r="T974" s="5" t="str">
        <f>IF(Delivery_Data[[#This Row],[Delays (min)]]&gt;0,"No","Yes")</f>
        <v>No</v>
      </c>
    </row>
    <row r="975" spans="1:20" ht="15.75" customHeight="1" x14ac:dyDescent="0.3">
      <c r="A975" s="4">
        <v>1974</v>
      </c>
      <c r="B975" s="5" t="s">
        <v>1085</v>
      </c>
      <c r="C975" s="6">
        <v>45171.380555555559</v>
      </c>
      <c r="D975" s="5" t="s">
        <v>43</v>
      </c>
      <c r="E975" s="5" t="s">
        <v>182</v>
      </c>
      <c r="F975" s="5" t="s">
        <v>38</v>
      </c>
      <c r="G975" s="5" t="s">
        <v>25</v>
      </c>
      <c r="H975" s="5">
        <v>90</v>
      </c>
      <c r="I975" s="5">
        <v>24</v>
      </c>
      <c r="J975" s="5" t="s">
        <v>26</v>
      </c>
      <c r="K975" s="5" t="s">
        <v>19</v>
      </c>
      <c r="L975" s="5" t="s">
        <v>20</v>
      </c>
      <c r="M975" s="7" t="s">
        <v>41</v>
      </c>
      <c r="N975" s="26">
        <f t="shared" si="90"/>
        <v>1</v>
      </c>
      <c r="O975" s="42">
        <f t="shared" si="91"/>
        <v>45171</v>
      </c>
      <c r="P975" s="5" t="str">
        <f t="shared" si="92"/>
        <v>Saturday</v>
      </c>
      <c r="Q975" s="5">
        <f t="shared" si="93"/>
        <v>9</v>
      </c>
      <c r="R975" s="28">
        <f t="shared" si="94"/>
        <v>0.78947368421052633</v>
      </c>
      <c r="S975" s="29">
        <f t="shared" si="95"/>
        <v>78.94736842105263</v>
      </c>
      <c r="T975" s="5" t="str">
        <f>IF(Delivery_Data[[#This Row],[Delays (min)]]&gt;0,"No","Yes")</f>
        <v>No</v>
      </c>
    </row>
    <row r="976" spans="1:20" ht="15.75" customHeight="1" x14ac:dyDescent="0.3">
      <c r="A976" s="4">
        <v>1975</v>
      </c>
      <c r="B976" s="5" t="s">
        <v>1086</v>
      </c>
      <c r="C976" s="6">
        <v>45171.429861111108</v>
      </c>
      <c r="D976" s="5" t="s">
        <v>14</v>
      </c>
      <c r="E976" s="5" t="s">
        <v>202</v>
      </c>
      <c r="F976" s="5" t="s">
        <v>24</v>
      </c>
      <c r="G976" s="5" t="s">
        <v>31</v>
      </c>
      <c r="H976" s="5">
        <v>114</v>
      </c>
      <c r="I976" s="5">
        <v>17</v>
      </c>
      <c r="J976" s="5" t="s">
        <v>18</v>
      </c>
      <c r="K976" s="5" t="s">
        <v>45</v>
      </c>
      <c r="L976" s="5" t="s">
        <v>28</v>
      </c>
      <c r="M976" s="7" t="s">
        <v>41</v>
      </c>
      <c r="N976" s="26">
        <f t="shared" si="90"/>
        <v>0</v>
      </c>
      <c r="O976" s="42">
        <f t="shared" si="91"/>
        <v>45171</v>
      </c>
      <c r="P976" s="5" t="str">
        <f t="shared" si="92"/>
        <v>Saturday</v>
      </c>
      <c r="Q976" s="5">
        <f t="shared" si="93"/>
        <v>10</v>
      </c>
      <c r="R976" s="28">
        <f t="shared" si="94"/>
        <v>0.87022900763358779</v>
      </c>
      <c r="S976" s="29">
        <f t="shared" si="95"/>
        <v>87.022900763358777</v>
      </c>
      <c r="T976" s="5" t="str">
        <f>IF(Delivery_Data[[#This Row],[Delays (min)]]&gt;0,"No","Yes")</f>
        <v>No</v>
      </c>
    </row>
    <row r="977" spans="1:20" ht="15.75" customHeight="1" x14ac:dyDescent="0.3">
      <c r="A977" s="4">
        <v>1976</v>
      </c>
      <c r="B977" s="5" t="s">
        <v>1087</v>
      </c>
      <c r="C977" s="6">
        <v>45173.48333333333</v>
      </c>
      <c r="D977" s="5" t="s">
        <v>43</v>
      </c>
      <c r="E977" s="5" t="s">
        <v>277</v>
      </c>
      <c r="F977" s="5" t="s">
        <v>24</v>
      </c>
      <c r="G977" s="5" t="s">
        <v>31</v>
      </c>
      <c r="H977" s="5">
        <v>150</v>
      </c>
      <c r="I977" s="5">
        <v>6</v>
      </c>
      <c r="J977" s="5" t="s">
        <v>32</v>
      </c>
      <c r="K977" s="5" t="s">
        <v>49</v>
      </c>
      <c r="L977" s="5" t="s">
        <v>40</v>
      </c>
      <c r="M977" s="7" t="s">
        <v>46</v>
      </c>
      <c r="N977" s="26">
        <f t="shared" si="90"/>
        <v>-1</v>
      </c>
      <c r="O977" s="42">
        <f t="shared" si="91"/>
        <v>45173</v>
      </c>
      <c r="P977" s="5" t="str">
        <f t="shared" si="92"/>
        <v>Monday</v>
      </c>
      <c r="Q977" s="5">
        <f t="shared" si="93"/>
        <v>11</v>
      </c>
      <c r="R977" s="28">
        <f t="shared" si="94"/>
        <v>0.96153846153846156</v>
      </c>
      <c r="S977" s="29">
        <f t="shared" si="95"/>
        <v>96.15384615384616</v>
      </c>
      <c r="T977" s="5" t="str">
        <f>IF(Delivery_Data[[#This Row],[Delays (min)]]&gt;0,"No","Yes")</f>
        <v>No</v>
      </c>
    </row>
    <row r="978" spans="1:20" ht="15.75" customHeight="1" x14ac:dyDescent="0.3">
      <c r="A978" s="4">
        <v>1977</v>
      </c>
      <c r="B978" s="5" t="s">
        <v>1088</v>
      </c>
      <c r="C978" s="6">
        <v>45176.622916666667</v>
      </c>
      <c r="D978" s="5" t="s">
        <v>14</v>
      </c>
      <c r="E978" s="5" t="s">
        <v>231</v>
      </c>
      <c r="F978" s="5" t="s">
        <v>16</v>
      </c>
      <c r="G978" s="5" t="s">
        <v>17</v>
      </c>
      <c r="H978" s="5">
        <v>205</v>
      </c>
      <c r="I978" s="5">
        <v>21</v>
      </c>
      <c r="J978" s="5" t="s">
        <v>32</v>
      </c>
      <c r="K978" s="5" t="s">
        <v>49</v>
      </c>
      <c r="L978" s="5" t="s">
        <v>20</v>
      </c>
      <c r="M978" s="7" t="s">
        <v>41</v>
      </c>
      <c r="N978" s="26">
        <f t="shared" si="90"/>
        <v>-1</v>
      </c>
      <c r="O978" s="42">
        <f t="shared" si="91"/>
        <v>45176</v>
      </c>
      <c r="P978" s="5" t="str">
        <f t="shared" si="92"/>
        <v>Thursday</v>
      </c>
      <c r="Q978" s="5">
        <f t="shared" si="93"/>
        <v>14</v>
      </c>
      <c r="R978" s="28">
        <f t="shared" si="94"/>
        <v>0.90707964601769908</v>
      </c>
      <c r="S978" s="29">
        <f t="shared" si="95"/>
        <v>90.707964601769902</v>
      </c>
      <c r="T978" s="5" t="str">
        <f>IF(Delivery_Data[[#This Row],[Delays (min)]]&gt;0,"No","Yes")</f>
        <v>No</v>
      </c>
    </row>
    <row r="979" spans="1:20" ht="15.75" customHeight="1" x14ac:dyDescent="0.3">
      <c r="A979" s="4">
        <v>1978</v>
      </c>
      <c r="B979" s="5" t="s">
        <v>1089</v>
      </c>
      <c r="C979" s="6">
        <v>45177.648611111108</v>
      </c>
      <c r="D979" s="5" t="s">
        <v>43</v>
      </c>
      <c r="E979" s="5" t="s">
        <v>468</v>
      </c>
      <c r="F979" s="5" t="s">
        <v>24</v>
      </c>
      <c r="G979" s="5" t="s">
        <v>25</v>
      </c>
      <c r="H979" s="5">
        <v>179</v>
      </c>
      <c r="I979" s="5">
        <v>14</v>
      </c>
      <c r="J979" s="5" t="s">
        <v>18</v>
      </c>
      <c r="K979" s="5" t="s">
        <v>27</v>
      </c>
      <c r="L979" s="5" t="s">
        <v>40</v>
      </c>
      <c r="M979" s="7" t="s">
        <v>41</v>
      </c>
      <c r="N979" s="26">
        <f t="shared" si="90"/>
        <v>0</v>
      </c>
      <c r="O979" s="42">
        <f t="shared" si="91"/>
        <v>45177</v>
      </c>
      <c r="P979" s="5" t="str">
        <f t="shared" si="92"/>
        <v>Friday</v>
      </c>
      <c r="Q979" s="5">
        <f t="shared" si="93"/>
        <v>15</v>
      </c>
      <c r="R979" s="28">
        <f t="shared" si="94"/>
        <v>0.92746113989637302</v>
      </c>
      <c r="S979" s="29">
        <f t="shared" si="95"/>
        <v>92.746113989637308</v>
      </c>
      <c r="T979" s="5" t="str">
        <f>IF(Delivery_Data[[#This Row],[Delays (min)]]&gt;0,"No","Yes")</f>
        <v>No</v>
      </c>
    </row>
    <row r="980" spans="1:20" ht="15.75" customHeight="1" x14ac:dyDescent="0.3">
      <c r="A980" s="4">
        <v>1979</v>
      </c>
      <c r="B980" s="5" t="s">
        <v>1090</v>
      </c>
      <c r="C980" s="6">
        <v>45177.584722222222</v>
      </c>
      <c r="D980" s="5" t="s">
        <v>14</v>
      </c>
      <c r="E980" s="5" t="s">
        <v>48</v>
      </c>
      <c r="F980" s="5" t="s">
        <v>24</v>
      </c>
      <c r="G980" s="5" t="s">
        <v>31</v>
      </c>
      <c r="H980" s="5">
        <v>110</v>
      </c>
      <c r="I980" s="5">
        <v>26</v>
      </c>
      <c r="J980" s="5" t="s">
        <v>18</v>
      </c>
      <c r="K980" s="5" t="s">
        <v>49</v>
      </c>
      <c r="L980" s="5" t="s">
        <v>40</v>
      </c>
      <c r="M980" s="7" t="s">
        <v>41</v>
      </c>
      <c r="N980" s="26">
        <f t="shared" si="90"/>
        <v>0</v>
      </c>
      <c r="O980" s="42">
        <f t="shared" si="91"/>
        <v>45177</v>
      </c>
      <c r="P980" s="5" t="str">
        <f t="shared" si="92"/>
        <v>Friday</v>
      </c>
      <c r="Q980" s="5">
        <f t="shared" si="93"/>
        <v>14</v>
      </c>
      <c r="R980" s="28">
        <f t="shared" si="94"/>
        <v>0.80882352941176472</v>
      </c>
      <c r="S980" s="29">
        <f t="shared" si="95"/>
        <v>80.882352941176478</v>
      </c>
      <c r="T980" s="5" t="str">
        <f>IF(Delivery_Data[[#This Row],[Delays (min)]]&gt;0,"No","Yes")</f>
        <v>No</v>
      </c>
    </row>
    <row r="981" spans="1:20" ht="15.75" customHeight="1" x14ac:dyDescent="0.3">
      <c r="A981" s="4">
        <v>1980</v>
      </c>
      <c r="B981" s="5" t="s">
        <v>1091</v>
      </c>
      <c r="C981" s="6">
        <v>45172.461111111108</v>
      </c>
      <c r="D981" s="5" t="s">
        <v>14</v>
      </c>
      <c r="E981" s="5" t="s">
        <v>115</v>
      </c>
      <c r="F981" s="5" t="s">
        <v>24</v>
      </c>
      <c r="G981" s="5" t="s">
        <v>31</v>
      </c>
      <c r="H981" s="5">
        <v>214</v>
      </c>
      <c r="I981" s="5">
        <v>10</v>
      </c>
      <c r="J981" s="5" t="s">
        <v>18</v>
      </c>
      <c r="K981" s="5" t="s">
        <v>49</v>
      </c>
      <c r="L981" s="5" t="s">
        <v>20</v>
      </c>
      <c r="M981" s="7" t="s">
        <v>46</v>
      </c>
      <c r="N981" s="26">
        <f t="shared" si="90"/>
        <v>0</v>
      </c>
      <c r="O981" s="42">
        <f t="shared" si="91"/>
        <v>45172</v>
      </c>
      <c r="P981" s="5" t="str">
        <f t="shared" si="92"/>
        <v>Sunday</v>
      </c>
      <c r="Q981" s="5">
        <f t="shared" si="93"/>
        <v>11</v>
      </c>
      <c r="R981" s="28">
        <f t="shared" si="94"/>
        <v>0.9553571428571429</v>
      </c>
      <c r="S981" s="29">
        <f t="shared" si="95"/>
        <v>95.535714285714292</v>
      </c>
      <c r="T981" s="5" t="str">
        <f>IF(Delivery_Data[[#This Row],[Delays (min)]]&gt;0,"No","Yes")</f>
        <v>No</v>
      </c>
    </row>
    <row r="982" spans="1:20" ht="15.75" customHeight="1" x14ac:dyDescent="0.3">
      <c r="A982" s="4">
        <v>1981</v>
      </c>
      <c r="B982" s="5" t="s">
        <v>1092</v>
      </c>
      <c r="C982" s="6">
        <v>45177.604861111111</v>
      </c>
      <c r="D982" s="5" t="s">
        <v>14</v>
      </c>
      <c r="E982" s="5" t="s">
        <v>285</v>
      </c>
      <c r="F982" s="5" t="s">
        <v>16</v>
      </c>
      <c r="G982" s="5" t="s">
        <v>39</v>
      </c>
      <c r="H982" s="5">
        <v>123</v>
      </c>
      <c r="I982" s="5">
        <v>11</v>
      </c>
      <c r="J982" s="5" t="s">
        <v>26</v>
      </c>
      <c r="K982" s="5" t="s">
        <v>49</v>
      </c>
      <c r="L982" s="5" t="s">
        <v>28</v>
      </c>
      <c r="M982" s="7" t="s">
        <v>21</v>
      </c>
      <c r="N982" s="26">
        <f t="shared" si="90"/>
        <v>1</v>
      </c>
      <c r="O982" s="42">
        <f t="shared" si="91"/>
        <v>45177</v>
      </c>
      <c r="P982" s="5" t="str">
        <f t="shared" si="92"/>
        <v>Friday</v>
      </c>
      <c r="Q982" s="5">
        <f t="shared" si="93"/>
        <v>14</v>
      </c>
      <c r="R982" s="28">
        <f t="shared" si="94"/>
        <v>0.91791044776119401</v>
      </c>
      <c r="S982" s="29">
        <f t="shared" si="95"/>
        <v>91.791044776119406</v>
      </c>
      <c r="T982" s="5" t="str">
        <f>IF(Delivery_Data[[#This Row],[Delays (min)]]&gt;0,"No","Yes")</f>
        <v>No</v>
      </c>
    </row>
    <row r="983" spans="1:20" ht="15.75" customHeight="1" x14ac:dyDescent="0.3">
      <c r="A983" s="4">
        <v>1982</v>
      </c>
      <c r="B983" s="5" t="s">
        <v>1093</v>
      </c>
      <c r="C983" s="6">
        <v>45172.461805555555</v>
      </c>
      <c r="D983" s="5" t="s">
        <v>14</v>
      </c>
      <c r="E983" s="5" t="s">
        <v>120</v>
      </c>
      <c r="F983" s="5" t="s">
        <v>16</v>
      </c>
      <c r="G983" s="5" t="s">
        <v>56</v>
      </c>
      <c r="H983" s="5">
        <v>155</v>
      </c>
      <c r="I983" s="5">
        <v>24</v>
      </c>
      <c r="J983" s="5" t="s">
        <v>26</v>
      </c>
      <c r="K983" s="5" t="s">
        <v>49</v>
      </c>
      <c r="L983" s="5" t="s">
        <v>28</v>
      </c>
      <c r="M983" s="7" t="s">
        <v>41</v>
      </c>
      <c r="N983" s="26">
        <f t="shared" si="90"/>
        <v>1</v>
      </c>
      <c r="O983" s="42">
        <f t="shared" si="91"/>
        <v>45172</v>
      </c>
      <c r="P983" s="5" t="str">
        <f t="shared" si="92"/>
        <v>Sunday</v>
      </c>
      <c r="Q983" s="5">
        <f t="shared" si="93"/>
        <v>11</v>
      </c>
      <c r="R983" s="28">
        <f t="shared" si="94"/>
        <v>0.86592178770949724</v>
      </c>
      <c r="S983" s="29">
        <f t="shared" si="95"/>
        <v>86.592178770949729</v>
      </c>
      <c r="T983" s="5" t="str">
        <f>IF(Delivery_Data[[#This Row],[Delays (min)]]&gt;0,"No","Yes")</f>
        <v>No</v>
      </c>
    </row>
    <row r="984" spans="1:20" ht="15.75" customHeight="1" x14ac:dyDescent="0.3">
      <c r="A984" s="4">
        <v>1983</v>
      </c>
      <c r="B984" s="5" t="s">
        <v>1094</v>
      </c>
      <c r="C984" s="6">
        <v>45176.436111111114</v>
      </c>
      <c r="D984" s="5" t="s">
        <v>14</v>
      </c>
      <c r="E984" s="5" t="s">
        <v>78</v>
      </c>
      <c r="F984" s="5" t="s">
        <v>24</v>
      </c>
      <c r="G984" s="5" t="s">
        <v>25</v>
      </c>
      <c r="H984" s="5">
        <v>203</v>
      </c>
      <c r="I984" s="5">
        <v>24</v>
      </c>
      <c r="J984" s="5" t="s">
        <v>26</v>
      </c>
      <c r="K984" s="5" t="s">
        <v>27</v>
      </c>
      <c r="L984" s="5" t="s">
        <v>40</v>
      </c>
      <c r="M984" s="7" t="s">
        <v>21</v>
      </c>
      <c r="N984" s="26">
        <f t="shared" si="90"/>
        <v>1</v>
      </c>
      <c r="O984" s="42">
        <f t="shared" si="91"/>
        <v>45176</v>
      </c>
      <c r="P984" s="5" t="str">
        <f t="shared" si="92"/>
        <v>Thursday</v>
      </c>
      <c r="Q984" s="5">
        <f t="shared" si="93"/>
        <v>10</v>
      </c>
      <c r="R984" s="28">
        <f t="shared" si="94"/>
        <v>0.89427312775330392</v>
      </c>
      <c r="S984" s="29">
        <f t="shared" si="95"/>
        <v>89.427312775330392</v>
      </c>
      <c r="T984" s="5" t="str">
        <f>IF(Delivery_Data[[#This Row],[Delays (min)]]&gt;0,"No","Yes")</f>
        <v>No</v>
      </c>
    </row>
    <row r="985" spans="1:20" ht="15.75" customHeight="1" x14ac:dyDescent="0.3">
      <c r="A985" s="4">
        <v>1984</v>
      </c>
      <c r="B985" s="5" t="s">
        <v>1095</v>
      </c>
      <c r="C985" s="6">
        <v>45175.353472222225</v>
      </c>
      <c r="D985" s="5" t="s">
        <v>14</v>
      </c>
      <c r="E985" s="5" t="s">
        <v>204</v>
      </c>
      <c r="F985" s="5" t="s">
        <v>38</v>
      </c>
      <c r="G985" s="5" t="s">
        <v>39</v>
      </c>
      <c r="H985" s="5">
        <v>61</v>
      </c>
      <c r="I985" s="5">
        <v>29</v>
      </c>
      <c r="J985" s="5" t="s">
        <v>32</v>
      </c>
      <c r="K985" s="5" t="s">
        <v>45</v>
      </c>
      <c r="L985" s="5" t="s">
        <v>28</v>
      </c>
      <c r="M985" s="7" t="s">
        <v>46</v>
      </c>
      <c r="N985" s="26">
        <f t="shared" si="90"/>
        <v>-1</v>
      </c>
      <c r="O985" s="42">
        <f t="shared" si="91"/>
        <v>45175</v>
      </c>
      <c r="P985" s="5" t="str">
        <f t="shared" si="92"/>
        <v>Wednesday</v>
      </c>
      <c r="Q985" s="5">
        <f t="shared" si="93"/>
        <v>8</v>
      </c>
      <c r="R985" s="28">
        <f t="shared" si="94"/>
        <v>0.67777777777777781</v>
      </c>
      <c r="S985" s="29">
        <f t="shared" si="95"/>
        <v>67.777777777777786</v>
      </c>
      <c r="T985" s="5" t="str">
        <f>IF(Delivery_Data[[#This Row],[Delays (min)]]&gt;0,"No","Yes")</f>
        <v>No</v>
      </c>
    </row>
    <row r="986" spans="1:20" ht="15.75" customHeight="1" x14ac:dyDescent="0.3">
      <c r="A986" s="4">
        <v>1985</v>
      </c>
      <c r="B986" s="5" t="s">
        <v>1096</v>
      </c>
      <c r="C986" s="6">
        <v>45177.69027777778</v>
      </c>
      <c r="D986" s="5" t="s">
        <v>14</v>
      </c>
      <c r="E986" s="5" t="s">
        <v>177</v>
      </c>
      <c r="F986" s="5" t="s">
        <v>38</v>
      </c>
      <c r="G986" s="5" t="s">
        <v>17</v>
      </c>
      <c r="H986" s="5">
        <v>214</v>
      </c>
      <c r="I986" s="5">
        <v>23</v>
      </c>
      <c r="J986" s="5" t="s">
        <v>18</v>
      </c>
      <c r="K986" s="5" t="s">
        <v>27</v>
      </c>
      <c r="L986" s="5" t="s">
        <v>28</v>
      </c>
      <c r="M986" s="7" t="s">
        <v>21</v>
      </c>
      <c r="N986" s="26">
        <f t="shared" si="90"/>
        <v>0</v>
      </c>
      <c r="O986" s="42">
        <f t="shared" si="91"/>
        <v>45177</v>
      </c>
      <c r="P986" s="5" t="str">
        <f t="shared" si="92"/>
        <v>Friday</v>
      </c>
      <c r="Q986" s="5">
        <f t="shared" si="93"/>
        <v>16</v>
      </c>
      <c r="R986" s="28">
        <f t="shared" si="94"/>
        <v>0.90295358649789026</v>
      </c>
      <c r="S986" s="29">
        <f t="shared" si="95"/>
        <v>90.295358649789023</v>
      </c>
      <c r="T986" s="5" t="str">
        <f>IF(Delivery_Data[[#This Row],[Delays (min)]]&gt;0,"No","Yes")</f>
        <v>No</v>
      </c>
    </row>
    <row r="987" spans="1:20" ht="15.75" customHeight="1" x14ac:dyDescent="0.3">
      <c r="A987" s="4">
        <v>1986</v>
      </c>
      <c r="B987" s="5" t="s">
        <v>1097</v>
      </c>
      <c r="C987" s="6">
        <v>45175.68472222222</v>
      </c>
      <c r="D987" s="5" t="s">
        <v>43</v>
      </c>
      <c r="E987" s="5" t="s">
        <v>243</v>
      </c>
      <c r="F987" s="5" t="s">
        <v>16</v>
      </c>
      <c r="G987" s="5" t="s">
        <v>17</v>
      </c>
      <c r="H987" s="5">
        <v>160</v>
      </c>
      <c r="I987" s="5">
        <v>6</v>
      </c>
      <c r="J987" s="5" t="s">
        <v>18</v>
      </c>
      <c r="K987" s="5" t="s">
        <v>27</v>
      </c>
      <c r="L987" s="5" t="s">
        <v>20</v>
      </c>
      <c r="M987" s="7" t="s">
        <v>21</v>
      </c>
      <c r="N987" s="26">
        <f t="shared" si="90"/>
        <v>0</v>
      </c>
      <c r="O987" s="42">
        <f t="shared" si="91"/>
        <v>45175</v>
      </c>
      <c r="P987" s="5" t="str">
        <f t="shared" si="92"/>
        <v>Wednesday</v>
      </c>
      <c r="Q987" s="5">
        <f t="shared" si="93"/>
        <v>16</v>
      </c>
      <c r="R987" s="28">
        <f t="shared" si="94"/>
        <v>0.96385542168674698</v>
      </c>
      <c r="S987" s="29">
        <f t="shared" si="95"/>
        <v>96.385542168674704</v>
      </c>
      <c r="T987" s="5" t="str">
        <f>IF(Delivery_Data[[#This Row],[Delays (min)]]&gt;0,"No","Yes")</f>
        <v>No</v>
      </c>
    </row>
    <row r="988" spans="1:20" ht="15.75" customHeight="1" x14ac:dyDescent="0.3">
      <c r="A988" s="4">
        <v>1987</v>
      </c>
      <c r="B988" s="5" t="s">
        <v>1032</v>
      </c>
      <c r="C988" s="6">
        <v>45173.495138888888</v>
      </c>
      <c r="D988" s="5" t="s">
        <v>43</v>
      </c>
      <c r="E988" s="5" t="s">
        <v>228</v>
      </c>
      <c r="F988" s="5" t="s">
        <v>38</v>
      </c>
      <c r="G988" s="5" t="s">
        <v>25</v>
      </c>
      <c r="H988" s="5">
        <v>235</v>
      </c>
      <c r="I988" s="5">
        <v>6</v>
      </c>
      <c r="J988" s="5" t="s">
        <v>32</v>
      </c>
      <c r="K988" s="5" t="s">
        <v>35</v>
      </c>
      <c r="L988" s="5" t="s">
        <v>28</v>
      </c>
      <c r="M988" s="7" t="s">
        <v>21</v>
      </c>
      <c r="N988" s="26">
        <f t="shared" si="90"/>
        <v>-1</v>
      </c>
      <c r="O988" s="42">
        <f t="shared" si="91"/>
        <v>45173</v>
      </c>
      <c r="P988" s="5" t="str">
        <f t="shared" si="92"/>
        <v>Monday</v>
      </c>
      <c r="Q988" s="5">
        <f t="shared" si="93"/>
        <v>11</v>
      </c>
      <c r="R988" s="28">
        <f t="shared" si="94"/>
        <v>0.975103734439834</v>
      </c>
      <c r="S988" s="29">
        <f t="shared" si="95"/>
        <v>97.510373443983397</v>
      </c>
      <c r="T988" s="5" t="str">
        <f>IF(Delivery_Data[[#This Row],[Delays (min)]]&gt;0,"No","Yes")</f>
        <v>No</v>
      </c>
    </row>
    <row r="989" spans="1:20" ht="15.75" customHeight="1" x14ac:dyDescent="0.3">
      <c r="A989" s="4">
        <v>1988</v>
      </c>
      <c r="B989" s="5" t="s">
        <v>1098</v>
      </c>
      <c r="C989" s="6">
        <v>45171.508333333331</v>
      </c>
      <c r="D989" s="5" t="s">
        <v>43</v>
      </c>
      <c r="E989" s="5" t="s">
        <v>34</v>
      </c>
      <c r="F989" s="5" t="s">
        <v>24</v>
      </c>
      <c r="G989" s="5" t="s">
        <v>25</v>
      </c>
      <c r="H989" s="5">
        <v>131</v>
      </c>
      <c r="I989" s="5">
        <v>21</v>
      </c>
      <c r="J989" s="5" t="s">
        <v>26</v>
      </c>
      <c r="K989" s="5" t="s">
        <v>19</v>
      </c>
      <c r="L989" s="5" t="s">
        <v>28</v>
      </c>
      <c r="M989" s="7" t="s">
        <v>21</v>
      </c>
      <c r="N989" s="26">
        <f t="shared" si="90"/>
        <v>1</v>
      </c>
      <c r="O989" s="42">
        <f t="shared" si="91"/>
        <v>45171</v>
      </c>
      <c r="P989" s="5" t="str">
        <f t="shared" si="92"/>
        <v>Saturday</v>
      </c>
      <c r="Q989" s="5">
        <f t="shared" si="93"/>
        <v>12</v>
      </c>
      <c r="R989" s="28">
        <f t="shared" si="94"/>
        <v>0.86184210526315785</v>
      </c>
      <c r="S989" s="29">
        <f t="shared" si="95"/>
        <v>86.18421052631578</v>
      </c>
      <c r="T989" s="5" t="str">
        <f>IF(Delivery_Data[[#This Row],[Delays (min)]]&gt;0,"No","Yes")</f>
        <v>No</v>
      </c>
    </row>
    <row r="990" spans="1:20" ht="15.75" customHeight="1" x14ac:dyDescent="0.3">
      <c r="A990" s="4">
        <v>1989</v>
      </c>
      <c r="B990" s="5" t="s">
        <v>1099</v>
      </c>
      <c r="C990" s="6">
        <v>45176.402777777781</v>
      </c>
      <c r="D990" s="5" t="s">
        <v>14</v>
      </c>
      <c r="E990" s="5" t="s">
        <v>234</v>
      </c>
      <c r="F990" s="5" t="s">
        <v>38</v>
      </c>
      <c r="G990" s="5" t="s">
        <v>31</v>
      </c>
      <c r="H990" s="5">
        <v>165</v>
      </c>
      <c r="I990" s="5">
        <v>12</v>
      </c>
      <c r="J990" s="5" t="s">
        <v>32</v>
      </c>
      <c r="K990" s="5" t="s">
        <v>35</v>
      </c>
      <c r="L990" s="5" t="s">
        <v>40</v>
      </c>
      <c r="M990" s="7" t="s">
        <v>21</v>
      </c>
      <c r="N990" s="26">
        <f t="shared" si="90"/>
        <v>-1</v>
      </c>
      <c r="O990" s="42">
        <f t="shared" si="91"/>
        <v>45176</v>
      </c>
      <c r="P990" s="5" t="str">
        <f t="shared" si="92"/>
        <v>Thursday</v>
      </c>
      <c r="Q990" s="5">
        <f t="shared" si="93"/>
        <v>9</v>
      </c>
      <c r="R990" s="28">
        <f t="shared" si="94"/>
        <v>0.93220338983050843</v>
      </c>
      <c r="S990" s="29">
        <f t="shared" si="95"/>
        <v>93.220338983050837</v>
      </c>
      <c r="T990" s="5" t="str">
        <f>IF(Delivery_Data[[#This Row],[Delays (min)]]&gt;0,"No","Yes")</f>
        <v>No</v>
      </c>
    </row>
    <row r="991" spans="1:20" ht="15.75" customHeight="1" x14ac:dyDescent="0.3">
      <c r="A991" s="4">
        <v>1990</v>
      </c>
      <c r="B991" s="5" t="s">
        <v>1100</v>
      </c>
      <c r="C991" s="6">
        <v>45173.554861111108</v>
      </c>
      <c r="D991" s="5" t="s">
        <v>43</v>
      </c>
      <c r="E991" s="5" t="s">
        <v>70</v>
      </c>
      <c r="F991" s="5" t="s">
        <v>16</v>
      </c>
      <c r="G991" s="5" t="s">
        <v>39</v>
      </c>
      <c r="H991" s="5">
        <v>75</v>
      </c>
      <c r="I991" s="5">
        <v>28</v>
      </c>
      <c r="J991" s="5" t="s">
        <v>18</v>
      </c>
      <c r="K991" s="5" t="s">
        <v>35</v>
      </c>
      <c r="L991" s="5" t="s">
        <v>28</v>
      </c>
      <c r="M991" s="7" t="s">
        <v>41</v>
      </c>
      <c r="N991" s="26">
        <f t="shared" si="90"/>
        <v>0</v>
      </c>
      <c r="O991" s="42">
        <f t="shared" si="91"/>
        <v>45173</v>
      </c>
      <c r="P991" s="5" t="str">
        <f t="shared" si="92"/>
        <v>Monday</v>
      </c>
      <c r="Q991" s="5">
        <f t="shared" si="93"/>
        <v>13</v>
      </c>
      <c r="R991" s="28">
        <f t="shared" si="94"/>
        <v>0.72815533980582525</v>
      </c>
      <c r="S991" s="29">
        <f t="shared" si="95"/>
        <v>72.815533980582529</v>
      </c>
      <c r="T991" s="5" t="str">
        <f>IF(Delivery_Data[[#This Row],[Delays (min)]]&gt;0,"No","Yes")</f>
        <v>No</v>
      </c>
    </row>
    <row r="992" spans="1:20" ht="15.75" customHeight="1" x14ac:dyDescent="0.3">
      <c r="A992" s="4">
        <v>1991</v>
      </c>
      <c r="B992" s="5" t="s">
        <v>1101</v>
      </c>
      <c r="C992" s="6">
        <v>45175.355555555558</v>
      </c>
      <c r="D992" s="5" t="s">
        <v>14</v>
      </c>
      <c r="E992" s="5" t="s">
        <v>156</v>
      </c>
      <c r="F992" s="5" t="s">
        <v>16</v>
      </c>
      <c r="G992" s="5" t="s">
        <v>17</v>
      </c>
      <c r="H992" s="5">
        <v>88</v>
      </c>
      <c r="I992" s="5">
        <v>13</v>
      </c>
      <c r="J992" s="5" t="s">
        <v>32</v>
      </c>
      <c r="K992" s="5" t="s">
        <v>49</v>
      </c>
      <c r="L992" s="5" t="s">
        <v>20</v>
      </c>
      <c r="M992" s="7" t="s">
        <v>46</v>
      </c>
      <c r="N992" s="26">
        <f t="shared" si="90"/>
        <v>-1</v>
      </c>
      <c r="O992" s="42">
        <f t="shared" si="91"/>
        <v>45175</v>
      </c>
      <c r="P992" s="5" t="str">
        <f t="shared" si="92"/>
        <v>Wednesday</v>
      </c>
      <c r="Q992" s="5">
        <f t="shared" si="93"/>
        <v>8</v>
      </c>
      <c r="R992" s="28">
        <f t="shared" si="94"/>
        <v>0.87128712871287128</v>
      </c>
      <c r="S992" s="29">
        <f t="shared" si="95"/>
        <v>87.128712871287135</v>
      </c>
      <c r="T992" s="5" t="str">
        <f>IF(Delivery_Data[[#This Row],[Delays (min)]]&gt;0,"No","Yes")</f>
        <v>No</v>
      </c>
    </row>
    <row r="993" spans="1:20" ht="15.75" customHeight="1" x14ac:dyDescent="0.3">
      <c r="A993" s="4">
        <v>1992</v>
      </c>
      <c r="B993" s="5" t="s">
        <v>1102</v>
      </c>
      <c r="C993" s="6">
        <v>45171.426388888889</v>
      </c>
      <c r="D993" s="5" t="s">
        <v>14</v>
      </c>
      <c r="E993" s="5" t="s">
        <v>135</v>
      </c>
      <c r="F993" s="5" t="s">
        <v>38</v>
      </c>
      <c r="G993" s="5" t="s">
        <v>56</v>
      </c>
      <c r="H993" s="5">
        <v>151</v>
      </c>
      <c r="I993" s="5">
        <v>17</v>
      </c>
      <c r="J993" s="5" t="s">
        <v>32</v>
      </c>
      <c r="K993" s="5" t="s">
        <v>49</v>
      </c>
      <c r="L993" s="5" t="s">
        <v>20</v>
      </c>
      <c r="M993" s="7" t="s">
        <v>41</v>
      </c>
      <c r="N993" s="26">
        <f t="shared" si="90"/>
        <v>-1</v>
      </c>
      <c r="O993" s="42">
        <f t="shared" si="91"/>
        <v>45171</v>
      </c>
      <c r="P993" s="5" t="str">
        <f t="shared" si="92"/>
        <v>Saturday</v>
      </c>
      <c r="Q993" s="5">
        <f t="shared" si="93"/>
        <v>10</v>
      </c>
      <c r="R993" s="28">
        <f t="shared" si="94"/>
        <v>0.89880952380952384</v>
      </c>
      <c r="S993" s="29">
        <f t="shared" si="95"/>
        <v>89.88095238095238</v>
      </c>
      <c r="T993" s="5" t="str">
        <f>IF(Delivery_Data[[#This Row],[Delays (min)]]&gt;0,"No","Yes")</f>
        <v>No</v>
      </c>
    </row>
    <row r="994" spans="1:20" ht="15.75" customHeight="1" x14ac:dyDescent="0.3">
      <c r="A994" s="4">
        <v>1993</v>
      </c>
      <c r="B994" s="5" t="s">
        <v>1103</v>
      </c>
      <c r="C994" s="6">
        <v>45172.418055555558</v>
      </c>
      <c r="D994" s="5" t="s">
        <v>14</v>
      </c>
      <c r="E994" s="5" t="s">
        <v>93</v>
      </c>
      <c r="F994" s="5" t="s">
        <v>24</v>
      </c>
      <c r="G994" s="5" t="s">
        <v>17</v>
      </c>
      <c r="H994" s="5">
        <v>63</v>
      </c>
      <c r="I994" s="5">
        <v>27</v>
      </c>
      <c r="J994" s="5" t="s">
        <v>32</v>
      </c>
      <c r="K994" s="5" t="s">
        <v>49</v>
      </c>
      <c r="L994" s="5" t="s">
        <v>20</v>
      </c>
      <c r="M994" s="7" t="s">
        <v>21</v>
      </c>
      <c r="N994" s="26">
        <f t="shared" si="90"/>
        <v>-1</v>
      </c>
      <c r="O994" s="42">
        <f t="shared" si="91"/>
        <v>45172</v>
      </c>
      <c r="P994" s="5" t="str">
        <f t="shared" si="92"/>
        <v>Sunday</v>
      </c>
      <c r="Q994" s="5">
        <f t="shared" si="93"/>
        <v>10</v>
      </c>
      <c r="R994" s="28">
        <f t="shared" si="94"/>
        <v>0.7</v>
      </c>
      <c r="S994" s="29">
        <f t="shared" si="95"/>
        <v>70</v>
      </c>
      <c r="T994" s="5" t="str">
        <f>IF(Delivery_Data[[#This Row],[Delays (min)]]&gt;0,"No","Yes")</f>
        <v>No</v>
      </c>
    </row>
    <row r="995" spans="1:20" ht="15.75" customHeight="1" x14ac:dyDescent="0.3">
      <c r="A995" s="4">
        <v>1994</v>
      </c>
      <c r="B995" s="5" t="s">
        <v>1104</v>
      </c>
      <c r="C995" s="6">
        <v>45171.400694444441</v>
      </c>
      <c r="D995" s="5" t="s">
        <v>14</v>
      </c>
      <c r="E995" s="5" t="s">
        <v>62</v>
      </c>
      <c r="F995" s="5" t="s">
        <v>24</v>
      </c>
      <c r="G995" s="5" t="s">
        <v>25</v>
      </c>
      <c r="H995" s="5">
        <v>162</v>
      </c>
      <c r="I995" s="5">
        <v>25</v>
      </c>
      <c r="J995" s="5" t="s">
        <v>32</v>
      </c>
      <c r="K995" s="5" t="s">
        <v>49</v>
      </c>
      <c r="L995" s="5" t="s">
        <v>40</v>
      </c>
      <c r="M995" s="7" t="s">
        <v>41</v>
      </c>
      <c r="N995" s="26">
        <f t="shared" si="90"/>
        <v>-1</v>
      </c>
      <c r="O995" s="42">
        <f t="shared" si="91"/>
        <v>45171</v>
      </c>
      <c r="P995" s="5" t="str">
        <f t="shared" si="92"/>
        <v>Saturday</v>
      </c>
      <c r="Q995" s="5">
        <f t="shared" si="93"/>
        <v>9</v>
      </c>
      <c r="R995" s="28">
        <f t="shared" si="94"/>
        <v>0.86631016042780751</v>
      </c>
      <c r="S995" s="29">
        <f t="shared" si="95"/>
        <v>86.631016042780757</v>
      </c>
      <c r="T995" s="5" t="str">
        <f>IF(Delivery_Data[[#This Row],[Delays (min)]]&gt;0,"No","Yes")</f>
        <v>No</v>
      </c>
    </row>
    <row r="996" spans="1:20" ht="15.75" customHeight="1" x14ac:dyDescent="0.3">
      <c r="A996" s="4">
        <v>1995</v>
      </c>
      <c r="B996" s="5" t="s">
        <v>1105</v>
      </c>
      <c r="C996" s="6">
        <v>45170.578472222223</v>
      </c>
      <c r="D996" s="5" t="s">
        <v>43</v>
      </c>
      <c r="E996" s="5" t="s">
        <v>58</v>
      </c>
      <c r="F996" s="5" t="s">
        <v>38</v>
      </c>
      <c r="G996" s="5" t="s">
        <v>39</v>
      </c>
      <c r="H996" s="5">
        <v>172</v>
      </c>
      <c r="I996" s="5">
        <v>29</v>
      </c>
      <c r="J996" s="5" t="s">
        <v>18</v>
      </c>
      <c r="K996" s="5" t="s">
        <v>19</v>
      </c>
      <c r="L996" s="5" t="s">
        <v>20</v>
      </c>
      <c r="M996" s="7" t="s">
        <v>41</v>
      </c>
      <c r="N996" s="26">
        <f t="shared" si="90"/>
        <v>0</v>
      </c>
      <c r="O996" s="42">
        <f t="shared" si="91"/>
        <v>45170</v>
      </c>
      <c r="P996" s="5" t="str">
        <f t="shared" si="92"/>
        <v>Friday</v>
      </c>
      <c r="Q996" s="5">
        <f t="shared" si="93"/>
        <v>13</v>
      </c>
      <c r="R996" s="28">
        <f t="shared" si="94"/>
        <v>0.85572139303482586</v>
      </c>
      <c r="S996" s="29">
        <f t="shared" si="95"/>
        <v>85.572139303482587</v>
      </c>
      <c r="T996" s="5" t="str">
        <f>IF(Delivery_Data[[#This Row],[Delays (min)]]&gt;0,"No","Yes")</f>
        <v>No</v>
      </c>
    </row>
    <row r="997" spans="1:20" ht="15.75" customHeight="1" x14ac:dyDescent="0.3">
      <c r="A997" s="4">
        <v>1996</v>
      </c>
      <c r="B997" s="5" t="s">
        <v>1106</v>
      </c>
      <c r="C997" s="6">
        <v>45176.563194444447</v>
      </c>
      <c r="D997" s="5" t="s">
        <v>43</v>
      </c>
      <c r="E997" s="5" t="s">
        <v>120</v>
      </c>
      <c r="F997" s="5" t="s">
        <v>38</v>
      </c>
      <c r="G997" s="5" t="s">
        <v>25</v>
      </c>
      <c r="H997" s="5">
        <v>236</v>
      </c>
      <c r="I997" s="5">
        <v>27</v>
      </c>
      <c r="J997" s="5" t="s">
        <v>18</v>
      </c>
      <c r="K997" s="5" t="s">
        <v>49</v>
      </c>
      <c r="L997" s="5" t="s">
        <v>40</v>
      </c>
      <c r="M997" s="7" t="s">
        <v>41</v>
      </c>
      <c r="N997" s="26">
        <f t="shared" si="90"/>
        <v>0</v>
      </c>
      <c r="O997" s="42">
        <f t="shared" si="91"/>
        <v>45176</v>
      </c>
      <c r="P997" s="5" t="str">
        <f t="shared" si="92"/>
        <v>Thursday</v>
      </c>
      <c r="Q997" s="5">
        <f t="shared" si="93"/>
        <v>13</v>
      </c>
      <c r="R997" s="28">
        <f t="shared" si="94"/>
        <v>0.89733840304182511</v>
      </c>
      <c r="S997" s="29">
        <f t="shared" si="95"/>
        <v>89.733840304182507</v>
      </c>
      <c r="T997" s="5" t="str">
        <f>IF(Delivery_Data[[#This Row],[Delays (min)]]&gt;0,"No","Yes")</f>
        <v>No</v>
      </c>
    </row>
    <row r="998" spans="1:20" ht="15.75" customHeight="1" x14ac:dyDescent="0.3">
      <c r="A998" s="4">
        <v>1997</v>
      </c>
      <c r="B998" s="5" t="s">
        <v>1107</v>
      </c>
      <c r="C998" s="6">
        <v>45177.512499999997</v>
      </c>
      <c r="D998" s="5" t="s">
        <v>14</v>
      </c>
      <c r="E998" s="5" t="s">
        <v>140</v>
      </c>
      <c r="F998" s="5" t="s">
        <v>38</v>
      </c>
      <c r="G998" s="5" t="s">
        <v>56</v>
      </c>
      <c r="H998" s="5">
        <v>145</v>
      </c>
      <c r="I998" s="5">
        <v>14</v>
      </c>
      <c r="J998" s="5" t="s">
        <v>26</v>
      </c>
      <c r="K998" s="5" t="s">
        <v>19</v>
      </c>
      <c r="L998" s="5" t="s">
        <v>28</v>
      </c>
      <c r="M998" s="7" t="s">
        <v>21</v>
      </c>
      <c r="N998" s="26">
        <f t="shared" si="90"/>
        <v>1</v>
      </c>
      <c r="O998" s="42">
        <f t="shared" si="91"/>
        <v>45177</v>
      </c>
      <c r="P998" s="5" t="str">
        <f t="shared" si="92"/>
        <v>Friday</v>
      </c>
      <c r="Q998" s="5">
        <f t="shared" si="93"/>
        <v>12</v>
      </c>
      <c r="R998" s="28">
        <f t="shared" si="94"/>
        <v>0.91194968553459121</v>
      </c>
      <c r="S998" s="29">
        <f t="shared" si="95"/>
        <v>91.19496855345912</v>
      </c>
      <c r="T998" s="5" t="str">
        <f>IF(Delivery_Data[[#This Row],[Delays (min)]]&gt;0,"No","Yes")</f>
        <v>No</v>
      </c>
    </row>
    <row r="999" spans="1:20" ht="15.75" customHeight="1" x14ac:dyDescent="0.3">
      <c r="A999" s="4">
        <v>1998</v>
      </c>
      <c r="B999" s="5" t="s">
        <v>1108</v>
      </c>
      <c r="C999" s="6">
        <v>45170.520833333336</v>
      </c>
      <c r="D999" s="5" t="s">
        <v>43</v>
      </c>
      <c r="E999" s="5" t="s">
        <v>162</v>
      </c>
      <c r="F999" s="5" t="s">
        <v>24</v>
      </c>
      <c r="G999" s="5" t="s">
        <v>31</v>
      </c>
      <c r="H999" s="5">
        <v>159</v>
      </c>
      <c r="I999" s="5">
        <v>12</v>
      </c>
      <c r="J999" s="5" t="s">
        <v>26</v>
      </c>
      <c r="K999" s="5" t="s">
        <v>45</v>
      </c>
      <c r="L999" s="5" t="s">
        <v>20</v>
      </c>
      <c r="M999" s="7" t="s">
        <v>41</v>
      </c>
      <c r="N999" s="26">
        <f t="shared" si="90"/>
        <v>1</v>
      </c>
      <c r="O999" s="42">
        <f t="shared" si="91"/>
        <v>45170</v>
      </c>
      <c r="P999" s="5" t="str">
        <f t="shared" si="92"/>
        <v>Friday</v>
      </c>
      <c r="Q999" s="5">
        <f t="shared" si="93"/>
        <v>12</v>
      </c>
      <c r="R999" s="28">
        <f t="shared" si="94"/>
        <v>0.92982456140350878</v>
      </c>
      <c r="S999" s="29">
        <f t="shared" si="95"/>
        <v>92.982456140350877</v>
      </c>
      <c r="T999" s="5" t="str">
        <f>IF(Delivery_Data[[#This Row],[Delays (min)]]&gt;0,"No","Yes")</f>
        <v>No</v>
      </c>
    </row>
    <row r="1000" spans="1:20" ht="15.75" customHeight="1" x14ac:dyDescent="0.3">
      <c r="A1000" s="4">
        <v>1999</v>
      </c>
      <c r="B1000" s="5" t="s">
        <v>1109</v>
      </c>
      <c r="C1000" s="6">
        <v>45172.333333333336</v>
      </c>
      <c r="D1000" s="5" t="s">
        <v>43</v>
      </c>
      <c r="E1000" s="5" t="s">
        <v>249</v>
      </c>
      <c r="F1000" s="5" t="s">
        <v>38</v>
      </c>
      <c r="G1000" s="5" t="s">
        <v>25</v>
      </c>
      <c r="H1000" s="5">
        <v>239</v>
      </c>
      <c r="I1000" s="5">
        <v>10</v>
      </c>
      <c r="J1000" s="5" t="s">
        <v>26</v>
      </c>
      <c r="K1000" s="5" t="s">
        <v>35</v>
      </c>
      <c r="L1000" s="5" t="s">
        <v>28</v>
      </c>
      <c r="M1000" s="7" t="s">
        <v>46</v>
      </c>
      <c r="N1000" s="26">
        <f t="shared" si="90"/>
        <v>1</v>
      </c>
      <c r="O1000" s="42">
        <f t="shared" si="91"/>
        <v>45172</v>
      </c>
      <c r="P1000" s="5" t="str">
        <f t="shared" si="92"/>
        <v>Sunday</v>
      </c>
      <c r="Q1000" s="5">
        <f t="shared" si="93"/>
        <v>8</v>
      </c>
      <c r="R1000" s="28">
        <f t="shared" si="94"/>
        <v>0.95983935742971882</v>
      </c>
      <c r="S1000" s="29">
        <f t="shared" si="95"/>
        <v>95.98393574297188</v>
      </c>
      <c r="T1000" s="5" t="str">
        <f>IF(Delivery_Data[[#This Row],[Delays (min)]]&gt;0,"No","Yes")</f>
        <v>No</v>
      </c>
    </row>
    <row r="1001" spans="1:20" ht="15.75" customHeight="1" x14ac:dyDescent="0.3">
      <c r="A1001" s="4">
        <v>2000</v>
      </c>
      <c r="B1001" s="5" t="s">
        <v>1110</v>
      </c>
      <c r="C1001" s="6">
        <v>45177.607638888891</v>
      </c>
      <c r="D1001" s="5" t="s">
        <v>14</v>
      </c>
      <c r="E1001" s="5" t="s">
        <v>270</v>
      </c>
      <c r="F1001" s="5" t="s">
        <v>24</v>
      </c>
      <c r="G1001" s="5" t="s">
        <v>25</v>
      </c>
      <c r="H1001" s="5">
        <v>138</v>
      </c>
      <c r="I1001" s="5">
        <v>25</v>
      </c>
      <c r="J1001" s="5" t="s">
        <v>18</v>
      </c>
      <c r="K1001" s="5" t="s">
        <v>49</v>
      </c>
      <c r="L1001" s="5" t="s">
        <v>40</v>
      </c>
      <c r="M1001" s="7" t="s">
        <v>21</v>
      </c>
      <c r="N1001" s="26">
        <f t="shared" si="90"/>
        <v>0</v>
      </c>
      <c r="O1001" s="42">
        <f t="shared" si="91"/>
        <v>45177</v>
      </c>
      <c r="P1001" s="5" t="str">
        <f t="shared" si="92"/>
        <v>Friday</v>
      </c>
      <c r="Q1001" s="5">
        <f t="shared" si="93"/>
        <v>14</v>
      </c>
      <c r="R1001" s="28">
        <f t="shared" si="94"/>
        <v>0.84662576687116564</v>
      </c>
      <c r="S1001" s="29">
        <f t="shared" si="95"/>
        <v>84.662576687116569</v>
      </c>
      <c r="T1001" s="5" t="str">
        <f>IF(Delivery_Data[[#This Row],[Delays (min)]]&gt;0,"No","Yes")</f>
        <v>No</v>
      </c>
    </row>
    <row r="1002" spans="1:20" ht="15.75" customHeight="1" x14ac:dyDescent="0.3">
      <c r="A1002" s="4">
        <v>2001</v>
      </c>
      <c r="B1002" s="5" t="s">
        <v>1111</v>
      </c>
      <c r="C1002" s="6">
        <v>45174.59652777778</v>
      </c>
      <c r="D1002" s="5" t="s">
        <v>43</v>
      </c>
      <c r="E1002" s="5" t="s">
        <v>60</v>
      </c>
      <c r="F1002" s="5" t="s">
        <v>16</v>
      </c>
      <c r="G1002" s="5" t="s">
        <v>31</v>
      </c>
      <c r="H1002" s="5">
        <v>168</v>
      </c>
      <c r="I1002" s="5">
        <v>13</v>
      </c>
      <c r="J1002" s="5" t="s">
        <v>32</v>
      </c>
      <c r="K1002" s="5" t="s">
        <v>49</v>
      </c>
      <c r="L1002" s="5" t="s">
        <v>28</v>
      </c>
      <c r="M1002" s="7" t="s">
        <v>41</v>
      </c>
      <c r="N1002" s="26">
        <f t="shared" si="90"/>
        <v>-1</v>
      </c>
      <c r="O1002" s="42">
        <f t="shared" si="91"/>
        <v>45174</v>
      </c>
      <c r="P1002" s="5" t="str">
        <f t="shared" si="92"/>
        <v>Tuesday</v>
      </c>
      <c r="Q1002" s="5">
        <f t="shared" si="93"/>
        <v>14</v>
      </c>
      <c r="R1002" s="28">
        <f t="shared" si="94"/>
        <v>0.92817679558011046</v>
      </c>
      <c r="S1002" s="29">
        <f t="shared" si="95"/>
        <v>92.817679558011051</v>
      </c>
      <c r="T1002" s="5" t="str">
        <f>IF(Delivery_Data[[#This Row],[Delays (min)]]&gt;0,"No","Yes")</f>
        <v>No</v>
      </c>
    </row>
    <row r="1003" spans="1:20" ht="15.75" customHeight="1" x14ac:dyDescent="0.3">
      <c r="A1003" s="4">
        <v>2002</v>
      </c>
      <c r="B1003" s="5" t="s">
        <v>1112</v>
      </c>
      <c r="C1003" s="6">
        <v>45176.695833333331</v>
      </c>
      <c r="D1003" s="5" t="s">
        <v>43</v>
      </c>
      <c r="E1003" s="5" t="s">
        <v>149</v>
      </c>
      <c r="F1003" s="5" t="s">
        <v>24</v>
      </c>
      <c r="G1003" s="5" t="s">
        <v>25</v>
      </c>
      <c r="H1003" s="5">
        <v>133</v>
      </c>
      <c r="I1003" s="5">
        <v>25</v>
      </c>
      <c r="J1003" s="5" t="s">
        <v>18</v>
      </c>
      <c r="K1003" s="5" t="s">
        <v>49</v>
      </c>
      <c r="L1003" s="5" t="s">
        <v>20</v>
      </c>
      <c r="M1003" s="7" t="s">
        <v>21</v>
      </c>
      <c r="N1003" s="26">
        <f t="shared" si="90"/>
        <v>0</v>
      </c>
      <c r="O1003" s="42">
        <f t="shared" si="91"/>
        <v>45176</v>
      </c>
      <c r="P1003" s="5" t="str">
        <f t="shared" si="92"/>
        <v>Thursday</v>
      </c>
      <c r="Q1003" s="5">
        <f t="shared" si="93"/>
        <v>16</v>
      </c>
      <c r="R1003" s="28">
        <f t="shared" si="94"/>
        <v>0.84177215189873422</v>
      </c>
      <c r="S1003" s="29">
        <f t="shared" si="95"/>
        <v>84.177215189873422</v>
      </c>
      <c r="T1003" s="5" t="str">
        <f>IF(Delivery_Data[[#This Row],[Delays (min)]]&gt;0,"No","Yes")</f>
        <v>No</v>
      </c>
    </row>
    <row r="1004" spans="1:20" ht="15.75" customHeight="1" x14ac:dyDescent="0.3">
      <c r="A1004" s="4">
        <v>2003</v>
      </c>
      <c r="B1004" s="5" t="s">
        <v>1113</v>
      </c>
      <c r="C1004" s="6">
        <v>45174.642361111109</v>
      </c>
      <c r="D1004" s="5" t="s">
        <v>14</v>
      </c>
      <c r="E1004" s="5" t="s">
        <v>164</v>
      </c>
      <c r="F1004" s="5" t="s">
        <v>38</v>
      </c>
      <c r="G1004" s="5" t="s">
        <v>17</v>
      </c>
      <c r="H1004" s="5">
        <v>158</v>
      </c>
      <c r="I1004" s="5">
        <v>16</v>
      </c>
      <c r="J1004" s="5" t="s">
        <v>32</v>
      </c>
      <c r="K1004" s="5" t="s">
        <v>19</v>
      </c>
      <c r="L1004" s="5" t="s">
        <v>20</v>
      </c>
      <c r="M1004" s="7" t="s">
        <v>21</v>
      </c>
      <c r="N1004" s="26">
        <f t="shared" si="90"/>
        <v>-1</v>
      </c>
      <c r="O1004" s="42">
        <f t="shared" si="91"/>
        <v>45174</v>
      </c>
      <c r="P1004" s="5" t="str">
        <f t="shared" si="92"/>
        <v>Tuesday</v>
      </c>
      <c r="Q1004" s="5">
        <f t="shared" si="93"/>
        <v>15</v>
      </c>
      <c r="R1004" s="28">
        <f t="shared" si="94"/>
        <v>0.90804597701149425</v>
      </c>
      <c r="S1004" s="29">
        <f t="shared" si="95"/>
        <v>90.804597701149419</v>
      </c>
      <c r="T1004" s="5" t="str">
        <f>IF(Delivery_Data[[#This Row],[Delays (min)]]&gt;0,"No","Yes")</f>
        <v>No</v>
      </c>
    </row>
    <row r="1005" spans="1:20" ht="15.75" customHeight="1" x14ac:dyDescent="0.3">
      <c r="A1005" s="4">
        <v>2004</v>
      </c>
      <c r="B1005" s="5" t="s">
        <v>1114</v>
      </c>
      <c r="C1005" s="6">
        <v>45177.650694444441</v>
      </c>
      <c r="D1005" s="5" t="s">
        <v>14</v>
      </c>
      <c r="E1005" s="5" t="s">
        <v>277</v>
      </c>
      <c r="F1005" s="5" t="s">
        <v>16</v>
      </c>
      <c r="G1005" s="5" t="s">
        <v>56</v>
      </c>
      <c r="H1005" s="5">
        <v>147</v>
      </c>
      <c r="I1005" s="5">
        <v>9</v>
      </c>
      <c r="J1005" s="5" t="s">
        <v>18</v>
      </c>
      <c r="K1005" s="5" t="s">
        <v>45</v>
      </c>
      <c r="L1005" s="5" t="s">
        <v>40</v>
      </c>
      <c r="M1005" s="7" t="s">
        <v>41</v>
      </c>
      <c r="N1005" s="26">
        <f t="shared" si="90"/>
        <v>0</v>
      </c>
      <c r="O1005" s="42">
        <f t="shared" si="91"/>
        <v>45177</v>
      </c>
      <c r="P1005" s="5" t="str">
        <f t="shared" si="92"/>
        <v>Friday</v>
      </c>
      <c r="Q1005" s="5">
        <f t="shared" si="93"/>
        <v>15</v>
      </c>
      <c r="R1005" s="28">
        <f t="shared" si="94"/>
        <v>0.94230769230769229</v>
      </c>
      <c r="S1005" s="29">
        <f t="shared" si="95"/>
        <v>94.230769230769226</v>
      </c>
      <c r="T1005" s="5" t="str">
        <f>IF(Delivery_Data[[#This Row],[Delays (min)]]&gt;0,"No","Yes")</f>
        <v>No</v>
      </c>
    </row>
    <row r="1006" spans="1:20" ht="15.75" customHeight="1" x14ac:dyDescent="0.3">
      <c r="A1006" s="4">
        <v>2005</v>
      </c>
      <c r="B1006" s="5" t="s">
        <v>1115</v>
      </c>
      <c r="C1006" s="6">
        <v>45171.538888888892</v>
      </c>
      <c r="D1006" s="5" t="s">
        <v>43</v>
      </c>
      <c r="E1006" s="5" t="s">
        <v>197</v>
      </c>
      <c r="F1006" s="5" t="s">
        <v>38</v>
      </c>
      <c r="G1006" s="5" t="s">
        <v>31</v>
      </c>
      <c r="H1006" s="5">
        <v>141</v>
      </c>
      <c r="I1006" s="5">
        <v>9</v>
      </c>
      <c r="J1006" s="5" t="s">
        <v>32</v>
      </c>
      <c r="K1006" s="5" t="s">
        <v>35</v>
      </c>
      <c r="L1006" s="5" t="s">
        <v>40</v>
      </c>
      <c r="M1006" s="7" t="s">
        <v>21</v>
      </c>
      <c r="N1006" s="26">
        <f t="shared" si="90"/>
        <v>-1</v>
      </c>
      <c r="O1006" s="42">
        <f t="shared" si="91"/>
        <v>45171</v>
      </c>
      <c r="P1006" s="5" t="str">
        <f t="shared" si="92"/>
        <v>Saturday</v>
      </c>
      <c r="Q1006" s="5">
        <f t="shared" si="93"/>
        <v>12</v>
      </c>
      <c r="R1006" s="28">
        <f t="shared" si="94"/>
        <v>0.94</v>
      </c>
      <c r="S1006" s="29">
        <f t="shared" si="95"/>
        <v>94</v>
      </c>
      <c r="T1006" s="5" t="str">
        <f>IF(Delivery_Data[[#This Row],[Delays (min)]]&gt;0,"No","Yes")</f>
        <v>No</v>
      </c>
    </row>
    <row r="1007" spans="1:20" ht="15.75" customHeight="1" x14ac:dyDescent="0.3">
      <c r="A1007" s="4">
        <v>2006</v>
      </c>
      <c r="B1007" s="5" t="s">
        <v>1116</v>
      </c>
      <c r="C1007" s="6">
        <v>45173.619444444441</v>
      </c>
      <c r="D1007" s="5" t="s">
        <v>43</v>
      </c>
      <c r="E1007" s="5" t="s">
        <v>197</v>
      </c>
      <c r="F1007" s="5" t="s">
        <v>24</v>
      </c>
      <c r="G1007" s="5" t="s">
        <v>39</v>
      </c>
      <c r="H1007" s="5">
        <v>230</v>
      </c>
      <c r="I1007" s="5">
        <v>23</v>
      </c>
      <c r="J1007" s="5" t="s">
        <v>32</v>
      </c>
      <c r="K1007" s="5" t="s">
        <v>49</v>
      </c>
      <c r="L1007" s="5" t="s">
        <v>20</v>
      </c>
      <c r="M1007" s="7" t="s">
        <v>21</v>
      </c>
      <c r="N1007" s="26">
        <f t="shared" si="90"/>
        <v>-1</v>
      </c>
      <c r="O1007" s="42">
        <f t="shared" si="91"/>
        <v>45173</v>
      </c>
      <c r="P1007" s="5" t="str">
        <f t="shared" si="92"/>
        <v>Monday</v>
      </c>
      <c r="Q1007" s="5">
        <f t="shared" si="93"/>
        <v>14</v>
      </c>
      <c r="R1007" s="28">
        <f t="shared" si="94"/>
        <v>0.90909090909090906</v>
      </c>
      <c r="S1007" s="29">
        <f t="shared" si="95"/>
        <v>90.909090909090907</v>
      </c>
      <c r="T1007" s="5" t="str">
        <f>IF(Delivery_Data[[#This Row],[Delays (min)]]&gt;0,"No","Yes")</f>
        <v>No</v>
      </c>
    </row>
    <row r="1008" spans="1:20" ht="15.75" customHeight="1" x14ac:dyDescent="0.3">
      <c r="A1008" s="4">
        <v>2007</v>
      </c>
      <c r="B1008" s="5" t="s">
        <v>1117</v>
      </c>
      <c r="C1008" s="6">
        <v>45175.62222222222</v>
      </c>
      <c r="D1008" s="5" t="s">
        <v>43</v>
      </c>
      <c r="E1008" s="5" t="s">
        <v>66</v>
      </c>
      <c r="F1008" s="5" t="s">
        <v>38</v>
      </c>
      <c r="G1008" s="5" t="s">
        <v>25</v>
      </c>
      <c r="H1008" s="5">
        <v>159</v>
      </c>
      <c r="I1008" s="5">
        <v>21</v>
      </c>
      <c r="J1008" s="5" t="s">
        <v>32</v>
      </c>
      <c r="K1008" s="5" t="s">
        <v>35</v>
      </c>
      <c r="L1008" s="5" t="s">
        <v>40</v>
      </c>
      <c r="M1008" s="7" t="s">
        <v>46</v>
      </c>
      <c r="N1008" s="26">
        <f t="shared" si="90"/>
        <v>-1</v>
      </c>
      <c r="O1008" s="42">
        <f t="shared" si="91"/>
        <v>45175</v>
      </c>
      <c r="P1008" s="5" t="str">
        <f t="shared" si="92"/>
        <v>Wednesday</v>
      </c>
      <c r="Q1008" s="5">
        <f t="shared" si="93"/>
        <v>14</v>
      </c>
      <c r="R1008" s="28">
        <f t="shared" si="94"/>
        <v>0.8833333333333333</v>
      </c>
      <c r="S1008" s="29">
        <f t="shared" si="95"/>
        <v>88.333333333333329</v>
      </c>
      <c r="T1008" s="5" t="str">
        <f>IF(Delivery_Data[[#This Row],[Delays (min)]]&gt;0,"No","Yes")</f>
        <v>No</v>
      </c>
    </row>
    <row r="1009" spans="1:20" ht="15.75" customHeight="1" x14ac:dyDescent="0.3">
      <c r="A1009" s="4">
        <v>2008</v>
      </c>
      <c r="B1009" s="5" t="s">
        <v>1118</v>
      </c>
      <c r="C1009" s="6">
        <v>45170.613888888889</v>
      </c>
      <c r="D1009" s="5" t="s">
        <v>43</v>
      </c>
      <c r="E1009" s="5" t="s">
        <v>245</v>
      </c>
      <c r="F1009" s="5" t="s">
        <v>38</v>
      </c>
      <c r="G1009" s="5" t="s">
        <v>31</v>
      </c>
      <c r="H1009" s="5">
        <v>79</v>
      </c>
      <c r="I1009" s="5">
        <v>12</v>
      </c>
      <c r="J1009" s="5" t="s">
        <v>18</v>
      </c>
      <c r="K1009" s="5" t="s">
        <v>45</v>
      </c>
      <c r="L1009" s="5" t="s">
        <v>20</v>
      </c>
      <c r="M1009" s="7" t="s">
        <v>46</v>
      </c>
      <c r="N1009" s="26">
        <f t="shared" si="90"/>
        <v>0</v>
      </c>
      <c r="O1009" s="42">
        <f t="shared" si="91"/>
        <v>45170</v>
      </c>
      <c r="P1009" s="5" t="str">
        <f t="shared" si="92"/>
        <v>Friday</v>
      </c>
      <c r="Q1009" s="5">
        <f t="shared" si="93"/>
        <v>14</v>
      </c>
      <c r="R1009" s="28">
        <f t="shared" si="94"/>
        <v>0.86813186813186816</v>
      </c>
      <c r="S1009" s="29">
        <f t="shared" si="95"/>
        <v>86.813186813186817</v>
      </c>
      <c r="T1009" s="5" t="str">
        <f>IF(Delivery_Data[[#This Row],[Delays (min)]]&gt;0,"No","Yes")</f>
        <v>No</v>
      </c>
    </row>
    <row r="1010" spans="1:20" ht="15.75" customHeight="1" x14ac:dyDescent="0.3">
      <c r="A1010" s="4">
        <v>2009</v>
      </c>
      <c r="B1010" s="5" t="s">
        <v>1119</v>
      </c>
      <c r="C1010" s="6">
        <v>45175.537499999999</v>
      </c>
      <c r="D1010" s="5" t="s">
        <v>43</v>
      </c>
      <c r="E1010" s="5" t="s">
        <v>76</v>
      </c>
      <c r="F1010" s="5" t="s">
        <v>38</v>
      </c>
      <c r="G1010" s="5" t="s">
        <v>25</v>
      </c>
      <c r="H1010" s="5">
        <v>88</v>
      </c>
      <c r="I1010" s="5">
        <v>1</v>
      </c>
      <c r="J1010" s="5" t="s">
        <v>32</v>
      </c>
      <c r="K1010" s="5" t="s">
        <v>49</v>
      </c>
      <c r="L1010" s="5" t="s">
        <v>20</v>
      </c>
      <c r="M1010" s="7" t="s">
        <v>41</v>
      </c>
      <c r="N1010" s="26">
        <f t="shared" si="90"/>
        <v>-1</v>
      </c>
      <c r="O1010" s="42">
        <f t="shared" si="91"/>
        <v>45175</v>
      </c>
      <c r="P1010" s="5" t="str">
        <f t="shared" si="92"/>
        <v>Wednesday</v>
      </c>
      <c r="Q1010" s="5">
        <f t="shared" si="93"/>
        <v>12</v>
      </c>
      <c r="R1010" s="28">
        <f t="shared" si="94"/>
        <v>0.9887640449438202</v>
      </c>
      <c r="S1010" s="29">
        <f t="shared" si="95"/>
        <v>98.876404494382015</v>
      </c>
      <c r="T1010" s="5" t="str">
        <f>IF(Delivery_Data[[#This Row],[Delays (min)]]&gt;0,"No","Yes")</f>
        <v>No</v>
      </c>
    </row>
    <row r="1011" spans="1:20" ht="15.75" customHeight="1" x14ac:dyDescent="0.3">
      <c r="A1011" s="4">
        <v>2010</v>
      </c>
      <c r="B1011" s="5" t="s">
        <v>1120</v>
      </c>
      <c r="C1011" s="6">
        <v>45176.334027777775</v>
      </c>
      <c r="D1011" s="5" t="s">
        <v>14</v>
      </c>
      <c r="E1011" s="5" t="s">
        <v>156</v>
      </c>
      <c r="F1011" s="5" t="s">
        <v>38</v>
      </c>
      <c r="G1011" s="5" t="s">
        <v>56</v>
      </c>
      <c r="H1011" s="5">
        <v>210</v>
      </c>
      <c r="I1011" s="5">
        <v>0</v>
      </c>
      <c r="J1011" s="5" t="s">
        <v>32</v>
      </c>
      <c r="K1011" s="5" t="s">
        <v>45</v>
      </c>
      <c r="L1011" s="5" t="s">
        <v>20</v>
      </c>
      <c r="M1011" s="7" t="s">
        <v>21</v>
      </c>
      <c r="N1011" s="26">
        <f t="shared" si="90"/>
        <v>-1</v>
      </c>
      <c r="O1011" s="42">
        <f t="shared" si="91"/>
        <v>45176</v>
      </c>
      <c r="P1011" s="5" t="str">
        <f t="shared" si="92"/>
        <v>Thursday</v>
      </c>
      <c r="Q1011" s="5">
        <f t="shared" si="93"/>
        <v>8</v>
      </c>
      <c r="R1011" s="28">
        <f t="shared" si="94"/>
        <v>1</v>
      </c>
      <c r="S1011" s="29">
        <f t="shared" si="95"/>
        <v>100</v>
      </c>
      <c r="T1011" s="5" t="str">
        <f>IF(Delivery_Data[[#This Row],[Delays (min)]]&gt;0,"No","Yes")</f>
        <v>Yes</v>
      </c>
    </row>
    <row r="1012" spans="1:20" ht="15.75" customHeight="1" x14ac:dyDescent="0.3">
      <c r="A1012" s="4">
        <v>2011</v>
      </c>
      <c r="B1012" s="5" t="s">
        <v>1121</v>
      </c>
      <c r="C1012" s="6">
        <v>45175.473611111112</v>
      </c>
      <c r="D1012" s="5" t="s">
        <v>43</v>
      </c>
      <c r="E1012" s="5" t="s">
        <v>68</v>
      </c>
      <c r="F1012" s="5" t="s">
        <v>38</v>
      </c>
      <c r="G1012" s="5" t="s">
        <v>25</v>
      </c>
      <c r="H1012" s="5">
        <v>217</v>
      </c>
      <c r="I1012" s="5">
        <v>29</v>
      </c>
      <c r="J1012" s="5" t="s">
        <v>26</v>
      </c>
      <c r="K1012" s="5" t="s">
        <v>19</v>
      </c>
      <c r="L1012" s="5" t="s">
        <v>28</v>
      </c>
      <c r="M1012" s="7" t="s">
        <v>21</v>
      </c>
      <c r="N1012" s="26">
        <f t="shared" si="90"/>
        <v>1</v>
      </c>
      <c r="O1012" s="42">
        <f t="shared" si="91"/>
        <v>45175</v>
      </c>
      <c r="P1012" s="5" t="str">
        <f t="shared" si="92"/>
        <v>Wednesday</v>
      </c>
      <c r="Q1012" s="5">
        <f t="shared" si="93"/>
        <v>11</v>
      </c>
      <c r="R1012" s="28">
        <f t="shared" si="94"/>
        <v>0.88211382113821135</v>
      </c>
      <c r="S1012" s="29">
        <f t="shared" si="95"/>
        <v>88.211382113821131</v>
      </c>
      <c r="T1012" s="5" t="str">
        <f>IF(Delivery_Data[[#This Row],[Delays (min)]]&gt;0,"No","Yes")</f>
        <v>No</v>
      </c>
    </row>
    <row r="1013" spans="1:20" ht="15.75" customHeight="1" x14ac:dyDescent="0.3">
      <c r="A1013" s="4">
        <v>2012</v>
      </c>
      <c r="B1013" s="5" t="s">
        <v>1122</v>
      </c>
      <c r="C1013" s="6">
        <v>45173.479166666664</v>
      </c>
      <c r="D1013" s="5" t="s">
        <v>43</v>
      </c>
      <c r="E1013" s="5" t="s">
        <v>202</v>
      </c>
      <c r="F1013" s="5" t="s">
        <v>16</v>
      </c>
      <c r="G1013" s="5" t="s">
        <v>17</v>
      </c>
      <c r="H1013" s="5">
        <v>192</v>
      </c>
      <c r="I1013" s="5">
        <v>8</v>
      </c>
      <c r="J1013" s="5" t="s">
        <v>32</v>
      </c>
      <c r="K1013" s="5" t="s">
        <v>49</v>
      </c>
      <c r="L1013" s="5" t="s">
        <v>28</v>
      </c>
      <c r="M1013" s="7" t="s">
        <v>41</v>
      </c>
      <c r="N1013" s="26">
        <f t="shared" si="90"/>
        <v>-1</v>
      </c>
      <c r="O1013" s="42">
        <f t="shared" si="91"/>
        <v>45173</v>
      </c>
      <c r="P1013" s="5" t="str">
        <f t="shared" si="92"/>
        <v>Monday</v>
      </c>
      <c r="Q1013" s="5">
        <f t="shared" si="93"/>
        <v>11</v>
      </c>
      <c r="R1013" s="28">
        <f t="shared" si="94"/>
        <v>0.96</v>
      </c>
      <c r="S1013" s="29">
        <f t="shared" si="95"/>
        <v>96</v>
      </c>
      <c r="T1013" s="5" t="str">
        <f>IF(Delivery_Data[[#This Row],[Delays (min)]]&gt;0,"No","Yes")</f>
        <v>No</v>
      </c>
    </row>
    <row r="1014" spans="1:20" ht="15.75" customHeight="1" x14ac:dyDescent="0.3">
      <c r="A1014" s="4">
        <v>2013</v>
      </c>
      <c r="B1014" s="5" t="s">
        <v>1123</v>
      </c>
      <c r="C1014" s="6">
        <v>45176.359027777777</v>
      </c>
      <c r="D1014" s="5" t="s">
        <v>43</v>
      </c>
      <c r="E1014" s="5" t="s">
        <v>164</v>
      </c>
      <c r="F1014" s="5" t="s">
        <v>16</v>
      </c>
      <c r="G1014" s="5" t="s">
        <v>17</v>
      </c>
      <c r="H1014" s="5">
        <v>94</v>
      </c>
      <c r="I1014" s="5">
        <v>28</v>
      </c>
      <c r="J1014" s="5" t="s">
        <v>18</v>
      </c>
      <c r="K1014" s="5" t="s">
        <v>27</v>
      </c>
      <c r="L1014" s="5" t="s">
        <v>28</v>
      </c>
      <c r="M1014" s="7" t="s">
        <v>41</v>
      </c>
      <c r="N1014" s="26">
        <f t="shared" si="90"/>
        <v>0</v>
      </c>
      <c r="O1014" s="42">
        <f t="shared" si="91"/>
        <v>45176</v>
      </c>
      <c r="P1014" s="5" t="str">
        <f t="shared" si="92"/>
        <v>Thursday</v>
      </c>
      <c r="Q1014" s="5">
        <f t="shared" si="93"/>
        <v>8</v>
      </c>
      <c r="R1014" s="28">
        <f t="shared" si="94"/>
        <v>0.77049180327868849</v>
      </c>
      <c r="S1014" s="29">
        <f t="shared" si="95"/>
        <v>77.049180327868854</v>
      </c>
      <c r="T1014" s="5" t="str">
        <f>IF(Delivery_Data[[#This Row],[Delays (min)]]&gt;0,"No","Yes")</f>
        <v>No</v>
      </c>
    </row>
    <row r="1015" spans="1:20" ht="15.75" customHeight="1" x14ac:dyDescent="0.3">
      <c r="A1015" s="4">
        <v>2014</v>
      </c>
      <c r="B1015" s="5" t="s">
        <v>1124</v>
      </c>
      <c r="C1015" s="6">
        <v>45176.525000000001</v>
      </c>
      <c r="D1015" s="5" t="s">
        <v>43</v>
      </c>
      <c r="E1015" s="5" t="s">
        <v>44</v>
      </c>
      <c r="F1015" s="5" t="s">
        <v>16</v>
      </c>
      <c r="G1015" s="5" t="s">
        <v>25</v>
      </c>
      <c r="H1015" s="5">
        <v>221</v>
      </c>
      <c r="I1015" s="5">
        <v>8</v>
      </c>
      <c r="J1015" s="5" t="s">
        <v>32</v>
      </c>
      <c r="K1015" s="5" t="s">
        <v>45</v>
      </c>
      <c r="L1015" s="5" t="s">
        <v>40</v>
      </c>
      <c r="M1015" s="7" t="s">
        <v>46</v>
      </c>
      <c r="N1015" s="26">
        <f t="shared" si="90"/>
        <v>-1</v>
      </c>
      <c r="O1015" s="42">
        <f t="shared" si="91"/>
        <v>45176</v>
      </c>
      <c r="P1015" s="5" t="str">
        <f t="shared" si="92"/>
        <v>Thursday</v>
      </c>
      <c r="Q1015" s="5">
        <f t="shared" si="93"/>
        <v>12</v>
      </c>
      <c r="R1015" s="28">
        <f t="shared" si="94"/>
        <v>0.96506550218340614</v>
      </c>
      <c r="S1015" s="29">
        <f t="shared" si="95"/>
        <v>96.506550218340621</v>
      </c>
      <c r="T1015" s="5" t="str">
        <f>IF(Delivery_Data[[#This Row],[Delays (min)]]&gt;0,"No","Yes")</f>
        <v>No</v>
      </c>
    </row>
    <row r="1016" spans="1:20" ht="15.75" customHeight="1" x14ac:dyDescent="0.3">
      <c r="A1016" s="4">
        <v>2015</v>
      </c>
      <c r="B1016" s="5" t="s">
        <v>1125</v>
      </c>
      <c r="C1016" s="6">
        <v>45177.436805555553</v>
      </c>
      <c r="D1016" s="5" t="s">
        <v>14</v>
      </c>
      <c r="E1016" s="5" t="s">
        <v>103</v>
      </c>
      <c r="F1016" s="5" t="s">
        <v>38</v>
      </c>
      <c r="G1016" s="5" t="s">
        <v>17</v>
      </c>
      <c r="H1016" s="5">
        <v>198</v>
      </c>
      <c r="I1016" s="5">
        <v>27</v>
      </c>
      <c r="J1016" s="5" t="s">
        <v>32</v>
      </c>
      <c r="K1016" s="5" t="s">
        <v>35</v>
      </c>
      <c r="L1016" s="5" t="s">
        <v>28</v>
      </c>
      <c r="M1016" s="7" t="s">
        <v>41</v>
      </c>
      <c r="N1016" s="26">
        <f t="shared" si="90"/>
        <v>-1</v>
      </c>
      <c r="O1016" s="42">
        <f t="shared" si="91"/>
        <v>45177</v>
      </c>
      <c r="P1016" s="5" t="str">
        <f t="shared" si="92"/>
        <v>Friday</v>
      </c>
      <c r="Q1016" s="5">
        <f t="shared" si="93"/>
        <v>10</v>
      </c>
      <c r="R1016" s="28">
        <f t="shared" si="94"/>
        <v>0.88</v>
      </c>
      <c r="S1016" s="29">
        <f t="shared" si="95"/>
        <v>88</v>
      </c>
      <c r="T1016" s="5" t="str">
        <f>IF(Delivery_Data[[#This Row],[Delays (min)]]&gt;0,"No","Yes")</f>
        <v>No</v>
      </c>
    </row>
    <row r="1017" spans="1:20" ht="15.75" customHeight="1" x14ac:dyDescent="0.3">
      <c r="A1017" s="4">
        <v>2016</v>
      </c>
      <c r="B1017" s="5" t="s">
        <v>1126</v>
      </c>
      <c r="C1017" s="6">
        <v>45175.379861111112</v>
      </c>
      <c r="D1017" s="5" t="s">
        <v>14</v>
      </c>
      <c r="E1017" s="5" t="s">
        <v>169</v>
      </c>
      <c r="F1017" s="5" t="s">
        <v>16</v>
      </c>
      <c r="G1017" s="5" t="s">
        <v>25</v>
      </c>
      <c r="H1017" s="5">
        <v>111</v>
      </c>
      <c r="I1017" s="5">
        <v>8</v>
      </c>
      <c r="J1017" s="5" t="s">
        <v>26</v>
      </c>
      <c r="K1017" s="5" t="s">
        <v>35</v>
      </c>
      <c r="L1017" s="5" t="s">
        <v>20</v>
      </c>
      <c r="M1017" s="7" t="s">
        <v>46</v>
      </c>
      <c r="N1017" s="26">
        <f t="shared" si="90"/>
        <v>1</v>
      </c>
      <c r="O1017" s="42">
        <f t="shared" si="91"/>
        <v>45175</v>
      </c>
      <c r="P1017" s="5" t="str">
        <f t="shared" si="92"/>
        <v>Wednesday</v>
      </c>
      <c r="Q1017" s="5">
        <f t="shared" si="93"/>
        <v>9</v>
      </c>
      <c r="R1017" s="28">
        <f t="shared" si="94"/>
        <v>0.9327731092436975</v>
      </c>
      <c r="S1017" s="29">
        <f t="shared" si="95"/>
        <v>93.277310924369743</v>
      </c>
      <c r="T1017" s="5" t="str">
        <f>IF(Delivery_Data[[#This Row],[Delays (min)]]&gt;0,"No","Yes")</f>
        <v>No</v>
      </c>
    </row>
    <row r="1018" spans="1:20" ht="15.75" customHeight="1" x14ac:dyDescent="0.3">
      <c r="A1018" s="4">
        <v>2017</v>
      </c>
      <c r="B1018" s="5" t="s">
        <v>1127</v>
      </c>
      <c r="C1018" s="6">
        <v>45176.441666666666</v>
      </c>
      <c r="D1018" s="5" t="s">
        <v>43</v>
      </c>
      <c r="E1018" s="5" t="s">
        <v>179</v>
      </c>
      <c r="F1018" s="5" t="s">
        <v>38</v>
      </c>
      <c r="G1018" s="5" t="s">
        <v>31</v>
      </c>
      <c r="H1018" s="5">
        <v>193</v>
      </c>
      <c r="I1018" s="5">
        <v>27</v>
      </c>
      <c r="J1018" s="5" t="s">
        <v>26</v>
      </c>
      <c r="K1018" s="5" t="s">
        <v>49</v>
      </c>
      <c r="L1018" s="5" t="s">
        <v>20</v>
      </c>
      <c r="M1018" s="7" t="s">
        <v>41</v>
      </c>
      <c r="N1018" s="26">
        <f t="shared" si="90"/>
        <v>1</v>
      </c>
      <c r="O1018" s="42">
        <f t="shared" si="91"/>
        <v>45176</v>
      </c>
      <c r="P1018" s="5" t="str">
        <f t="shared" si="92"/>
        <v>Thursday</v>
      </c>
      <c r="Q1018" s="5">
        <f t="shared" si="93"/>
        <v>10</v>
      </c>
      <c r="R1018" s="28">
        <f t="shared" si="94"/>
        <v>0.87727272727272732</v>
      </c>
      <c r="S1018" s="29">
        <f t="shared" si="95"/>
        <v>87.727272727272734</v>
      </c>
      <c r="T1018" s="5" t="str">
        <f>IF(Delivery_Data[[#This Row],[Delays (min)]]&gt;0,"No","Yes")</f>
        <v>No</v>
      </c>
    </row>
    <row r="1019" spans="1:20" ht="15.75" customHeight="1" x14ac:dyDescent="0.3">
      <c r="A1019" s="4">
        <v>2018</v>
      </c>
      <c r="B1019" s="5" t="s">
        <v>1128</v>
      </c>
      <c r="C1019" s="6">
        <v>45173.472222222219</v>
      </c>
      <c r="D1019" s="5" t="s">
        <v>14</v>
      </c>
      <c r="E1019" s="5" t="s">
        <v>179</v>
      </c>
      <c r="F1019" s="5" t="s">
        <v>24</v>
      </c>
      <c r="G1019" s="5" t="s">
        <v>56</v>
      </c>
      <c r="H1019" s="5">
        <v>219</v>
      </c>
      <c r="I1019" s="5">
        <v>14</v>
      </c>
      <c r="J1019" s="5" t="s">
        <v>18</v>
      </c>
      <c r="K1019" s="5" t="s">
        <v>49</v>
      </c>
      <c r="L1019" s="5" t="s">
        <v>28</v>
      </c>
      <c r="M1019" s="7" t="s">
        <v>21</v>
      </c>
      <c r="N1019" s="26">
        <f t="shared" si="90"/>
        <v>0</v>
      </c>
      <c r="O1019" s="42">
        <f t="shared" si="91"/>
        <v>45173</v>
      </c>
      <c r="P1019" s="5" t="str">
        <f t="shared" si="92"/>
        <v>Monday</v>
      </c>
      <c r="Q1019" s="5">
        <f t="shared" si="93"/>
        <v>11</v>
      </c>
      <c r="R1019" s="28">
        <f t="shared" si="94"/>
        <v>0.93991416309012876</v>
      </c>
      <c r="S1019" s="29">
        <f t="shared" si="95"/>
        <v>93.991416309012877</v>
      </c>
      <c r="T1019" s="5" t="str">
        <f>IF(Delivery_Data[[#This Row],[Delays (min)]]&gt;0,"No","Yes")</f>
        <v>No</v>
      </c>
    </row>
    <row r="1020" spans="1:20" ht="15.75" customHeight="1" x14ac:dyDescent="0.3">
      <c r="A1020" s="4">
        <v>2019</v>
      </c>
      <c r="B1020" s="5" t="s">
        <v>1129</v>
      </c>
      <c r="C1020" s="6">
        <v>45175.363888888889</v>
      </c>
      <c r="D1020" s="5" t="s">
        <v>14</v>
      </c>
      <c r="E1020" s="5" t="s">
        <v>109</v>
      </c>
      <c r="F1020" s="5" t="s">
        <v>38</v>
      </c>
      <c r="G1020" s="5" t="s">
        <v>31</v>
      </c>
      <c r="H1020" s="5">
        <v>84</v>
      </c>
      <c r="I1020" s="5">
        <v>13</v>
      </c>
      <c r="J1020" s="5" t="s">
        <v>32</v>
      </c>
      <c r="K1020" s="5" t="s">
        <v>45</v>
      </c>
      <c r="L1020" s="5" t="s">
        <v>40</v>
      </c>
      <c r="M1020" s="7" t="s">
        <v>21</v>
      </c>
      <c r="N1020" s="26">
        <f t="shared" si="90"/>
        <v>-1</v>
      </c>
      <c r="O1020" s="42">
        <f t="shared" si="91"/>
        <v>45175</v>
      </c>
      <c r="P1020" s="5" t="str">
        <f t="shared" si="92"/>
        <v>Wednesday</v>
      </c>
      <c r="Q1020" s="5">
        <f t="shared" si="93"/>
        <v>8</v>
      </c>
      <c r="R1020" s="28">
        <f t="shared" si="94"/>
        <v>0.865979381443299</v>
      </c>
      <c r="S1020" s="29">
        <f t="shared" si="95"/>
        <v>86.597938144329902</v>
      </c>
      <c r="T1020" s="5" t="str">
        <f>IF(Delivery_Data[[#This Row],[Delays (min)]]&gt;0,"No","Yes")</f>
        <v>No</v>
      </c>
    </row>
    <row r="1021" spans="1:20" ht="15.75" customHeight="1" x14ac:dyDescent="0.3">
      <c r="A1021" s="4">
        <v>2020</v>
      </c>
      <c r="B1021" s="5" t="s">
        <v>1130</v>
      </c>
      <c r="C1021" s="6">
        <v>45170.656944444447</v>
      </c>
      <c r="D1021" s="5" t="s">
        <v>14</v>
      </c>
      <c r="E1021" s="5" t="s">
        <v>243</v>
      </c>
      <c r="F1021" s="5" t="s">
        <v>38</v>
      </c>
      <c r="G1021" s="5" t="s">
        <v>56</v>
      </c>
      <c r="H1021" s="5">
        <v>200</v>
      </c>
      <c r="I1021" s="5">
        <v>10</v>
      </c>
      <c r="J1021" s="5" t="s">
        <v>32</v>
      </c>
      <c r="K1021" s="5" t="s">
        <v>45</v>
      </c>
      <c r="L1021" s="5" t="s">
        <v>28</v>
      </c>
      <c r="M1021" s="7" t="s">
        <v>46</v>
      </c>
      <c r="N1021" s="26">
        <f t="shared" si="90"/>
        <v>-1</v>
      </c>
      <c r="O1021" s="42">
        <f t="shared" si="91"/>
        <v>45170</v>
      </c>
      <c r="P1021" s="5" t="str">
        <f t="shared" si="92"/>
        <v>Friday</v>
      </c>
      <c r="Q1021" s="5">
        <f t="shared" si="93"/>
        <v>15</v>
      </c>
      <c r="R1021" s="28">
        <f t="shared" si="94"/>
        <v>0.95238095238095233</v>
      </c>
      <c r="S1021" s="29">
        <f t="shared" si="95"/>
        <v>95.238095238095227</v>
      </c>
      <c r="T1021" s="5" t="str">
        <f>IF(Delivery_Data[[#This Row],[Delays (min)]]&gt;0,"No","Yes")</f>
        <v>No</v>
      </c>
    </row>
    <row r="1022" spans="1:20" ht="15.75" customHeight="1" x14ac:dyDescent="0.3">
      <c r="A1022" s="4">
        <v>2021</v>
      </c>
      <c r="B1022" s="5" t="s">
        <v>1131</v>
      </c>
      <c r="C1022" s="6">
        <v>45175.432638888888</v>
      </c>
      <c r="D1022" s="5" t="s">
        <v>14</v>
      </c>
      <c r="E1022" s="5" t="s">
        <v>169</v>
      </c>
      <c r="F1022" s="5" t="s">
        <v>16</v>
      </c>
      <c r="G1022" s="5" t="s">
        <v>17</v>
      </c>
      <c r="H1022" s="5">
        <v>78</v>
      </c>
      <c r="I1022" s="5">
        <v>17</v>
      </c>
      <c r="J1022" s="5" t="s">
        <v>18</v>
      </c>
      <c r="K1022" s="5" t="s">
        <v>45</v>
      </c>
      <c r="L1022" s="5" t="s">
        <v>40</v>
      </c>
      <c r="M1022" s="7" t="s">
        <v>46</v>
      </c>
      <c r="N1022" s="26">
        <f t="shared" si="90"/>
        <v>0</v>
      </c>
      <c r="O1022" s="42">
        <f t="shared" si="91"/>
        <v>45175</v>
      </c>
      <c r="P1022" s="5" t="str">
        <f t="shared" si="92"/>
        <v>Wednesday</v>
      </c>
      <c r="Q1022" s="5">
        <f t="shared" si="93"/>
        <v>10</v>
      </c>
      <c r="R1022" s="28">
        <f t="shared" si="94"/>
        <v>0.82105263157894737</v>
      </c>
      <c r="S1022" s="29">
        <f t="shared" si="95"/>
        <v>82.10526315789474</v>
      </c>
      <c r="T1022" s="5" t="str">
        <f>IF(Delivery_Data[[#This Row],[Delays (min)]]&gt;0,"No","Yes")</f>
        <v>No</v>
      </c>
    </row>
    <row r="1023" spans="1:20" ht="15.75" customHeight="1" x14ac:dyDescent="0.3">
      <c r="A1023" s="4">
        <v>2022</v>
      </c>
      <c r="B1023" s="5" t="s">
        <v>1132</v>
      </c>
      <c r="C1023" s="6">
        <v>45172.381944444445</v>
      </c>
      <c r="D1023" s="5" t="s">
        <v>14</v>
      </c>
      <c r="E1023" s="5" t="s">
        <v>211</v>
      </c>
      <c r="F1023" s="5" t="s">
        <v>16</v>
      </c>
      <c r="G1023" s="5" t="s">
        <v>56</v>
      </c>
      <c r="H1023" s="5">
        <v>111</v>
      </c>
      <c r="I1023" s="5">
        <v>18</v>
      </c>
      <c r="J1023" s="5" t="s">
        <v>32</v>
      </c>
      <c r="K1023" s="5" t="s">
        <v>19</v>
      </c>
      <c r="L1023" s="5" t="s">
        <v>28</v>
      </c>
      <c r="M1023" s="7" t="s">
        <v>46</v>
      </c>
      <c r="N1023" s="26">
        <f t="shared" si="90"/>
        <v>-1</v>
      </c>
      <c r="O1023" s="42">
        <f t="shared" si="91"/>
        <v>45172</v>
      </c>
      <c r="P1023" s="5" t="str">
        <f t="shared" si="92"/>
        <v>Sunday</v>
      </c>
      <c r="Q1023" s="5">
        <f t="shared" si="93"/>
        <v>9</v>
      </c>
      <c r="R1023" s="28">
        <f t="shared" si="94"/>
        <v>0.86046511627906974</v>
      </c>
      <c r="S1023" s="29">
        <f t="shared" si="95"/>
        <v>86.04651162790698</v>
      </c>
      <c r="T1023" s="5" t="str">
        <f>IF(Delivery_Data[[#This Row],[Delays (min)]]&gt;0,"No","Yes")</f>
        <v>No</v>
      </c>
    </row>
    <row r="1024" spans="1:20" ht="15.75" customHeight="1" x14ac:dyDescent="0.3">
      <c r="A1024" s="4">
        <v>2023</v>
      </c>
      <c r="B1024" s="5" t="s">
        <v>1133</v>
      </c>
      <c r="C1024" s="6">
        <v>45173.643055555556</v>
      </c>
      <c r="D1024" s="5" t="s">
        <v>14</v>
      </c>
      <c r="E1024" s="5" t="s">
        <v>285</v>
      </c>
      <c r="F1024" s="5" t="s">
        <v>24</v>
      </c>
      <c r="G1024" s="5" t="s">
        <v>17</v>
      </c>
      <c r="H1024" s="5">
        <v>205</v>
      </c>
      <c r="I1024" s="5">
        <v>10</v>
      </c>
      <c r="J1024" s="5" t="s">
        <v>32</v>
      </c>
      <c r="K1024" s="5" t="s">
        <v>27</v>
      </c>
      <c r="L1024" s="5" t="s">
        <v>40</v>
      </c>
      <c r="M1024" s="7" t="s">
        <v>46</v>
      </c>
      <c r="N1024" s="26">
        <f t="shared" si="90"/>
        <v>-1</v>
      </c>
      <c r="O1024" s="42">
        <f t="shared" si="91"/>
        <v>45173</v>
      </c>
      <c r="P1024" s="5" t="str">
        <f t="shared" si="92"/>
        <v>Monday</v>
      </c>
      <c r="Q1024" s="5">
        <f t="shared" si="93"/>
        <v>15</v>
      </c>
      <c r="R1024" s="28">
        <f t="shared" si="94"/>
        <v>0.95348837209302328</v>
      </c>
      <c r="S1024" s="29">
        <f t="shared" si="95"/>
        <v>95.348837209302332</v>
      </c>
      <c r="T1024" s="5" t="str">
        <f>IF(Delivery_Data[[#This Row],[Delays (min)]]&gt;0,"No","Yes")</f>
        <v>No</v>
      </c>
    </row>
    <row r="1025" spans="1:20" ht="15.75" customHeight="1" x14ac:dyDescent="0.3">
      <c r="A1025" s="4">
        <v>2024</v>
      </c>
      <c r="B1025" s="5" t="s">
        <v>1134</v>
      </c>
      <c r="C1025" s="6">
        <v>45173.59652777778</v>
      </c>
      <c r="D1025" s="5" t="s">
        <v>14</v>
      </c>
      <c r="E1025" s="5" t="s">
        <v>285</v>
      </c>
      <c r="F1025" s="5" t="s">
        <v>16</v>
      </c>
      <c r="G1025" s="5" t="s">
        <v>31</v>
      </c>
      <c r="H1025" s="5">
        <v>218</v>
      </c>
      <c r="I1025" s="5">
        <v>24</v>
      </c>
      <c r="J1025" s="5" t="s">
        <v>26</v>
      </c>
      <c r="K1025" s="5" t="s">
        <v>19</v>
      </c>
      <c r="L1025" s="5" t="s">
        <v>20</v>
      </c>
      <c r="M1025" s="7" t="s">
        <v>41</v>
      </c>
      <c r="N1025" s="26">
        <f t="shared" si="90"/>
        <v>1</v>
      </c>
      <c r="O1025" s="42">
        <f t="shared" si="91"/>
        <v>45173</v>
      </c>
      <c r="P1025" s="5" t="str">
        <f t="shared" si="92"/>
        <v>Monday</v>
      </c>
      <c r="Q1025" s="5">
        <f t="shared" si="93"/>
        <v>14</v>
      </c>
      <c r="R1025" s="28">
        <f t="shared" si="94"/>
        <v>0.90082644628099173</v>
      </c>
      <c r="S1025" s="29">
        <f t="shared" si="95"/>
        <v>90.082644628099175</v>
      </c>
      <c r="T1025" s="5" t="str">
        <f>IF(Delivery_Data[[#This Row],[Delays (min)]]&gt;0,"No","Yes")</f>
        <v>No</v>
      </c>
    </row>
    <row r="1026" spans="1:20" ht="15.75" customHeight="1" x14ac:dyDescent="0.3">
      <c r="A1026" s="4">
        <v>2025</v>
      </c>
      <c r="B1026" s="5" t="s">
        <v>1135</v>
      </c>
      <c r="C1026" s="6">
        <v>45175.412499999999</v>
      </c>
      <c r="D1026" s="5" t="s">
        <v>43</v>
      </c>
      <c r="E1026" s="5" t="s">
        <v>111</v>
      </c>
      <c r="F1026" s="5" t="s">
        <v>24</v>
      </c>
      <c r="G1026" s="5" t="s">
        <v>17</v>
      </c>
      <c r="H1026" s="5">
        <v>161</v>
      </c>
      <c r="I1026" s="5">
        <v>2</v>
      </c>
      <c r="J1026" s="5" t="s">
        <v>26</v>
      </c>
      <c r="K1026" s="5" t="s">
        <v>19</v>
      </c>
      <c r="L1026" s="5" t="s">
        <v>20</v>
      </c>
      <c r="M1026" s="7" t="s">
        <v>46</v>
      </c>
      <c r="N1026" s="26">
        <f t="shared" ref="N1026:N1089" si="96">IF(J1026="Positive",1,IF(J1026="Neutral",0,IF(J1026="Negative",-1,"")))</f>
        <v>1</v>
      </c>
      <c r="O1026" s="42">
        <f t="shared" ref="O1026:O1089" si="97">INT(C1026)</f>
        <v>45175</v>
      </c>
      <c r="P1026" s="5" t="str">
        <f t="shared" ref="P1026:P1089" si="98">TEXT(C1026,"dddd")</f>
        <v>Wednesday</v>
      </c>
      <c r="Q1026" s="5">
        <f t="shared" ref="Q1026:Q1089" si="99">HOUR(C1026)</f>
        <v>9</v>
      </c>
      <c r="R1026" s="28">
        <f t="shared" ref="R1026:R1089" si="100">H1026/(H1026+I1026)</f>
        <v>0.98773006134969321</v>
      </c>
      <c r="S1026" s="29">
        <f t="shared" si="95"/>
        <v>98.773006134969322</v>
      </c>
      <c r="T1026" s="5" t="str">
        <f>IF(Delivery_Data[[#This Row],[Delays (min)]]&gt;0,"No","Yes")</f>
        <v>No</v>
      </c>
    </row>
    <row r="1027" spans="1:20" ht="15.75" customHeight="1" x14ac:dyDescent="0.3">
      <c r="A1027" s="4">
        <v>2026</v>
      </c>
      <c r="B1027" s="5" t="s">
        <v>1136</v>
      </c>
      <c r="C1027" s="6">
        <v>45175.540277777778</v>
      </c>
      <c r="D1027" s="5" t="s">
        <v>14</v>
      </c>
      <c r="E1027" s="5" t="s">
        <v>301</v>
      </c>
      <c r="F1027" s="5" t="s">
        <v>38</v>
      </c>
      <c r="G1027" s="5" t="s">
        <v>56</v>
      </c>
      <c r="H1027" s="5">
        <v>224</v>
      </c>
      <c r="I1027" s="5">
        <v>15</v>
      </c>
      <c r="J1027" s="5" t="s">
        <v>32</v>
      </c>
      <c r="K1027" s="5" t="s">
        <v>27</v>
      </c>
      <c r="L1027" s="5" t="s">
        <v>40</v>
      </c>
      <c r="M1027" s="7" t="s">
        <v>41</v>
      </c>
      <c r="N1027" s="26">
        <f t="shared" si="96"/>
        <v>-1</v>
      </c>
      <c r="O1027" s="42">
        <f t="shared" si="97"/>
        <v>45175</v>
      </c>
      <c r="P1027" s="5" t="str">
        <f t="shared" si="98"/>
        <v>Wednesday</v>
      </c>
      <c r="Q1027" s="5">
        <f t="shared" si="99"/>
        <v>12</v>
      </c>
      <c r="R1027" s="28">
        <f t="shared" si="100"/>
        <v>0.93723849372384938</v>
      </c>
      <c r="S1027" s="29">
        <f t="shared" ref="S1027:S1090" si="101">IF(H1027+I1027=0,0,(H1027/(H1027+I1027))*100) + (IFERROR(--J1027,0)*10)</f>
        <v>93.723849372384933</v>
      </c>
      <c r="T1027" s="5" t="str">
        <f>IF(Delivery_Data[[#This Row],[Delays (min)]]&gt;0,"No","Yes")</f>
        <v>No</v>
      </c>
    </row>
    <row r="1028" spans="1:20" ht="15.75" customHeight="1" x14ac:dyDescent="0.3">
      <c r="A1028" s="4">
        <v>2027</v>
      </c>
      <c r="B1028" s="5" t="s">
        <v>1137</v>
      </c>
      <c r="C1028" s="6">
        <v>45174.598611111112</v>
      </c>
      <c r="D1028" s="5" t="s">
        <v>14</v>
      </c>
      <c r="E1028" s="5" t="s">
        <v>468</v>
      </c>
      <c r="F1028" s="5" t="s">
        <v>38</v>
      </c>
      <c r="G1028" s="5" t="s">
        <v>39</v>
      </c>
      <c r="H1028" s="5">
        <v>134</v>
      </c>
      <c r="I1028" s="5">
        <v>1</v>
      </c>
      <c r="J1028" s="5" t="s">
        <v>26</v>
      </c>
      <c r="K1028" s="5" t="s">
        <v>45</v>
      </c>
      <c r="L1028" s="5" t="s">
        <v>28</v>
      </c>
      <c r="M1028" s="7" t="s">
        <v>41</v>
      </c>
      <c r="N1028" s="26">
        <f t="shared" si="96"/>
        <v>1</v>
      </c>
      <c r="O1028" s="42">
        <f t="shared" si="97"/>
        <v>45174</v>
      </c>
      <c r="P1028" s="5" t="str">
        <f t="shared" si="98"/>
        <v>Tuesday</v>
      </c>
      <c r="Q1028" s="5">
        <f t="shared" si="99"/>
        <v>14</v>
      </c>
      <c r="R1028" s="28">
        <f t="shared" si="100"/>
        <v>0.99259259259259258</v>
      </c>
      <c r="S1028" s="29">
        <f t="shared" si="101"/>
        <v>99.259259259259252</v>
      </c>
      <c r="T1028" s="5" t="str">
        <f>IF(Delivery_Data[[#This Row],[Delays (min)]]&gt;0,"No","Yes")</f>
        <v>No</v>
      </c>
    </row>
    <row r="1029" spans="1:20" ht="15.75" customHeight="1" x14ac:dyDescent="0.3">
      <c r="A1029" s="4">
        <v>2028</v>
      </c>
      <c r="B1029" s="5" t="s">
        <v>1138</v>
      </c>
      <c r="C1029" s="6">
        <v>45176.612500000003</v>
      </c>
      <c r="D1029" s="5" t="s">
        <v>14</v>
      </c>
      <c r="E1029" s="5" t="s">
        <v>30</v>
      </c>
      <c r="F1029" s="5" t="s">
        <v>16</v>
      </c>
      <c r="G1029" s="5" t="s">
        <v>39</v>
      </c>
      <c r="H1029" s="5">
        <v>157</v>
      </c>
      <c r="I1029" s="5">
        <v>20</v>
      </c>
      <c r="J1029" s="5" t="s">
        <v>26</v>
      </c>
      <c r="K1029" s="5" t="s">
        <v>19</v>
      </c>
      <c r="L1029" s="5" t="s">
        <v>28</v>
      </c>
      <c r="M1029" s="7" t="s">
        <v>46</v>
      </c>
      <c r="N1029" s="26">
        <f t="shared" si="96"/>
        <v>1</v>
      </c>
      <c r="O1029" s="42">
        <f t="shared" si="97"/>
        <v>45176</v>
      </c>
      <c r="P1029" s="5" t="str">
        <f t="shared" si="98"/>
        <v>Thursday</v>
      </c>
      <c r="Q1029" s="5">
        <f t="shared" si="99"/>
        <v>14</v>
      </c>
      <c r="R1029" s="28">
        <f t="shared" si="100"/>
        <v>0.88700564971751417</v>
      </c>
      <c r="S1029" s="29">
        <f t="shared" si="101"/>
        <v>88.700564971751419</v>
      </c>
      <c r="T1029" s="5" t="str">
        <f>IF(Delivery_Data[[#This Row],[Delays (min)]]&gt;0,"No","Yes")</f>
        <v>No</v>
      </c>
    </row>
    <row r="1030" spans="1:20" ht="15.75" customHeight="1" x14ac:dyDescent="0.3">
      <c r="A1030" s="4">
        <v>2029</v>
      </c>
      <c r="B1030" s="5" t="s">
        <v>1139</v>
      </c>
      <c r="C1030" s="6">
        <v>45175.47152777778</v>
      </c>
      <c r="D1030" s="5" t="s">
        <v>14</v>
      </c>
      <c r="E1030" s="5" t="s">
        <v>113</v>
      </c>
      <c r="F1030" s="5" t="s">
        <v>24</v>
      </c>
      <c r="G1030" s="5" t="s">
        <v>17</v>
      </c>
      <c r="H1030" s="5">
        <v>139</v>
      </c>
      <c r="I1030" s="5">
        <v>3</v>
      </c>
      <c r="J1030" s="5" t="s">
        <v>26</v>
      </c>
      <c r="K1030" s="5" t="s">
        <v>49</v>
      </c>
      <c r="L1030" s="5" t="s">
        <v>28</v>
      </c>
      <c r="M1030" s="7" t="s">
        <v>41</v>
      </c>
      <c r="N1030" s="26">
        <f t="shared" si="96"/>
        <v>1</v>
      </c>
      <c r="O1030" s="42">
        <f t="shared" si="97"/>
        <v>45175</v>
      </c>
      <c r="P1030" s="5" t="str">
        <f t="shared" si="98"/>
        <v>Wednesday</v>
      </c>
      <c r="Q1030" s="5">
        <f t="shared" si="99"/>
        <v>11</v>
      </c>
      <c r="R1030" s="28">
        <f t="shared" si="100"/>
        <v>0.97887323943661975</v>
      </c>
      <c r="S1030" s="29">
        <f t="shared" si="101"/>
        <v>97.887323943661968</v>
      </c>
      <c r="T1030" s="5" t="str">
        <f>IF(Delivery_Data[[#This Row],[Delays (min)]]&gt;0,"No","Yes")</f>
        <v>No</v>
      </c>
    </row>
    <row r="1031" spans="1:20" ht="15.75" customHeight="1" x14ac:dyDescent="0.3">
      <c r="A1031" s="4">
        <v>2030</v>
      </c>
      <c r="B1031" s="5" t="s">
        <v>1140</v>
      </c>
      <c r="C1031" s="6">
        <v>45174.538194444445</v>
      </c>
      <c r="D1031" s="5" t="s">
        <v>43</v>
      </c>
      <c r="E1031" s="5" t="s">
        <v>249</v>
      </c>
      <c r="F1031" s="5" t="s">
        <v>24</v>
      </c>
      <c r="G1031" s="5" t="s">
        <v>39</v>
      </c>
      <c r="H1031" s="5">
        <v>201</v>
      </c>
      <c r="I1031" s="5">
        <v>14</v>
      </c>
      <c r="J1031" s="5" t="s">
        <v>26</v>
      </c>
      <c r="K1031" s="5" t="s">
        <v>27</v>
      </c>
      <c r="L1031" s="5" t="s">
        <v>28</v>
      </c>
      <c r="M1031" s="7" t="s">
        <v>46</v>
      </c>
      <c r="N1031" s="26">
        <f t="shared" si="96"/>
        <v>1</v>
      </c>
      <c r="O1031" s="42">
        <f t="shared" si="97"/>
        <v>45174</v>
      </c>
      <c r="P1031" s="5" t="str">
        <f t="shared" si="98"/>
        <v>Tuesday</v>
      </c>
      <c r="Q1031" s="5">
        <f t="shared" si="99"/>
        <v>12</v>
      </c>
      <c r="R1031" s="28">
        <f t="shared" si="100"/>
        <v>0.93488372093023253</v>
      </c>
      <c r="S1031" s="29">
        <f t="shared" si="101"/>
        <v>93.488372093023258</v>
      </c>
      <c r="T1031" s="5" t="str">
        <f>IF(Delivery_Data[[#This Row],[Delays (min)]]&gt;0,"No","Yes")</f>
        <v>No</v>
      </c>
    </row>
    <row r="1032" spans="1:20" ht="15.75" customHeight="1" x14ac:dyDescent="0.3">
      <c r="A1032" s="4">
        <v>2031</v>
      </c>
      <c r="B1032" s="5" t="s">
        <v>1141</v>
      </c>
      <c r="C1032" s="6">
        <v>45174.47152777778</v>
      </c>
      <c r="D1032" s="5" t="s">
        <v>43</v>
      </c>
      <c r="E1032" s="5" t="s">
        <v>228</v>
      </c>
      <c r="F1032" s="5" t="s">
        <v>24</v>
      </c>
      <c r="G1032" s="5" t="s">
        <v>25</v>
      </c>
      <c r="H1032" s="5">
        <v>181</v>
      </c>
      <c r="I1032" s="5">
        <v>19</v>
      </c>
      <c r="J1032" s="5" t="s">
        <v>18</v>
      </c>
      <c r="K1032" s="5" t="s">
        <v>45</v>
      </c>
      <c r="L1032" s="5" t="s">
        <v>28</v>
      </c>
      <c r="M1032" s="7" t="s">
        <v>41</v>
      </c>
      <c r="N1032" s="26">
        <f t="shared" si="96"/>
        <v>0</v>
      </c>
      <c r="O1032" s="42">
        <f t="shared" si="97"/>
        <v>45174</v>
      </c>
      <c r="P1032" s="5" t="str">
        <f t="shared" si="98"/>
        <v>Tuesday</v>
      </c>
      <c r="Q1032" s="5">
        <f t="shared" si="99"/>
        <v>11</v>
      </c>
      <c r="R1032" s="28">
        <f t="shared" si="100"/>
        <v>0.90500000000000003</v>
      </c>
      <c r="S1032" s="29">
        <f t="shared" si="101"/>
        <v>90.5</v>
      </c>
      <c r="T1032" s="5" t="str">
        <f>IF(Delivery_Data[[#This Row],[Delays (min)]]&gt;0,"No","Yes")</f>
        <v>No</v>
      </c>
    </row>
    <row r="1033" spans="1:20" ht="15.75" customHeight="1" x14ac:dyDescent="0.3">
      <c r="A1033" s="4">
        <v>2032</v>
      </c>
      <c r="B1033" s="5" t="s">
        <v>1142</v>
      </c>
      <c r="C1033" s="6">
        <v>45174.409722222219</v>
      </c>
      <c r="D1033" s="5" t="s">
        <v>14</v>
      </c>
      <c r="E1033" s="5" t="s">
        <v>185</v>
      </c>
      <c r="F1033" s="5" t="s">
        <v>38</v>
      </c>
      <c r="G1033" s="5" t="s">
        <v>25</v>
      </c>
      <c r="H1033" s="5">
        <v>93</v>
      </c>
      <c r="I1033" s="5">
        <v>18</v>
      </c>
      <c r="J1033" s="5" t="s">
        <v>26</v>
      </c>
      <c r="K1033" s="5" t="s">
        <v>19</v>
      </c>
      <c r="L1033" s="5" t="s">
        <v>40</v>
      </c>
      <c r="M1033" s="7" t="s">
        <v>41</v>
      </c>
      <c r="N1033" s="26">
        <f t="shared" si="96"/>
        <v>1</v>
      </c>
      <c r="O1033" s="42">
        <f t="shared" si="97"/>
        <v>45174</v>
      </c>
      <c r="P1033" s="5" t="str">
        <f t="shared" si="98"/>
        <v>Tuesday</v>
      </c>
      <c r="Q1033" s="5">
        <f t="shared" si="99"/>
        <v>9</v>
      </c>
      <c r="R1033" s="28">
        <f t="shared" si="100"/>
        <v>0.83783783783783783</v>
      </c>
      <c r="S1033" s="29">
        <f t="shared" si="101"/>
        <v>83.78378378378379</v>
      </c>
      <c r="T1033" s="5" t="str">
        <f>IF(Delivery_Data[[#This Row],[Delays (min)]]&gt;0,"No","Yes")</f>
        <v>No</v>
      </c>
    </row>
    <row r="1034" spans="1:20" ht="15.75" customHeight="1" x14ac:dyDescent="0.3">
      <c r="A1034" s="4">
        <v>2033</v>
      </c>
      <c r="B1034" s="5" t="s">
        <v>1143</v>
      </c>
      <c r="C1034" s="6">
        <v>45173.392361111109</v>
      </c>
      <c r="D1034" s="5" t="s">
        <v>43</v>
      </c>
      <c r="E1034" s="5" t="s">
        <v>220</v>
      </c>
      <c r="F1034" s="5" t="s">
        <v>38</v>
      </c>
      <c r="G1034" s="5" t="s">
        <v>31</v>
      </c>
      <c r="H1034" s="5">
        <v>150</v>
      </c>
      <c r="I1034" s="5">
        <v>3</v>
      </c>
      <c r="J1034" s="5" t="s">
        <v>32</v>
      </c>
      <c r="K1034" s="5" t="s">
        <v>45</v>
      </c>
      <c r="L1034" s="5" t="s">
        <v>40</v>
      </c>
      <c r="M1034" s="7" t="s">
        <v>46</v>
      </c>
      <c r="N1034" s="26">
        <f t="shared" si="96"/>
        <v>-1</v>
      </c>
      <c r="O1034" s="42">
        <f t="shared" si="97"/>
        <v>45173</v>
      </c>
      <c r="P1034" s="5" t="str">
        <f t="shared" si="98"/>
        <v>Monday</v>
      </c>
      <c r="Q1034" s="5">
        <f t="shared" si="99"/>
        <v>9</v>
      </c>
      <c r="R1034" s="28">
        <f t="shared" si="100"/>
        <v>0.98039215686274506</v>
      </c>
      <c r="S1034" s="29">
        <f t="shared" si="101"/>
        <v>98.039215686274503</v>
      </c>
      <c r="T1034" s="5" t="str">
        <f>IF(Delivery_Data[[#This Row],[Delays (min)]]&gt;0,"No","Yes")</f>
        <v>No</v>
      </c>
    </row>
    <row r="1035" spans="1:20" ht="15.75" customHeight="1" x14ac:dyDescent="0.3">
      <c r="A1035" s="4">
        <v>2034</v>
      </c>
      <c r="B1035" s="5" t="s">
        <v>1144</v>
      </c>
      <c r="C1035" s="6">
        <v>45174.495138888888</v>
      </c>
      <c r="D1035" s="5" t="s">
        <v>14</v>
      </c>
      <c r="E1035" s="5" t="s">
        <v>202</v>
      </c>
      <c r="F1035" s="5" t="s">
        <v>38</v>
      </c>
      <c r="G1035" s="5" t="s">
        <v>56</v>
      </c>
      <c r="H1035" s="5">
        <v>91</v>
      </c>
      <c r="I1035" s="5">
        <v>22</v>
      </c>
      <c r="J1035" s="5" t="s">
        <v>26</v>
      </c>
      <c r="K1035" s="5" t="s">
        <v>27</v>
      </c>
      <c r="L1035" s="5" t="s">
        <v>40</v>
      </c>
      <c r="M1035" s="7" t="s">
        <v>41</v>
      </c>
      <c r="N1035" s="26">
        <f t="shared" si="96"/>
        <v>1</v>
      </c>
      <c r="O1035" s="42">
        <f t="shared" si="97"/>
        <v>45174</v>
      </c>
      <c r="P1035" s="5" t="str">
        <f t="shared" si="98"/>
        <v>Tuesday</v>
      </c>
      <c r="Q1035" s="5">
        <f t="shared" si="99"/>
        <v>11</v>
      </c>
      <c r="R1035" s="28">
        <f t="shared" si="100"/>
        <v>0.80530973451327437</v>
      </c>
      <c r="S1035" s="29">
        <f t="shared" si="101"/>
        <v>80.530973451327441</v>
      </c>
      <c r="T1035" s="5" t="str">
        <f>IF(Delivery_Data[[#This Row],[Delays (min)]]&gt;0,"No","Yes")</f>
        <v>No</v>
      </c>
    </row>
    <row r="1036" spans="1:20" ht="15.75" customHeight="1" x14ac:dyDescent="0.3">
      <c r="A1036" s="4">
        <v>2035</v>
      </c>
      <c r="B1036" s="5" t="s">
        <v>1145</v>
      </c>
      <c r="C1036" s="6">
        <v>45177.525694444441</v>
      </c>
      <c r="D1036" s="5" t="s">
        <v>43</v>
      </c>
      <c r="E1036" s="5" t="s">
        <v>70</v>
      </c>
      <c r="F1036" s="5" t="s">
        <v>38</v>
      </c>
      <c r="G1036" s="5" t="s">
        <v>17</v>
      </c>
      <c r="H1036" s="5">
        <v>197</v>
      </c>
      <c r="I1036" s="5">
        <v>5</v>
      </c>
      <c r="J1036" s="5" t="s">
        <v>18</v>
      </c>
      <c r="K1036" s="5" t="s">
        <v>35</v>
      </c>
      <c r="L1036" s="5" t="s">
        <v>40</v>
      </c>
      <c r="M1036" s="7" t="s">
        <v>41</v>
      </c>
      <c r="N1036" s="26">
        <f t="shared" si="96"/>
        <v>0</v>
      </c>
      <c r="O1036" s="42">
        <f t="shared" si="97"/>
        <v>45177</v>
      </c>
      <c r="P1036" s="5" t="str">
        <f t="shared" si="98"/>
        <v>Friday</v>
      </c>
      <c r="Q1036" s="5">
        <f t="shared" si="99"/>
        <v>12</v>
      </c>
      <c r="R1036" s="28">
        <f t="shared" si="100"/>
        <v>0.97524752475247523</v>
      </c>
      <c r="S1036" s="29">
        <f t="shared" si="101"/>
        <v>97.524752475247524</v>
      </c>
      <c r="T1036" s="5" t="str">
        <f>IF(Delivery_Data[[#This Row],[Delays (min)]]&gt;0,"No","Yes")</f>
        <v>No</v>
      </c>
    </row>
    <row r="1037" spans="1:20" ht="15.75" customHeight="1" x14ac:dyDescent="0.3">
      <c r="A1037" s="4">
        <v>2036</v>
      </c>
      <c r="B1037" s="5" t="s">
        <v>1146</v>
      </c>
      <c r="C1037" s="6">
        <v>45174.509722222225</v>
      </c>
      <c r="D1037" s="5" t="s">
        <v>43</v>
      </c>
      <c r="E1037" s="5" t="s">
        <v>245</v>
      </c>
      <c r="F1037" s="5" t="s">
        <v>16</v>
      </c>
      <c r="G1037" s="5" t="s">
        <v>17</v>
      </c>
      <c r="H1037" s="5">
        <v>173</v>
      </c>
      <c r="I1037" s="5">
        <v>2</v>
      </c>
      <c r="J1037" s="5" t="s">
        <v>18</v>
      </c>
      <c r="K1037" s="5" t="s">
        <v>35</v>
      </c>
      <c r="L1037" s="5" t="s">
        <v>20</v>
      </c>
      <c r="M1037" s="7" t="s">
        <v>21</v>
      </c>
      <c r="N1037" s="26">
        <f t="shared" si="96"/>
        <v>0</v>
      </c>
      <c r="O1037" s="42">
        <f t="shared" si="97"/>
        <v>45174</v>
      </c>
      <c r="P1037" s="5" t="str">
        <f t="shared" si="98"/>
        <v>Tuesday</v>
      </c>
      <c r="Q1037" s="5">
        <f t="shared" si="99"/>
        <v>12</v>
      </c>
      <c r="R1037" s="28">
        <f t="shared" si="100"/>
        <v>0.98857142857142855</v>
      </c>
      <c r="S1037" s="29">
        <f t="shared" si="101"/>
        <v>98.857142857142861</v>
      </c>
      <c r="T1037" s="5" t="str">
        <f>IF(Delivery_Data[[#This Row],[Delays (min)]]&gt;0,"No","Yes")</f>
        <v>No</v>
      </c>
    </row>
    <row r="1038" spans="1:20" ht="15.75" customHeight="1" x14ac:dyDescent="0.3">
      <c r="A1038" s="4">
        <v>2037</v>
      </c>
      <c r="B1038" s="5" t="s">
        <v>1147</v>
      </c>
      <c r="C1038" s="6">
        <v>45170.594444444447</v>
      </c>
      <c r="D1038" s="5" t="s">
        <v>14</v>
      </c>
      <c r="E1038" s="5" t="s">
        <v>301</v>
      </c>
      <c r="F1038" s="5" t="s">
        <v>24</v>
      </c>
      <c r="G1038" s="5" t="s">
        <v>17</v>
      </c>
      <c r="H1038" s="5">
        <v>153</v>
      </c>
      <c r="I1038" s="5">
        <v>1</v>
      </c>
      <c r="J1038" s="5" t="s">
        <v>18</v>
      </c>
      <c r="K1038" s="5" t="s">
        <v>27</v>
      </c>
      <c r="L1038" s="5" t="s">
        <v>40</v>
      </c>
      <c r="M1038" s="7" t="s">
        <v>41</v>
      </c>
      <c r="N1038" s="26">
        <f t="shared" si="96"/>
        <v>0</v>
      </c>
      <c r="O1038" s="42">
        <f t="shared" si="97"/>
        <v>45170</v>
      </c>
      <c r="P1038" s="5" t="str">
        <f t="shared" si="98"/>
        <v>Friday</v>
      </c>
      <c r="Q1038" s="5">
        <f t="shared" si="99"/>
        <v>14</v>
      </c>
      <c r="R1038" s="28">
        <f t="shared" si="100"/>
        <v>0.99350649350649356</v>
      </c>
      <c r="S1038" s="29">
        <f t="shared" si="101"/>
        <v>99.350649350649363</v>
      </c>
      <c r="T1038" s="5" t="str">
        <f>IF(Delivery_Data[[#This Row],[Delays (min)]]&gt;0,"No","Yes")</f>
        <v>No</v>
      </c>
    </row>
    <row r="1039" spans="1:20" ht="15.75" customHeight="1" x14ac:dyDescent="0.3">
      <c r="A1039" s="4">
        <v>2038</v>
      </c>
      <c r="B1039" s="5" t="s">
        <v>1148</v>
      </c>
      <c r="C1039" s="6">
        <v>45172.7</v>
      </c>
      <c r="D1039" s="5" t="s">
        <v>14</v>
      </c>
      <c r="E1039" s="5" t="s">
        <v>62</v>
      </c>
      <c r="F1039" s="5" t="s">
        <v>16</v>
      </c>
      <c r="G1039" s="5" t="s">
        <v>39</v>
      </c>
      <c r="H1039" s="5">
        <v>173</v>
      </c>
      <c r="I1039" s="5">
        <v>21</v>
      </c>
      <c r="J1039" s="5" t="s">
        <v>32</v>
      </c>
      <c r="K1039" s="5" t="s">
        <v>19</v>
      </c>
      <c r="L1039" s="5" t="s">
        <v>40</v>
      </c>
      <c r="M1039" s="7" t="s">
        <v>46</v>
      </c>
      <c r="N1039" s="26">
        <f t="shared" si="96"/>
        <v>-1</v>
      </c>
      <c r="O1039" s="42">
        <f t="shared" si="97"/>
        <v>45172</v>
      </c>
      <c r="P1039" s="5" t="str">
        <f t="shared" si="98"/>
        <v>Sunday</v>
      </c>
      <c r="Q1039" s="5">
        <f t="shared" si="99"/>
        <v>16</v>
      </c>
      <c r="R1039" s="28">
        <f t="shared" si="100"/>
        <v>0.89175257731958768</v>
      </c>
      <c r="S1039" s="29">
        <f t="shared" si="101"/>
        <v>89.175257731958766</v>
      </c>
      <c r="T1039" s="5" t="str">
        <f>IF(Delivery_Data[[#This Row],[Delays (min)]]&gt;0,"No","Yes")</f>
        <v>No</v>
      </c>
    </row>
    <row r="1040" spans="1:20" ht="15.75" customHeight="1" x14ac:dyDescent="0.3">
      <c r="A1040" s="4">
        <v>2039</v>
      </c>
      <c r="B1040" s="5" t="s">
        <v>1149</v>
      </c>
      <c r="C1040" s="6">
        <v>45170.426388888889</v>
      </c>
      <c r="D1040" s="5" t="s">
        <v>14</v>
      </c>
      <c r="E1040" s="5" t="s">
        <v>23</v>
      </c>
      <c r="F1040" s="5" t="s">
        <v>24</v>
      </c>
      <c r="G1040" s="5" t="s">
        <v>17</v>
      </c>
      <c r="H1040" s="5">
        <v>179</v>
      </c>
      <c r="I1040" s="5">
        <v>14</v>
      </c>
      <c r="J1040" s="5" t="s">
        <v>18</v>
      </c>
      <c r="K1040" s="5" t="s">
        <v>49</v>
      </c>
      <c r="L1040" s="5" t="s">
        <v>40</v>
      </c>
      <c r="M1040" s="7" t="s">
        <v>41</v>
      </c>
      <c r="N1040" s="26">
        <f t="shared" si="96"/>
        <v>0</v>
      </c>
      <c r="O1040" s="42">
        <f t="shared" si="97"/>
        <v>45170</v>
      </c>
      <c r="P1040" s="5" t="str">
        <f t="shared" si="98"/>
        <v>Friday</v>
      </c>
      <c r="Q1040" s="5">
        <f t="shared" si="99"/>
        <v>10</v>
      </c>
      <c r="R1040" s="28">
        <f t="shared" si="100"/>
        <v>0.92746113989637302</v>
      </c>
      <c r="S1040" s="29">
        <f t="shared" si="101"/>
        <v>92.746113989637308</v>
      </c>
      <c r="T1040" s="5" t="str">
        <f>IF(Delivery_Data[[#This Row],[Delays (min)]]&gt;0,"No","Yes")</f>
        <v>No</v>
      </c>
    </row>
    <row r="1041" spans="1:20" ht="15.75" customHeight="1" x14ac:dyDescent="0.3">
      <c r="A1041" s="4">
        <v>2040</v>
      </c>
      <c r="B1041" s="5" t="s">
        <v>1150</v>
      </c>
      <c r="C1041" s="6">
        <v>45176.563888888886</v>
      </c>
      <c r="D1041" s="5" t="s">
        <v>14</v>
      </c>
      <c r="E1041" s="5" t="s">
        <v>115</v>
      </c>
      <c r="F1041" s="5" t="s">
        <v>16</v>
      </c>
      <c r="G1041" s="5" t="s">
        <v>56</v>
      </c>
      <c r="H1041" s="5">
        <v>237</v>
      </c>
      <c r="I1041" s="5">
        <v>7</v>
      </c>
      <c r="J1041" s="5" t="s">
        <v>26</v>
      </c>
      <c r="K1041" s="5" t="s">
        <v>19</v>
      </c>
      <c r="L1041" s="5" t="s">
        <v>40</v>
      </c>
      <c r="M1041" s="7" t="s">
        <v>21</v>
      </c>
      <c r="N1041" s="26">
        <f t="shared" si="96"/>
        <v>1</v>
      </c>
      <c r="O1041" s="42">
        <f t="shared" si="97"/>
        <v>45176</v>
      </c>
      <c r="P1041" s="5" t="str">
        <f t="shared" si="98"/>
        <v>Thursday</v>
      </c>
      <c r="Q1041" s="5">
        <f t="shared" si="99"/>
        <v>13</v>
      </c>
      <c r="R1041" s="28">
        <f t="shared" si="100"/>
        <v>0.97131147540983609</v>
      </c>
      <c r="S1041" s="29">
        <f t="shared" si="101"/>
        <v>97.131147540983605</v>
      </c>
      <c r="T1041" s="5" t="str">
        <f>IF(Delivery_Data[[#This Row],[Delays (min)]]&gt;0,"No","Yes")</f>
        <v>No</v>
      </c>
    </row>
    <row r="1042" spans="1:20" ht="15.75" customHeight="1" x14ac:dyDescent="0.3">
      <c r="A1042" s="4">
        <v>2041</v>
      </c>
      <c r="B1042" s="5" t="s">
        <v>1151</v>
      </c>
      <c r="C1042" s="6">
        <v>45177.443055555559</v>
      </c>
      <c r="D1042" s="5" t="s">
        <v>43</v>
      </c>
      <c r="E1042" s="5" t="s">
        <v>78</v>
      </c>
      <c r="F1042" s="5" t="s">
        <v>16</v>
      </c>
      <c r="G1042" s="5" t="s">
        <v>31</v>
      </c>
      <c r="H1042" s="5">
        <v>218</v>
      </c>
      <c r="I1042" s="5">
        <v>28</v>
      </c>
      <c r="J1042" s="5" t="s">
        <v>26</v>
      </c>
      <c r="K1042" s="5" t="s">
        <v>49</v>
      </c>
      <c r="L1042" s="5" t="s">
        <v>28</v>
      </c>
      <c r="M1042" s="7" t="s">
        <v>41</v>
      </c>
      <c r="N1042" s="26">
        <f t="shared" si="96"/>
        <v>1</v>
      </c>
      <c r="O1042" s="42">
        <f t="shared" si="97"/>
        <v>45177</v>
      </c>
      <c r="P1042" s="5" t="str">
        <f t="shared" si="98"/>
        <v>Friday</v>
      </c>
      <c r="Q1042" s="5">
        <f t="shared" si="99"/>
        <v>10</v>
      </c>
      <c r="R1042" s="28">
        <f t="shared" si="100"/>
        <v>0.88617886178861793</v>
      </c>
      <c r="S1042" s="29">
        <f t="shared" si="101"/>
        <v>88.617886178861795</v>
      </c>
      <c r="T1042" s="5" t="str">
        <f>IF(Delivery_Data[[#This Row],[Delays (min)]]&gt;0,"No","Yes")</f>
        <v>No</v>
      </c>
    </row>
    <row r="1043" spans="1:20" ht="15.75" customHeight="1" x14ac:dyDescent="0.3">
      <c r="A1043" s="4">
        <v>2042</v>
      </c>
      <c r="B1043" s="5" t="s">
        <v>1152</v>
      </c>
      <c r="C1043" s="6">
        <v>45174.48333333333</v>
      </c>
      <c r="D1043" s="5" t="s">
        <v>14</v>
      </c>
      <c r="E1043" s="5" t="s">
        <v>179</v>
      </c>
      <c r="F1043" s="5" t="s">
        <v>24</v>
      </c>
      <c r="G1043" s="5" t="s">
        <v>39</v>
      </c>
      <c r="H1043" s="5">
        <v>238</v>
      </c>
      <c r="I1043" s="5">
        <v>8</v>
      </c>
      <c r="J1043" s="5" t="s">
        <v>18</v>
      </c>
      <c r="K1043" s="5" t="s">
        <v>45</v>
      </c>
      <c r="L1043" s="5" t="s">
        <v>28</v>
      </c>
      <c r="M1043" s="7" t="s">
        <v>46</v>
      </c>
      <c r="N1043" s="26">
        <f t="shared" si="96"/>
        <v>0</v>
      </c>
      <c r="O1043" s="42">
        <f t="shared" si="97"/>
        <v>45174</v>
      </c>
      <c r="P1043" s="5" t="str">
        <f t="shared" si="98"/>
        <v>Tuesday</v>
      </c>
      <c r="Q1043" s="5">
        <f t="shared" si="99"/>
        <v>11</v>
      </c>
      <c r="R1043" s="28">
        <f t="shared" si="100"/>
        <v>0.96747967479674801</v>
      </c>
      <c r="S1043" s="29">
        <f t="shared" si="101"/>
        <v>96.747967479674799</v>
      </c>
      <c r="T1043" s="5" t="str">
        <f>IF(Delivery_Data[[#This Row],[Delays (min)]]&gt;0,"No","Yes")</f>
        <v>No</v>
      </c>
    </row>
    <row r="1044" spans="1:20" ht="15.75" customHeight="1" x14ac:dyDescent="0.3">
      <c r="A1044" s="4">
        <v>2043</v>
      </c>
      <c r="B1044" s="5" t="s">
        <v>1153</v>
      </c>
      <c r="C1044" s="6">
        <v>45172.385416666664</v>
      </c>
      <c r="D1044" s="5" t="s">
        <v>14</v>
      </c>
      <c r="E1044" s="5" t="s">
        <v>403</v>
      </c>
      <c r="F1044" s="5" t="s">
        <v>24</v>
      </c>
      <c r="G1044" s="5" t="s">
        <v>25</v>
      </c>
      <c r="H1044" s="5">
        <v>131</v>
      </c>
      <c r="I1044" s="5">
        <v>7</v>
      </c>
      <c r="J1044" s="5" t="s">
        <v>18</v>
      </c>
      <c r="K1044" s="5" t="s">
        <v>35</v>
      </c>
      <c r="L1044" s="5" t="s">
        <v>20</v>
      </c>
      <c r="M1044" s="7" t="s">
        <v>41</v>
      </c>
      <c r="N1044" s="26">
        <f t="shared" si="96"/>
        <v>0</v>
      </c>
      <c r="O1044" s="42">
        <f t="shared" si="97"/>
        <v>45172</v>
      </c>
      <c r="P1044" s="5" t="str">
        <f t="shared" si="98"/>
        <v>Sunday</v>
      </c>
      <c r="Q1044" s="5">
        <f t="shared" si="99"/>
        <v>9</v>
      </c>
      <c r="R1044" s="28">
        <f t="shared" si="100"/>
        <v>0.94927536231884058</v>
      </c>
      <c r="S1044" s="29">
        <f t="shared" si="101"/>
        <v>94.927536231884062</v>
      </c>
      <c r="T1044" s="5" t="str">
        <f>IF(Delivery_Data[[#This Row],[Delays (min)]]&gt;0,"No","Yes")</f>
        <v>No</v>
      </c>
    </row>
    <row r="1045" spans="1:20" ht="15.75" customHeight="1" x14ac:dyDescent="0.3">
      <c r="A1045" s="4">
        <v>2044</v>
      </c>
      <c r="B1045" s="5" t="s">
        <v>1154</v>
      </c>
      <c r="C1045" s="6">
        <v>45177.375</v>
      </c>
      <c r="D1045" s="5" t="s">
        <v>14</v>
      </c>
      <c r="E1045" s="5" t="s">
        <v>249</v>
      </c>
      <c r="F1045" s="5" t="s">
        <v>16</v>
      </c>
      <c r="G1045" s="5" t="s">
        <v>25</v>
      </c>
      <c r="H1045" s="5">
        <v>182</v>
      </c>
      <c r="I1045" s="5">
        <v>17</v>
      </c>
      <c r="J1045" s="5" t="s">
        <v>32</v>
      </c>
      <c r="K1045" s="5" t="s">
        <v>35</v>
      </c>
      <c r="L1045" s="5" t="s">
        <v>40</v>
      </c>
      <c r="M1045" s="7" t="s">
        <v>41</v>
      </c>
      <c r="N1045" s="26">
        <f t="shared" si="96"/>
        <v>-1</v>
      </c>
      <c r="O1045" s="42">
        <f t="shared" si="97"/>
        <v>45177</v>
      </c>
      <c r="P1045" s="5" t="str">
        <f t="shared" si="98"/>
        <v>Friday</v>
      </c>
      <c r="Q1045" s="5">
        <f t="shared" si="99"/>
        <v>9</v>
      </c>
      <c r="R1045" s="28">
        <f t="shared" si="100"/>
        <v>0.914572864321608</v>
      </c>
      <c r="S1045" s="29">
        <f t="shared" si="101"/>
        <v>91.457286432160799</v>
      </c>
      <c r="T1045" s="5" t="str">
        <f>IF(Delivery_Data[[#This Row],[Delays (min)]]&gt;0,"No","Yes")</f>
        <v>No</v>
      </c>
    </row>
    <row r="1046" spans="1:20" ht="15.75" customHeight="1" x14ac:dyDescent="0.3">
      <c r="A1046" s="4">
        <v>2045</v>
      </c>
      <c r="B1046" s="5" t="s">
        <v>264</v>
      </c>
      <c r="C1046" s="6">
        <v>45172.418749999997</v>
      </c>
      <c r="D1046" s="5" t="s">
        <v>43</v>
      </c>
      <c r="E1046" s="5" t="s">
        <v>204</v>
      </c>
      <c r="F1046" s="5" t="s">
        <v>24</v>
      </c>
      <c r="G1046" s="5" t="s">
        <v>31</v>
      </c>
      <c r="H1046" s="5">
        <v>102</v>
      </c>
      <c r="I1046" s="5">
        <v>4</v>
      </c>
      <c r="J1046" s="5" t="s">
        <v>26</v>
      </c>
      <c r="K1046" s="5" t="s">
        <v>19</v>
      </c>
      <c r="L1046" s="5" t="s">
        <v>20</v>
      </c>
      <c r="M1046" s="7" t="s">
        <v>21</v>
      </c>
      <c r="N1046" s="26">
        <f t="shared" si="96"/>
        <v>1</v>
      </c>
      <c r="O1046" s="42">
        <f t="shared" si="97"/>
        <v>45172</v>
      </c>
      <c r="P1046" s="5" t="str">
        <f t="shared" si="98"/>
        <v>Sunday</v>
      </c>
      <c r="Q1046" s="5">
        <f t="shared" si="99"/>
        <v>10</v>
      </c>
      <c r="R1046" s="28">
        <f t="shared" si="100"/>
        <v>0.96226415094339623</v>
      </c>
      <c r="S1046" s="29">
        <f t="shared" si="101"/>
        <v>96.226415094339629</v>
      </c>
      <c r="T1046" s="5" t="str">
        <f>IF(Delivery_Data[[#This Row],[Delays (min)]]&gt;0,"No","Yes")</f>
        <v>No</v>
      </c>
    </row>
    <row r="1047" spans="1:20" ht="15.75" customHeight="1" x14ac:dyDescent="0.3">
      <c r="A1047" s="4">
        <v>2046</v>
      </c>
      <c r="B1047" s="5" t="s">
        <v>1155</v>
      </c>
      <c r="C1047" s="6">
        <v>45177.413194444445</v>
      </c>
      <c r="D1047" s="5" t="s">
        <v>14</v>
      </c>
      <c r="E1047" s="5" t="s">
        <v>220</v>
      </c>
      <c r="F1047" s="5" t="s">
        <v>16</v>
      </c>
      <c r="G1047" s="5" t="s">
        <v>17</v>
      </c>
      <c r="H1047" s="5">
        <v>102</v>
      </c>
      <c r="I1047" s="5">
        <v>24</v>
      </c>
      <c r="J1047" s="5" t="s">
        <v>32</v>
      </c>
      <c r="K1047" s="5" t="s">
        <v>27</v>
      </c>
      <c r="L1047" s="5" t="s">
        <v>20</v>
      </c>
      <c r="M1047" s="7" t="s">
        <v>46</v>
      </c>
      <c r="N1047" s="26">
        <f t="shared" si="96"/>
        <v>-1</v>
      </c>
      <c r="O1047" s="42">
        <f t="shared" si="97"/>
        <v>45177</v>
      </c>
      <c r="P1047" s="5" t="str">
        <f t="shared" si="98"/>
        <v>Friday</v>
      </c>
      <c r="Q1047" s="5">
        <f t="shared" si="99"/>
        <v>9</v>
      </c>
      <c r="R1047" s="28">
        <f t="shared" si="100"/>
        <v>0.80952380952380953</v>
      </c>
      <c r="S1047" s="29">
        <f t="shared" si="101"/>
        <v>80.952380952380949</v>
      </c>
      <c r="T1047" s="5" t="str">
        <f>IF(Delivery_Data[[#This Row],[Delays (min)]]&gt;0,"No","Yes")</f>
        <v>No</v>
      </c>
    </row>
    <row r="1048" spans="1:20" ht="15.75" customHeight="1" x14ac:dyDescent="0.3">
      <c r="A1048" s="4">
        <v>2047</v>
      </c>
      <c r="B1048" s="5" t="s">
        <v>1156</v>
      </c>
      <c r="C1048" s="6">
        <v>45175.354166666664</v>
      </c>
      <c r="D1048" s="5" t="s">
        <v>43</v>
      </c>
      <c r="E1048" s="5" t="s">
        <v>156</v>
      </c>
      <c r="F1048" s="5" t="s">
        <v>24</v>
      </c>
      <c r="G1048" s="5" t="s">
        <v>25</v>
      </c>
      <c r="H1048" s="5">
        <v>121</v>
      </c>
      <c r="I1048" s="5">
        <v>0</v>
      </c>
      <c r="J1048" s="5" t="s">
        <v>26</v>
      </c>
      <c r="K1048" s="5" t="s">
        <v>19</v>
      </c>
      <c r="L1048" s="5" t="s">
        <v>40</v>
      </c>
      <c r="M1048" s="7" t="s">
        <v>41</v>
      </c>
      <c r="N1048" s="26">
        <f t="shared" si="96"/>
        <v>1</v>
      </c>
      <c r="O1048" s="42">
        <f t="shared" si="97"/>
        <v>45175</v>
      </c>
      <c r="P1048" s="5" t="str">
        <f t="shared" si="98"/>
        <v>Wednesday</v>
      </c>
      <c r="Q1048" s="5">
        <f t="shared" si="99"/>
        <v>8</v>
      </c>
      <c r="R1048" s="28">
        <f t="shared" si="100"/>
        <v>1</v>
      </c>
      <c r="S1048" s="29">
        <f t="shared" si="101"/>
        <v>100</v>
      </c>
      <c r="T1048" s="5" t="str">
        <f>IF(Delivery_Data[[#This Row],[Delays (min)]]&gt;0,"No","Yes")</f>
        <v>Yes</v>
      </c>
    </row>
    <row r="1049" spans="1:20" ht="15.75" customHeight="1" x14ac:dyDescent="0.3">
      <c r="A1049" s="4">
        <v>2048</v>
      </c>
      <c r="B1049" s="5" t="s">
        <v>1157</v>
      </c>
      <c r="C1049" s="6">
        <v>45175.539583333331</v>
      </c>
      <c r="D1049" s="5" t="s">
        <v>43</v>
      </c>
      <c r="E1049" s="5" t="s">
        <v>140</v>
      </c>
      <c r="F1049" s="5" t="s">
        <v>38</v>
      </c>
      <c r="G1049" s="5" t="s">
        <v>31</v>
      </c>
      <c r="H1049" s="5">
        <v>232</v>
      </c>
      <c r="I1049" s="5">
        <v>24</v>
      </c>
      <c r="J1049" s="5" t="s">
        <v>32</v>
      </c>
      <c r="K1049" s="5" t="s">
        <v>27</v>
      </c>
      <c r="L1049" s="5" t="s">
        <v>20</v>
      </c>
      <c r="M1049" s="7" t="s">
        <v>41</v>
      </c>
      <c r="N1049" s="26">
        <f t="shared" si="96"/>
        <v>-1</v>
      </c>
      <c r="O1049" s="42">
        <f t="shared" si="97"/>
        <v>45175</v>
      </c>
      <c r="P1049" s="5" t="str">
        <f t="shared" si="98"/>
        <v>Wednesday</v>
      </c>
      <c r="Q1049" s="5">
        <f t="shared" si="99"/>
        <v>12</v>
      </c>
      <c r="R1049" s="28">
        <f t="shared" si="100"/>
        <v>0.90625</v>
      </c>
      <c r="S1049" s="29">
        <f t="shared" si="101"/>
        <v>90.625</v>
      </c>
      <c r="T1049" s="5" t="str">
        <f>IF(Delivery_Data[[#This Row],[Delays (min)]]&gt;0,"No","Yes")</f>
        <v>No</v>
      </c>
    </row>
    <row r="1050" spans="1:20" ht="15.75" customHeight="1" x14ac:dyDescent="0.3">
      <c r="A1050" s="4">
        <v>2049</v>
      </c>
      <c r="B1050" s="5" t="s">
        <v>1158</v>
      </c>
      <c r="C1050" s="6">
        <v>45176.470833333333</v>
      </c>
      <c r="D1050" s="5" t="s">
        <v>14</v>
      </c>
      <c r="E1050" s="5" t="s">
        <v>58</v>
      </c>
      <c r="F1050" s="5" t="s">
        <v>16</v>
      </c>
      <c r="G1050" s="5" t="s">
        <v>17</v>
      </c>
      <c r="H1050" s="5">
        <v>100</v>
      </c>
      <c r="I1050" s="5">
        <v>12</v>
      </c>
      <c r="J1050" s="5" t="s">
        <v>26</v>
      </c>
      <c r="K1050" s="5" t="s">
        <v>49</v>
      </c>
      <c r="L1050" s="5" t="s">
        <v>20</v>
      </c>
      <c r="M1050" s="7" t="s">
        <v>41</v>
      </c>
      <c r="N1050" s="26">
        <f t="shared" si="96"/>
        <v>1</v>
      </c>
      <c r="O1050" s="42">
        <f t="shared" si="97"/>
        <v>45176</v>
      </c>
      <c r="P1050" s="5" t="str">
        <f t="shared" si="98"/>
        <v>Thursday</v>
      </c>
      <c r="Q1050" s="5">
        <f t="shared" si="99"/>
        <v>11</v>
      </c>
      <c r="R1050" s="28">
        <f t="shared" si="100"/>
        <v>0.8928571428571429</v>
      </c>
      <c r="S1050" s="29">
        <f t="shared" si="101"/>
        <v>89.285714285714292</v>
      </c>
      <c r="T1050" s="5" t="str">
        <f>IF(Delivery_Data[[#This Row],[Delays (min)]]&gt;0,"No","Yes")</f>
        <v>No</v>
      </c>
    </row>
    <row r="1051" spans="1:20" ht="15.75" customHeight="1" x14ac:dyDescent="0.3">
      <c r="A1051" s="4">
        <v>2050</v>
      </c>
      <c r="B1051" s="5" t="s">
        <v>1159</v>
      </c>
      <c r="C1051" s="6">
        <v>45177.556250000001</v>
      </c>
      <c r="D1051" s="5" t="s">
        <v>43</v>
      </c>
      <c r="E1051" s="5" t="s">
        <v>215</v>
      </c>
      <c r="F1051" s="5" t="s">
        <v>38</v>
      </c>
      <c r="G1051" s="5" t="s">
        <v>25</v>
      </c>
      <c r="H1051" s="5">
        <v>123</v>
      </c>
      <c r="I1051" s="5">
        <v>26</v>
      </c>
      <c r="J1051" s="5" t="s">
        <v>18</v>
      </c>
      <c r="K1051" s="5" t="s">
        <v>27</v>
      </c>
      <c r="L1051" s="5" t="s">
        <v>28</v>
      </c>
      <c r="M1051" s="7" t="s">
        <v>46</v>
      </c>
      <c r="N1051" s="26">
        <f t="shared" si="96"/>
        <v>0</v>
      </c>
      <c r="O1051" s="42">
        <f t="shared" si="97"/>
        <v>45177</v>
      </c>
      <c r="P1051" s="5" t="str">
        <f t="shared" si="98"/>
        <v>Friday</v>
      </c>
      <c r="Q1051" s="5">
        <f t="shared" si="99"/>
        <v>13</v>
      </c>
      <c r="R1051" s="28">
        <f t="shared" si="100"/>
        <v>0.82550335570469802</v>
      </c>
      <c r="S1051" s="29">
        <f t="shared" si="101"/>
        <v>82.550335570469798</v>
      </c>
      <c r="T1051" s="5" t="str">
        <f>IF(Delivery_Data[[#This Row],[Delays (min)]]&gt;0,"No","Yes")</f>
        <v>No</v>
      </c>
    </row>
    <row r="1052" spans="1:20" ht="15.75" customHeight="1" x14ac:dyDescent="0.3">
      <c r="A1052" s="4">
        <v>2051</v>
      </c>
      <c r="B1052" s="5" t="s">
        <v>1160</v>
      </c>
      <c r="C1052" s="6">
        <v>45172.45416666667</v>
      </c>
      <c r="D1052" s="5" t="s">
        <v>14</v>
      </c>
      <c r="E1052" s="5" t="s">
        <v>177</v>
      </c>
      <c r="F1052" s="5" t="s">
        <v>38</v>
      </c>
      <c r="G1052" s="5" t="s">
        <v>17</v>
      </c>
      <c r="H1052" s="5">
        <v>147</v>
      </c>
      <c r="I1052" s="5">
        <v>28</v>
      </c>
      <c r="J1052" s="5" t="s">
        <v>32</v>
      </c>
      <c r="K1052" s="5" t="s">
        <v>45</v>
      </c>
      <c r="L1052" s="5" t="s">
        <v>40</v>
      </c>
      <c r="M1052" s="7" t="s">
        <v>41</v>
      </c>
      <c r="N1052" s="26">
        <f t="shared" si="96"/>
        <v>-1</v>
      </c>
      <c r="O1052" s="42">
        <f t="shared" si="97"/>
        <v>45172</v>
      </c>
      <c r="P1052" s="5" t="str">
        <f t="shared" si="98"/>
        <v>Sunday</v>
      </c>
      <c r="Q1052" s="5">
        <f t="shared" si="99"/>
        <v>10</v>
      </c>
      <c r="R1052" s="28">
        <f t="shared" si="100"/>
        <v>0.84</v>
      </c>
      <c r="S1052" s="29">
        <f t="shared" si="101"/>
        <v>84</v>
      </c>
      <c r="T1052" s="5" t="str">
        <f>IF(Delivery_Data[[#This Row],[Delays (min)]]&gt;0,"No","Yes")</f>
        <v>No</v>
      </c>
    </row>
    <row r="1053" spans="1:20" ht="15.75" customHeight="1" x14ac:dyDescent="0.3">
      <c r="A1053" s="4">
        <v>2052</v>
      </c>
      <c r="B1053" s="5" t="s">
        <v>1161</v>
      </c>
      <c r="C1053" s="6">
        <v>45170.34375</v>
      </c>
      <c r="D1053" s="5" t="s">
        <v>43</v>
      </c>
      <c r="E1053" s="5" t="s">
        <v>135</v>
      </c>
      <c r="F1053" s="5" t="s">
        <v>16</v>
      </c>
      <c r="G1053" s="5" t="s">
        <v>31</v>
      </c>
      <c r="H1053" s="5">
        <v>172</v>
      </c>
      <c r="I1053" s="5">
        <v>3</v>
      </c>
      <c r="J1053" s="5" t="s">
        <v>32</v>
      </c>
      <c r="K1053" s="5" t="s">
        <v>45</v>
      </c>
      <c r="L1053" s="5" t="s">
        <v>20</v>
      </c>
      <c r="M1053" s="7" t="s">
        <v>46</v>
      </c>
      <c r="N1053" s="26">
        <f t="shared" si="96"/>
        <v>-1</v>
      </c>
      <c r="O1053" s="42">
        <f t="shared" si="97"/>
        <v>45170</v>
      </c>
      <c r="P1053" s="5" t="str">
        <f t="shared" si="98"/>
        <v>Friday</v>
      </c>
      <c r="Q1053" s="5">
        <f t="shared" si="99"/>
        <v>8</v>
      </c>
      <c r="R1053" s="28">
        <f t="shared" si="100"/>
        <v>0.98285714285714287</v>
      </c>
      <c r="S1053" s="29">
        <f t="shared" si="101"/>
        <v>98.285714285714292</v>
      </c>
      <c r="T1053" s="5" t="str">
        <f>IF(Delivery_Data[[#This Row],[Delays (min)]]&gt;0,"No","Yes")</f>
        <v>No</v>
      </c>
    </row>
    <row r="1054" spans="1:20" ht="15.75" customHeight="1" x14ac:dyDescent="0.3">
      <c r="A1054" s="4">
        <v>2053</v>
      </c>
      <c r="B1054" s="5" t="s">
        <v>1162</v>
      </c>
      <c r="C1054" s="6">
        <v>45174.34652777778</v>
      </c>
      <c r="D1054" s="5" t="s">
        <v>14</v>
      </c>
      <c r="E1054" s="5" t="s">
        <v>285</v>
      </c>
      <c r="F1054" s="5" t="s">
        <v>24</v>
      </c>
      <c r="G1054" s="5" t="s">
        <v>25</v>
      </c>
      <c r="H1054" s="5">
        <v>238</v>
      </c>
      <c r="I1054" s="5">
        <v>29</v>
      </c>
      <c r="J1054" s="5" t="s">
        <v>26</v>
      </c>
      <c r="K1054" s="5" t="s">
        <v>35</v>
      </c>
      <c r="L1054" s="5" t="s">
        <v>40</v>
      </c>
      <c r="M1054" s="7" t="s">
        <v>41</v>
      </c>
      <c r="N1054" s="26">
        <f t="shared" si="96"/>
        <v>1</v>
      </c>
      <c r="O1054" s="42">
        <f t="shared" si="97"/>
        <v>45174</v>
      </c>
      <c r="P1054" s="5" t="str">
        <f t="shared" si="98"/>
        <v>Tuesday</v>
      </c>
      <c r="Q1054" s="5">
        <f t="shared" si="99"/>
        <v>8</v>
      </c>
      <c r="R1054" s="28">
        <f t="shared" si="100"/>
        <v>0.89138576779026213</v>
      </c>
      <c r="S1054" s="29">
        <f t="shared" si="101"/>
        <v>89.138576779026209</v>
      </c>
      <c r="T1054" s="5" t="str">
        <f>IF(Delivery_Data[[#This Row],[Delays (min)]]&gt;0,"No","Yes")</f>
        <v>No</v>
      </c>
    </row>
    <row r="1055" spans="1:20" ht="15.75" customHeight="1" x14ac:dyDescent="0.3">
      <c r="A1055" s="4">
        <v>2054</v>
      </c>
      <c r="B1055" s="5" t="s">
        <v>692</v>
      </c>
      <c r="C1055" s="6">
        <v>45174.620833333334</v>
      </c>
      <c r="D1055" s="5" t="s">
        <v>43</v>
      </c>
      <c r="E1055" s="5" t="s">
        <v>288</v>
      </c>
      <c r="F1055" s="5" t="s">
        <v>24</v>
      </c>
      <c r="G1055" s="5" t="s">
        <v>56</v>
      </c>
      <c r="H1055" s="5">
        <v>142</v>
      </c>
      <c r="I1055" s="5">
        <v>22</v>
      </c>
      <c r="J1055" s="5" t="s">
        <v>26</v>
      </c>
      <c r="K1055" s="5" t="s">
        <v>19</v>
      </c>
      <c r="L1055" s="5" t="s">
        <v>40</v>
      </c>
      <c r="M1055" s="7" t="s">
        <v>41</v>
      </c>
      <c r="N1055" s="26">
        <f t="shared" si="96"/>
        <v>1</v>
      </c>
      <c r="O1055" s="42">
        <f t="shared" si="97"/>
        <v>45174</v>
      </c>
      <c r="P1055" s="5" t="str">
        <f t="shared" si="98"/>
        <v>Tuesday</v>
      </c>
      <c r="Q1055" s="5">
        <f t="shared" si="99"/>
        <v>14</v>
      </c>
      <c r="R1055" s="28">
        <f t="shared" si="100"/>
        <v>0.86585365853658536</v>
      </c>
      <c r="S1055" s="29">
        <f t="shared" si="101"/>
        <v>86.58536585365853</v>
      </c>
      <c r="T1055" s="5" t="str">
        <f>IF(Delivery_Data[[#This Row],[Delays (min)]]&gt;0,"No","Yes")</f>
        <v>No</v>
      </c>
    </row>
    <row r="1056" spans="1:20" ht="15.75" customHeight="1" x14ac:dyDescent="0.3">
      <c r="A1056" s="4">
        <v>2055</v>
      </c>
      <c r="B1056" s="5" t="s">
        <v>1163</v>
      </c>
      <c r="C1056" s="6">
        <v>45171.624305555553</v>
      </c>
      <c r="D1056" s="5" t="s">
        <v>43</v>
      </c>
      <c r="E1056" s="5" t="s">
        <v>272</v>
      </c>
      <c r="F1056" s="5" t="s">
        <v>16</v>
      </c>
      <c r="G1056" s="5" t="s">
        <v>31</v>
      </c>
      <c r="H1056" s="5">
        <v>92</v>
      </c>
      <c r="I1056" s="5">
        <v>29</v>
      </c>
      <c r="J1056" s="5" t="s">
        <v>26</v>
      </c>
      <c r="K1056" s="5" t="s">
        <v>45</v>
      </c>
      <c r="L1056" s="5" t="s">
        <v>20</v>
      </c>
      <c r="M1056" s="7" t="s">
        <v>46</v>
      </c>
      <c r="N1056" s="26">
        <f t="shared" si="96"/>
        <v>1</v>
      </c>
      <c r="O1056" s="42">
        <f t="shared" si="97"/>
        <v>45171</v>
      </c>
      <c r="P1056" s="5" t="str">
        <f t="shared" si="98"/>
        <v>Saturday</v>
      </c>
      <c r="Q1056" s="5">
        <f t="shared" si="99"/>
        <v>14</v>
      </c>
      <c r="R1056" s="28">
        <f t="shared" si="100"/>
        <v>0.76033057851239672</v>
      </c>
      <c r="S1056" s="29">
        <f t="shared" si="101"/>
        <v>76.033057851239676</v>
      </c>
      <c r="T1056" s="5" t="str">
        <f>IF(Delivery_Data[[#This Row],[Delays (min)]]&gt;0,"No","Yes")</f>
        <v>No</v>
      </c>
    </row>
    <row r="1057" spans="1:20" ht="15.75" customHeight="1" x14ac:dyDescent="0.3">
      <c r="A1057" s="4">
        <v>2056</v>
      </c>
      <c r="B1057" s="5" t="s">
        <v>1164</v>
      </c>
      <c r="C1057" s="6">
        <v>45173.448611111111</v>
      </c>
      <c r="D1057" s="5" t="s">
        <v>14</v>
      </c>
      <c r="E1057" s="5" t="s">
        <v>231</v>
      </c>
      <c r="F1057" s="5" t="s">
        <v>24</v>
      </c>
      <c r="G1057" s="5" t="s">
        <v>31</v>
      </c>
      <c r="H1057" s="5">
        <v>177</v>
      </c>
      <c r="I1057" s="5">
        <v>18</v>
      </c>
      <c r="J1057" s="5" t="s">
        <v>26</v>
      </c>
      <c r="K1057" s="5" t="s">
        <v>45</v>
      </c>
      <c r="L1057" s="5" t="s">
        <v>40</v>
      </c>
      <c r="M1057" s="7" t="s">
        <v>41</v>
      </c>
      <c r="N1057" s="26">
        <f t="shared" si="96"/>
        <v>1</v>
      </c>
      <c r="O1057" s="42">
        <f t="shared" si="97"/>
        <v>45173</v>
      </c>
      <c r="P1057" s="5" t="str">
        <f t="shared" si="98"/>
        <v>Monday</v>
      </c>
      <c r="Q1057" s="5">
        <f t="shared" si="99"/>
        <v>10</v>
      </c>
      <c r="R1057" s="28">
        <f t="shared" si="100"/>
        <v>0.90769230769230769</v>
      </c>
      <c r="S1057" s="29">
        <f t="shared" si="101"/>
        <v>90.769230769230774</v>
      </c>
      <c r="T1057" s="5" t="str">
        <f>IF(Delivery_Data[[#This Row],[Delays (min)]]&gt;0,"No","Yes")</f>
        <v>No</v>
      </c>
    </row>
    <row r="1058" spans="1:20" ht="15.75" customHeight="1" x14ac:dyDescent="0.3">
      <c r="A1058" s="4">
        <v>2057</v>
      </c>
      <c r="B1058" s="5" t="s">
        <v>1165</v>
      </c>
      <c r="C1058" s="6">
        <v>45170.369444444441</v>
      </c>
      <c r="D1058" s="5" t="s">
        <v>43</v>
      </c>
      <c r="E1058" s="5" t="s">
        <v>197</v>
      </c>
      <c r="F1058" s="5" t="s">
        <v>24</v>
      </c>
      <c r="G1058" s="5" t="s">
        <v>31</v>
      </c>
      <c r="H1058" s="5">
        <v>118</v>
      </c>
      <c r="I1058" s="5">
        <v>2</v>
      </c>
      <c r="J1058" s="5" t="s">
        <v>26</v>
      </c>
      <c r="K1058" s="5" t="s">
        <v>49</v>
      </c>
      <c r="L1058" s="5" t="s">
        <v>40</v>
      </c>
      <c r="M1058" s="7" t="s">
        <v>41</v>
      </c>
      <c r="N1058" s="26">
        <f t="shared" si="96"/>
        <v>1</v>
      </c>
      <c r="O1058" s="42">
        <f t="shared" si="97"/>
        <v>45170</v>
      </c>
      <c r="P1058" s="5" t="str">
        <f t="shared" si="98"/>
        <v>Friday</v>
      </c>
      <c r="Q1058" s="5">
        <f t="shared" si="99"/>
        <v>8</v>
      </c>
      <c r="R1058" s="28">
        <f t="shared" si="100"/>
        <v>0.98333333333333328</v>
      </c>
      <c r="S1058" s="29">
        <f t="shared" si="101"/>
        <v>98.333333333333329</v>
      </c>
      <c r="T1058" s="5" t="str">
        <f>IF(Delivery_Data[[#This Row],[Delays (min)]]&gt;0,"No","Yes")</f>
        <v>No</v>
      </c>
    </row>
    <row r="1059" spans="1:20" ht="15.75" customHeight="1" x14ac:dyDescent="0.3">
      <c r="A1059" s="4">
        <v>2058</v>
      </c>
      <c r="B1059" s="5" t="s">
        <v>1166</v>
      </c>
      <c r="C1059" s="6">
        <v>45175.456250000003</v>
      </c>
      <c r="D1059" s="5" t="s">
        <v>43</v>
      </c>
      <c r="E1059" s="5" t="s">
        <v>240</v>
      </c>
      <c r="F1059" s="5" t="s">
        <v>16</v>
      </c>
      <c r="G1059" s="5" t="s">
        <v>56</v>
      </c>
      <c r="H1059" s="5">
        <v>127</v>
      </c>
      <c r="I1059" s="5">
        <v>22</v>
      </c>
      <c r="J1059" s="5" t="s">
        <v>26</v>
      </c>
      <c r="K1059" s="5" t="s">
        <v>35</v>
      </c>
      <c r="L1059" s="5" t="s">
        <v>20</v>
      </c>
      <c r="M1059" s="7" t="s">
        <v>46</v>
      </c>
      <c r="N1059" s="26">
        <f t="shared" si="96"/>
        <v>1</v>
      </c>
      <c r="O1059" s="42">
        <f t="shared" si="97"/>
        <v>45175</v>
      </c>
      <c r="P1059" s="5" t="str">
        <f t="shared" si="98"/>
        <v>Wednesday</v>
      </c>
      <c r="Q1059" s="5">
        <f t="shared" si="99"/>
        <v>10</v>
      </c>
      <c r="R1059" s="28">
        <f t="shared" si="100"/>
        <v>0.8523489932885906</v>
      </c>
      <c r="S1059" s="29">
        <f t="shared" si="101"/>
        <v>85.234899328859058</v>
      </c>
      <c r="T1059" s="5" t="str">
        <f>IF(Delivery_Data[[#This Row],[Delays (min)]]&gt;0,"No","Yes")</f>
        <v>No</v>
      </c>
    </row>
    <row r="1060" spans="1:20" ht="15.75" customHeight="1" x14ac:dyDescent="0.3">
      <c r="A1060" s="4">
        <v>2059</v>
      </c>
      <c r="B1060" s="5" t="s">
        <v>1167</v>
      </c>
      <c r="C1060" s="6">
        <v>45171.380555555559</v>
      </c>
      <c r="D1060" s="5" t="s">
        <v>14</v>
      </c>
      <c r="E1060" s="5" t="s">
        <v>403</v>
      </c>
      <c r="F1060" s="5" t="s">
        <v>16</v>
      </c>
      <c r="G1060" s="5" t="s">
        <v>25</v>
      </c>
      <c r="H1060" s="5">
        <v>183</v>
      </c>
      <c r="I1060" s="5">
        <v>14</v>
      </c>
      <c r="J1060" s="5" t="s">
        <v>32</v>
      </c>
      <c r="K1060" s="5" t="s">
        <v>19</v>
      </c>
      <c r="L1060" s="5" t="s">
        <v>28</v>
      </c>
      <c r="M1060" s="7" t="s">
        <v>21</v>
      </c>
      <c r="N1060" s="26">
        <f t="shared" si="96"/>
        <v>-1</v>
      </c>
      <c r="O1060" s="42">
        <f t="shared" si="97"/>
        <v>45171</v>
      </c>
      <c r="P1060" s="5" t="str">
        <f t="shared" si="98"/>
        <v>Saturday</v>
      </c>
      <c r="Q1060" s="5">
        <f t="shared" si="99"/>
        <v>9</v>
      </c>
      <c r="R1060" s="28">
        <f t="shared" si="100"/>
        <v>0.92893401015228427</v>
      </c>
      <c r="S1060" s="29">
        <f t="shared" si="101"/>
        <v>92.89340101522842</v>
      </c>
      <c r="T1060" s="5" t="str">
        <f>IF(Delivery_Data[[#This Row],[Delays (min)]]&gt;0,"No","Yes")</f>
        <v>No</v>
      </c>
    </row>
    <row r="1061" spans="1:20" ht="15.75" customHeight="1" x14ac:dyDescent="0.3">
      <c r="A1061" s="4">
        <v>2060</v>
      </c>
      <c r="B1061" s="5" t="s">
        <v>1168</v>
      </c>
      <c r="C1061" s="6">
        <v>45177.490277777775</v>
      </c>
      <c r="D1061" s="5" t="s">
        <v>43</v>
      </c>
      <c r="E1061" s="5" t="s">
        <v>333</v>
      </c>
      <c r="F1061" s="5" t="s">
        <v>38</v>
      </c>
      <c r="G1061" s="5" t="s">
        <v>17</v>
      </c>
      <c r="H1061" s="5">
        <v>149</v>
      </c>
      <c r="I1061" s="5">
        <v>29</v>
      </c>
      <c r="J1061" s="5" t="s">
        <v>18</v>
      </c>
      <c r="K1061" s="5" t="s">
        <v>19</v>
      </c>
      <c r="L1061" s="5" t="s">
        <v>20</v>
      </c>
      <c r="M1061" s="7" t="s">
        <v>46</v>
      </c>
      <c r="N1061" s="26">
        <f t="shared" si="96"/>
        <v>0</v>
      </c>
      <c r="O1061" s="42">
        <f t="shared" si="97"/>
        <v>45177</v>
      </c>
      <c r="P1061" s="5" t="str">
        <f t="shared" si="98"/>
        <v>Friday</v>
      </c>
      <c r="Q1061" s="5">
        <f t="shared" si="99"/>
        <v>11</v>
      </c>
      <c r="R1061" s="28">
        <f t="shared" si="100"/>
        <v>0.8370786516853933</v>
      </c>
      <c r="S1061" s="29">
        <f t="shared" si="101"/>
        <v>83.707865168539328</v>
      </c>
      <c r="T1061" s="5" t="str">
        <f>IF(Delivery_Data[[#This Row],[Delays (min)]]&gt;0,"No","Yes")</f>
        <v>No</v>
      </c>
    </row>
    <row r="1062" spans="1:20" ht="15.75" customHeight="1" x14ac:dyDescent="0.3">
      <c r="A1062" s="4">
        <v>2061</v>
      </c>
      <c r="B1062" s="5" t="s">
        <v>1169</v>
      </c>
      <c r="C1062" s="6">
        <v>45176.57916666667</v>
      </c>
      <c r="D1062" s="5" t="s">
        <v>43</v>
      </c>
      <c r="E1062" s="5" t="s">
        <v>228</v>
      </c>
      <c r="F1062" s="5" t="s">
        <v>24</v>
      </c>
      <c r="G1062" s="5" t="s">
        <v>25</v>
      </c>
      <c r="H1062" s="5">
        <v>145</v>
      </c>
      <c r="I1062" s="5">
        <v>6</v>
      </c>
      <c r="J1062" s="5" t="s">
        <v>32</v>
      </c>
      <c r="K1062" s="5" t="s">
        <v>49</v>
      </c>
      <c r="L1062" s="5" t="s">
        <v>20</v>
      </c>
      <c r="M1062" s="7" t="s">
        <v>41</v>
      </c>
      <c r="N1062" s="26">
        <f t="shared" si="96"/>
        <v>-1</v>
      </c>
      <c r="O1062" s="42">
        <f t="shared" si="97"/>
        <v>45176</v>
      </c>
      <c r="P1062" s="5" t="str">
        <f t="shared" si="98"/>
        <v>Thursday</v>
      </c>
      <c r="Q1062" s="5">
        <f t="shared" si="99"/>
        <v>13</v>
      </c>
      <c r="R1062" s="28">
        <f t="shared" si="100"/>
        <v>0.96026490066225167</v>
      </c>
      <c r="S1062" s="29">
        <f t="shared" si="101"/>
        <v>96.026490066225165</v>
      </c>
      <c r="T1062" s="5" t="str">
        <f>IF(Delivery_Data[[#This Row],[Delays (min)]]&gt;0,"No","Yes")</f>
        <v>No</v>
      </c>
    </row>
    <row r="1063" spans="1:20" ht="15.75" customHeight="1" x14ac:dyDescent="0.3">
      <c r="A1063" s="4">
        <v>2062</v>
      </c>
      <c r="B1063" s="5" t="s">
        <v>1170</v>
      </c>
      <c r="C1063" s="6">
        <v>45176.564583333333</v>
      </c>
      <c r="D1063" s="5" t="s">
        <v>43</v>
      </c>
      <c r="E1063" s="5" t="s">
        <v>30</v>
      </c>
      <c r="F1063" s="5" t="s">
        <v>38</v>
      </c>
      <c r="G1063" s="5" t="s">
        <v>17</v>
      </c>
      <c r="H1063" s="5">
        <v>154</v>
      </c>
      <c r="I1063" s="5">
        <v>4</v>
      </c>
      <c r="J1063" s="5" t="s">
        <v>18</v>
      </c>
      <c r="K1063" s="5" t="s">
        <v>27</v>
      </c>
      <c r="L1063" s="5" t="s">
        <v>20</v>
      </c>
      <c r="M1063" s="7" t="s">
        <v>41</v>
      </c>
      <c r="N1063" s="26">
        <f t="shared" si="96"/>
        <v>0</v>
      </c>
      <c r="O1063" s="42">
        <f t="shared" si="97"/>
        <v>45176</v>
      </c>
      <c r="P1063" s="5" t="str">
        <f t="shared" si="98"/>
        <v>Thursday</v>
      </c>
      <c r="Q1063" s="5">
        <f t="shared" si="99"/>
        <v>13</v>
      </c>
      <c r="R1063" s="28">
        <f t="shared" si="100"/>
        <v>0.97468354430379744</v>
      </c>
      <c r="S1063" s="29">
        <f t="shared" si="101"/>
        <v>97.468354430379748</v>
      </c>
      <c r="T1063" s="5" t="str">
        <f>IF(Delivery_Data[[#This Row],[Delays (min)]]&gt;0,"No","Yes")</f>
        <v>No</v>
      </c>
    </row>
    <row r="1064" spans="1:20" ht="15.75" customHeight="1" x14ac:dyDescent="0.3">
      <c r="A1064" s="4">
        <v>2063</v>
      </c>
      <c r="B1064" s="5" t="s">
        <v>1171</v>
      </c>
      <c r="C1064" s="6">
        <v>45175.472916666666</v>
      </c>
      <c r="D1064" s="5" t="s">
        <v>43</v>
      </c>
      <c r="E1064" s="5" t="s">
        <v>333</v>
      </c>
      <c r="F1064" s="5" t="s">
        <v>16</v>
      </c>
      <c r="G1064" s="5" t="s">
        <v>56</v>
      </c>
      <c r="H1064" s="5">
        <v>135</v>
      </c>
      <c r="I1064" s="5">
        <v>24</v>
      </c>
      <c r="J1064" s="5" t="s">
        <v>32</v>
      </c>
      <c r="K1064" s="5" t="s">
        <v>45</v>
      </c>
      <c r="L1064" s="5" t="s">
        <v>40</v>
      </c>
      <c r="M1064" s="7" t="s">
        <v>21</v>
      </c>
      <c r="N1064" s="26">
        <f t="shared" si="96"/>
        <v>-1</v>
      </c>
      <c r="O1064" s="42">
        <f t="shared" si="97"/>
        <v>45175</v>
      </c>
      <c r="P1064" s="5" t="str">
        <f t="shared" si="98"/>
        <v>Wednesday</v>
      </c>
      <c r="Q1064" s="5">
        <f t="shared" si="99"/>
        <v>11</v>
      </c>
      <c r="R1064" s="28">
        <f t="shared" si="100"/>
        <v>0.84905660377358494</v>
      </c>
      <c r="S1064" s="29">
        <f t="shared" si="101"/>
        <v>84.905660377358487</v>
      </c>
      <c r="T1064" s="5" t="str">
        <f>IF(Delivery_Data[[#This Row],[Delays (min)]]&gt;0,"No","Yes")</f>
        <v>No</v>
      </c>
    </row>
    <row r="1065" spans="1:20" ht="15.75" customHeight="1" x14ac:dyDescent="0.3">
      <c r="A1065" s="4">
        <v>2064</v>
      </c>
      <c r="B1065" s="5" t="s">
        <v>1172</v>
      </c>
      <c r="C1065" s="6">
        <v>45176.625</v>
      </c>
      <c r="D1065" s="5" t="s">
        <v>14</v>
      </c>
      <c r="E1065" s="5" t="s">
        <v>91</v>
      </c>
      <c r="F1065" s="5" t="s">
        <v>24</v>
      </c>
      <c r="G1065" s="5" t="s">
        <v>25</v>
      </c>
      <c r="H1065" s="5">
        <v>170</v>
      </c>
      <c r="I1065" s="5">
        <v>28</v>
      </c>
      <c r="J1065" s="5" t="s">
        <v>32</v>
      </c>
      <c r="K1065" s="5" t="s">
        <v>49</v>
      </c>
      <c r="L1065" s="5" t="s">
        <v>28</v>
      </c>
      <c r="M1065" s="7" t="s">
        <v>41</v>
      </c>
      <c r="N1065" s="26">
        <f t="shared" si="96"/>
        <v>-1</v>
      </c>
      <c r="O1065" s="42">
        <f t="shared" si="97"/>
        <v>45176</v>
      </c>
      <c r="P1065" s="5" t="str">
        <f t="shared" si="98"/>
        <v>Thursday</v>
      </c>
      <c r="Q1065" s="5">
        <f t="shared" si="99"/>
        <v>15</v>
      </c>
      <c r="R1065" s="28">
        <f t="shared" si="100"/>
        <v>0.85858585858585856</v>
      </c>
      <c r="S1065" s="29">
        <f t="shared" si="101"/>
        <v>85.858585858585855</v>
      </c>
      <c r="T1065" s="5" t="str">
        <f>IF(Delivery_Data[[#This Row],[Delays (min)]]&gt;0,"No","Yes")</f>
        <v>No</v>
      </c>
    </row>
    <row r="1066" spans="1:20" ht="15.75" customHeight="1" x14ac:dyDescent="0.3">
      <c r="A1066" s="4">
        <v>2065</v>
      </c>
      <c r="B1066" s="5" t="s">
        <v>1173</v>
      </c>
      <c r="C1066" s="6">
        <v>45173.415972222225</v>
      </c>
      <c r="D1066" s="5" t="s">
        <v>43</v>
      </c>
      <c r="E1066" s="5" t="s">
        <v>228</v>
      </c>
      <c r="F1066" s="5" t="s">
        <v>24</v>
      </c>
      <c r="G1066" s="5" t="s">
        <v>56</v>
      </c>
      <c r="H1066" s="5">
        <v>203</v>
      </c>
      <c r="I1066" s="5">
        <v>24</v>
      </c>
      <c r="J1066" s="5" t="s">
        <v>26</v>
      </c>
      <c r="K1066" s="5" t="s">
        <v>35</v>
      </c>
      <c r="L1066" s="5" t="s">
        <v>40</v>
      </c>
      <c r="M1066" s="7" t="s">
        <v>21</v>
      </c>
      <c r="N1066" s="26">
        <f t="shared" si="96"/>
        <v>1</v>
      </c>
      <c r="O1066" s="42">
        <f t="shared" si="97"/>
        <v>45173</v>
      </c>
      <c r="P1066" s="5" t="str">
        <f t="shared" si="98"/>
        <v>Monday</v>
      </c>
      <c r="Q1066" s="5">
        <f t="shared" si="99"/>
        <v>9</v>
      </c>
      <c r="R1066" s="28">
        <f t="shared" si="100"/>
        <v>0.89427312775330392</v>
      </c>
      <c r="S1066" s="29">
        <f t="shared" si="101"/>
        <v>89.427312775330392</v>
      </c>
      <c r="T1066" s="5" t="str">
        <f>IF(Delivery_Data[[#This Row],[Delays (min)]]&gt;0,"No","Yes")</f>
        <v>No</v>
      </c>
    </row>
    <row r="1067" spans="1:20" ht="15.75" customHeight="1" x14ac:dyDescent="0.3">
      <c r="A1067" s="4">
        <v>2066</v>
      </c>
      <c r="B1067" s="5" t="s">
        <v>1174</v>
      </c>
      <c r="C1067" s="6">
        <v>45175.386111111111</v>
      </c>
      <c r="D1067" s="5" t="s">
        <v>43</v>
      </c>
      <c r="E1067" s="5" t="s">
        <v>87</v>
      </c>
      <c r="F1067" s="5" t="s">
        <v>24</v>
      </c>
      <c r="G1067" s="5" t="s">
        <v>17</v>
      </c>
      <c r="H1067" s="5">
        <v>220</v>
      </c>
      <c r="I1067" s="5">
        <v>19</v>
      </c>
      <c r="J1067" s="5" t="s">
        <v>18</v>
      </c>
      <c r="K1067" s="5" t="s">
        <v>19</v>
      </c>
      <c r="L1067" s="5" t="s">
        <v>20</v>
      </c>
      <c r="M1067" s="7" t="s">
        <v>46</v>
      </c>
      <c r="N1067" s="26">
        <f t="shared" si="96"/>
        <v>0</v>
      </c>
      <c r="O1067" s="42">
        <f t="shared" si="97"/>
        <v>45175</v>
      </c>
      <c r="P1067" s="5" t="str">
        <f t="shared" si="98"/>
        <v>Wednesday</v>
      </c>
      <c r="Q1067" s="5">
        <f t="shared" si="99"/>
        <v>9</v>
      </c>
      <c r="R1067" s="28">
        <f t="shared" si="100"/>
        <v>0.92050209205020916</v>
      </c>
      <c r="S1067" s="29">
        <f t="shared" si="101"/>
        <v>92.05020920502092</v>
      </c>
      <c r="T1067" s="5" t="str">
        <f>IF(Delivery_Data[[#This Row],[Delays (min)]]&gt;0,"No","Yes")</f>
        <v>No</v>
      </c>
    </row>
    <row r="1068" spans="1:20" ht="15.75" customHeight="1" x14ac:dyDescent="0.3">
      <c r="A1068" s="4">
        <v>2067</v>
      </c>
      <c r="B1068" s="5" t="s">
        <v>1175</v>
      </c>
      <c r="C1068" s="6">
        <v>45173.679861111108</v>
      </c>
      <c r="D1068" s="5" t="s">
        <v>14</v>
      </c>
      <c r="E1068" s="5" t="s">
        <v>37</v>
      </c>
      <c r="F1068" s="5" t="s">
        <v>38</v>
      </c>
      <c r="G1068" s="5" t="s">
        <v>25</v>
      </c>
      <c r="H1068" s="5">
        <v>86</v>
      </c>
      <c r="I1068" s="5">
        <v>13</v>
      </c>
      <c r="J1068" s="5" t="s">
        <v>32</v>
      </c>
      <c r="K1068" s="5" t="s">
        <v>49</v>
      </c>
      <c r="L1068" s="5" t="s">
        <v>40</v>
      </c>
      <c r="M1068" s="7" t="s">
        <v>21</v>
      </c>
      <c r="N1068" s="26">
        <f t="shared" si="96"/>
        <v>-1</v>
      </c>
      <c r="O1068" s="42">
        <f t="shared" si="97"/>
        <v>45173</v>
      </c>
      <c r="P1068" s="5" t="str">
        <f t="shared" si="98"/>
        <v>Monday</v>
      </c>
      <c r="Q1068" s="5">
        <f t="shared" si="99"/>
        <v>16</v>
      </c>
      <c r="R1068" s="28">
        <f t="shared" si="100"/>
        <v>0.86868686868686873</v>
      </c>
      <c r="S1068" s="29">
        <f t="shared" si="101"/>
        <v>86.868686868686879</v>
      </c>
      <c r="T1068" s="5" t="str">
        <f>IF(Delivery_Data[[#This Row],[Delays (min)]]&gt;0,"No","Yes")</f>
        <v>No</v>
      </c>
    </row>
    <row r="1069" spans="1:20" ht="15.75" customHeight="1" x14ac:dyDescent="0.3">
      <c r="A1069" s="4">
        <v>2068</v>
      </c>
      <c r="B1069" s="5" t="s">
        <v>1176</v>
      </c>
      <c r="C1069" s="6">
        <v>45175.530555555553</v>
      </c>
      <c r="D1069" s="5" t="s">
        <v>14</v>
      </c>
      <c r="E1069" s="5" t="s">
        <v>281</v>
      </c>
      <c r="F1069" s="5" t="s">
        <v>24</v>
      </c>
      <c r="G1069" s="5" t="s">
        <v>31</v>
      </c>
      <c r="H1069" s="5">
        <v>221</v>
      </c>
      <c r="I1069" s="5">
        <v>8</v>
      </c>
      <c r="J1069" s="5" t="s">
        <v>18</v>
      </c>
      <c r="K1069" s="5" t="s">
        <v>45</v>
      </c>
      <c r="L1069" s="5" t="s">
        <v>20</v>
      </c>
      <c r="M1069" s="7" t="s">
        <v>41</v>
      </c>
      <c r="N1069" s="26">
        <f t="shared" si="96"/>
        <v>0</v>
      </c>
      <c r="O1069" s="42">
        <f t="shared" si="97"/>
        <v>45175</v>
      </c>
      <c r="P1069" s="5" t="str">
        <f t="shared" si="98"/>
        <v>Wednesday</v>
      </c>
      <c r="Q1069" s="5">
        <f t="shared" si="99"/>
        <v>12</v>
      </c>
      <c r="R1069" s="28">
        <f t="shared" si="100"/>
        <v>0.96506550218340614</v>
      </c>
      <c r="S1069" s="29">
        <f t="shared" si="101"/>
        <v>96.506550218340621</v>
      </c>
      <c r="T1069" s="5" t="str">
        <f>IF(Delivery_Data[[#This Row],[Delays (min)]]&gt;0,"No","Yes")</f>
        <v>No</v>
      </c>
    </row>
    <row r="1070" spans="1:20" ht="15.75" customHeight="1" x14ac:dyDescent="0.3">
      <c r="A1070" s="4">
        <v>2069</v>
      </c>
      <c r="B1070" s="5" t="s">
        <v>1177</v>
      </c>
      <c r="C1070" s="6">
        <v>45173.599999999999</v>
      </c>
      <c r="D1070" s="5" t="s">
        <v>43</v>
      </c>
      <c r="E1070" s="5" t="s">
        <v>234</v>
      </c>
      <c r="F1070" s="5" t="s">
        <v>16</v>
      </c>
      <c r="G1070" s="5" t="s">
        <v>25</v>
      </c>
      <c r="H1070" s="5">
        <v>199</v>
      </c>
      <c r="I1070" s="5">
        <v>9</v>
      </c>
      <c r="J1070" s="5" t="s">
        <v>18</v>
      </c>
      <c r="K1070" s="5" t="s">
        <v>27</v>
      </c>
      <c r="L1070" s="5" t="s">
        <v>40</v>
      </c>
      <c r="M1070" s="7" t="s">
        <v>46</v>
      </c>
      <c r="N1070" s="26">
        <f t="shared" si="96"/>
        <v>0</v>
      </c>
      <c r="O1070" s="42">
        <f t="shared" si="97"/>
        <v>45173</v>
      </c>
      <c r="P1070" s="5" t="str">
        <f t="shared" si="98"/>
        <v>Monday</v>
      </c>
      <c r="Q1070" s="5">
        <f t="shared" si="99"/>
        <v>14</v>
      </c>
      <c r="R1070" s="28">
        <f t="shared" si="100"/>
        <v>0.95673076923076927</v>
      </c>
      <c r="S1070" s="29">
        <f t="shared" si="101"/>
        <v>95.673076923076934</v>
      </c>
      <c r="T1070" s="5" t="str">
        <f>IF(Delivery_Data[[#This Row],[Delays (min)]]&gt;0,"No","Yes")</f>
        <v>No</v>
      </c>
    </row>
    <row r="1071" spans="1:20" ht="15.75" customHeight="1" x14ac:dyDescent="0.3">
      <c r="A1071" s="4">
        <v>2070</v>
      </c>
      <c r="B1071" s="5" t="s">
        <v>1178</v>
      </c>
      <c r="C1071" s="6">
        <v>45173.37777777778</v>
      </c>
      <c r="D1071" s="5" t="s">
        <v>14</v>
      </c>
      <c r="E1071" s="5" t="s">
        <v>164</v>
      </c>
      <c r="F1071" s="5" t="s">
        <v>16</v>
      </c>
      <c r="G1071" s="5" t="s">
        <v>56</v>
      </c>
      <c r="H1071" s="5">
        <v>207</v>
      </c>
      <c r="I1071" s="5">
        <v>5</v>
      </c>
      <c r="J1071" s="5" t="s">
        <v>32</v>
      </c>
      <c r="K1071" s="5" t="s">
        <v>35</v>
      </c>
      <c r="L1071" s="5" t="s">
        <v>40</v>
      </c>
      <c r="M1071" s="7" t="s">
        <v>41</v>
      </c>
      <c r="N1071" s="26">
        <f t="shared" si="96"/>
        <v>-1</v>
      </c>
      <c r="O1071" s="42">
        <f t="shared" si="97"/>
        <v>45173</v>
      </c>
      <c r="P1071" s="5" t="str">
        <f t="shared" si="98"/>
        <v>Monday</v>
      </c>
      <c r="Q1071" s="5">
        <f t="shared" si="99"/>
        <v>9</v>
      </c>
      <c r="R1071" s="28">
        <f t="shared" si="100"/>
        <v>0.97641509433962259</v>
      </c>
      <c r="S1071" s="29">
        <f t="shared" si="101"/>
        <v>97.641509433962256</v>
      </c>
      <c r="T1071" s="5" t="str">
        <f>IF(Delivery_Data[[#This Row],[Delays (min)]]&gt;0,"No","Yes")</f>
        <v>No</v>
      </c>
    </row>
    <row r="1072" spans="1:20" ht="15.75" customHeight="1" x14ac:dyDescent="0.3">
      <c r="A1072" s="4">
        <v>2071</v>
      </c>
      <c r="B1072" s="5" t="s">
        <v>1179</v>
      </c>
      <c r="C1072" s="6">
        <v>45175.690972222219</v>
      </c>
      <c r="D1072" s="5" t="s">
        <v>43</v>
      </c>
      <c r="E1072" s="5" t="s">
        <v>89</v>
      </c>
      <c r="F1072" s="5" t="s">
        <v>24</v>
      </c>
      <c r="G1072" s="5" t="s">
        <v>31</v>
      </c>
      <c r="H1072" s="5">
        <v>202</v>
      </c>
      <c r="I1072" s="5">
        <v>1</v>
      </c>
      <c r="J1072" s="5" t="s">
        <v>18</v>
      </c>
      <c r="K1072" s="5" t="s">
        <v>45</v>
      </c>
      <c r="L1072" s="5" t="s">
        <v>40</v>
      </c>
      <c r="M1072" s="7" t="s">
        <v>46</v>
      </c>
      <c r="N1072" s="26">
        <f t="shared" si="96"/>
        <v>0</v>
      </c>
      <c r="O1072" s="42">
        <f t="shared" si="97"/>
        <v>45175</v>
      </c>
      <c r="P1072" s="5" t="str">
        <f t="shared" si="98"/>
        <v>Wednesday</v>
      </c>
      <c r="Q1072" s="5">
        <f t="shared" si="99"/>
        <v>16</v>
      </c>
      <c r="R1072" s="28">
        <f t="shared" si="100"/>
        <v>0.99507389162561577</v>
      </c>
      <c r="S1072" s="29">
        <f t="shared" si="101"/>
        <v>99.50738916256158</v>
      </c>
      <c r="T1072" s="5" t="str">
        <f>IF(Delivery_Data[[#This Row],[Delays (min)]]&gt;0,"No","Yes")</f>
        <v>No</v>
      </c>
    </row>
    <row r="1073" spans="1:20" ht="15.75" customHeight="1" x14ac:dyDescent="0.3">
      <c r="A1073" s="4">
        <v>2072</v>
      </c>
      <c r="B1073" s="5" t="s">
        <v>1180</v>
      </c>
      <c r="C1073" s="6">
        <v>45173.37222222222</v>
      </c>
      <c r="D1073" s="5" t="s">
        <v>14</v>
      </c>
      <c r="E1073" s="5" t="s">
        <v>187</v>
      </c>
      <c r="F1073" s="5" t="s">
        <v>38</v>
      </c>
      <c r="G1073" s="5" t="s">
        <v>56</v>
      </c>
      <c r="H1073" s="5">
        <v>170</v>
      </c>
      <c r="I1073" s="5">
        <v>14</v>
      </c>
      <c r="J1073" s="5" t="s">
        <v>32</v>
      </c>
      <c r="K1073" s="5" t="s">
        <v>45</v>
      </c>
      <c r="L1073" s="5" t="s">
        <v>20</v>
      </c>
      <c r="M1073" s="7" t="s">
        <v>21</v>
      </c>
      <c r="N1073" s="26">
        <f t="shared" si="96"/>
        <v>-1</v>
      </c>
      <c r="O1073" s="42">
        <f t="shared" si="97"/>
        <v>45173</v>
      </c>
      <c r="P1073" s="5" t="str">
        <f t="shared" si="98"/>
        <v>Monday</v>
      </c>
      <c r="Q1073" s="5">
        <f t="shared" si="99"/>
        <v>8</v>
      </c>
      <c r="R1073" s="28">
        <f t="shared" si="100"/>
        <v>0.92391304347826086</v>
      </c>
      <c r="S1073" s="29">
        <f t="shared" si="101"/>
        <v>92.391304347826093</v>
      </c>
      <c r="T1073" s="5" t="str">
        <f>IF(Delivery_Data[[#This Row],[Delays (min)]]&gt;0,"No","Yes")</f>
        <v>No</v>
      </c>
    </row>
    <row r="1074" spans="1:20" ht="15.75" customHeight="1" x14ac:dyDescent="0.3">
      <c r="A1074" s="4">
        <v>2073</v>
      </c>
      <c r="B1074" s="5" t="s">
        <v>1181</v>
      </c>
      <c r="C1074" s="6">
        <v>45172.538888888892</v>
      </c>
      <c r="D1074" s="5" t="s">
        <v>43</v>
      </c>
      <c r="E1074" s="5" t="s">
        <v>403</v>
      </c>
      <c r="F1074" s="5" t="s">
        <v>24</v>
      </c>
      <c r="G1074" s="5" t="s">
        <v>39</v>
      </c>
      <c r="H1074" s="5">
        <v>110</v>
      </c>
      <c r="I1074" s="5">
        <v>13</v>
      </c>
      <c r="J1074" s="5" t="s">
        <v>26</v>
      </c>
      <c r="K1074" s="5" t="s">
        <v>49</v>
      </c>
      <c r="L1074" s="5" t="s">
        <v>20</v>
      </c>
      <c r="M1074" s="7" t="s">
        <v>41</v>
      </c>
      <c r="N1074" s="26">
        <f t="shared" si="96"/>
        <v>1</v>
      </c>
      <c r="O1074" s="42">
        <f t="shared" si="97"/>
        <v>45172</v>
      </c>
      <c r="P1074" s="5" t="str">
        <f t="shared" si="98"/>
        <v>Sunday</v>
      </c>
      <c r="Q1074" s="5">
        <f t="shared" si="99"/>
        <v>12</v>
      </c>
      <c r="R1074" s="28">
        <f t="shared" si="100"/>
        <v>0.89430894308943087</v>
      </c>
      <c r="S1074" s="29">
        <f t="shared" si="101"/>
        <v>89.430894308943081</v>
      </c>
      <c r="T1074" s="5" t="str">
        <f>IF(Delivery_Data[[#This Row],[Delays (min)]]&gt;0,"No","Yes")</f>
        <v>No</v>
      </c>
    </row>
    <row r="1075" spans="1:20" ht="15.75" customHeight="1" x14ac:dyDescent="0.3">
      <c r="A1075" s="4">
        <v>2074</v>
      </c>
      <c r="B1075" s="5" t="s">
        <v>1182</v>
      </c>
      <c r="C1075" s="6">
        <v>45176.495138888888</v>
      </c>
      <c r="D1075" s="5" t="s">
        <v>43</v>
      </c>
      <c r="E1075" s="5" t="s">
        <v>70</v>
      </c>
      <c r="F1075" s="5" t="s">
        <v>16</v>
      </c>
      <c r="G1075" s="5" t="s">
        <v>39</v>
      </c>
      <c r="H1075" s="5">
        <v>117</v>
      </c>
      <c r="I1075" s="5">
        <v>13</v>
      </c>
      <c r="J1075" s="5" t="s">
        <v>18</v>
      </c>
      <c r="K1075" s="5" t="s">
        <v>45</v>
      </c>
      <c r="L1075" s="5" t="s">
        <v>20</v>
      </c>
      <c r="M1075" s="7" t="s">
        <v>21</v>
      </c>
      <c r="N1075" s="26">
        <f t="shared" si="96"/>
        <v>0</v>
      </c>
      <c r="O1075" s="42">
        <f t="shared" si="97"/>
        <v>45176</v>
      </c>
      <c r="P1075" s="5" t="str">
        <f t="shared" si="98"/>
        <v>Thursday</v>
      </c>
      <c r="Q1075" s="5">
        <f t="shared" si="99"/>
        <v>11</v>
      </c>
      <c r="R1075" s="28">
        <f t="shared" si="100"/>
        <v>0.9</v>
      </c>
      <c r="S1075" s="29">
        <f t="shared" si="101"/>
        <v>90</v>
      </c>
      <c r="T1075" s="5" t="str">
        <f>IF(Delivery_Data[[#This Row],[Delays (min)]]&gt;0,"No","Yes")</f>
        <v>No</v>
      </c>
    </row>
    <row r="1076" spans="1:20" ht="15.75" customHeight="1" x14ac:dyDescent="0.3">
      <c r="A1076" s="4">
        <v>2075</v>
      </c>
      <c r="B1076" s="5" t="s">
        <v>1183</v>
      </c>
      <c r="C1076" s="6">
        <v>45172.457638888889</v>
      </c>
      <c r="D1076" s="5" t="s">
        <v>43</v>
      </c>
      <c r="E1076" s="5" t="s">
        <v>468</v>
      </c>
      <c r="F1076" s="5" t="s">
        <v>16</v>
      </c>
      <c r="G1076" s="5" t="s">
        <v>39</v>
      </c>
      <c r="H1076" s="5">
        <v>131</v>
      </c>
      <c r="I1076" s="5">
        <v>24</v>
      </c>
      <c r="J1076" s="5" t="s">
        <v>26</v>
      </c>
      <c r="K1076" s="5" t="s">
        <v>19</v>
      </c>
      <c r="L1076" s="5" t="s">
        <v>28</v>
      </c>
      <c r="M1076" s="7" t="s">
        <v>46</v>
      </c>
      <c r="N1076" s="26">
        <f t="shared" si="96"/>
        <v>1</v>
      </c>
      <c r="O1076" s="42">
        <f t="shared" si="97"/>
        <v>45172</v>
      </c>
      <c r="P1076" s="5" t="str">
        <f t="shared" si="98"/>
        <v>Sunday</v>
      </c>
      <c r="Q1076" s="5">
        <f t="shared" si="99"/>
        <v>10</v>
      </c>
      <c r="R1076" s="28">
        <f t="shared" si="100"/>
        <v>0.84516129032258069</v>
      </c>
      <c r="S1076" s="29">
        <f t="shared" si="101"/>
        <v>84.516129032258064</v>
      </c>
      <c r="T1076" s="5" t="str">
        <f>IF(Delivery_Data[[#This Row],[Delays (min)]]&gt;0,"No","Yes")</f>
        <v>No</v>
      </c>
    </row>
    <row r="1077" spans="1:20" ht="15.75" customHeight="1" x14ac:dyDescent="0.3">
      <c r="A1077" s="4">
        <v>2076</v>
      </c>
      <c r="B1077" s="5" t="s">
        <v>1184</v>
      </c>
      <c r="C1077" s="6">
        <v>45173.370833333334</v>
      </c>
      <c r="D1077" s="5" t="s">
        <v>43</v>
      </c>
      <c r="E1077" s="5" t="s">
        <v>202</v>
      </c>
      <c r="F1077" s="5" t="s">
        <v>38</v>
      </c>
      <c r="G1077" s="5" t="s">
        <v>56</v>
      </c>
      <c r="H1077" s="5">
        <v>209</v>
      </c>
      <c r="I1077" s="5">
        <v>11</v>
      </c>
      <c r="J1077" s="5" t="s">
        <v>18</v>
      </c>
      <c r="K1077" s="5" t="s">
        <v>35</v>
      </c>
      <c r="L1077" s="5" t="s">
        <v>28</v>
      </c>
      <c r="M1077" s="7" t="s">
        <v>46</v>
      </c>
      <c r="N1077" s="26">
        <f t="shared" si="96"/>
        <v>0</v>
      </c>
      <c r="O1077" s="42">
        <f t="shared" si="97"/>
        <v>45173</v>
      </c>
      <c r="P1077" s="5" t="str">
        <f t="shared" si="98"/>
        <v>Monday</v>
      </c>
      <c r="Q1077" s="5">
        <f t="shared" si="99"/>
        <v>8</v>
      </c>
      <c r="R1077" s="28">
        <f t="shared" si="100"/>
        <v>0.95</v>
      </c>
      <c r="S1077" s="29">
        <f t="shared" si="101"/>
        <v>95</v>
      </c>
      <c r="T1077" s="5" t="str">
        <f>IF(Delivery_Data[[#This Row],[Delays (min)]]&gt;0,"No","Yes")</f>
        <v>No</v>
      </c>
    </row>
    <row r="1078" spans="1:20" ht="15.75" customHeight="1" x14ac:dyDescent="0.3">
      <c r="A1078" s="4">
        <v>2077</v>
      </c>
      <c r="B1078" s="5" t="s">
        <v>1185</v>
      </c>
      <c r="C1078" s="6">
        <v>45177.47152777778</v>
      </c>
      <c r="D1078" s="5" t="s">
        <v>14</v>
      </c>
      <c r="E1078" s="5" t="s">
        <v>85</v>
      </c>
      <c r="F1078" s="5" t="s">
        <v>24</v>
      </c>
      <c r="G1078" s="5" t="s">
        <v>39</v>
      </c>
      <c r="H1078" s="5">
        <v>159</v>
      </c>
      <c r="I1078" s="5">
        <v>19</v>
      </c>
      <c r="J1078" s="5" t="s">
        <v>32</v>
      </c>
      <c r="K1078" s="5" t="s">
        <v>27</v>
      </c>
      <c r="L1078" s="5" t="s">
        <v>20</v>
      </c>
      <c r="M1078" s="7" t="s">
        <v>46</v>
      </c>
      <c r="N1078" s="26">
        <f t="shared" si="96"/>
        <v>-1</v>
      </c>
      <c r="O1078" s="42">
        <f t="shared" si="97"/>
        <v>45177</v>
      </c>
      <c r="P1078" s="5" t="str">
        <f t="shared" si="98"/>
        <v>Friday</v>
      </c>
      <c r="Q1078" s="5">
        <f t="shared" si="99"/>
        <v>11</v>
      </c>
      <c r="R1078" s="28">
        <f t="shared" si="100"/>
        <v>0.8932584269662921</v>
      </c>
      <c r="S1078" s="29">
        <f t="shared" si="101"/>
        <v>89.325842696629209</v>
      </c>
      <c r="T1078" s="5" t="str">
        <f>IF(Delivery_Data[[#This Row],[Delays (min)]]&gt;0,"No","Yes")</f>
        <v>No</v>
      </c>
    </row>
    <row r="1079" spans="1:20" ht="15.75" customHeight="1" x14ac:dyDescent="0.3">
      <c r="A1079" s="4">
        <v>2078</v>
      </c>
      <c r="B1079" s="5" t="s">
        <v>1186</v>
      </c>
      <c r="C1079" s="6">
        <v>45174.507638888892</v>
      </c>
      <c r="D1079" s="5" t="s">
        <v>14</v>
      </c>
      <c r="E1079" s="5" t="s">
        <v>132</v>
      </c>
      <c r="F1079" s="5" t="s">
        <v>24</v>
      </c>
      <c r="G1079" s="5" t="s">
        <v>17</v>
      </c>
      <c r="H1079" s="5">
        <v>91</v>
      </c>
      <c r="I1079" s="5">
        <v>4</v>
      </c>
      <c r="J1079" s="5" t="s">
        <v>26</v>
      </c>
      <c r="K1079" s="5" t="s">
        <v>45</v>
      </c>
      <c r="L1079" s="5" t="s">
        <v>20</v>
      </c>
      <c r="M1079" s="7" t="s">
        <v>46</v>
      </c>
      <c r="N1079" s="26">
        <f t="shared" si="96"/>
        <v>1</v>
      </c>
      <c r="O1079" s="42">
        <f t="shared" si="97"/>
        <v>45174</v>
      </c>
      <c r="P1079" s="5" t="str">
        <f t="shared" si="98"/>
        <v>Tuesday</v>
      </c>
      <c r="Q1079" s="5">
        <f t="shared" si="99"/>
        <v>12</v>
      </c>
      <c r="R1079" s="28">
        <f t="shared" si="100"/>
        <v>0.95789473684210524</v>
      </c>
      <c r="S1079" s="29">
        <f t="shared" si="101"/>
        <v>95.78947368421052</v>
      </c>
      <c r="T1079" s="5" t="str">
        <f>IF(Delivery_Data[[#This Row],[Delays (min)]]&gt;0,"No","Yes")</f>
        <v>No</v>
      </c>
    </row>
    <row r="1080" spans="1:20" ht="15.75" customHeight="1" x14ac:dyDescent="0.3">
      <c r="A1080" s="4">
        <v>2079</v>
      </c>
      <c r="B1080" s="5" t="s">
        <v>1187</v>
      </c>
      <c r="C1080" s="6">
        <v>45171.592361111114</v>
      </c>
      <c r="D1080" s="5" t="s">
        <v>14</v>
      </c>
      <c r="E1080" s="5" t="s">
        <v>99</v>
      </c>
      <c r="F1080" s="5" t="s">
        <v>38</v>
      </c>
      <c r="G1080" s="5" t="s">
        <v>31</v>
      </c>
      <c r="H1080" s="5">
        <v>232</v>
      </c>
      <c r="I1080" s="5">
        <v>2</v>
      </c>
      <c r="J1080" s="5" t="s">
        <v>26</v>
      </c>
      <c r="K1080" s="5" t="s">
        <v>35</v>
      </c>
      <c r="L1080" s="5" t="s">
        <v>40</v>
      </c>
      <c r="M1080" s="7" t="s">
        <v>21</v>
      </c>
      <c r="N1080" s="26">
        <f t="shared" si="96"/>
        <v>1</v>
      </c>
      <c r="O1080" s="42">
        <f t="shared" si="97"/>
        <v>45171</v>
      </c>
      <c r="P1080" s="5" t="str">
        <f t="shared" si="98"/>
        <v>Saturday</v>
      </c>
      <c r="Q1080" s="5">
        <f t="shared" si="99"/>
        <v>14</v>
      </c>
      <c r="R1080" s="28">
        <f t="shared" si="100"/>
        <v>0.99145299145299148</v>
      </c>
      <c r="S1080" s="29">
        <f t="shared" si="101"/>
        <v>99.145299145299148</v>
      </c>
      <c r="T1080" s="5" t="str">
        <f>IF(Delivery_Data[[#This Row],[Delays (min)]]&gt;0,"No","Yes")</f>
        <v>No</v>
      </c>
    </row>
    <row r="1081" spans="1:20" ht="15.75" customHeight="1" x14ac:dyDescent="0.3">
      <c r="A1081" s="4">
        <v>2080</v>
      </c>
      <c r="B1081" s="5" t="s">
        <v>1188</v>
      </c>
      <c r="C1081" s="6">
        <v>45173.34652777778</v>
      </c>
      <c r="D1081" s="5" t="s">
        <v>43</v>
      </c>
      <c r="E1081" s="5" t="s">
        <v>106</v>
      </c>
      <c r="F1081" s="5" t="s">
        <v>16</v>
      </c>
      <c r="G1081" s="5" t="s">
        <v>56</v>
      </c>
      <c r="H1081" s="5">
        <v>239</v>
      </c>
      <c r="I1081" s="5">
        <v>21</v>
      </c>
      <c r="J1081" s="5" t="s">
        <v>18</v>
      </c>
      <c r="K1081" s="5" t="s">
        <v>19</v>
      </c>
      <c r="L1081" s="5" t="s">
        <v>40</v>
      </c>
      <c r="M1081" s="7" t="s">
        <v>46</v>
      </c>
      <c r="N1081" s="26">
        <f t="shared" si="96"/>
        <v>0</v>
      </c>
      <c r="O1081" s="42">
        <f t="shared" si="97"/>
        <v>45173</v>
      </c>
      <c r="P1081" s="5" t="str">
        <f t="shared" si="98"/>
        <v>Monday</v>
      </c>
      <c r="Q1081" s="5">
        <f t="shared" si="99"/>
        <v>8</v>
      </c>
      <c r="R1081" s="28">
        <f t="shared" si="100"/>
        <v>0.91923076923076918</v>
      </c>
      <c r="S1081" s="29">
        <f t="shared" si="101"/>
        <v>91.92307692307692</v>
      </c>
      <c r="T1081" s="5" t="str">
        <f>IF(Delivery_Data[[#This Row],[Delays (min)]]&gt;0,"No","Yes")</f>
        <v>No</v>
      </c>
    </row>
    <row r="1082" spans="1:20" ht="15.75" customHeight="1" x14ac:dyDescent="0.3">
      <c r="A1082" s="4">
        <v>2081</v>
      </c>
      <c r="B1082" s="5" t="s">
        <v>1189</v>
      </c>
      <c r="C1082" s="6">
        <v>45176.65625</v>
      </c>
      <c r="D1082" s="5" t="s">
        <v>43</v>
      </c>
      <c r="E1082" s="5" t="s">
        <v>261</v>
      </c>
      <c r="F1082" s="5" t="s">
        <v>38</v>
      </c>
      <c r="G1082" s="5" t="s">
        <v>39</v>
      </c>
      <c r="H1082" s="5">
        <v>232</v>
      </c>
      <c r="I1082" s="5">
        <v>23</v>
      </c>
      <c r="J1082" s="5" t="s">
        <v>18</v>
      </c>
      <c r="K1082" s="5" t="s">
        <v>19</v>
      </c>
      <c r="L1082" s="5" t="s">
        <v>40</v>
      </c>
      <c r="M1082" s="7" t="s">
        <v>21</v>
      </c>
      <c r="N1082" s="26">
        <f t="shared" si="96"/>
        <v>0</v>
      </c>
      <c r="O1082" s="42">
        <f t="shared" si="97"/>
        <v>45176</v>
      </c>
      <c r="P1082" s="5" t="str">
        <f t="shared" si="98"/>
        <v>Thursday</v>
      </c>
      <c r="Q1082" s="5">
        <f t="shared" si="99"/>
        <v>15</v>
      </c>
      <c r="R1082" s="28">
        <f t="shared" si="100"/>
        <v>0.90980392156862744</v>
      </c>
      <c r="S1082" s="29">
        <f t="shared" si="101"/>
        <v>90.980392156862749</v>
      </c>
      <c r="T1082" s="5" t="str">
        <f>IF(Delivery_Data[[#This Row],[Delays (min)]]&gt;0,"No","Yes")</f>
        <v>No</v>
      </c>
    </row>
    <row r="1083" spans="1:20" ht="15.75" customHeight="1" x14ac:dyDescent="0.3">
      <c r="A1083" s="4">
        <v>2082</v>
      </c>
      <c r="B1083" s="5" t="s">
        <v>1190</v>
      </c>
      <c r="C1083" s="6">
        <v>45176.699305555558</v>
      </c>
      <c r="D1083" s="5" t="s">
        <v>14</v>
      </c>
      <c r="E1083" s="5" t="s">
        <v>154</v>
      </c>
      <c r="F1083" s="5" t="s">
        <v>16</v>
      </c>
      <c r="G1083" s="5" t="s">
        <v>39</v>
      </c>
      <c r="H1083" s="5">
        <v>92</v>
      </c>
      <c r="I1083" s="5">
        <v>16</v>
      </c>
      <c r="J1083" s="5" t="s">
        <v>32</v>
      </c>
      <c r="K1083" s="5" t="s">
        <v>45</v>
      </c>
      <c r="L1083" s="5" t="s">
        <v>20</v>
      </c>
      <c r="M1083" s="7" t="s">
        <v>21</v>
      </c>
      <c r="N1083" s="26">
        <f t="shared" si="96"/>
        <v>-1</v>
      </c>
      <c r="O1083" s="42">
        <f t="shared" si="97"/>
        <v>45176</v>
      </c>
      <c r="P1083" s="5" t="str">
        <f t="shared" si="98"/>
        <v>Thursday</v>
      </c>
      <c r="Q1083" s="5">
        <f t="shared" si="99"/>
        <v>16</v>
      </c>
      <c r="R1083" s="28">
        <f t="shared" si="100"/>
        <v>0.85185185185185186</v>
      </c>
      <c r="S1083" s="29">
        <f t="shared" si="101"/>
        <v>85.18518518518519</v>
      </c>
      <c r="T1083" s="5" t="str">
        <f>IF(Delivery_Data[[#This Row],[Delays (min)]]&gt;0,"No","Yes")</f>
        <v>No</v>
      </c>
    </row>
    <row r="1084" spans="1:20" ht="15.75" customHeight="1" x14ac:dyDescent="0.3">
      <c r="A1084" s="4">
        <v>2083</v>
      </c>
      <c r="B1084" s="5" t="s">
        <v>1191</v>
      </c>
      <c r="C1084" s="6">
        <v>45170.703472222223</v>
      </c>
      <c r="D1084" s="5" t="s">
        <v>14</v>
      </c>
      <c r="E1084" s="5" t="s">
        <v>215</v>
      </c>
      <c r="F1084" s="5" t="s">
        <v>24</v>
      </c>
      <c r="G1084" s="5" t="s">
        <v>17</v>
      </c>
      <c r="H1084" s="5">
        <v>86</v>
      </c>
      <c r="I1084" s="5">
        <v>15</v>
      </c>
      <c r="J1084" s="5" t="s">
        <v>32</v>
      </c>
      <c r="K1084" s="5" t="s">
        <v>49</v>
      </c>
      <c r="L1084" s="5" t="s">
        <v>28</v>
      </c>
      <c r="M1084" s="7" t="s">
        <v>21</v>
      </c>
      <c r="N1084" s="26">
        <f t="shared" si="96"/>
        <v>-1</v>
      </c>
      <c r="O1084" s="42">
        <f t="shared" si="97"/>
        <v>45170</v>
      </c>
      <c r="P1084" s="5" t="str">
        <f t="shared" si="98"/>
        <v>Friday</v>
      </c>
      <c r="Q1084" s="5">
        <f t="shared" si="99"/>
        <v>16</v>
      </c>
      <c r="R1084" s="28">
        <f t="shared" si="100"/>
        <v>0.85148514851485146</v>
      </c>
      <c r="S1084" s="29">
        <f t="shared" si="101"/>
        <v>85.148514851485146</v>
      </c>
      <c r="T1084" s="5" t="str">
        <f>IF(Delivery_Data[[#This Row],[Delays (min)]]&gt;0,"No","Yes")</f>
        <v>No</v>
      </c>
    </row>
    <row r="1085" spans="1:20" ht="15.75" customHeight="1" x14ac:dyDescent="0.3">
      <c r="A1085" s="4">
        <v>2084</v>
      </c>
      <c r="B1085" s="5" t="s">
        <v>1192</v>
      </c>
      <c r="C1085" s="6">
        <v>45175.357638888891</v>
      </c>
      <c r="D1085" s="5" t="s">
        <v>14</v>
      </c>
      <c r="E1085" s="5" t="s">
        <v>87</v>
      </c>
      <c r="F1085" s="5" t="s">
        <v>24</v>
      </c>
      <c r="G1085" s="5" t="s">
        <v>31</v>
      </c>
      <c r="H1085" s="5">
        <v>84</v>
      </c>
      <c r="I1085" s="5">
        <v>29</v>
      </c>
      <c r="J1085" s="5" t="s">
        <v>18</v>
      </c>
      <c r="K1085" s="5" t="s">
        <v>45</v>
      </c>
      <c r="L1085" s="5" t="s">
        <v>40</v>
      </c>
      <c r="M1085" s="7" t="s">
        <v>21</v>
      </c>
      <c r="N1085" s="26">
        <f t="shared" si="96"/>
        <v>0</v>
      </c>
      <c r="O1085" s="42">
        <f t="shared" si="97"/>
        <v>45175</v>
      </c>
      <c r="P1085" s="5" t="str">
        <f t="shared" si="98"/>
        <v>Wednesday</v>
      </c>
      <c r="Q1085" s="5">
        <f t="shared" si="99"/>
        <v>8</v>
      </c>
      <c r="R1085" s="28">
        <f t="shared" si="100"/>
        <v>0.74336283185840712</v>
      </c>
      <c r="S1085" s="29">
        <f t="shared" si="101"/>
        <v>74.336283185840713</v>
      </c>
      <c r="T1085" s="5" t="str">
        <f>IF(Delivery_Data[[#This Row],[Delays (min)]]&gt;0,"No","Yes")</f>
        <v>No</v>
      </c>
    </row>
    <row r="1086" spans="1:20" ht="15.75" customHeight="1" x14ac:dyDescent="0.3">
      <c r="A1086" s="4">
        <v>2085</v>
      </c>
      <c r="B1086" s="5" t="s">
        <v>1193</v>
      </c>
      <c r="C1086" s="6">
        <v>45174.441666666666</v>
      </c>
      <c r="D1086" s="5" t="s">
        <v>43</v>
      </c>
      <c r="E1086" s="5" t="s">
        <v>158</v>
      </c>
      <c r="F1086" s="5" t="s">
        <v>16</v>
      </c>
      <c r="G1086" s="5" t="s">
        <v>25</v>
      </c>
      <c r="H1086" s="5">
        <v>112</v>
      </c>
      <c r="I1086" s="5">
        <v>13</v>
      </c>
      <c r="J1086" s="5" t="s">
        <v>26</v>
      </c>
      <c r="K1086" s="5" t="s">
        <v>19</v>
      </c>
      <c r="L1086" s="5" t="s">
        <v>20</v>
      </c>
      <c r="M1086" s="7" t="s">
        <v>46</v>
      </c>
      <c r="N1086" s="26">
        <f t="shared" si="96"/>
        <v>1</v>
      </c>
      <c r="O1086" s="42">
        <f t="shared" si="97"/>
        <v>45174</v>
      </c>
      <c r="P1086" s="5" t="str">
        <f t="shared" si="98"/>
        <v>Tuesday</v>
      </c>
      <c r="Q1086" s="5">
        <f t="shared" si="99"/>
        <v>10</v>
      </c>
      <c r="R1086" s="28">
        <f t="shared" si="100"/>
        <v>0.89600000000000002</v>
      </c>
      <c r="S1086" s="29">
        <f t="shared" si="101"/>
        <v>89.600000000000009</v>
      </c>
      <c r="T1086" s="5" t="str">
        <f>IF(Delivery_Data[[#This Row],[Delays (min)]]&gt;0,"No","Yes")</f>
        <v>No</v>
      </c>
    </row>
    <row r="1087" spans="1:20" ht="15.75" customHeight="1" x14ac:dyDescent="0.3">
      <c r="A1087" s="4">
        <v>2086</v>
      </c>
      <c r="B1087" s="5" t="s">
        <v>1194</v>
      </c>
      <c r="C1087" s="6">
        <v>45170.616666666669</v>
      </c>
      <c r="D1087" s="5" t="s">
        <v>14</v>
      </c>
      <c r="E1087" s="5" t="s">
        <v>182</v>
      </c>
      <c r="F1087" s="5" t="s">
        <v>38</v>
      </c>
      <c r="G1087" s="5" t="s">
        <v>25</v>
      </c>
      <c r="H1087" s="5">
        <v>190</v>
      </c>
      <c r="I1087" s="5">
        <v>11</v>
      </c>
      <c r="J1087" s="5" t="s">
        <v>26</v>
      </c>
      <c r="K1087" s="5" t="s">
        <v>49</v>
      </c>
      <c r="L1087" s="5" t="s">
        <v>40</v>
      </c>
      <c r="M1087" s="7" t="s">
        <v>46</v>
      </c>
      <c r="N1087" s="26">
        <f t="shared" si="96"/>
        <v>1</v>
      </c>
      <c r="O1087" s="42">
        <f t="shared" si="97"/>
        <v>45170</v>
      </c>
      <c r="P1087" s="5" t="str">
        <f t="shared" si="98"/>
        <v>Friday</v>
      </c>
      <c r="Q1087" s="5">
        <f t="shared" si="99"/>
        <v>14</v>
      </c>
      <c r="R1087" s="28">
        <f t="shared" si="100"/>
        <v>0.94527363184079605</v>
      </c>
      <c r="S1087" s="29">
        <f t="shared" si="101"/>
        <v>94.527363184079604</v>
      </c>
      <c r="T1087" s="5" t="str">
        <f>IF(Delivery_Data[[#This Row],[Delays (min)]]&gt;0,"No","Yes")</f>
        <v>No</v>
      </c>
    </row>
    <row r="1088" spans="1:20" ht="15.75" customHeight="1" x14ac:dyDescent="0.3">
      <c r="A1088" s="4">
        <v>2087</v>
      </c>
      <c r="B1088" s="5" t="s">
        <v>1195</v>
      </c>
      <c r="C1088" s="6">
        <v>45171.455555555556</v>
      </c>
      <c r="D1088" s="5" t="s">
        <v>14</v>
      </c>
      <c r="E1088" s="5" t="s">
        <v>177</v>
      </c>
      <c r="F1088" s="5" t="s">
        <v>24</v>
      </c>
      <c r="G1088" s="5" t="s">
        <v>56</v>
      </c>
      <c r="H1088" s="5">
        <v>238</v>
      </c>
      <c r="I1088" s="5">
        <v>24</v>
      </c>
      <c r="J1088" s="5" t="s">
        <v>26</v>
      </c>
      <c r="K1088" s="5" t="s">
        <v>49</v>
      </c>
      <c r="L1088" s="5" t="s">
        <v>28</v>
      </c>
      <c r="M1088" s="7" t="s">
        <v>21</v>
      </c>
      <c r="N1088" s="26">
        <f t="shared" si="96"/>
        <v>1</v>
      </c>
      <c r="O1088" s="42">
        <f t="shared" si="97"/>
        <v>45171</v>
      </c>
      <c r="P1088" s="5" t="str">
        <f t="shared" si="98"/>
        <v>Saturday</v>
      </c>
      <c r="Q1088" s="5">
        <f t="shared" si="99"/>
        <v>10</v>
      </c>
      <c r="R1088" s="28">
        <f t="shared" si="100"/>
        <v>0.90839694656488545</v>
      </c>
      <c r="S1088" s="29">
        <f t="shared" si="101"/>
        <v>90.839694656488547</v>
      </c>
      <c r="T1088" s="5" t="str">
        <f>IF(Delivery_Data[[#This Row],[Delays (min)]]&gt;0,"No","Yes")</f>
        <v>No</v>
      </c>
    </row>
    <row r="1089" spans="1:20" ht="15.75" customHeight="1" x14ac:dyDescent="0.3">
      <c r="A1089" s="4">
        <v>2088</v>
      </c>
      <c r="B1089" s="5" t="s">
        <v>1196</v>
      </c>
      <c r="C1089" s="6">
        <v>45174.644444444442</v>
      </c>
      <c r="D1089" s="5" t="s">
        <v>14</v>
      </c>
      <c r="E1089" s="5" t="s">
        <v>220</v>
      </c>
      <c r="F1089" s="5" t="s">
        <v>16</v>
      </c>
      <c r="G1089" s="5" t="s">
        <v>25</v>
      </c>
      <c r="H1089" s="5">
        <v>77</v>
      </c>
      <c r="I1089" s="5">
        <v>21</v>
      </c>
      <c r="J1089" s="5" t="s">
        <v>18</v>
      </c>
      <c r="K1089" s="5" t="s">
        <v>45</v>
      </c>
      <c r="L1089" s="5" t="s">
        <v>28</v>
      </c>
      <c r="M1089" s="7" t="s">
        <v>46</v>
      </c>
      <c r="N1089" s="26">
        <f t="shared" si="96"/>
        <v>0</v>
      </c>
      <c r="O1089" s="42">
        <f t="shared" si="97"/>
        <v>45174</v>
      </c>
      <c r="P1089" s="5" t="str">
        <f t="shared" si="98"/>
        <v>Tuesday</v>
      </c>
      <c r="Q1089" s="5">
        <f t="shared" si="99"/>
        <v>15</v>
      </c>
      <c r="R1089" s="28">
        <f t="shared" si="100"/>
        <v>0.7857142857142857</v>
      </c>
      <c r="S1089" s="29">
        <f t="shared" si="101"/>
        <v>78.571428571428569</v>
      </c>
      <c r="T1089" s="5" t="str">
        <f>IF(Delivery_Data[[#This Row],[Delays (min)]]&gt;0,"No","Yes")</f>
        <v>No</v>
      </c>
    </row>
    <row r="1090" spans="1:20" ht="15.75" customHeight="1" x14ac:dyDescent="0.3">
      <c r="A1090" s="4">
        <v>2089</v>
      </c>
      <c r="B1090" s="5" t="s">
        <v>1197</v>
      </c>
      <c r="C1090" s="6">
        <v>45174.395138888889</v>
      </c>
      <c r="D1090" s="5" t="s">
        <v>43</v>
      </c>
      <c r="E1090" s="5" t="s">
        <v>285</v>
      </c>
      <c r="F1090" s="5" t="s">
        <v>16</v>
      </c>
      <c r="G1090" s="5" t="s">
        <v>39</v>
      </c>
      <c r="H1090" s="5">
        <v>127</v>
      </c>
      <c r="I1090" s="5">
        <v>9</v>
      </c>
      <c r="J1090" s="5" t="s">
        <v>18</v>
      </c>
      <c r="K1090" s="5" t="s">
        <v>49</v>
      </c>
      <c r="L1090" s="5" t="s">
        <v>28</v>
      </c>
      <c r="M1090" s="7" t="s">
        <v>21</v>
      </c>
      <c r="N1090" s="26">
        <f t="shared" ref="N1090:N1153" si="102">IF(J1090="Positive",1,IF(J1090="Neutral",0,IF(J1090="Negative",-1,"")))</f>
        <v>0</v>
      </c>
      <c r="O1090" s="42">
        <f t="shared" ref="O1090:O1153" si="103">INT(C1090)</f>
        <v>45174</v>
      </c>
      <c r="P1090" s="5" t="str">
        <f t="shared" ref="P1090:P1153" si="104">TEXT(C1090,"dddd")</f>
        <v>Tuesday</v>
      </c>
      <c r="Q1090" s="5">
        <f t="shared" ref="Q1090:Q1153" si="105">HOUR(C1090)</f>
        <v>9</v>
      </c>
      <c r="R1090" s="28">
        <f t="shared" ref="R1090:R1153" si="106">H1090/(H1090+I1090)</f>
        <v>0.93382352941176472</v>
      </c>
      <c r="S1090" s="29">
        <f t="shared" si="101"/>
        <v>93.382352941176478</v>
      </c>
      <c r="T1090" s="5" t="str">
        <f>IF(Delivery_Data[[#This Row],[Delays (min)]]&gt;0,"No","Yes")</f>
        <v>No</v>
      </c>
    </row>
    <row r="1091" spans="1:20" ht="15.75" customHeight="1" x14ac:dyDescent="0.3">
      <c r="A1091" s="4">
        <v>2090</v>
      </c>
      <c r="B1091" s="5" t="s">
        <v>1198</v>
      </c>
      <c r="C1091" s="6">
        <v>45174.459722222222</v>
      </c>
      <c r="D1091" s="5" t="s">
        <v>43</v>
      </c>
      <c r="E1091" s="5" t="s">
        <v>164</v>
      </c>
      <c r="F1091" s="5" t="s">
        <v>24</v>
      </c>
      <c r="G1091" s="5" t="s">
        <v>56</v>
      </c>
      <c r="H1091" s="5">
        <v>119</v>
      </c>
      <c r="I1091" s="5">
        <v>9</v>
      </c>
      <c r="J1091" s="5" t="s">
        <v>32</v>
      </c>
      <c r="K1091" s="5" t="s">
        <v>19</v>
      </c>
      <c r="L1091" s="5" t="s">
        <v>40</v>
      </c>
      <c r="M1091" s="7" t="s">
        <v>21</v>
      </c>
      <c r="N1091" s="26">
        <f t="shared" si="102"/>
        <v>-1</v>
      </c>
      <c r="O1091" s="42">
        <f t="shared" si="103"/>
        <v>45174</v>
      </c>
      <c r="P1091" s="5" t="str">
        <f t="shared" si="104"/>
        <v>Tuesday</v>
      </c>
      <c r="Q1091" s="5">
        <f t="shared" si="105"/>
        <v>11</v>
      </c>
      <c r="R1091" s="28">
        <f t="shared" si="106"/>
        <v>0.9296875</v>
      </c>
      <c r="S1091" s="29">
        <f t="shared" ref="S1091:S1154" si="107">IF(H1091+I1091=0,0,(H1091/(H1091+I1091))*100) + (IFERROR(--J1091,0)*10)</f>
        <v>92.96875</v>
      </c>
      <c r="T1091" s="5" t="str">
        <f>IF(Delivery_Data[[#This Row],[Delays (min)]]&gt;0,"No","Yes")</f>
        <v>No</v>
      </c>
    </row>
    <row r="1092" spans="1:20" ht="15.75" customHeight="1" x14ac:dyDescent="0.3">
      <c r="A1092" s="4">
        <v>2091</v>
      </c>
      <c r="B1092" s="5" t="s">
        <v>1199</v>
      </c>
      <c r="C1092" s="6">
        <v>45175.495138888888</v>
      </c>
      <c r="D1092" s="5" t="s">
        <v>14</v>
      </c>
      <c r="E1092" s="5" t="s">
        <v>93</v>
      </c>
      <c r="F1092" s="5" t="s">
        <v>38</v>
      </c>
      <c r="G1092" s="5" t="s">
        <v>39</v>
      </c>
      <c r="H1092" s="5">
        <v>133</v>
      </c>
      <c r="I1092" s="5">
        <v>22</v>
      </c>
      <c r="J1092" s="5" t="s">
        <v>26</v>
      </c>
      <c r="K1092" s="5" t="s">
        <v>35</v>
      </c>
      <c r="L1092" s="5" t="s">
        <v>40</v>
      </c>
      <c r="M1092" s="7" t="s">
        <v>46</v>
      </c>
      <c r="N1092" s="26">
        <f t="shared" si="102"/>
        <v>1</v>
      </c>
      <c r="O1092" s="42">
        <f t="shared" si="103"/>
        <v>45175</v>
      </c>
      <c r="P1092" s="5" t="str">
        <f t="shared" si="104"/>
        <v>Wednesday</v>
      </c>
      <c r="Q1092" s="5">
        <f t="shared" si="105"/>
        <v>11</v>
      </c>
      <c r="R1092" s="28">
        <f t="shared" si="106"/>
        <v>0.85806451612903223</v>
      </c>
      <c r="S1092" s="29">
        <f t="shared" si="107"/>
        <v>85.806451612903217</v>
      </c>
      <c r="T1092" s="5" t="str">
        <f>IF(Delivery_Data[[#This Row],[Delays (min)]]&gt;0,"No","Yes")</f>
        <v>No</v>
      </c>
    </row>
    <row r="1093" spans="1:20" ht="15.75" customHeight="1" x14ac:dyDescent="0.3">
      <c r="A1093" s="4">
        <v>2092</v>
      </c>
      <c r="B1093" s="5" t="s">
        <v>1200</v>
      </c>
      <c r="C1093" s="6">
        <v>45173.339583333334</v>
      </c>
      <c r="D1093" s="5" t="s">
        <v>43</v>
      </c>
      <c r="E1093" s="5" t="s">
        <v>200</v>
      </c>
      <c r="F1093" s="5" t="s">
        <v>16</v>
      </c>
      <c r="G1093" s="5" t="s">
        <v>56</v>
      </c>
      <c r="H1093" s="5">
        <v>200</v>
      </c>
      <c r="I1093" s="5">
        <v>11</v>
      </c>
      <c r="J1093" s="5" t="s">
        <v>18</v>
      </c>
      <c r="K1093" s="5" t="s">
        <v>49</v>
      </c>
      <c r="L1093" s="5" t="s">
        <v>20</v>
      </c>
      <c r="M1093" s="7" t="s">
        <v>46</v>
      </c>
      <c r="N1093" s="26">
        <f t="shared" si="102"/>
        <v>0</v>
      </c>
      <c r="O1093" s="42">
        <f t="shared" si="103"/>
        <v>45173</v>
      </c>
      <c r="P1093" s="5" t="str">
        <f t="shared" si="104"/>
        <v>Monday</v>
      </c>
      <c r="Q1093" s="5">
        <f t="shared" si="105"/>
        <v>8</v>
      </c>
      <c r="R1093" s="28">
        <f t="shared" si="106"/>
        <v>0.94786729857819907</v>
      </c>
      <c r="S1093" s="29">
        <f t="shared" si="107"/>
        <v>94.786729857819907</v>
      </c>
      <c r="T1093" s="5" t="str">
        <f>IF(Delivery_Data[[#This Row],[Delays (min)]]&gt;0,"No","Yes")</f>
        <v>No</v>
      </c>
    </row>
    <row r="1094" spans="1:20" ht="15.75" customHeight="1" x14ac:dyDescent="0.3">
      <c r="A1094" s="4">
        <v>2093</v>
      </c>
      <c r="B1094" s="5" t="s">
        <v>1201</v>
      </c>
      <c r="C1094" s="6">
        <v>45175.701388888891</v>
      </c>
      <c r="D1094" s="5" t="s">
        <v>43</v>
      </c>
      <c r="E1094" s="5" t="s">
        <v>51</v>
      </c>
      <c r="F1094" s="5" t="s">
        <v>24</v>
      </c>
      <c r="G1094" s="5" t="s">
        <v>39</v>
      </c>
      <c r="H1094" s="5">
        <v>94</v>
      </c>
      <c r="I1094" s="5">
        <v>21</v>
      </c>
      <c r="J1094" s="5" t="s">
        <v>18</v>
      </c>
      <c r="K1094" s="5" t="s">
        <v>49</v>
      </c>
      <c r="L1094" s="5" t="s">
        <v>20</v>
      </c>
      <c r="M1094" s="7" t="s">
        <v>41</v>
      </c>
      <c r="N1094" s="26">
        <f t="shared" si="102"/>
        <v>0</v>
      </c>
      <c r="O1094" s="42">
        <f t="shared" si="103"/>
        <v>45175</v>
      </c>
      <c r="P1094" s="5" t="str">
        <f t="shared" si="104"/>
        <v>Wednesday</v>
      </c>
      <c r="Q1094" s="5">
        <f t="shared" si="105"/>
        <v>16</v>
      </c>
      <c r="R1094" s="28">
        <f t="shared" si="106"/>
        <v>0.81739130434782614</v>
      </c>
      <c r="S1094" s="29">
        <f t="shared" si="107"/>
        <v>81.739130434782609</v>
      </c>
      <c r="T1094" s="5" t="str">
        <f>IF(Delivery_Data[[#This Row],[Delays (min)]]&gt;0,"No","Yes")</f>
        <v>No</v>
      </c>
    </row>
    <row r="1095" spans="1:20" ht="15.75" customHeight="1" x14ac:dyDescent="0.3">
      <c r="A1095" s="4">
        <v>2094</v>
      </c>
      <c r="B1095" s="5" t="s">
        <v>1202</v>
      </c>
      <c r="C1095" s="6">
        <v>45172.340277777781</v>
      </c>
      <c r="D1095" s="5" t="s">
        <v>14</v>
      </c>
      <c r="E1095" s="5" t="s">
        <v>122</v>
      </c>
      <c r="F1095" s="5" t="s">
        <v>16</v>
      </c>
      <c r="G1095" s="5" t="s">
        <v>56</v>
      </c>
      <c r="H1095" s="5">
        <v>125</v>
      </c>
      <c r="I1095" s="5">
        <v>25</v>
      </c>
      <c r="J1095" s="5" t="s">
        <v>26</v>
      </c>
      <c r="K1095" s="5" t="s">
        <v>49</v>
      </c>
      <c r="L1095" s="5" t="s">
        <v>40</v>
      </c>
      <c r="M1095" s="7" t="s">
        <v>46</v>
      </c>
      <c r="N1095" s="26">
        <f t="shared" si="102"/>
        <v>1</v>
      </c>
      <c r="O1095" s="42">
        <f t="shared" si="103"/>
        <v>45172</v>
      </c>
      <c r="P1095" s="5" t="str">
        <f t="shared" si="104"/>
        <v>Sunday</v>
      </c>
      <c r="Q1095" s="5">
        <f t="shared" si="105"/>
        <v>8</v>
      </c>
      <c r="R1095" s="28">
        <f t="shared" si="106"/>
        <v>0.83333333333333337</v>
      </c>
      <c r="S1095" s="29">
        <f t="shared" si="107"/>
        <v>83.333333333333343</v>
      </c>
      <c r="T1095" s="5" t="str">
        <f>IF(Delivery_Data[[#This Row],[Delays (min)]]&gt;0,"No","Yes")</f>
        <v>No</v>
      </c>
    </row>
    <row r="1096" spans="1:20" ht="15.75" customHeight="1" x14ac:dyDescent="0.3">
      <c r="A1096" s="4">
        <v>2095</v>
      </c>
      <c r="B1096" s="5" t="s">
        <v>1203</v>
      </c>
      <c r="C1096" s="6">
        <v>45174.693749999999</v>
      </c>
      <c r="D1096" s="5" t="s">
        <v>14</v>
      </c>
      <c r="E1096" s="5" t="s">
        <v>44</v>
      </c>
      <c r="F1096" s="5" t="s">
        <v>24</v>
      </c>
      <c r="G1096" s="5" t="s">
        <v>31</v>
      </c>
      <c r="H1096" s="5">
        <v>197</v>
      </c>
      <c r="I1096" s="5">
        <v>4</v>
      </c>
      <c r="J1096" s="5" t="s">
        <v>26</v>
      </c>
      <c r="K1096" s="5" t="s">
        <v>19</v>
      </c>
      <c r="L1096" s="5" t="s">
        <v>20</v>
      </c>
      <c r="M1096" s="7" t="s">
        <v>41</v>
      </c>
      <c r="N1096" s="26">
        <f t="shared" si="102"/>
        <v>1</v>
      </c>
      <c r="O1096" s="42">
        <f t="shared" si="103"/>
        <v>45174</v>
      </c>
      <c r="P1096" s="5" t="str">
        <f t="shared" si="104"/>
        <v>Tuesday</v>
      </c>
      <c r="Q1096" s="5">
        <f t="shared" si="105"/>
        <v>16</v>
      </c>
      <c r="R1096" s="28">
        <f t="shared" si="106"/>
        <v>0.98009950248756217</v>
      </c>
      <c r="S1096" s="29">
        <f t="shared" si="107"/>
        <v>98.009950248756212</v>
      </c>
      <c r="T1096" s="5" t="str">
        <f>IF(Delivery_Data[[#This Row],[Delays (min)]]&gt;0,"No","Yes")</f>
        <v>No</v>
      </c>
    </row>
    <row r="1097" spans="1:20" ht="15.75" customHeight="1" x14ac:dyDescent="0.3">
      <c r="A1097" s="4">
        <v>2096</v>
      </c>
      <c r="B1097" s="5" t="s">
        <v>1204</v>
      </c>
      <c r="C1097" s="6">
        <v>45175.600694444445</v>
      </c>
      <c r="D1097" s="5" t="s">
        <v>43</v>
      </c>
      <c r="E1097" s="5" t="s">
        <v>111</v>
      </c>
      <c r="F1097" s="5" t="s">
        <v>38</v>
      </c>
      <c r="G1097" s="5" t="s">
        <v>17</v>
      </c>
      <c r="H1097" s="5">
        <v>195</v>
      </c>
      <c r="I1097" s="5">
        <v>4</v>
      </c>
      <c r="J1097" s="5" t="s">
        <v>26</v>
      </c>
      <c r="K1097" s="5" t="s">
        <v>49</v>
      </c>
      <c r="L1097" s="5" t="s">
        <v>28</v>
      </c>
      <c r="M1097" s="7" t="s">
        <v>46</v>
      </c>
      <c r="N1097" s="26">
        <f t="shared" si="102"/>
        <v>1</v>
      </c>
      <c r="O1097" s="42">
        <f t="shared" si="103"/>
        <v>45175</v>
      </c>
      <c r="P1097" s="5" t="str">
        <f t="shared" si="104"/>
        <v>Wednesday</v>
      </c>
      <c r="Q1097" s="5">
        <f t="shared" si="105"/>
        <v>14</v>
      </c>
      <c r="R1097" s="28">
        <f t="shared" si="106"/>
        <v>0.97989949748743721</v>
      </c>
      <c r="S1097" s="29">
        <f t="shared" si="107"/>
        <v>97.989949748743726</v>
      </c>
      <c r="T1097" s="5" t="str">
        <f>IF(Delivery_Data[[#This Row],[Delays (min)]]&gt;0,"No","Yes")</f>
        <v>No</v>
      </c>
    </row>
    <row r="1098" spans="1:20" ht="15.75" customHeight="1" x14ac:dyDescent="0.3">
      <c r="A1098" s="4">
        <v>2097</v>
      </c>
      <c r="B1098" s="5" t="s">
        <v>1205</v>
      </c>
      <c r="C1098" s="6">
        <v>45175.436111111114</v>
      </c>
      <c r="D1098" s="5" t="s">
        <v>43</v>
      </c>
      <c r="E1098" s="5" t="s">
        <v>243</v>
      </c>
      <c r="F1098" s="5" t="s">
        <v>16</v>
      </c>
      <c r="G1098" s="5" t="s">
        <v>25</v>
      </c>
      <c r="H1098" s="5">
        <v>168</v>
      </c>
      <c r="I1098" s="5">
        <v>15</v>
      </c>
      <c r="J1098" s="5" t="s">
        <v>26</v>
      </c>
      <c r="K1098" s="5" t="s">
        <v>19</v>
      </c>
      <c r="L1098" s="5" t="s">
        <v>20</v>
      </c>
      <c r="M1098" s="7" t="s">
        <v>46</v>
      </c>
      <c r="N1098" s="26">
        <f t="shared" si="102"/>
        <v>1</v>
      </c>
      <c r="O1098" s="42">
        <f t="shared" si="103"/>
        <v>45175</v>
      </c>
      <c r="P1098" s="5" t="str">
        <f t="shared" si="104"/>
        <v>Wednesday</v>
      </c>
      <c r="Q1098" s="5">
        <f t="shared" si="105"/>
        <v>10</v>
      </c>
      <c r="R1098" s="28">
        <f t="shared" si="106"/>
        <v>0.91803278688524592</v>
      </c>
      <c r="S1098" s="29">
        <f t="shared" si="107"/>
        <v>91.803278688524586</v>
      </c>
      <c r="T1098" s="5" t="str">
        <f>IF(Delivery_Data[[#This Row],[Delays (min)]]&gt;0,"No","Yes")</f>
        <v>No</v>
      </c>
    </row>
    <row r="1099" spans="1:20" ht="15.75" customHeight="1" x14ac:dyDescent="0.3">
      <c r="A1099" s="4">
        <v>2098</v>
      </c>
      <c r="B1099" s="5" t="s">
        <v>1206</v>
      </c>
      <c r="C1099" s="6">
        <v>45173.425000000003</v>
      </c>
      <c r="D1099" s="5" t="s">
        <v>14</v>
      </c>
      <c r="E1099" s="5" t="s">
        <v>220</v>
      </c>
      <c r="F1099" s="5" t="s">
        <v>38</v>
      </c>
      <c r="G1099" s="5" t="s">
        <v>17</v>
      </c>
      <c r="H1099" s="5">
        <v>180</v>
      </c>
      <c r="I1099" s="5">
        <v>26</v>
      </c>
      <c r="J1099" s="5" t="s">
        <v>26</v>
      </c>
      <c r="K1099" s="5" t="s">
        <v>35</v>
      </c>
      <c r="L1099" s="5" t="s">
        <v>20</v>
      </c>
      <c r="M1099" s="7" t="s">
        <v>21</v>
      </c>
      <c r="N1099" s="26">
        <f t="shared" si="102"/>
        <v>1</v>
      </c>
      <c r="O1099" s="42">
        <f t="shared" si="103"/>
        <v>45173</v>
      </c>
      <c r="P1099" s="5" t="str">
        <f t="shared" si="104"/>
        <v>Monday</v>
      </c>
      <c r="Q1099" s="5">
        <f t="shared" si="105"/>
        <v>10</v>
      </c>
      <c r="R1099" s="28">
        <f t="shared" si="106"/>
        <v>0.87378640776699024</v>
      </c>
      <c r="S1099" s="29">
        <f t="shared" si="107"/>
        <v>87.378640776699029</v>
      </c>
      <c r="T1099" s="5" t="str">
        <f>IF(Delivery_Data[[#This Row],[Delays (min)]]&gt;0,"No","Yes")</f>
        <v>No</v>
      </c>
    </row>
    <row r="1100" spans="1:20" ht="15.75" customHeight="1" x14ac:dyDescent="0.3">
      <c r="A1100" s="4">
        <v>2099</v>
      </c>
      <c r="B1100" s="5" t="s">
        <v>1207</v>
      </c>
      <c r="C1100" s="6">
        <v>45172.439583333333</v>
      </c>
      <c r="D1100" s="5" t="s">
        <v>43</v>
      </c>
      <c r="E1100" s="5" t="s">
        <v>87</v>
      </c>
      <c r="F1100" s="5" t="s">
        <v>16</v>
      </c>
      <c r="G1100" s="5" t="s">
        <v>25</v>
      </c>
      <c r="H1100" s="5">
        <v>237</v>
      </c>
      <c r="I1100" s="5">
        <v>16</v>
      </c>
      <c r="J1100" s="5" t="s">
        <v>26</v>
      </c>
      <c r="K1100" s="5" t="s">
        <v>27</v>
      </c>
      <c r="L1100" s="5" t="s">
        <v>28</v>
      </c>
      <c r="M1100" s="7" t="s">
        <v>21</v>
      </c>
      <c r="N1100" s="26">
        <f t="shared" si="102"/>
        <v>1</v>
      </c>
      <c r="O1100" s="42">
        <f t="shared" si="103"/>
        <v>45172</v>
      </c>
      <c r="P1100" s="5" t="str">
        <f t="shared" si="104"/>
        <v>Sunday</v>
      </c>
      <c r="Q1100" s="5">
        <f t="shared" si="105"/>
        <v>10</v>
      </c>
      <c r="R1100" s="28">
        <f t="shared" si="106"/>
        <v>0.93675889328063244</v>
      </c>
      <c r="S1100" s="29">
        <f t="shared" si="107"/>
        <v>93.675889328063249</v>
      </c>
      <c r="T1100" s="5" t="str">
        <f>IF(Delivery_Data[[#This Row],[Delays (min)]]&gt;0,"No","Yes")</f>
        <v>No</v>
      </c>
    </row>
    <row r="1101" spans="1:20" ht="15.75" customHeight="1" x14ac:dyDescent="0.3">
      <c r="A1101" s="4">
        <v>2100</v>
      </c>
      <c r="B1101" s="5" t="s">
        <v>1208</v>
      </c>
      <c r="C1101" s="6">
        <v>45172.458333333336</v>
      </c>
      <c r="D1101" s="5" t="s">
        <v>14</v>
      </c>
      <c r="E1101" s="5" t="s">
        <v>189</v>
      </c>
      <c r="F1101" s="5" t="s">
        <v>16</v>
      </c>
      <c r="G1101" s="5" t="s">
        <v>56</v>
      </c>
      <c r="H1101" s="5">
        <v>79</v>
      </c>
      <c r="I1101" s="5">
        <v>11</v>
      </c>
      <c r="J1101" s="5" t="s">
        <v>18</v>
      </c>
      <c r="K1101" s="5" t="s">
        <v>19</v>
      </c>
      <c r="L1101" s="5" t="s">
        <v>28</v>
      </c>
      <c r="M1101" s="7" t="s">
        <v>46</v>
      </c>
      <c r="N1101" s="26">
        <f t="shared" si="102"/>
        <v>0</v>
      </c>
      <c r="O1101" s="42">
        <f t="shared" si="103"/>
        <v>45172</v>
      </c>
      <c r="P1101" s="5" t="str">
        <f t="shared" si="104"/>
        <v>Sunday</v>
      </c>
      <c r="Q1101" s="5">
        <f t="shared" si="105"/>
        <v>11</v>
      </c>
      <c r="R1101" s="28">
        <f t="shared" si="106"/>
        <v>0.87777777777777777</v>
      </c>
      <c r="S1101" s="29">
        <f t="shared" si="107"/>
        <v>87.777777777777771</v>
      </c>
      <c r="T1101" s="5" t="str">
        <f>IF(Delivery_Data[[#This Row],[Delays (min)]]&gt;0,"No","Yes")</f>
        <v>No</v>
      </c>
    </row>
    <row r="1102" spans="1:20" ht="15.75" customHeight="1" x14ac:dyDescent="0.3">
      <c r="A1102" s="4">
        <v>2101</v>
      </c>
      <c r="B1102" s="5" t="s">
        <v>157</v>
      </c>
      <c r="C1102" s="6">
        <v>45175.338888888888</v>
      </c>
      <c r="D1102" s="5" t="s">
        <v>14</v>
      </c>
      <c r="E1102" s="5" t="s">
        <v>158</v>
      </c>
      <c r="F1102" s="5" t="s">
        <v>16</v>
      </c>
      <c r="G1102" s="5" t="s">
        <v>56</v>
      </c>
      <c r="H1102" s="5">
        <v>90</v>
      </c>
      <c r="I1102" s="5">
        <v>20</v>
      </c>
      <c r="J1102" s="5" t="s">
        <v>32</v>
      </c>
      <c r="K1102" s="5" t="s">
        <v>45</v>
      </c>
      <c r="L1102" s="5" t="s">
        <v>20</v>
      </c>
      <c r="M1102" s="7" t="s">
        <v>46</v>
      </c>
      <c r="N1102" s="26">
        <f t="shared" si="102"/>
        <v>-1</v>
      </c>
      <c r="O1102" s="42">
        <f t="shared" si="103"/>
        <v>45175</v>
      </c>
      <c r="P1102" s="5" t="str">
        <f t="shared" si="104"/>
        <v>Wednesday</v>
      </c>
      <c r="Q1102" s="5">
        <f t="shared" si="105"/>
        <v>8</v>
      </c>
      <c r="R1102" s="28">
        <f t="shared" si="106"/>
        <v>0.81818181818181823</v>
      </c>
      <c r="S1102" s="29">
        <f t="shared" si="107"/>
        <v>81.818181818181827</v>
      </c>
      <c r="T1102" s="5" t="str">
        <f>IF(Delivery_Data[[#This Row],[Delays (min)]]&gt;0,"No","Yes")</f>
        <v>No</v>
      </c>
    </row>
    <row r="1103" spans="1:20" ht="15.75" customHeight="1" x14ac:dyDescent="0.3">
      <c r="A1103" s="4">
        <v>2102</v>
      </c>
      <c r="B1103" s="5" t="s">
        <v>1209</v>
      </c>
      <c r="C1103" s="6">
        <v>45171.60833333333</v>
      </c>
      <c r="D1103" s="5" t="s">
        <v>43</v>
      </c>
      <c r="E1103" s="5" t="s">
        <v>240</v>
      </c>
      <c r="F1103" s="5" t="s">
        <v>38</v>
      </c>
      <c r="G1103" s="5" t="s">
        <v>31</v>
      </c>
      <c r="H1103" s="5">
        <v>203</v>
      </c>
      <c r="I1103" s="5">
        <v>5</v>
      </c>
      <c r="J1103" s="5" t="s">
        <v>32</v>
      </c>
      <c r="K1103" s="5" t="s">
        <v>19</v>
      </c>
      <c r="L1103" s="5" t="s">
        <v>40</v>
      </c>
      <c r="M1103" s="7" t="s">
        <v>46</v>
      </c>
      <c r="N1103" s="26">
        <f t="shared" si="102"/>
        <v>-1</v>
      </c>
      <c r="O1103" s="42">
        <f t="shared" si="103"/>
        <v>45171</v>
      </c>
      <c r="P1103" s="5" t="str">
        <f t="shared" si="104"/>
        <v>Saturday</v>
      </c>
      <c r="Q1103" s="5">
        <f t="shared" si="105"/>
        <v>14</v>
      </c>
      <c r="R1103" s="28">
        <f t="shared" si="106"/>
        <v>0.97596153846153844</v>
      </c>
      <c r="S1103" s="29">
        <f t="shared" si="107"/>
        <v>97.59615384615384</v>
      </c>
      <c r="T1103" s="5" t="str">
        <f>IF(Delivery_Data[[#This Row],[Delays (min)]]&gt;0,"No","Yes")</f>
        <v>No</v>
      </c>
    </row>
    <row r="1104" spans="1:20" ht="15.75" customHeight="1" x14ac:dyDescent="0.3">
      <c r="A1104" s="4">
        <v>2103</v>
      </c>
      <c r="B1104" s="5" t="s">
        <v>1210</v>
      </c>
      <c r="C1104" s="6">
        <v>45170.467361111114</v>
      </c>
      <c r="D1104" s="5" t="s">
        <v>43</v>
      </c>
      <c r="E1104" s="5" t="s">
        <v>374</v>
      </c>
      <c r="F1104" s="5" t="s">
        <v>16</v>
      </c>
      <c r="G1104" s="5" t="s">
        <v>39</v>
      </c>
      <c r="H1104" s="5">
        <v>188</v>
      </c>
      <c r="I1104" s="5">
        <v>1</v>
      </c>
      <c r="J1104" s="5" t="s">
        <v>26</v>
      </c>
      <c r="K1104" s="5" t="s">
        <v>35</v>
      </c>
      <c r="L1104" s="5" t="s">
        <v>40</v>
      </c>
      <c r="M1104" s="7" t="s">
        <v>46</v>
      </c>
      <c r="N1104" s="26">
        <f t="shared" si="102"/>
        <v>1</v>
      </c>
      <c r="O1104" s="42">
        <f t="shared" si="103"/>
        <v>45170</v>
      </c>
      <c r="P1104" s="5" t="str">
        <f t="shared" si="104"/>
        <v>Friday</v>
      </c>
      <c r="Q1104" s="5">
        <f t="shared" si="105"/>
        <v>11</v>
      </c>
      <c r="R1104" s="28">
        <f t="shared" si="106"/>
        <v>0.99470899470899465</v>
      </c>
      <c r="S1104" s="29">
        <f t="shared" si="107"/>
        <v>99.470899470899468</v>
      </c>
      <c r="T1104" s="5" t="str">
        <f>IF(Delivery_Data[[#This Row],[Delays (min)]]&gt;0,"No","Yes")</f>
        <v>No</v>
      </c>
    </row>
    <row r="1105" spans="1:20" ht="15.75" customHeight="1" x14ac:dyDescent="0.3">
      <c r="A1105" s="4">
        <v>2104</v>
      </c>
      <c r="B1105" s="5" t="s">
        <v>1211</v>
      </c>
      <c r="C1105" s="6">
        <v>45173.459027777775</v>
      </c>
      <c r="D1105" s="5" t="s">
        <v>43</v>
      </c>
      <c r="E1105" s="5" t="s">
        <v>200</v>
      </c>
      <c r="F1105" s="5" t="s">
        <v>16</v>
      </c>
      <c r="G1105" s="5" t="s">
        <v>56</v>
      </c>
      <c r="H1105" s="5">
        <v>191</v>
      </c>
      <c r="I1105" s="5">
        <v>23</v>
      </c>
      <c r="J1105" s="5" t="s">
        <v>32</v>
      </c>
      <c r="K1105" s="5" t="s">
        <v>27</v>
      </c>
      <c r="L1105" s="5" t="s">
        <v>40</v>
      </c>
      <c r="M1105" s="7" t="s">
        <v>21</v>
      </c>
      <c r="N1105" s="26">
        <f t="shared" si="102"/>
        <v>-1</v>
      </c>
      <c r="O1105" s="42">
        <f t="shared" si="103"/>
        <v>45173</v>
      </c>
      <c r="P1105" s="5" t="str">
        <f t="shared" si="104"/>
        <v>Monday</v>
      </c>
      <c r="Q1105" s="5">
        <f t="shared" si="105"/>
        <v>11</v>
      </c>
      <c r="R1105" s="28">
        <f t="shared" si="106"/>
        <v>0.89252336448598135</v>
      </c>
      <c r="S1105" s="29">
        <f t="shared" si="107"/>
        <v>89.252336448598129</v>
      </c>
      <c r="T1105" s="5" t="str">
        <f>IF(Delivery_Data[[#This Row],[Delays (min)]]&gt;0,"No","Yes")</f>
        <v>No</v>
      </c>
    </row>
    <row r="1106" spans="1:20" ht="15.75" customHeight="1" x14ac:dyDescent="0.3">
      <c r="A1106" s="4">
        <v>2105</v>
      </c>
      <c r="B1106" s="5" t="s">
        <v>1212</v>
      </c>
      <c r="C1106" s="6">
        <v>45176.469444444447</v>
      </c>
      <c r="D1106" s="5" t="s">
        <v>14</v>
      </c>
      <c r="E1106" s="5" t="s">
        <v>267</v>
      </c>
      <c r="F1106" s="5" t="s">
        <v>38</v>
      </c>
      <c r="G1106" s="5" t="s">
        <v>25</v>
      </c>
      <c r="H1106" s="5">
        <v>162</v>
      </c>
      <c r="I1106" s="5">
        <v>9</v>
      </c>
      <c r="J1106" s="5" t="s">
        <v>32</v>
      </c>
      <c r="K1106" s="5" t="s">
        <v>35</v>
      </c>
      <c r="L1106" s="5" t="s">
        <v>20</v>
      </c>
      <c r="M1106" s="7" t="s">
        <v>46</v>
      </c>
      <c r="N1106" s="26">
        <f t="shared" si="102"/>
        <v>-1</v>
      </c>
      <c r="O1106" s="42">
        <f t="shared" si="103"/>
        <v>45176</v>
      </c>
      <c r="P1106" s="5" t="str">
        <f t="shared" si="104"/>
        <v>Thursday</v>
      </c>
      <c r="Q1106" s="5">
        <f t="shared" si="105"/>
        <v>11</v>
      </c>
      <c r="R1106" s="28">
        <f t="shared" si="106"/>
        <v>0.94736842105263153</v>
      </c>
      <c r="S1106" s="29">
        <f t="shared" si="107"/>
        <v>94.73684210526315</v>
      </c>
      <c r="T1106" s="5" t="str">
        <f>IF(Delivery_Data[[#This Row],[Delays (min)]]&gt;0,"No","Yes")</f>
        <v>No</v>
      </c>
    </row>
    <row r="1107" spans="1:20" ht="15.75" customHeight="1" x14ac:dyDescent="0.3">
      <c r="A1107" s="4">
        <v>2106</v>
      </c>
      <c r="B1107" s="5" t="s">
        <v>1213</v>
      </c>
      <c r="C1107" s="6">
        <v>45171.644444444442</v>
      </c>
      <c r="D1107" s="5" t="s">
        <v>43</v>
      </c>
      <c r="E1107" s="5" t="s">
        <v>80</v>
      </c>
      <c r="F1107" s="5" t="s">
        <v>38</v>
      </c>
      <c r="G1107" s="5" t="s">
        <v>56</v>
      </c>
      <c r="H1107" s="5">
        <v>151</v>
      </c>
      <c r="I1107" s="5">
        <v>3</v>
      </c>
      <c r="J1107" s="5" t="s">
        <v>18</v>
      </c>
      <c r="K1107" s="5" t="s">
        <v>45</v>
      </c>
      <c r="L1107" s="5" t="s">
        <v>20</v>
      </c>
      <c r="M1107" s="7" t="s">
        <v>41</v>
      </c>
      <c r="N1107" s="26">
        <f t="shared" si="102"/>
        <v>0</v>
      </c>
      <c r="O1107" s="42">
        <f t="shared" si="103"/>
        <v>45171</v>
      </c>
      <c r="P1107" s="5" t="str">
        <f t="shared" si="104"/>
        <v>Saturday</v>
      </c>
      <c r="Q1107" s="5">
        <f t="shared" si="105"/>
        <v>15</v>
      </c>
      <c r="R1107" s="28">
        <f t="shared" si="106"/>
        <v>0.98051948051948057</v>
      </c>
      <c r="S1107" s="29">
        <f t="shared" si="107"/>
        <v>98.05194805194806</v>
      </c>
      <c r="T1107" s="5" t="str">
        <f>IF(Delivery_Data[[#This Row],[Delays (min)]]&gt;0,"No","Yes")</f>
        <v>No</v>
      </c>
    </row>
    <row r="1108" spans="1:20" ht="15.75" customHeight="1" x14ac:dyDescent="0.3">
      <c r="A1108" s="4">
        <v>2107</v>
      </c>
      <c r="B1108" s="5" t="s">
        <v>1214</v>
      </c>
      <c r="C1108" s="6">
        <v>45176.404166666667</v>
      </c>
      <c r="D1108" s="5" t="s">
        <v>43</v>
      </c>
      <c r="E1108" s="5" t="s">
        <v>288</v>
      </c>
      <c r="F1108" s="5" t="s">
        <v>24</v>
      </c>
      <c r="G1108" s="5" t="s">
        <v>17</v>
      </c>
      <c r="H1108" s="5">
        <v>98</v>
      </c>
      <c r="I1108" s="5">
        <v>26</v>
      </c>
      <c r="J1108" s="5" t="s">
        <v>32</v>
      </c>
      <c r="K1108" s="5" t="s">
        <v>19</v>
      </c>
      <c r="L1108" s="5" t="s">
        <v>40</v>
      </c>
      <c r="M1108" s="7" t="s">
        <v>46</v>
      </c>
      <c r="N1108" s="26">
        <f t="shared" si="102"/>
        <v>-1</v>
      </c>
      <c r="O1108" s="42">
        <f t="shared" si="103"/>
        <v>45176</v>
      </c>
      <c r="P1108" s="5" t="str">
        <f t="shared" si="104"/>
        <v>Thursday</v>
      </c>
      <c r="Q1108" s="5">
        <f t="shared" si="105"/>
        <v>9</v>
      </c>
      <c r="R1108" s="28">
        <f t="shared" si="106"/>
        <v>0.79032258064516125</v>
      </c>
      <c r="S1108" s="29">
        <f t="shared" si="107"/>
        <v>79.032258064516128</v>
      </c>
      <c r="T1108" s="5" t="str">
        <f>IF(Delivery_Data[[#This Row],[Delays (min)]]&gt;0,"No","Yes")</f>
        <v>No</v>
      </c>
    </row>
    <row r="1109" spans="1:20" ht="15.75" customHeight="1" x14ac:dyDescent="0.3">
      <c r="A1109" s="4">
        <v>2108</v>
      </c>
      <c r="B1109" s="5" t="s">
        <v>1215</v>
      </c>
      <c r="C1109" s="6">
        <v>45170.640972222223</v>
      </c>
      <c r="D1109" s="5" t="s">
        <v>43</v>
      </c>
      <c r="E1109" s="5" t="s">
        <v>204</v>
      </c>
      <c r="F1109" s="5" t="s">
        <v>24</v>
      </c>
      <c r="G1109" s="5" t="s">
        <v>39</v>
      </c>
      <c r="H1109" s="5">
        <v>65</v>
      </c>
      <c r="I1109" s="5">
        <v>11</v>
      </c>
      <c r="J1109" s="5" t="s">
        <v>32</v>
      </c>
      <c r="K1109" s="5" t="s">
        <v>49</v>
      </c>
      <c r="L1109" s="5" t="s">
        <v>20</v>
      </c>
      <c r="M1109" s="7" t="s">
        <v>46</v>
      </c>
      <c r="N1109" s="26">
        <f t="shared" si="102"/>
        <v>-1</v>
      </c>
      <c r="O1109" s="42">
        <f t="shared" si="103"/>
        <v>45170</v>
      </c>
      <c r="P1109" s="5" t="str">
        <f t="shared" si="104"/>
        <v>Friday</v>
      </c>
      <c r="Q1109" s="5">
        <f t="shared" si="105"/>
        <v>15</v>
      </c>
      <c r="R1109" s="28">
        <f t="shared" si="106"/>
        <v>0.85526315789473684</v>
      </c>
      <c r="S1109" s="29">
        <f t="shared" si="107"/>
        <v>85.526315789473685</v>
      </c>
      <c r="T1109" s="5" t="str">
        <f>IF(Delivery_Data[[#This Row],[Delays (min)]]&gt;0,"No","Yes")</f>
        <v>No</v>
      </c>
    </row>
    <row r="1110" spans="1:20" ht="15.75" customHeight="1" x14ac:dyDescent="0.3">
      <c r="A1110" s="4">
        <v>2109</v>
      </c>
      <c r="B1110" s="5" t="s">
        <v>1216</v>
      </c>
      <c r="C1110" s="6">
        <v>45176.662499999999</v>
      </c>
      <c r="D1110" s="5" t="s">
        <v>14</v>
      </c>
      <c r="E1110" s="5" t="s">
        <v>158</v>
      </c>
      <c r="F1110" s="5" t="s">
        <v>38</v>
      </c>
      <c r="G1110" s="5" t="s">
        <v>17</v>
      </c>
      <c r="H1110" s="5">
        <v>177</v>
      </c>
      <c r="I1110" s="5">
        <v>12</v>
      </c>
      <c r="J1110" s="5" t="s">
        <v>32</v>
      </c>
      <c r="K1110" s="5" t="s">
        <v>27</v>
      </c>
      <c r="L1110" s="5" t="s">
        <v>40</v>
      </c>
      <c r="M1110" s="7" t="s">
        <v>46</v>
      </c>
      <c r="N1110" s="26">
        <f t="shared" si="102"/>
        <v>-1</v>
      </c>
      <c r="O1110" s="42">
        <f t="shared" si="103"/>
        <v>45176</v>
      </c>
      <c r="P1110" s="5" t="str">
        <f t="shared" si="104"/>
        <v>Thursday</v>
      </c>
      <c r="Q1110" s="5">
        <f t="shared" si="105"/>
        <v>15</v>
      </c>
      <c r="R1110" s="28">
        <f t="shared" si="106"/>
        <v>0.93650793650793651</v>
      </c>
      <c r="S1110" s="29">
        <f t="shared" si="107"/>
        <v>93.650793650793645</v>
      </c>
      <c r="T1110" s="5" t="str">
        <f>IF(Delivery_Data[[#This Row],[Delays (min)]]&gt;0,"No","Yes")</f>
        <v>No</v>
      </c>
    </row>
    <row r="1111" spans="1:20" ht="15.75" customHeight="1" x14ac:dyDescent="0.3">
      <c r="A1111" s="4">
        <v>2110</v>
      </c>
      <c r="B1111" s="5" t="s">
        <v>1217</v>
      </c>
      <c r="C1111" s="6">
        <v>45177.450694444444</v>
      </c>
      <c r="D1111" s="5" t="s">
        <v>14</v>
      </c>
      <c r="E1111" s="5" t="s">
        <v>403</v>
      </c>
      <c r="F1111" s="5" t="s">
        <v>24</v>
      </c>
      <c r="G1111" s="5" t="s">
        <v>31</v>
      </c>
      <c r="H1111" s="5">
        <v>238</v>
      </c>
      <c r="I1111" s="5">
        <v>16</v>
      </c>
      <c r="J1111" s="5" t="s">
        <v>32</v>
      </c>
      <c r="K1111" s="5" t="s">
        <v>45</v>
      </c>
      <c r="L1111" s="5" t="s">
        <v>40</v>
      </c>
      <c r="M1111" s="7" t="s">
        <v>46</v>
      </c>
      <c r="N1111" s="26">
        <f t="shared" si="102"/>
        <v>-1</v>
      </c>
      <c r="O1111" s="42">
        <f t="shared" si="103"/>
        <v>45177</v>
      </c>
      <c r="P1111" s="5" t="str">
        <f t="shared" si="104"/>
        <v>Friday</v>
      </c>
      <c r="Q1111" s="5">
        <f t="shared" si="105"/>
        <v>10</v>
      </c>
      <c r="R1111" s="28">
        <f t="shared" si="106"/>
        <v>0.93700787401574803</v>
      </c>
      <c r="S1111" s="29">
        <f t="shared" si="107"/>
        <v>93.7007874015748</v>
      </c>
      <c r="T1111" s="5" t="str">
        <f>IF(Delivery_Data[[#This Row],[Delays (min)]]&gt;0,"No","Yes")</f>
        <v>No</v>
      </c>
    </row>
    <row r="1112" spans="1:20" ht="15.75" customHeight="1" x14ac:dyDescent="0.3">
      <c r="A1112" s="4">
        <v>2111</v>
      </c>
      <c r="B1112" s="5" t="s">
        <v>1218</v>
      </c>
      <c r="C1112" s="6">
        <v>45175.574999999997</v>
      </c>
      <c r="D1112" s="5" t="s">
        <v>14</v>
      </c>
      <c r="E1112" s="5" t="s">
        <v>245</v>
      </c>
      <c r="F1112" s="5" t="s">
        <v>16</v>
      </c>
      <c r="G1112" s="5" t="s">
        <v>31</v>
      </c>
      <c r="H1112" s="5">
        <v>75</v>
      </c>
      <c r="I1112" s="5">
        <v>3</v>
      </c>
      <c r="J1112" s="5" t="s">
        <v>18</v>
      </c>
      <c r="K1112" s="5" t="s">
        <v>49</v>
      </c>
      <c r="L1112" s="5" t="s">
        <v>40</v>
      </c>
      <c r="M1112" s="7" t="s">
        <v>46</v>
      </c>
      <c r="N1112" s="26">
        <f t="shared" si="102"/>
        <v>0</v>
      </c>
      <c r="O1112" s="42">
        <f t="shared" si="103"/>
        <v>45175</v>
      </c>
      <c r="P1112" s="5" t="str">
        <f t="shared" si="104"/>
        <v>Wednesday</v>
      </c>
      <c r="Q1112" s="5">
        <f t="shared" si="105"/>
        <v>13</v>
      </c>
      <c r="R1112" s="28">
        <f t="shared" si="106"/>
        <v>0.96153846153846156</v>
      </c>
      <c r="S1112" s="29">
        <f t="shared" si="107"/>
        <v>96.15384615384616</v>
      </c>
      <c r="T1112" s="5" t="str">
        <f>IF(Delivery_Data[[#This Row],[Delays (min)]]&gt;0,"No","Yes")</f>
        <v>No</v>
      </c>
    </row>
    <row r="1113" spans="1:20" ht="15.75" customHeight="1" x14ac:dyDescent="0.3">
      <c r="A1113" s="4">
        <v>2112</v>
      </c>
      <c r="B1113" s="5" t="s">
        <v>1219</v>
      </c>
      <c r="C1113" s="6">
        <v>45170.497916666667</v>
      </c>
      <c r="D1113" s="5" t="s">
        <v>43</v>
      </c>
      <c r="E1113" s="5" t="s">
        <v>197</v>
      </c>
      <c r="F1113" s="5" t="s">
        <v>16</v>
      </c>
      <c r="G1113" s="5" t="s">
        <v>25</v>
      </c>
      <c r="H1113" s="5">
        <v>64</v>
      </c>
      <c r="I1113" s="5">
        <v>10</v>
      </c>
      <c r="J1113" s="5" t="s">
        <v>18</v>
      </c>
      <c r="K1113" s="5" t="s">
        <v>49</v>
      </c>
      <c r="L1113" s="5" t="s">
        <v>28</v>
      </c>
      <c r="M1113" s="7" t="s">
        <v>21</v>
      </c>
      <c r="N1113" s="26">
        <f t="shared" si="102"/>
        <v>0</v>
      </c>
      <c r="O1113" s="42">
        <f t="shared" si="103"/>
        <v>45170</v>
      </c>
      <c r="P1113" s="5" t="str">
        <f t="shared" si="104"/>
        <v>Friday</v>
      </c>
      <c r="Q1113" s="5">
        <f t="shared" si="105"/>
        <v>11</v>
      </c>
      <c r="R1113" s="28">
        <f t="shared" si="106"/>
        <v>0.86486486486486491</v>
      </c>
      <c r="S1113" s="29">
        <f t="shared" si="107"/>
        <v>86.486486486486484</v>
      </c>
      <c r="T1113" s="5" t="str">
        <f>IF(Delivery_Data[[#This Row],[Delays (min)]]&gt;0,"No","Yes")</f>
        <v>No</v>
      </c>
    </row>
    <row r="1114" spans="1:20" ht="15.75" customHeight="1" x14ac:dyDescent="0.3">
      <c r="A1114" s="4">
        <v>2113</v>
      </c>
      <c r="B1114" s="5" t="s">
        <v>1220</v>
      </c>
      <c r="C1114" s="6">
        <v>45175.428472222222</v>
      </c>
      <c r="D1114" s="5" t="s">
        <v>43</v>
      </c>
      <c r="E1114" s="5" t="s">
        <v>109</v>
      </c>
      <c r="F1114" s="5" t="s">
        <v>16</v>
      </c>
      <c r="G1114" s="5" t="s">
        <v>56</v>
      </c>
      <c r="H1114" s="5">
        <v>110</v>
      </c>
      <c r="I1114" s="5">
        <v>14</v>
      </c>
      <c r="J1114" s="5" t="s">
        <v>26</v>
      </c>
      <c r="K1114" s="5" t="s">
        <v>49</v>
      </c>
      <c r="L1114" s="5" t="s">
        <v>20</v>
      </c>
      <c r="M1114" s="7" t="s">
        <v>46</v>
      </c>
      <c r="N1114" s="26">
        <f t="shared" si="102"/>
        <v>1</v>
      </c>
      <c r="O1114" s="42">
        <f t="shared" si="103"/>
        <v>45175</v>
      </c>
      <c r="P1114" s="5" t="str">
        <f t="shared" si="104"/>
        <v>Wednesday</v>
      </c>
      <c r="Q1114" s="5">
        <f t="shared" si="105"/>
        <v>10</v>
      </c>
      <c r="R1114" s="28">
        <f t="shared" si="106"/>
        <v>0.88709677419354838</v>
      </c>
      <c r="S1114" s="29">
        <f t="shared" si="107"/>
        <v>88.709677419354833</v>
      </c>
      <c r="T1114" s="5" t="str">
        <f>IF(Delivery_Data[[#This Row],[Delays (min)]]&gt;0,"No","Yes")</f>
        <v>No</v>
      </c>
    </row>
    <row r="1115" spans="1:20" ht="15.75" customHeight="1" x14ac:dyDescent="0.3">
      <c r="A1115" s="4">
        <v>2114</v>
      </c>
      <c r="B1115" s="5" t="s">
        <v>1221</v>
      </c>
      <c r="C1115" s="6">
        <v>45171.460416666669</v>
      </c>
      <c r="D1115" s="5" t="s">
        <v>14</v>
      </c>
      <c r="E1115" s="5" t="s">
        <v>285</v>
      </c>
      <c r="F1115" s="5" t="s">
        <v>24</v>
      </c>
      <c r="G1115" s="5" t="s">
        <v>17</v>
      </c>
      <c r="H1115" s="5">
        <v>149</v>
      </c>
      <c r="I1115" s="5">
        <v>6</v>
      </c>
      <c r="J1115" s="5" t="s">
        <v>26</v>
      </c>
      <c r="K1115" s="5" t="s">
        <v>19</v>
      </c>
      <c r="L1115" s="5" t="s">
        <v>20</v>
      </c>
      <c r="M1115" s="7" t="s">
        <v>41</v>
      </c>
      <c r="N1115" s="26">
        <f t="shared" si="102"/>
        <v>1</v>
      </c>
      <c r="O1115" s="42">
        <f t="shared" si="103"/>
        <v>45171</v>
      </c>
      <c r="P1115" s="5" t="str">
        <f t="shared" si="104"/>
        <v>Saturday</v>
      </c>
      <c r="Q1115" s="5">
        <f t="shared" si="105"/>
        <v>11</v>
      </c>
      <c r="R1115" s="28">
        <f t="shared" si="106"/>
        <v>0.96129032258064517</v>
      </c>
      <c r="S1115" s="29">
        <f t="shared" si="107"/>
        <v>96.129032258064512</v>
      </c>
      <c r="T1115" s="5" t="str">
        <f>IF(Delivery_Data[[#This Row],[Delays (min)]]&gt;0,"No","Yes")</f>
        <v>No</v>
      </c>
    </row>
    <row r="1116" spans="1:20" ht="15.75" customHeight="1" x14ac:dyDescent="0.3">
      <c r="A1116" s="4">
        <v>2115</v>
      </c>
      <c r="B1116" s="5" t="s">
        <v>1222</v>
      </c>
      <c r="C1116" s="6">
        <v>45173.456944444442</v>
      </c>
      <c r="D1116" s="5" t="s">
        <v>14</v>
      </c>
      <c r="E1116" s="5" t="s">
        <v>160</v>
      </c>
      <c r="F1116" s="5" t="s">
        <v>16</v>
      </c>
      <c r="G1116" s="5" t="s">
        <v>31</v>
      </c>
      <c r="H1116" s="5">
        <v>62</v>
      </c>
      <c r="I1116" s="5">
        <v>27</v>
      </c>
      <c r="J1116" s="5" t="s">
        <v>26</v>
      </c>
      <c r="K1116" s="5" t="s">
        <v>35</v>
      </c>
      <c r="L1116" s="5" t="s">
        <v>20</v>
      </c>
      <c r="M1116" s="7" t="s">
        <v>46</v>
      </c>
      <c r="N1116" s="26">
        <f t="shared" si="102"/>
        <v>1</v>
      </c>
      <c r="O1116" s="42">
        <f t="shared" si="103"/>
        <v>45173</v>
      </c>
      <c r="P1116" s="5" t="str">
        <f t="shared" si="104"/>
        <v>Monday</v>
      </c>
      <c r="Q1116" s="5">
        <f t="shared" si="105"/>
        <v>10</v>
      </c>
      <c r="R1116" s="28">
        <f t="shared" si="106"/>
        <v>0.6966292134831461</v>
      </c>
      <c r="S1116" s="29">
        <f t="shared" si="107"/>
        <v>69.662921348314612</v>
      </c>
      <c r="T1116" s="5" t="str">
        <f>IF(Delivery_Data[[#This Row],[Delays (min)]]&gt;0,"No","Yes")</f>
        <v>No</v>
      </c>
    </row>
    <row r="1117" spans="1:20" ht="15.75" customHeight="1" x14ac:dyDescent="0.3">
      <c r="A1117" s="4">
        <v>2116</v>
      </c>
      <c r="B1117" s="5" t="s">
        <v>1223</v>
      </c>
      <c r="C1117" s="6">
        <v>45174.700694444444</v>
      </c>
      <c r="D1117" s="5" t="s">
        <v>14</v>
      </c>
      <c r="E1117" s="5" t="s">
        <v>231</v>
      </c>
      <c r="F1117" s="5" t="s">
        <v>38</v>
      </c>
      <c r="G1117" s="5" t="s">
        <v>31</v>
      </c>
      <c r="H1117" s="5">
        <v>184</v>
      </c>
      <c r="I1117" s="5">
        <v>13</v>
      </c>
      <c r="J1117" s="5" t="s">
        <v>26</v>
      </c>
      <c r="K1117" s="5" t="s">
        <v>49</v>
      </c>
      <c r="L1117" s="5" t="s">
        <v>40</v>
      </c>
      <c r="M1117" s="7" t="s">
        <v>46</v>
      </c>
      <c r="N1117" s="26">
        <f t="shared" si="102"/>
        <v>1</v>
      </c>
      <c r="O1117" s="42">
        <f t="shared" si="103"/>
        <v>45174</v>
      </c>
      <c r="P1117" s="5" t="str">
        <f t="shared" si="104"/>
        <v>Tuesday</v>
      </c>
      <c r="Q1117" s="5">
        <f t="shared" si="105"/>
        <v>16</v>
      </c>
      <c r="R1117" s="28">
        <f t="shared" si="106"/>
        <v>0.93401015228426398</v>
      </c>
      <c r="S1117" s="29">
        <f t="shared" si="107"/>
        <v>93.401015228426402</v>
      </c>
      <c r="T1117" s="5" t="str">
        <f>IF(Delivery_Data[[#This Row],[Delays (min)]]&gt;0,"No","Yes")</f>
        <v>No</v>
      </c>
    </row>
    <row r="1118" spans="1:20" ht="15.75" customHeight="1" x14ac:dyDescent="0.3">
      <c r="A1118" s="4">
        <v>2117</v>
      </c>
      <c r="B1118" s="5" t="s">
        <v>992</v>
      </c>
      <c r="C1118" s="6">
        <v>45173.631944444445</v>
      </c>
      <c r="D1118" s="5" t="s">
        <v>14</v>
      </c>
      <c r="E1118" s="5" t="s">
        <v>277</v>
      </c>
      <c r="F1118" s="5" t="s">
        <v>16</v>
      </c>
      <c r="G1118" s="5" t="s">
        <v>25</v>
      </c>
      <c r="H1118" s="5">
        <v>184</v>
      </c>
      <c r="I1118" s="5">
        <v>18</v>
      </c>
      <c r="J1118" s="5" t="s">
        <v>18</v>
      </c>
      <c r="K1118" s="5" t="s">
        <v>27</v>
      </c>
      <c r="L1118" s="5" t="s">
        <v>40</v>
      </c>
      <c r="M1118" s="7" t="s">
        <v>21</v>
      </c>
      <c r="N1118" s="26">
        <f t="shared" si="102"/>
        <v>0</v>
      </c>
      <c r="O1118" s="42">
        <f t="shared" si="103"/>
        <v>45173</v>
      </c>
      <c r="P1118" s="5" t="str">
        <f t="shared" si="104"/>
        <v>Monday</v>
      </c>
      <c r="Q1118" s="5">
        <f t="shared" si="105"/>
        <v>15</v>
      </c>
      <c r="R1118" s="28">
        <f t="shared" si="106"/>
        <v>0.91089108910891092</v>
      </c>
      <c r="S1118" s="29">
        <f t="shared" si="107"/>
        <v>91.089108910891099</v>
      </c>
      <c r="T1118" s="5" t="str">
        <f>IF(Delivery_Data[[#This Row],[Delays (min)]]&gt;0,"No","Yes")</f>
        <v>No</v>
      </c>
    </row>
    <row r="1119" spans="1:20" ht="15.75" customHeight="1" x14ac:dyDescent="0.3">
      <c r="A1119" s="4">
        <v>2118</v>
      </c>
      <c r="B1119" s="5" t="s">
        <v>1224</v>
      </c>
      <c r="C1119" s="6">
        <v>45174.342361111114</v>
      </c>
      <c r="D1119" s="5" t="s">
        <v>14</v>
      </c>
      <c r="E1119" s="5" t="s">
        <v>97</v>
      </c>
      <c r="F1119" s="5" t="s">
        <v>38</v>
      </c>
      <c r="G1119" s="5" t="s">
        <v>56</v>
      </c>
      <c r="H1119" s="5">
        <v>134</v>
      </c>
      <c r="I1119" s="5">
        <v>14</v>
      </c>
      <c r="J1119" s="5" t="s">
        <v>18</v>
      </c>
      <c r="K1119" s="5" t="s">
        <v>35</v>
      </c>
      <c r="L1119" s="5" t="s">
        <v>40</v>
      </c>
      <c r="M1119" s="7" t="s">
        <v>41</v>
      </c>
      <c r="N1119" s="26">
        <f t="shared" si="102"/>
        <v>0</v>
      </c>
      <c r="O1119" s="42">
        <f t="shared" si="103"/>
        <v>45174</v>
      </c>
      <c r="P1119" s="5" t="str">
        <f t="shared" si="104"/>
        <v>Tuesday</v>
      </c>
      <c r="Q1119" s="5">
        <f t="shared" si="105"/>
        <v>8</v>
      </c>
      <c r="R1119" s="28">
        <f t="shared" si="106"/>
        <v>0.90540540540540537</v>
      </c>
      <c r="S1119" s="29">
        <f t="shared" si="107"/>
        <v>90.540540540540533</v>
      </c>
      <c r="T1119" s="5" t="str">
        <f>IF(Delivery_Data[[#This Row],[Delays (min)]]&gt;0,"No","Yes")</f>
        <v>No</v>
      </c>
    </row>
    <row r="1120" spans="1:20" ht="15.75" customHeight="1" x14ac:dyDescent="0.3">
      <c r="A1120" s="4">
        <v>2119</v>
      </c>
      <c r="B1120" s="5" t="s">
        <v>1225</v>
      </c>
      <c r="C1120" s="6">
        <v>45172.418055555558</v>
      </c>
      <c r="D1120" s="5" t="s">
        <v>43</v>
      </c>
      <c r="E1120" s="5" t="s">
        <v>93</v>
      </c>
      <c r="F1120" s="5" t="s">
        <v>24</v>
      </c>
      <c r="G1120" s="5" t="s">
        <v>39</v>
      </c>
      <c r="H1120" s="5">
        <v>235</v>
      </c>
      <c r="I1120" s="5">
        <v>22</v>
      </c>
      <c r="J1120" s="5" t="s">
        <v>26</v>
      </c>
      <c r="K1120" s="5" t="s">
        <v>45</v>
      </c>
      <c r="L1120" s="5" t="s">
        <v>28</v>
      </c>
      <c r="M1120" s="7" t="s">
        <v>21</v>
      </c>
      <c r="N1120" s="26">
        <f t="shared" si="102"/>
        <v>1</v>
      </c>
      <c r="O1120" s="42">
        <f t="shared" si="103"/>
        <v>45172</v>
      </c>
      <c r="P1120" s="5" t="str">
        <f t="shared" si="104"/>
        <v>Sunday</v>
      </c>
      <c r="Q1120" s="5">
        <f t="shared" si="105"/>
        <v>10</v>
      </c>
      <c r="R1120" s="28">
        <f t="shared" si="106"/>
        <v>0.91439688715953304</v>
      </c>
      <c r="S1120" s="29">
        <f t="shared" si="107"/>
        <v>91.439688715953309</v>
      </c>
      <c r="T1120" s="5" t="str">
        <f>IF(Delivery_Data[[#This Row],[Delays (min)]]&gt;0,"No","Yes")</f>
        <v>No</v>
      </c>
    </row>
    <row r="1121" spans="1:20" ht="15.75" customHeight="1" x14ac:dyDescent="0.3">
      <c r="A1121" s="4">
        <v>2120</v>
      </c>
      <c r="B1121" s="5" t="s">
        <v>1226</v>
      </c>
      <c r="C1121" s="6">
        <v>45177.679166666669</v>
      </c>
      <c r="D1121" s="5" t="s">
        <v>14</v>
      </c>
      <c r="E1121" s="5" t="s">
        <v>156</v>
      </c>
      <c r="F1121" s="5" t="s">
        <v>16</v>
      </c>
      <c r="G1121" s="5" t="s">
        <v>56</v>
      </c>
      <c r="H1121" s="5">
        <v>167</v>
      </c>
      <c r="I1121" s="5">
        <v>4</v>
      </c>
      <c r="J1121" s="5" t="s">
        <v>32</v>
      </c>
      <c r="K1121" s="5" t="s">
        <v>27</v>
      </c>
      <c r="L1121" s="5" t="s">
        <v>20</v>
      </c>
      <c r="M1121" s="7" t="s">
        <v>41</v>
      </c>
      <c r="N1121" s="26">
        <f t="shared" si="102"/>
        <v>-1</v>
      </c>
      <c r="O1121" s="42">
        <f t="shared" si="103"/>
        <v>45177</v>
      </c>
      <c r="P1121" s="5" t="str">
        <f t="shared" si="104"/>
        <v>Friday</v>
      </c>
      <c r="Q1121" s="5">
        <f t="shared" si="105"/>
        <v>16</v>
      </c>
      <c r="R1121" s="28">
        <f t="shared" si="106"/>
        <v>0.97660818713450293</v>
      </c>
      <c r="S1121" s="29">
        <f t="shared" si="107"/>
        <v>97.660818713450297</v>
      </c>
      <c r="T1121" s="5" t="str">
        <f>IF(Delivery_Data[[#This Row],[Delays (min)]]&gt;0,"No","Yes")</f>
        <v>No</v>
      </c>
    </row>
    <row r="1122" spans="1:20" ht="15.75" customHeight="1" x14ac:dyDescent="0.3">
      <c r="A1122" s="4">
        <v>2121</v>
      </c>
      <c r="B1122" s="5" t="s">
        <v>1227</v>
      </c>
      <c r="C1122" s="6">
        <v>45170.410416666666</v>
      </c>
      <c r="D1122" s="5" t="s">
        <v>14</v>
      </c>
      <c r="E1122" s="5" t="s">
        <v>101</v>
      </c>
      <c r="F1122" s="5" t="s">
        <v>24</v>
      </c>
      <c r="G1122" s="5" t="s">
        <v>31</v>
      </c>
      <c r="H1122" s="5">
        <v>161</v>
      </c>
      <c r="I1122" s="5">
        <v>21</v>
      </c>
      <c r="J1122" s="5" t="s">
        <v>18</v>
      </c>
      <c r="K1122" s="5" t="s">
        <v>35</v>
      </c>
      <c r="L1122" s="5" t="s">
        <v>20</v>
      </c>
      <c r="M1122" s="7" t="s">
        <v>21</v>
      </c>
      <c r="N1122" s="26">
        <f t="shared" si="102"/>
        <v>0</v>
      </c>
      <c r="O1122" s="42">
        <f t="shared" si="103"/>
        <v>45170</v>
      </c>
      <c r="P1122" s="5" t="str">
        <f t="shared" si="104"/>
        <v>Friday</v>
      </c>
      <c r="Q1122" s="5">
        <f t="shared" si="105"/>
        <v>9</v>
      </c>
      <c r="R1122" s="28">
        <f t="shared" si="106"/>
        <v>0.88461538461538458</v>
      </c>
      <c r="S1122" s="29">
        <f t="shared" si="107"/>
        <v>88.461538461538453</v>
      </c>
      <c r="T1122" s="5" t="str">
        <f>IF(Delivery_Data[[#This Row],[Delays (min)]]&gt;0,"No","Yes")</f>
        <v>No</v>
      </c>
    </row>
    <row r="1123" spans="1:20" ht="15.75" customHeight="1" x14ac:dyDescent="0.3">
      <c r="A1123" s="4">
        <v>2122</v>
      </c>
      <c r="B1123" s="5" t="s">
        <v>1228</v>
      </c>
      <c r="C1123" s="6">
        <v>45172.395138888889</v>
      </c>
      <c r="D1123" s="5" t="s">
        <v>43</v>
      </c>
      <c r="E1123" s="5" t="s">
        <v>441</v>
      </c>
      <c r="F1123" s="5" t="s">
        <v>16</v>
      </c>
      <c r="G1123" s="5" t="s">
        <v>39</v>
      </c>
      <c r="H1123" s="5">
        <v>74</v>
      </c>
      <c r="I1123" s="5">
        <v>19</v>
      </c>
      <c r="J1123" s="5" t="s">
        <v>32</v>
      </c>
      <c r="K1123" s="5" t="s">
        <v>49</v>
      </c>
      <c r="L1123" s="5" t="s">
        <v>20</v>
      </c>
      <c r="M1123" s="7" t="s">
        <v>46</v>
      </c>
      <c r="N1123" s="26">
        <f t="shared" si="102"/>
        <v>-1</v>
      </c>
      <c r="O1123" s="42">
        <f t="shared" si="103"/>
        <v>45172</v>
      </c>
      <c r="P1123" s="5" t="str">
        <f t="shared" si="104"/>
        <v>Sunday</v>
      </c>
      <c r="Q1123" s="5">
        <f t="shared" si="105"/>
        <v>9</v>
      </c>
      <c r="R1123" s="28">
        <f t="shared" si="106"/>
        <v>0.79569892473118276</v>
      </c>
      <c r="S1123" s="29">
        <f t="shared" si="107"/>
        <v>79.569892473118273</v>
      </c>
      <c r="T1123" s="5" t="str">
        <f>IF(Delivery_Data[[#This Row],[Delays (min)]]&gt;0,"No","Yes")</f>
        <v>No</v>
      </c>
    </row>
    <row r="1124" spans="1:20" ht="15.75" customHeight="1" x14ac:dyDescent="0.3">
      <c r="A1124" s="4">
        <v>2123</v>
      </c>
      <c r="B1124" s="5" t="s">
        <v>1229</v>
      </c>
      <c r="C1124" s="6">
        <v>45172.445833333331</v>
      </c>
      <c r="D1124" s="5" t="s">
        <v>14</v>
      </c>
      <c r="E1124" s="5" t="s">
        <v>132</v>
      </c>
      <c r="F1124" s="5" t="s">
        <v>16</v>
      </c>
      <c r="G1124" s="5" t="s">
        <v>56</v>
      </c>
      <c r="H1124" s="5">
        <v>117</v>
      </c>
      <c r="I1124" s="5">
        <v>6</v>
      </c>
      <c r="J1124" s="5" t="s">
        <v>32</v>
      </c>
      <c r="K1124" s="5" t="s">
        <v>49</v>
      </c>
      <c r="L1124" s="5" t="s">
        <v>20</v>
      </c>
      <c r="M1124" s="7" t="s">
        <v>41</v>
      </c>
      <c r="N1124" s="26">
        <f t="shared" si="102"/>
        <v>-1</v>
      </c>
      <c r="O1124" s="42">
        <f t="shared" si="103"/>
        <v>45172</v>
      </c>
      <c r="P1124" s="5" t="str">
        <f t="shared" si="104"/>
        <v>Sunday</v>
      </c>
      <c r="Q1124" s="5">
        <f t="shared" si="105"/>
        <v>10</v>
      </c>
      <c r="R1124" s="28">
        <f t="shared" si="106"/>
        <v>0.95121951219512191</v>
      </c>
      <c r="S1124" s="29">
        <f t="shared" si="107"/>
        <v>95.121951219512198</v>
      </c>
      <c r="T1124" s="5" t="str">
        <f>IF(Delivery_Data[[#This Row],[Delays (min)]]&gt;0,"No","Yes")</f>
        <v>No</v>
      </c>
    </row>
    <row r="1125" spans="1:20" ht="15.75" customHeight="1" x14ac:dyDescent="0.3">
      <c r="A1125" s="4">
        <v>2124</v>
      </c>
      <c r="B1125" s="5" t="s">
        <v>728</v>
      </c>
      <c r="C1125" s="6">
        <v>45175.502083333333</v>
      </c>
      <c r="D1125" s="5" t="s">
        <v>14</v>
      </c>
      <c r="E1125" s="5" t="s">
        <v>189</v>
      </c>
      <c r="F1125" s="5" t="s">
        <v>24</v>
      </c>
      <c r="G1125" s="5" t="s">
        <v>39</v>
      </c>
      <c r="H1125" s="5">
        <v>111</v>
      </c>
      <c r="I1125" s="5">
        <v>15</v>
      </c>
      <c r="J1125" s="5" t="s">
        <v>32</v>
      </c>
      <c r="K1125" s="5" t="s">
        <v>35</v>
      </c>
      <c r="L1125" s="5" t="s">
        <v>40</v>
      </c>
      <c r="M1125" s="7" t="s">
        <v>41</v>
      </c>
      <c r="N1125" s="26">
        <f t="shared" si="102"/>
        <v>-1</v>
      </c>
      <c r="O1125" s="42">
        <f t="shared" si="103"/>
        <v>45175</v>
      </c>
      <c r="P1125" s="5" t="str">
        <f t="shared" si="104"/>
        <v>Wednesday</v>
      </c>
      <c r="Q1125" s="5">
        <f t="shared" si="105"/>
        <v>12</v>
      </c>
      <c r="R1125" s="28">
        <f t="shared" si="106"/>
        <v>0.88095238095238093</v>
      </c>
      <c r="S1125" s="29">
        <f t="shared" si="107"/>
        <v>88.095238095238088</v>
      </c>
      <c r="T1125" s="5" t="str">
        <f>IF(Delivery_Data[[#This Row],[Delays (min)]]&gt;0,"No","Yes")</f>
        <v>No</v>
      </c>
    </row>
    <row r="1126" spans="1:20" ht="15.75" customHeight="1" x14ac:dyDescent="0.3">
      <c r="A1126" s="4">
        <v>2125</v>
      </c>
      <c r="B1126" s="5" t="s">
        <v>1230</v>
      </c>
      <c r="C1126" s="6">
        <v>45176.352777777778</v>
      </c>
      <c r="D1126" s="5" t="s">
        <v>43</v>
      </c>
      <c r="E1126" s="5" t="s">
        <v>115</v>
      </c>
      <c r="F1126" s="5" t="s">
        <v>16</v>
      </c>
      <c r="G1126" s="5" t="s">
        <v>25</v>
      </c>
      <c r="H1126" s="5">
        <v>154</v>
      </c>
      <c r="I1126" s="5">
        <v>13</v>
      </c>
      <c r="J1126" s="5" t="s">
        <v>32</v>
      </c>
      <c r="K1126" s="5" t="s">
        <v>19</v>
      </c>
      <c r="L1126" s="5" t="s">
        <v>40</v>
      </c>
      <c r="M1126" s="7" t="s">
        <v>41</v>
      </c>
      <c r="N1126" s="26">
        <f t="shared" si="102"/>
        <v>-1</v>
      </c>
      <c r="O1126" s="42">
        <f t="shared" si="103"/>
        <v>45176</v>
      </c>
      <c r="P1126" s="5" t="str">
        <f t="shared" si="104"/>
        <v>Thursday</v>
      </c>
      <c r="Q1126" s="5">
        <f t="shared" si="105"/>
        <v>8</v>
      </c>
      <c r="R1126" s="28">
        <f t="shared" si="106"/>
        <v>0.92215568862275454</v>
      </c>
      <c r="S1126" s="29">
        <f t="shared" si="107"/>
        <v>92.215568862275461</v>
      </c>
      <c r="T1126" s="5" t="str">
        <f>IF(Delivery_Data[[#This Row],[Delays (min)]]&gt;0,"No","Yes")</f>
        <v>No</v>
      </c>
    </row>
    <row r="1127" spans="1:20" ht="15.75" customHeight="1" x14ac:dyDescent="0.3">
      <c r="A1127" s="4">
        <v>2126</v>
      </c>
      <c r="B1127" s="5" t="s">
        <v>1231</v>
      </c>
      <c r="C1127" s="6">
        <v>45177.529166666667</v>
      </c>
      <c r="D1127" s="5" t="s">
        <v>14</v>
      </c>
      <c r="E1127" s="5" t="s">
        <v>83</v>
      </c>
      <c r="F1127" s="5" t="s">
        <v>24</v>
      </c>
      <c r="G1127" s="5" t="s">
        <v>39</v>
      </c>
      <c r="H1127" s="5">
        <v>230</v>
      </c>
      <c r="I1127" s="5">
        <v>12</v>
      </c>
      <c r="J1127" s="5" t="s">
        <v>26</v>
      </c>
      <c r="K1127" s="5" t="s">
        <v>19</v>
      </c>
      <c r="L1127" s="5" t="s">
        <v>28</v>
      </c>
      <c r="M1127" s="7" t="s">
        <v>46</v>
      </c>
      <c r="N1127" s="26">
        <f t="shared" si="102"/>
        <v>1</v>
      </c>
      <c r="O1127" s="42">
        <f t="shared" si="103"/>
        <v>45177</v>
      </c>
      <c r="P1127" s="5" t="str">
        <f t="shared" si="104"/>
        <v>Friday</v>
      </c>
      <c r="Q1127" s="5">
        <f t="shared" si="105"/>
        <v>12</v>
      </c>
      <c r="R1127" s="28">
        <f t="shared" si="106"/>
        <v>0.95041322314049592</v>
      </c>
      <c r="S1127" s="29">
        <f t="shared" si="107"/>
        <v>95.041322314049594</v>
      </c>
      <c r="T1127" s="5" t="str">
        <f>IF(Delivery_Data[[#This Row],[Delays (min)]]&gt;0,"No","Yes")</f>
        <v>No</v>
      </c>
    </row>
    <row r="1128" spans="1:20" ht="15.75" customHeight="1" x14ac:dyDescent="0.3">
      <c r="A1128" s="4">
        <v>2127</v>
      </c>
      <c r="B1128" s="5" t="s">
        <v>1232</v>
      </c>
      <c r="C1128" s="6">
        <v>45177.411805555559</v>
      </c>
      <c r="D1128" s="5" t="s">
        <v>43</v>
      </c>
      <c r="E1128" s="5" t="s">
        <v>99</v>
      </c>
      <c r="F1128" s="5" t="s">
        <v>38</v>
      </c>
      <c r="G1128" s="5" t="s">
        <v>39</v>
      </c>
      <c r="H1128" s="5">
        <v>206</v>
      </c>
      <c r="I1128" s="5">
        <v>13</v>
      </c>
      <c r="J1128" s="5" t="s">
        <v>26</v>
      </c>
      <c r="K1128" s="5" t="s">
        <v>35</v>
      </c>
      <c r="L1128" s="5" t="s">
        <v>40</v>
      </c>
      <c r="M1128" s="7" t="s">
        <v>41</v>
      </c>
      <c r="N1128" s="26">
        <f t="shared" si="102"/>
        <v>1</v>
      </c>
      <c r="O1128" s="42">
        <f t="shared" si="103"/>
        <v>45177</v>
      </c>
      <c r="P1128" s="5" t="str">
        <f t="shared" si="104"/>
        <v>Friday</v>
      </c>
      <c r="Q1128" s="5">
        <f t="shared" si="105"/>
        <v>9</v>
      </c>
      <c r="R1128" s="28">
        <f t="shared" si="106"/>
        <v>0.94063926940639264</v>
      </c>
      <c r="S1128" s="29">
        <f t="shared" si="107"/>
        <v>94.063926940639263</v>
      </c>
      <c r="T1128" s="5" t="str">
        <f>IF(Delivery_Data[[#This Row],[Delays (min)]]&gt;0,"No","Yes")</f>
        <v>No</v>
      </c>
    </row>
    <row r="1129" spans="1:20" ht="15.75" customHeight="1" x14ac:dyDescent="0.3">
      <c r="A1129" s="4">
        <v>2128</v>
      </c>
      <c r="B1129" s="5" t="s">
        <v>1233</v>
      </c>
      <c r="C1129" s="6">
        <v>45174.638888888891</v>
      </c>
      <c r="D1129" s="5" t="s">
        <v>43</v>
      </c>
      <c r="E1129" s="5" t="s">
        <v>263</v>
      </c>
      <c r="F1129" s="5" t="s">
        <v>16</v>
      </c>
      <c r="G1129" s="5" t="s">
        <v>56</v>
      </c>
      <c r="H1129" s="5">
        <v>141</v>
      </c>
      <c r="I1129" s="5">
        <v>24</v>
      </c>
      <c r="J1129" s="5" t="s">
        <v>32</v>
      </c>
      <c r="K1129" s="5" t="s">
        <v>27</v>
      </c>
      <c r="L1129" s="5" t="s">
        <v>20</v>
      </c>
      <c r="M1129" s="7" t="s">
        <v>21</v>
      </c>
      <c r="N1129" s="26">
        <f t="shared" si="102"/>
        <v>-1</v>
      </c>
      <c r="O1129" s="42">
        <f t="shared" si="103"/>
        <v>45174</v>
      </c>
      <c r="P1129" s="5" t="str">
        <f t="shared" si="104"/>
        <v>Tuesday</v>
      </c>
      <c r="Q1129" s="5">
        <f t="shared" si="105"/>
        <v>15</v>
      </c>
      <c r="R1129" s="28">
        <f t="shared" si="106"/>
        <v>0.8545454545454545</v>
      </c>
      <c r="S1129" s="29">
        <f t="shared" si="107"/>
        <v>85.454545454545453</v>
      </c>
      <c r="T1129" s="5" t="str">
        <f>IF(Delivery_Data[[#This Row],[Delays (min)]]&gt;0,"No","Yes")</f>
        <v>No</v>
      </c>
    </row>
    <row r="1130" spans="1:20" ht="15.75" customHeight="1" x14ac:dyDescent="0.3">
      <c r="A1130" s="4">
        <v>2129</v>
      </c>
      <c r="B1130" s="5" t="s">
        <v>1234</v>
      </c>
      <c r="C1130" s="6">
        <v>45172.587500000001</v>
      </c>
      <c r="D1130" s="5" t="s">
        <v>43</v>
      </c>
      <c r="E1130" s="5" t="s">
        <v>60</v>
      </c>
      <c r="F1130" s="5" t="s">
        <v>38</v>
      </c>
      <c r="G1130" s="5" t="s">
        <v>31</v>
      </c>
      <c r="H1130" s="5">
        <v>224</v>
      </c>
      <c r="I1130" s="5">
        <v>27</v>
      </c>
      <c r="J1130" s="5" t="s">
        <v>32</v>
      </c>
      <c r="K1130" s="5" t="s">
        <v>45</v>
      </c>
      <c r="L1130" s="5" t="s">
        <v>20</v>
      </c>
      <c r="M1130" s="7" t="s">
        <v>21</v>
      </c>
      <c r="N1130" s="26">
        <f t="shared" si="102"/>
        <v>-1</v>
      </c>
      <c r="O1130" s="42">
        <f t="shared" si="103"/>
        <v>45172</v>
      </c>
      <c r="P1130" s="5" t="str">
        <f t="shared" si="104"/>
        <v>Sunday</v>
      </c>
      <c r="Q1130" s="5">
        <f t="shared" si="105"/>
        <v>14</v>
      </c>
      <c r="R1130" s="28">
        <f t="shared" si="106"/>
        <v>0.89243027888446214</v>
      </c>
      <c r="S1130" s="29">
        <f t="shared" si="107"/>
        <v>89.243027888446207</v>
      </c>
      <c r="T1130" s="5" t="str">
        <f>IF(Delivery_Data[[#This Row],[Delays (min)]]&gt;0,"No","Yes")</f>
        <v>No</v>
      </c>
    </row>
    <row r="1131" spans="1:20" ht="15.75" customHeight="1" x14ac:dyDescent="0.3">
      <c r="A1131" s="4">
        <v>2130</v>
      </c>
      <c r="B1131" s="5" t="s">
        <v>1235</v>
      </c>
      <c r="C1131" s="6">
        <v>45176.502083333333</v>
      </c>
      <c r="D1131" s="5" t="s">
        <v>43</v>
      </c>
      <c r="E1131" s="5" t="s">
        <v>270</v>
      </c>
      <c r="F1131" s="5" t="s">
        <v>38</v>
      </c>
      <c r="G1131" s="5" t="s">
        <v>39</v>
      </c>
      <c r="H1131" s="5">
        <v>167</v>
      </c>
      <c r="I1131" s="5">
        <v>22</v>
      </c>
      <c r="J1131" s="5" t="s">
        <v>32</v>
      </c>
      <c r="K1131" s="5" t="s">
        <v>27</v>
      </c>
      <c r="L1131" s="5" t="s">
        <v>20</v>
      </c>
      <c r="M1131" s="7" t="s">
        <v>46</v>
      </c>
      <c r="N1131" s="26">
        <f t="shared" si="102"/>
        <v>-1</v>
      </c>
      <c r="O1131" s="42">
        <f t="shared" si="103"/>
        <v>45176</v>
      </c>
      <c r="P1131" s="5" t="str">
        <f t="shared" si="104"/>
        <v>Thursday</v>
      </c>
      <c r="Q1131" s="5">
        <f t="shared" si="105"/>
        <v>12</v>
      </c>
      <c r="R1131" s="28">
        <f t="shared" si="106"/>
        <v>0.8835978835978836</v>
      </c>
      <c r="S1131" s="29">
        <f t="shared" si="107"/>
        <v>88.359788359788354</v>
      </c>
      <c r="T1131" s="5" t="str">
        <f>IF(Delivery_Data[[#This Row],[Delays (min)]]&gt;0,"No","Yes")</f>
        <v>No</v>
      </c>
    </row>
    <row r="1132" spans="1:20" ht="15.75" customHeight="1" x14ac:dyDescent="0.3">
      <c r="A1132" s="4">
        <v>2131</v>
      </c>
      <c r="B1132" s="5" t="s">
        <v>1236</v>
      </c>
      <c r="C1132" s="6">
        <v>45173.569444444445</v>
      </c>
      <c r="D1132" s="5" t="s">
        <v>43</v>
      </c>
      <c r="E1132" s="5" t="s">
        <v>60</v>
      </c>
      <c r="F1132" s="5" t="s">
        <v>24</v>
      </c>
      <c r="G1132" s="5" t="s">
        <v>17</v>
      </c>
      <c r="H1132" s="5">
        <v>188</v>
      </c>
      <c r="I1132" s="5">
        <v>15</v>
      </c>
      <c r="J1132" s="5" t="s">
        <v>18</v>
      </c>
      <c r="K1132" s="5" t="s">
        <v>45</v>
      </c>
      <c r="L1132" s="5" t="s">
        <v>20</v>
      </c>
      <c r="M1132" s="7" t="s">
        <v>46</v>
      </c>
      <c r="N1132" s="26">
        <f t="shared" si="102"/>
        <v>0</v>
      </c>
      <c r="O1132" s="42">
        <f t="shared" si="103"/>
        <v>45173</v>
      </c>
      <c r="P1132" s="5" t="str">
        <f t="shared" si="104"/>
        <v>Monday</v>
      </c>
      <c r="Q1132" s="5">
        <f t="shared" si="105"/>
        <v>13</v>
      </c>
      <c r="R1132" s="28">
        <f t="shared" si="106"/>
        <v>0.92610837438423643</v>
      </c>
      <c r="S1132" s="29">
        <f t="shared" si="107"/>
        <v>92.610837438423644</v>
      </c>
      <c r="T1132" s="5" t="str">
        <f>IF(Delivery_Data[[#This Row],[Delays (min)]]&gt;0,"No","Yes")</f>
        <v>No</v>
      </c>
    </row>
    <row r="1133" spans="1:20" ht="15.75" customHeight="1" x14ac:dyDescent="0.3">
      <c r="A1133" s="4">
        <v>2132</v>
      </c>
      <c r="B1133" s="5" t="s">
        <v>1237</v>
      </c>
      <c r="C1133" s="6">
        <v>45177.704861111109</v>
      </c>
      <c r="D1133" s="5" t="s">
        <v>43</v>
      </c>
      <c r="E1133" s="5" t="s">
        <v>156</v>
      </c>
      <c r="F1133" s="5" t="s">
        <v>24</v>
      </c>
      <c r="G1133" s="5" t="s">
        <v>25</v>
      </c>
      <c r="H1133" s="5">
        <v>75</v>
      </c>
      <c r="I1133" s="5">
        <v>28</v>
      </c>
      <c r="J1133" s="5" t="s">
        <v>18</v>
      </c>
      <c r="K1133" s="5" t="s">
        <v>19</v>
      </c>
      <c r="L1133" s="5" t="s">
        <v>20</v>
      </c>
      <c r="M1133" s="7" t="s">
        <v>21</v>
      </c>
      <c r="N1133" s="26">
        <f t="shared" si="102"/>
        <v>0</v>
      </c>
      <c r="O1133" s="42">
        <f t="shared" si="103"/>
        <v>45177</v>
      </c>
      <c r="P1133" s="5" t="str">
        <f t="shared" si="104"/>
        <v>Friday</v>
      </c>
      <c r="Q1133" s="5">
        <f t="shared" si="105"/>
        <v>16</v>
      </c>
      <c r="R1133" s="28">
        <f t="shared" si="106"/>
        <v>0.72815533980582525</v>
      </c>
      <c r="S1133" s="29">
        <f t="shared" si="107"/>
        <v>72.815533980582529</v>
      </c>
      <c r="T1133" s="5" t="str">
        <f>IF(Delivery_Data[[#This Row],[Delays (min)]]&gt;0,"No","Yes")</f>
        <v>No</v>
      </c>
    </row>
    <row r="1134" spans="1:20" ht="15.75" customHeight="1" x14ac:dyDescent="0.3">
      <c r="A1134" s="4">
        <v>2133</v>
      </c>
      <c r="B1134" s="5" t="s">
        <v>1238</v>
      </c>
      <c r="C1134" s="6">
        <v>45177.451388888891</v>
      </c>
      <c r="D1134" s="5" t="s">
        <v>43</v>
      </c>
      <c r="E1134" s="5" t="s">
        <v>311</v>
      </c>
      <c r="F1134" s="5" t="s">
        <v>16</v>
      </c>
      <c r="G1134" s="5" t="s">
        <v>17</v>
      </c>
      <c r="H1134" s="5">
        <v>198</v>
      </c>
      <c r="I1134" s="5">
        <v>24</v>
      </c>
      <c r="J1134" s="5" t="s">
        <v>26</v>
      </c>
      <c r="K1134" s="5" t="s">
        <v>45</v>
      </c>
      <c r="L1134" s="5" t="s">
        <v>28</v>
      </c>
      <c r="M1134" s="7" t="s">
        <v>46</v>
      </c>
      <c r="N1134" s="26">
        <f t="shared" si="102"/>
        <v>1</v>
      </c>
      <c r="O1134" s="42">
        <f t="shared" si="103"/>
        <v>45177</v>
      </c>
      <c r="P1134" s="5" t="str">
        <f t="shared" si="104"/>
        <v>Friday</v>
      </c>
      <c r="Q1134" s="5">
        <f t="shared" si="105"/>
        <v>10</v>
      </c>
      <c r="R1134" s="28">
        <f t="shared" si="106"/>
        <v>0.89189189189189189</v>
      </c>
      <c r="S1134" s="29">
        <f t="shared" si="107"/>
        <v>89.189189189189193</v>
      </c>
      <c r="T1134" s="5" t="str">
        <f>IF(Delivery_Data[[#This Row],[Delays (min)]]&gt;0,"No","Yes")</f>
        <v>No</v>
      </c>
    </row>
    <row r="1135" spans="1:20" ht="15.75" customHeight="1" x14ac:dyDescent="0.3">
      <c r="A1135" s="4">
        <v>2134</v>
      </c>
      <c r="B1135" s="5" t="s">
        <v>1239</v>
      </c>
      <c r="C1135" s="6">
        <v>45171.431250000001</v>
      </c>
      <c r="D1135" s="5" t="s">
        <v>43</v>
      </c>
      <c r="E1135" s="5" t="s">
        <v>78</v>
      </c>
      <c r="F1135" s="5" t="s">
        <v>24</v>
      </c>
      <c r="G1135" s="5" t="s">
        <v>31</v>
      </c>
      <c r="H1135" s="5">
        <v>64</v>
      </c>
      <c r="I1135" s="5">
        <v>18</v>
      </c>
      <c r="J1135" s="5" t="s">
        <v>32</v>
      </c>
      <c r="K1135" s="5" t="s">
        <v>35</v>
      </c>
      <c r="L1135" s="5" t="s">
        <v>40</v>
      </c>
      <c r="M1135" s="7" t="s">
        <v>46</v>
      </c>
      <c r="N1135" s="26">
        <f t="shared" si="102"/>
        <v>-1</v>
      </c>
      <c r="O1135" s="42">
        <f t="shared" si="103"/>
        <v>45171</v>
      </c>
      <c r="P1135" s="5" t="str">
        <f t="shared" si="104"/>
        <v>Saturday</v>
      </c>
      <c r="Q1135" s="5">
        <f t="shared" si="105"/>
        <v>10</v>
      </c>
      <c r="R1135" s="28">
        <f t="shared" si="106"/>
        <v>0.78048780487804881</v>
      </c>
      <c r="S1135" s="29">
        <f t="shared" si="107"/>
        <v>78.048780487804876</v>
      </c>
      <c r="T1135" s="5" t="str">
        <f>IF(Delivery_Data[[#This Row],[Delays (min)]]&gt;0,"No","Yes")</f>
        <v>No</v>
      </c>
    </row>
    <row r="1136" spans="1:20" ht="15.75" customHeight="1" x14ac:dyDescent="0.3">
      <c r="A1136" s="4">
        <v>2135</v>
      </c>
      <c r="B1136" s="5" t="s">
        <v>1240</v>
      </c>
      <c r="C1136" s="6">
        <v>45175.42291666667</v>
      </c>
      <c r="D1136" s="5" t="s">
        <v>43</v>
      </c>
      <c r="E1136" s="5" t="s">
        <v>115</v>
      </c>
      <c r="F1136" s="5" t="s">
        <v>16</v>
      </c>
      <c r="G1136" s="5" t="s">
        <v>39</v>
      </c>
      <c r="H1136" s="5">
        <v>101</v>
      </c>
      <c r="I1136" s="5">
        <v>25</v>
      </c>
      <c r="J1136" s="5" t="s">
        <v>32</v>
      </c>
      <c r="K1136" s="5" t="s">
        <v>19</v>
      </c>
      <c r="L1136" s="5" t="s">
        <v>28</v>
      </c>
      <c r="M1136" s="7" t="s">
        <v>46</v>
      </c>
      <c r="N1136" s="26">
        <f t="shared" si="102"/>
        <v>-1</v>
      </c>
      <c r="O1136" s="42">
        <f t="shared" si="103"/>
        <v>45175</v>
      </c>
      <c r="P1136" s="5" t="str">
        <f t="shared" si="104"/>
        <v>Wednesday</v>
      </c>
      <c r="Q1136" s="5">
        <f t="shared" si="105"/>
        <v>10</v>
      </c>
      <c r="R1136" s="28">
        <f t="shared" si="106"/>
        <v>0.80158730158730163</v>
      </c>
      <c r="S1136" s="29">
        <f t="shared" si="107"/>
        <v>80.158730158730165</v>
      </c>
      <c r="T1136" s="5" t="str">
        <f>IF(Delivery_Data[[#This Row],[Delays (min)]]&gt;0,"No","Yes")</f>
        <v>No</v>
      </c>
    </row>
    <row r="1137" spans="1:20" ht="15.75" customHeight="1" x14ac:dyDescent="0.3">
      <c r="A1137" s="4">
        <v>2136</v>
      </c>
      <c r="B1137" s="5" t="s">
        <v>1241</v>
      </c>
      <c r="C1137" s="6">
        <v>45175.368750000001</v>
      </c>
      <c r="D1137" s="5" t="s">
        <v>43</v>
      </c>
      <c r="E1137" s="5" t="s">
        <v>169</v>
      </c>
      <c r="F1137" s="5" t="s">
        <v>38</v>
      </c>
      <c r="G1137" s="5" t="s">
        <v>39</v>
      </c>
      <c r="H1137" s="5">
        <v>179</v>
      </c>
      <c r="I1137" s="5">
        <v>16</v>
      </c>
      <c r="J1137" s="5" t="s">
        <v>26</v>
      </c>
      <c r="K1137" s="5" t="s">
        <v>27</v>
      </c>
      <c r="L1137" s="5" t="s">
        <v>40</v>
      </c>
      <c r="M1137" s="7" t="s">
        <v>41</v>
      </c>
      <c r="N1137" s="26">
        <f t="shared" si="102"/>
        <v>1</v>
      </c>
      <c r="O1137" s="42">
        <f t="shared" si="103"/>
        <v>45175</v>
      </c>
      <c r="P1137" s="5" t="str">
        <f t="shared" si="104"/>
        <v>Wednesday</v>
      </c>
      <c r="Q1137" s="5">
        <f t="shared" si="105"/>
        <v>8</v>
      </c>
      <c r="R1137" s="28">
        <f t="shared" si="106"/>
        <v>0.91794871794871791</v>
      </c>
      <c r="S1137" s="29">
        <f t="shared" si="107"/>
        <v>91.794871794871796</v>
      </c>
      <c r="T1137" s="5" t="str">
        <f>IF(Delivery_Data[[#This Row],[Delays (min)]]&gt;0,"No","Yes")</f>
        <v>No</v>
      </c>
    </row>
    <row r="1138" spans="1:20" ht="15.75" customHeight="1" x14ac:dyDescent="0.3">
      <c r="A1138" s="4">
        <v>2137</v>
      </c>
      <c r="B1138" s="5" t="s">
        <v>1242</v>
      </c>
      <c r="C1138" s="6">
        <v>45174.600694444445</v>
      </c>
      <c r="D1138" s="5" t="s">
        <v>43</v>
      </c>
      <c r="E1138" s="5" t="s">
        <v>261</v>
      </c>
      <c r="F1138" s="5" t="s">
        <v>24</v>
      </c>
      <c r="G1138" s="5" t="s">
        <v>25</v>
      </c>
      <c r="H1138" s="5">
        <v>137</v>
      </c>
      <c r="I1138" s="5">
        <v>0</v>
      </c>
      <c r="J1138" s="5" t="s">
        <v>18</v>
      </c>
      <c r="K1138" s="5" t="s">
        <v>19</v>
      </c>
      <c r="L1138" s="5" t="s">
        <v>28</v>
      </c>
      <c r="M1138" s="7" t="s">
        <v>41</v>
      </c>
      <c r="N1138" s="26">
        <f t="shared" si="102"/>
        <v>0</v>
      </c>
      <c r="O1138" s="42">
        <f t="shared" si="103"/>
        <v>45174</v>
      </c>
      <c r="P1138" s="5" t="str">
        <f t="shared" si="104"/>
        <v>Tuesday</v>
      </c>
      <c r="Q1138" s="5">
        <f t="shared" si="105"/>
        <v>14</v>
      </c>
      <c r="R1138" s="28">
        <f t="shared" si="106"/>
        <v>1</v>
      </c>
      <c r="S1138" s="29">
        <f t="shared" si="107"/>
        <v>100</v>
      </c>
      <c r="T1138" s="5" t="str">
        <f>IF(Delivery_Data[[#This Row],[Delays (min)]]&gt;0,"No","Yes")</f>
        <v>Yes</v>
      </c>
    </row>
    <row r="1139" spans="1:20" ht="15.75" customHeight="1" x14ac:dyDescent="0.3">
      <c r="A1139" s="4">
        <v>2138</v>
      </c>
      <c r="B1139" s="5" t="s">
        <v>1243</v>
      </c>
      <c r="C1139" s="6">
        <v>45172.540277777778</v>
      </c>
      <c r="D1139" s="5" t="s">
        <v>43</v>
      </c>
      <c r="E1139" s="5" t="s">
        <v>311</v>
      </c>
      <c r="F1139" s="5" t="s">
        <v>38</v>
      </c>
      <c r="G1139" s="5" t="s">
        <v>56</v>
      </c>
      <c r="H1139" s="5">
        <v>86</v>
      </c>
      <c r="I1139" s="5">
        <v>19</v>
      </c>
      <c r="J1139" s="5" t="s">
        <v>18</v>
      </c>
      <c r="K1139" s="5" t="s">
        <v>19</v>
      </c>
      <c r="L1139" s="5" t="s">
        <v>28</v>
      </c>
      <c r="M1139" s="7" t="s">
        <v>21</v>
      </c>
      <c r="N1139" s="26">
        <f t="shared" si="102"/>
        <v>0</v>
      </c>
      <c r="O1139" s="42">
        <f t="shared" si="103"/>
        <v>45172</v>
      </c>
      <c r="P1139" s="5" t="str">
        <f t="shared" si="104"/>
        <v>Sunday</v>
      </c>
      <c r="Q1139" s="5">
        <f t="shared" si="105"/>
        <v>12</v>
      </c>
      <c r="R1139" s="28">
        <f t="shared" si="106"/>
        <v>0.81904761904761902</v>
      </c>
      <c r="S1139" s="29">
        <f t="shared" si="107"/>
        <v>81.904761904761898</v>
      </c>
      <c r="T1139" s="5" t="str">
        <f>IF(Delivery_Data[[#This Row],[Delays (min)]]&gt;0,"No","Yes")</f>
        <v>No</v>
      </c>
    </row>
    <row r="1140" spans="1:20" ht="15.75" customHeight="1" x14ac:dyDescent="0.3">
      <c r="A1140" s="4">
        <v>2139</v>
      </c>
      <c r="B1140" s="5" t="s">
        <v>1244</v>
      </c>
      <c r="C1140" s="6">
        <v>45173.479861111111</v>
      </c>
      <c r="D1140" s="5" t="s">
        <v>43</v>
      </c>
      <c r="E1140" s="5" t="s">
        <v>122</v>
      </c>
      <c r="F1140" s="5" t="s">
        <v>24</v>
      </c>
      <c r="G1140" s="5" t="s">
        <v>31</v>
      </c>
      <c r="H1140" s="5">
        <v>73</v>
      </c>
      <c r="I1140" s="5">
        <v>9</v>
      </c>
      <c r="J1140" s="5" t="s">
        <v>18</v>
      </c>
      <c r="K1140" s="5" t="s">
        <v>19</v>
      </c>
      <c r="L1140" s="5" t="s">
        <v>28</v>
      </c>
      <c r="M1140" s="7" t="s">
        <v>21</v>
      </c>
      <c r="N1140" s="26">
        <f t="shared" si="102"/>
        <v>0</v>
      </c>
      <c r="O1140" s="42">
        <f t="shared" si="103"/>
        <v>45173</v>
      </c>
      <c r="P1140" s="5" t="str">
        <f t="shared" si="104"/>
        <v>Monday</v>
      </c>
      <c r="Q1140" s="5">
        <f t="shared" si="105"/>
        <v>11</v>
      </c>
      <c r="R1140" s="28">
        <f t="shared" si="106"/>
        <v>0.8902439024390244</v>
      </c>
      <c r="S1140" s="29">
        <f t="shared" si="107"/>
        <v>89.024390243902445</v>
      </c>
      <c r="T1140" s="5" t="str">
        <f>IF(Delivery_Data[[#This Row],[Delays (min)]]&gt;0,"No","Yes")</f>
        <v>No</v>
      </c>
    </row>
    <row r="1141" spans="1:20" ht="15.75" customHeight="1" x14ac:dyDescent="0.3">
      <c r="A1141" s="4">
        <v>2140</v>
      </c>
      <c r="B1141" s="5" t="s">
        <v>1245</v>
      </c>
      <c r="C1141" s="6">
        <v>45171.477777777778</v>
      </c>
      <c r="D1141" s="5" t="s">
        <v>14</v>
      </c>
      <c r="E1141" s="5" t="s">
        <v>156</v>
      </c>
      <c r="F1141" s="5" t="s">
        <v>24</v>
      </c>
      <c r="G1141" s="5" t="s">
        <v>39</v>
      </c>
      <c r="H1141" s="5">
        <v>224</v>
      </c>
      <c r="I1141" s="5">
        <v>0</v>
      </c>
      <c r="J1141" s="5" t="s">
        <v>18</v>
      </c>
      <c r="K1141" s="5" t="s">
        <v>45</v>
      </c>
      <c r="L1141" s="5" t="s">
        <v>28</v>
      </c>
      <c r="M1141" s="7" t="s">
        <v>46</v>
      </c>
      <c r="N1141" s="26">
        <f t="shared" si="102"/>
        <v>0</v>
      </c>
      <c r="O1141" s="42">
        <f t="shared" si="103"/>
        <v>45171</v>
      </c>
      <c r="P1141" s="5" t="str">
        <f t="shared" si="104"/>
        <v>Saturday</v>
      </c>
      <c r="Q1141" s="5">
        <f t="shared" si="105"/>
        <v>11</v>
      </c>
      <c r="R1141" s="28">
        <f t="shared" si="106"/>
        <v>1</v>
      </c>
      <c r="S1141" s="29">
        <f t="shared" si="107"/>
        <v>100</v>
      </c>
      <c r="T1141" s="5" t="str">
        <f>IF(Delivery_Data[[#This Row],[Delays (min)]]&gt;0,"No","Yes")</f>
        <v>Yes</v>
      </c>
    </row>
    <row r="1142" spans="1:20" ht="15.75" customHeight="1" x14ac:dyDescent="0.3">
      <c r="A1142" s="4">
        <v>2141</v>
      </c>
      <c r="B1142" s="5" t="s">
        <v>1246</v>
      </c>
      <c r="C1142" s="6">
        <v>45172.42083333333</v>
      </c>
      <c r="D1142" s="5" t="s">
        <v>43</v>
      </c>
      <c r="E1142" s="5" t="s">
        <v>149</v>
      </c>
      <c r="F1142" s="5" t="s">
        <v>24</v>
      </c>
      <c r="G1142" s="5" t="s">
        <v>17</v>
      </c>
      <c r="H1142" s="5">
        <v>232</v>
      </c>
      <c r="I1142" s="5">
        <v>10</v>
      </c>
      <c r="J1142" s="5" t="s">
        <v>18</v>
      </c>
      <c r="K1142" s="5" t="s">
        <v>45</v>
      </c>
      <c r="L1142" s="5" t="s">
        <v>40</v>
      </c>
      <c r="M1142" s="7" t="s">
        <v>46</v>
      </c>
      <c r="N1142" s="26">
        <f t="shared" si="102"/>
        <v>0</v>
      </c>
      <c r="O1142" s="42">
        <f t="shared" si="103"/>
        <v>45172</v>
      </c>
      <c r="P1142" s="5" t="str">
        <f t="shared" si="104"/>
        <v>Sunday</v>
      </c>
      <c r="Q1142" s="5">
        <f t="shared" si="105"/>
        <v>10</v>
      </c>
      <c r="R1142" s="28">
        <f t="shared" si="106"/>
        <v>0.95867768595041325</v>
      </c>
      <c r="S1142" s="29">
        <f t="shared" si="107"/>
        <v>95.867768595041326</v>
      </c>
      <c r="T1142" s="5" t="str">
        <f>IF(Delivery_Data[[#This Row],[Delays (min)]]&gt;0,"No","Yes")</f>
        <v>No</v>
      </c>
    </row>
    <row r="1143" spans="1:20" ht="15.75" customHeight="1" x14ac:dyDescent="0.3">
      <c r="A1143" s="4">
        <v>2142</v>
      </c>
      <c r="B1143" s="5" t="s">
        <v>1247</v>
      </c>
      <c r="C1143" s="6">
        <v>45170.378472222219</v>
      </c>
      <c r="D1143" s="5" t="s">
        <v>14</v>
      </c>
      <c r="E1143" s="5" t="s">
        <v>263</v>
      </c>
      <c r="F1143" s="5" t="s">
        <v>38</v>
      </c>
      <c r="G1143" s="5" t="s">
        <v>17</v>
      </c>
      <c r="H1143" s="5">
        <v>165</v>
      </c>
      <c r="I1143" s="5">
        <v>15</v>
      </c>
      <c r="J1143" s="5" t="s">
        <v>18</v>
      </c>
      <c r="K1143" s="5" t="s">
        <v>27</v>
      </c>
      <c r="L1143" s="5" t="s">
        <v>20</v>
      </c>
      <c r="M1143" s="7" t="s">
        <v>46</v>
      </c>
      <c r="N1143" s="26">
        <f t="shared" si="102"/>
        <v>0</v>
      </c>
      <c r="O1143" s="42">
        <f t="shared" si="103"/>
        <v>45170</v>
      </c>
      <c r="P1143" s="5" t="str">
        <f t="shared" si="104"/>
        <v>Friday</v>
      </c>
      <c r="Q1143" s="5">
        <f t="shared" si="105"/>
        <v>9</v>
      </c>
      <c r="R1143" s="28">
        <f t="shared" si="106"/>
        <v>0.91666666666666663</v>
      </c>
      <c r="S1143" s="29">
        <f t="shared" si="107"/>
        <v>91.666666666666657</v>
      </c>
      <c r="T1143" s="5" t="str">
        <f>IF(Delivery_Data[[#This Row],[Delays (min)]]&gt;0,"No","Yes")</f>
        <v>No</v>
      </c>
    </row>
    <row r="1144" spans="1:20" ht="15.75" customHeight="1" x14ac:dyDescent="0.3">
      <c r="A1144" s="4">
        <v>2143</v>
      </c>
      <c r="B1144" s="5" t="s">
        <v>1248</v>
      </c>
      <c r="C1144" s="6">
        <v>45177.397916666669</v>
      </c>
      <c r="D1144" s="5" t="s">
        <v>43</v>
      </c>
      <c r="E1144" s="5" t="s">
        <v>68</v>
      </c>
      <c r="F1144" s="5" t="s">
        <v>24</v>
      </c>
      <c r="G1144" s="5" t="s">
        <v>56</v>
      </c>
      <c r="H1144" s="5">
        <v>184</v>
      </c>
      <c r="I1144" s="5">
        <v>1</v>
      </c>
      <c r="J1144" s="5" t="s">
        <v>32</v>
      </c>
      <c r="K1144" s="5" t="s">
        <v>27</v>
      </c>
      <c r="L1144" s="5" t="s">
        <v>20</v>
      </c>
      <c r="M1144" s="7" t="s">
        <v>46</v>
      </c>
      <c r="N1144" s="26">
        <f t="shared" si="102"/>
        <v>-1</v>
      </c>
      <c r="O1144" s="42">
        <f t="shared" si="103"/>
        <v>45177</v>
      </c>
      <c r="P1144" s="5" t="str">
        <f t="shared" si="104"/>
        <v>Friday</v>
      </c>
      <c r="Q1144" s="5">
        <f t="shared" si="105"/>
        <v>9</v>
      </c>
      <c r="R1144" s="28">
        <f t="shared" si="106"/>
        <v>0.99459459459459465</v>
      </c>
      <c r="S1144" s="29">
        <f t="shared" si="107"/>
        <v>99.459459459459467</v>
      </c>
      <c r="T1144" s="5" t="str">
        <f>IF(Delivery_Data[[#This Row],[Delays (min)]]&gt;0,"No","Yes")</f>
        <v>No</v>
      </c>
    </row>
    <row r="1145" spans="1:20" ht="15.75" customHeight="1" x14ac:dyDescent="0.3">
      <c r="A1145" s="4">
        <v>2144</v>
      </c>
      <c r="B1145" s="5" t="s">
        <v>1249</v>
      </c>
      <c r="C1145" s="6">
        <v>45173.668055555558</v>
      </c>
      <c r="D1145" s="5" t="s">
        <v>43</v>
      </c>
      <c r="E1145" s="5" t="s">
        <v>220</v>
      </c>
      <c r="F1145" s="5" t="s">
        <v>38</v>
      </c>
      <c r="G1145" s="5" t="s">
        <v>25</v>
      </c>
      <c r="H1145" s="5">
        <v>142</v>
      </c>
      <c r="I1145" s="5">
        <v>25</v>
      </c>
      <c r="J1145" s="5" t="s">
        <v>26</v>
      </c>
      <c r="K1145" s="5" t="s">
        <v>19</v>
      </c>
      <c r="L1145" s="5" t="s">
        <v>40</v>
      </c>
      <c r="M1145" s="7" t="s">
        <v>46</v>
      </c>
      <c r="N1145" s="26">
        <f t="shared" si="102"/>
        <v>1</v>
      </c>
      <c r="O1145" s="42">
        <f t="shared" si="103"/>
        <v>45173</v>
      </c>
      <c r="P1145" s="5" t="str">
        <f t="shared" si="104"/>
        <v>Monday</v>
      </c>
      <c r="Q1145" s="5">
        <f t="shared" si="105"/>
        <v>16</v>
      </c>
      <c r="R1145" s="28">
        <f t="shared" si="106"/>
        <v>0.85029940119760483</v>
      </c>
      <c r="S1145" s="29">
        <f t="shared" si="107"/>
        <v>85.029940119760482</v>
      </c>
      <c r="T1145" s="5" t="str">
        <f>IF(Delivery_Data[[#This Row],[Delays (min)]]&gt;0,"No","Yes")</f>
        <v>No</v>
      </c>
    </row>
    <row r="1146" spans="1:20" ht="15.75" customHeight="1" x14ac:dyDescent="0.3">
      <c r="A1146" s="4">
        <v>2145</v>
      </c>
      <c r="B1146" s="5" t="s">
        <v>1250</v>
      </c>
      <c r="C1146" s="6">
        <v>45176.572222222225</v>
      </c>
      <c r="D1146" s="5" t="s">
        <v>14</v>
      </c>
      <c r="E1146" s="5" t="s">
        <v>58</v>
      </c>
      <c r="F1146" s="5" t="s">
        <v>24</v>
      </c>
      <c r="G1146" s="5" t="s">
        <v>39</v>
      </c>
      <c r="H1146" s="5">
        <v>115</v>
      </c>
      <c r="I1146" s="5">
        <v>16</v>
      </c>
      <c r="J1146" s="5" t="s">
        <v>18</v>
      </c>
      <c r="K1146" s="5" t="s">
        <v>27</v>
      </c>
      <c r="L1146" s="5" t="s">
        <v>40</v>
      </c>
      <c r="M1146" s="7" t="s">
        <v>41</v>
      </c>
      <c r="N1146" s="26">
        <f t="shared" si="102"/>
        <v>0</v>
      </c>
      <c r="O1146" s="42">
        <f t="shared" si="103"/>
        <v>45176</v>
      </c>
      <c r="P1146" s="5" t="str">
        <f t="shared" si="104"/>
        <v>Thursday</v>
      </c>
      <c r="Q1146" s="5">
        <f t="shared" si="105"/>
        <v>13</v>
      </c>
      <c r="R1146" s="28">
        <f t="shared" si="106"/>
        <v>0.87786259541984735</v>
      </c>
      <c r="S1146" s="29">
        <f t="shared" si="107"/>
        <v>87.786259541984734</v>
      </c>
      <c r="T1146" s="5" t="str">
        <f>IF(Delivery_Data[[#This Row],[Delays (min)]]&gt;0,"No","Yes")</f>
        <v>No</v>
      </c>
    </row>
    <row r="1147" spans="1:20" ht="15.75" customHeight="1" x14ac:dyDescent="0.3">
      <c r="A1147" s="4">
        <v>2146</v>
      </c>
      <c r="B1147" s="5" t="s">
        <v>1251</v>
      </c>
      <c r="C1147" s="6">
        <v>45171.362500000003</v>
      </c>
      <c r="D1147" s="5" t="s">
        <v>14</v>
      </c>
      <c r="E1147" s="5" t="s">
        <v>261</v>
      </c>
      <c r="F1147" s="5" t="s">
        <v>24</v>
      </c>
      <c r="G1147" s="5" t="s">
        <v>17</v>
      </c>
      <c r="H1147" s="5">
        <v>66</v>
      </c>
      <c r="I1147" s="5">
        <v>18</v>
      </c>
      <c r="J1147" s="5" t="s">
        <v>32</v>
      </c>
      <c r="K1147" s="5" t="s">
        <v>35</v>
      </c>
      <c r="L1147" s="5" t="s">
        <v>20</v>
      </c>
      <c r="M1147" s="7" t="s">
        <v>41</v>
      </c>
      <c r="N1147" s="26">
        <f t="shared" si="102"/>
        <v>-1</v>
      </c>
      <c r="O1147" s="42">
        <f t="shared" si="103"/>
        <v>45171</v>
      </c>
      <c r="P1147" s="5" t="str">
        <f t="shared" si="104"/>
        <v>Saturday</v>
      </c>
      <c r="Q1147" s="5">
        <f t="shared" si="105"/>
        <v>8</v>
      </c>
      <c r="R1147" s="28">
        <f t="shared" si="106"/>
        <v>0.7857142857142857</v>
      </c>
      <c r="S1147" s="29">
        <f t="shared" si="107"/>
        <v>78.571428571428569</v>
      </c>
      <c r="T1147" s="5" t="str">
        <f>IF(Delivery_Data[[#This Row],[Delays (min)]]&gt;0,"No","Yes")</f>
        <v>No</v>
      </c>
    </row>
    <row r="1148" spans="1:20" ht="15.75" customHeight="1" x14ac:dyDescent="0.3">
      <c r="A1148" s="4">
        <v>2147</v>
      </c>
      <c r="B1148" s="5" t="s">
        <v>766</v>
      </c>
      <c r="C1148" s="6">
        <v>45170.662499999999</v>
      </c>
      <c r="D1148" s="5" t="s">
        <v>14</v>
      </c>
      <c r="E1148" s="5" t="s">
        <v>126</v>
      </c>
      <c r="F1148" s="5" t="s">
        <v>38</v>
      </c>
      <c r="G1148" s="5" t="s">
        <v>31</v>
      </c>
      <c r="H1148" s="5">
        <v>204</v>
      </c>
      <c r="I1148" s="5">
        <v>29</v>
      </c>
      <c r="J1148" s="5" t="s">
        <v>26</v>
      </c>
      <c r="K1148" s="5" t="s">
        <v>19</v>
      </c>
      <c r="L1148" s="5" t="s">
        <v>20</v>
      </c>
      <c r="M1148" s="7" t="s">
        <v>21</v>
      </c>
      <c r="N1148" s="26">
        <f t="shared" si="102"/>
        <v>1</v>
      </c>
      <c r="O1148" s="42">
        <f t="shared" si="103"/>
        <v>45170</v>
      </c>
      <c r="P1148" s="5" t="str">
        <f t="shared" si="104"/>
        <v>Friday</v>
      </c>
      <c r="Q1148" s="5">
        <f t="shared" si="105"/>
        <v>15</v>
      </c>
      <c r="R1148" s="28">
        <f t="shared" si="106"/>
        <v>0.87553648068669532</v>
      </c>
      <c r="S1148" s="29">
        <f t="shared" si="107"/>
        <v>87.553648068669531</v>
      </c>
      <c r="T1148" s="5" t="str">
        <f>IF(Delivery_Data[[#This Row],[Delays (min)]]&gt;0,"No","Yes")</f>
        <v>No</v>
      </c>
    </row>
    <row r="1149" spans="1:20" ht="15.75" customHeight="1" x14ac:dyDescent="0.3">
      <c r="A1149" s="4">
        <v>2148</v>
      </c>
      <c r="B1149" s="5" t="s">
        <v>1252</v>
      </c>
      <c r="C1149" s="6">
        <v>45170.637499999997</v>
      </c>
      <c r="D1149" s="5" t="s">
        <v>43</v>
      </c>
      <c r="E1149" s="5" t="s">
        <v>243</v>
      </c>
      <c r="F1149" s="5" t="s">
        <v>38</v>
      </c>
      <c r="G1149" s="5" t="s">
        <v>31</v>
      </c>
      <c r="H1149" s="5">
        <v>170</v>
      </c>
      <c r="I1149" s="5">
        <v>29</v>
      </c>
      <c r="J1149" s="5" t="s">
        <v>26</v>
      </c>
      <c r="K1149" s="5" t="s">
        <v>19</v>
      </c>
      <c r="L1149" s="5" t="s">
        <v>40</v>
      </c>
      <c r="M1149" s="7" t="s">
        <v>46</v>
      </c>
      <c r="N1149" s="26">
        <f t="shared" si="102"/>
        <v>1</v>
      </c>
      <c r="O1149" s="42">
        <f t="shared" si="103"/>
        <v>45170</v>
      </c>
      <c r="P1149" s="5" t="str">
        <f t="shared" si="104"/>
        <v>Friday</v>
      </c>
      <c r="Q1149" s="5">
        <f t="shared" si="105"/>
        <v>15</v>
      </c>
      <c r="R1149" s="28">
        <f t="shared" si="106"/>
        <v>0.85427135678391963</v>
      </c>
      <c r="S1149" s="29">
        <f t="shared" si="107"/>
        <v>85.427135678391963</v>
      </c>
      <c r="T1149" s="5" t="str">
        <f>IF(Delivery_Data[[#This Row],[Delays (min)]]&gt;0,"No","Yes")</f>
        <v>No</v>
      </c>
    </row>
    <row r="1150" spans="1:20" ht="15.75" customHeight="1" x14ac:dyDescent="0.3">
      <c r="A1150" s="4">
        <v>2149</v>
      </c>
      <c r="B1150" s="5" t="s">
        <v>1253</v>
      </c>
      <c r="C1150" s="6">
        <v>45172.484722222223</v>
      </c>
      <c r="D1150" s="5" t="s">
        <v>43</v>
      </c>
      <c r="E1150" s="5" t="s">
        <v>93</v>
      </c>
      <c r="F1150" s="5" t="s">
        <v>16</v>
      </c>
      <c r="G1150" s="5" t="s">
        <v>56</v>
      </c>
      <c r="H1150" s="5">
        <v>71</v>
      </c>
      <c r="I1150" s="5">
        <v>16</v>
      </c>
      <c r="J1150" s="5" t="s">
        <v>32</v>
      </c>
      <c r="K1150" s="5" t="s">
        <v>45</v>
      </c>
      <c r="L1150" s="5" t="s">
        <v>28</v>
      </c>
      <c r="M1150" s="7" t="s">
        <v>41</v>
      </c>
      <c r="N1150" s="26">
        <f t="shared" si="102"/>
        <v>-1</v>
      </c>
      <c r="O1150" s="42">
        <f t="shared" si="103"/>
        <v>45172</v>
      </c>
      <c r="P1150" s="5" t="str">
        <f t="shared" si="104"/>
        <v>Sunday</v>
      </c>
      <c r="Q1150" s="5">
        <f t="shared" si="105"/>
        <v>11</v>
      </c>
      <c r="R1150" s="28">
        <f t="shared" si="106"/>
        <v>0.81609195402298851</v>
      </c>
      <c r="S1150" s="29">
        <f t="shared" si="107"/>
        <v>81.609195402298852</v>
      </c>
      <c r="T1150" s="5" t="str">
        <f>IF(Delivery_Data[[#This Row],[Delays (min)]]&gt;0,"No","Yes")</f>
        <v>No</v>
      </c>
    </row>
    <row r="1151" spans="1:20" ht="15.75" customHeight="1" x14ac:dyDescent="0.3">
      <c r="A1151" s="4">
        <v>2150</v>
      </c>
      <c r="B1151" s="5" t="s">
        <v>1254</v>
      </c>
      <c r="C1151" s="6">
        <v>45174.54583333333</v>
      </c>
      <c r="D1151" s="5" t="s">
        <v>14</v>
      </c>
      <c r="E1151" s="5" t="s">
        <v>37</v>
      </c>
      <c r="F1151" s="5" t="s">
        <v>38</v>
      </c>
      <c r="G1151" s="5" t="s">
        <v>17</v>
      </c>
      <c r="H1151" s="5">
        <v>182</v>
      </c>
      <c r="I1151" s="5">
        <v>24</v>
      </c>
      <c r="J1151" s="5" t="s">
        <v>18</v>
      </c>
      <c r="K1151" s="5" t="s">
        <v>49</v>
      </c>
      <c r="L1151" s="5" t="s">
        <v>40</v>
      </c>
      <c r="M1151" s="7" t="s">
        <v>41</v>
      </c>
      <c r="N1151" s="26">
        <f t="shared" si="102"/>
        <v>0</v>
      </c>
      <c r="O1151" s="42">
        <f t="shared" si="103"/>
        <v>45174</v>
      </c>
      <c r="P1151" s="5" t="str">
        <f t="shared" si="104"/>
        <v>Tuesday</v>
      </c>
      <c r="Q1151" s="5">
        <f t="shared" si="105"/>
        <v>13</v>
      </c>
      <c r="R1151" s="28">
        <f t="shared" si="106"/>
        <v>0.88349514563106801</v>
      </c>
      <c r="S1151" s="29">
        <f t="shared" si="107"/>
        <v>88.349514563106794</v>
      </c>
      <c r="T1151" s="5" t="str">
        <f>IF(Delivery_Data[[#This Row],[Delays (min)]]&gt;0,"No","Yes")</f>
        <v>No</v>
      </c>
    </row>
    <row r="1152" spans="1:20" ht="15.75" customHeight="1" x14ac:dyDescent="0.3">
      <c r="A1152" s="4">
        <v>2151</v>
      </c>
      <c r="B1152" s="5" t="s">
        <v>1255</v>
      </c>
      <c r="C1152" s="6">
        <v>45175.549305555556</v>
      </c>
      <c r="D1152" s="5" t="s">
        <v>43</v>
      </c>
      <c r="E1152" s="5" t="s">
        <v>200</v>
      </c>
      <c r="F1152" s="5" t="s">
        <v>38</v>
      </c>
      <c r="G1152" s="5" t="s">
        <v>39</v>
      </c>
      <c r="H1152" s="5">
        <v>114</v>
      </c>
      <c r="I1152" s="5">
        <v>5</v>
      </c>
      <c r="J1152" s="5" t="s">
        <v>32</v>
      </c>
      <c r="K1152" s="5" t="s">
        <v>45</v>
      </c>
      <c r="L1152" s="5" t="s">
        <v>20</v>
      </c>
      <c r="M1152" s="7" t="s">
        <v>46</v>
      </c>
      <c r="N1152" s="26">
        <f t="shared" si="102"/>
        <v>-1</v>
      </c>
      <c r="O1152" s="42">
        <f t="shared" si="103"/>
        <v>45175</v>
      </c>
      <c r="P1152" s="5" t="str">
        <f t="shared" si="104"/>
        <v>Wednesday</v>
      </c>
      <c r="Q1152" s="5">
        <f t="shared" si="105"/>
        <v>13</v>
      </c>
      <c r="R1152" s="28">
        <f t="shared" si="106"/>
        <v>0.95798319327731096</v>
      </c>
      <c r="S1152" s="29">
        <f t="shared" si="107"/>
        <v>95.798319327731093</v>
      </c>
      <c r="T1152" s="5" t="str">
        <f>IF(Delivery_Data[[#This Row],[Delays (min)]]&gt;0,"No","Yes")</f>
        <v>No</v>
      </c>
    </row>
    <row r="1153" spans="1:20" ht="15.75" customHeight="1" x14ac:dyDescent="0.3">
      <c r="A1153" s="4">
        <v>2152</v>
      </c>
      <c r="B1153" s="5" t="s">
        <v>1256</v>
      </c>
      <c r="C1153" s="6">
        <v>45171.396527777775</v>
      </c>
      <c r="D1153" s="5" t="s">
        <v>14</v>
      </c>
      <c r="E1153" s="5" t="s">
        <v>333</v>
      </c>
      <c r="F1153" s="5" t="s">
        <v>16</v>
      </c>
      <c r="G1153" s="5" t="s">
        <v>39</v>
      </c>
      <c r="H1153" s="5">
        <v>84</v>
      </c>
      <c r="I1153" s="5">
        <v>7</v>
      </c>
      <c r="J1153" s="5" t="s">
        <v>32</v>
      </c>
      <c r="K1153" s="5" t="s">
        <v>49</v>
      </c>
      <c r="L1153" s="5" t="s">
        <v>40</v>
      </c>
      <c r="M1153" s="7" t="s">
        <v>46</v>
      </c>
      <c r="N1153" s="26">
        <f t="shared" si="102"/>
        <v>-1</v>
      </c>
      <c r="O1153" s="42">
        <f t="shared" si="103"/>
        <v>45171</v>
      </c>
      <c r="P1153" s="5" t="str">
        <f t="shared" si="104"/>
        <v>Saturday</v>
      </c>
      <c r="Q1153" s="5">
        <f t="shared" si="105"/>
        <v>9</v>
      </c>
      <c r="R1153" s="28">
        <f t="shared" si="106"/>
        <v>0.92307692307692313</v>
      </c>
      <c r="S1153" s="29">
        <f t="shared" si="107"/>
        <v>92.307692307692307</v>
      </c>
      <c r="T1153" s="5" t="str">
        <f>IF(Delivery_Data[[#This Row],[Delays (min)]]&gt;0,"No","Yes")</f>
        <v>No</v>
      </c>
    </row>
    <row r="1154" spans="1:20" ht="15.75" customHeight="1" x14ac:dyDescent="0.3">
      <c r="A1154" s="4">
        <v>2153</v>
      </c>
      <c r="B1154" s="5" t="s">
        <v>1257</v>
      </c>
      <c r="C1154" s="6">
        <v>45172.424305555556</v>
      </c>
      <c r="D1154" s="5" t="s">
        <v>14</v>
      </c>
      <c r="E1154" s="5" t="s">
        <v>288</v>
      </c>
      <c r="F1154" s="5" t="s">
        <v>24</v>
      </c>
      <c r="G1154" s="5" t="s">
        <v>31</v>
      </c>
      <c r="H1154" s="5">
        <v>181</v>
      </c>
      <c r="I1154" s="5">
        <v>16</v>
      </c>
      <c r="J1154" s="5" t="s">
        <v>32</v>
      </c>
      <c r="K1154" s="5" t="s">
        <v>19</v>
      </c>
      <c r="L1154" s="5" t="s">
        <v>40</v>
      </c>
      <c r="M1154" s="7" t="s">
        <v>21</v>
      </c>
      <c r="N1154" s="26">
        <f t="shared" ref="N1154:N1217" si="108">IF(J1154="Positive",1,IF(J1154="Neutral",0,IF(J1154="Negative",-1,"")))</f>
        <v>-1</v>
      </c>
      <c r="O1154" s="42">
        <f t="shared" ref="O1154:O1217" si="109">INT(C1154)</f>
        <v>45172</v>
      </c>
      <c r="P1154" s="5" t="str">
        <f t="shared" ref="P1154:P1217" si="110">TEXT(C1154,"dddd")</f>
        <v>Sunday</v>
      </c>
      <c r="Q1154" s="5">
        <f t="shared" ref="Q1154:Q1217" si="111">HOUR(C1154)</f>
        <v>10</v>
      </c>
      <c r="R1154" s="28">
        <f t="shared" ref="R1154:R1217" si="112">H1154/(H1154+I1154)</f>
        <v>0.91878172588832485</v>
      </c>
      <c r="S1154" s="29">
        <f t="shared" si="107"/>
        <v>91.878172588832484</v>
      </c>
      <c r="T1154" s="5" t="str">
        <f>IF(Delivery_Data[[#This Row],[Delays (min)]]&gt;0,"No","Yes")</f>
        <v>No</v>
      </c>
    </row>
    <row r="1155" spans="1:20" ht="15.75" customHeight="1" x14ac:dyDescent="0.3">
      <c r="A1155" s="4">
        <v>2154</v>
      </c>
      <c r="B1155" s="5" t="s">
        <v>1258</v>
      </c>
      <c r="C1155" s="6">
        <v>45174.64166666667</v>
      </c>
      <c r="D1155" s="5" t="s">
        <v>14</v>
      </c>
      <c r="E1155" s="5" t="s">
        <v>162</v>
      </c>
      <c r="F1155" s="5" t="s">
        <v>24</v>
      </c>
      <c r="G1155" s="5" t="s">
        <v>31</v>
      </c>
      <c r="H1155" s="5">
        <v>188</v>
      </c>
      <c r="I1155" s="5">
        <v>26</v>
      </c>
      <c r="J1155" s="5" t="s">
        <v>26</v>
      </c>
      <c r="K1155" s="5" t="s">
        <v>27</v>
      </c>
      <c r="L1155" s="5" t="s">
        <v>40</v>
      </c>
      <c r="M1155" s="7" t="s">
        <v>21</v>
      </c>
      <c r="N1155" s="26">
        <f t="shared" si="108"/>
        <v>1</v>
      </c>
      <c r="O1155" s="42">
        <f t="shared" si="109"/>
        <v>45174</v>
      </c>
      <c r="P1155" s="5" t="str">
        <f t="shared" si="110"/>
        <v>Tuesday</v>
      </c>
      <c r="Q1155" s="5">
        <f t="shared" si="111"/>
        <v>15</v>
      </c>
      <c r="R1155" s="28">
        <f t="shared" si="112"/>
        <v>0.87850467289719625</v>
      </c>
      <c r="S1155" s="29">
        <f t="shared" ref="S1155:S1218" si="113">IF(H1155+I1155=0,0,(H1155/(H1155+I1155))*100) + (IFERROR(--J1155,0)*10)</f>
        <v>87.850467289719631</v>
      </c>
      <c r="T1155" s="5" t="str">
        <f>IF(Delivery_Data[[#This Row],[Delays (min)]]&gt;0,"No","Yes")</f>
        <v>No</v>
      </c>
    </row>
    <row r="1156" spans="1:20" ht="15.75" customHeight="1" x14ac:dyDescent="0.3">
      <c r="A1156" s="4">
        <v>2155</v>
      </c>
      <c r="B1156" s="5" t="s">
        <v>1259</v>
      </c>
      <c r="C1156" s="6">
        <v>45177.468055555553</v>
      </c>
      <c r="D1156" s="5" t="s">
        <v>43</v>
      </c>
      <c r="E1156" s="5" t="s">
        <v>93</v>
      </c>
      <c r="F1156" s="5" t="s">
        <v>24</v>
      </c>
      <c r="G1156" s="5" t="s">
        <v>56</v>
      </c>
      <c r="H1156" s="5">
        <v>162</v>
      </c>
      <c r="I1156" s="5">
        <v>3</v>
      </c>
      <c r="J1156" s="5" t="s">
        <v>26</v>
      </c>
      <c r="K1156" s="5" t="s">
        <v>45</v>
      </c>
      <c r="L1156" s="5" t="s">
        <v>20</v>
      </c>
      <c r="M1156" s="7" t="s">
        <v>46</v>
      </c>
      <c r="N1156" s="26">
        <f t="shared" si="108"/>
        <v>1</v>
      </c>
      <c r="O1156" s="42">
        <f t="shared" si="109"/>
        <v>45177</v>
      </c>
      <c r="P1156" s="5" t="str">
        <f t="shared" si="110"/>
        <v>Friday</v>
      </c>
      <c r="Q1156" s="5">
        <f t="shared" si="111"/>
        <v>11</v>
      </c>
      <c r="R1156" s="28">
        <f t="shared" si="112"/>
        <v>0.98181818181818181</v>
      </c>
      <c r="S1156" s="29">
        <f t="shared" si="113"/>
        <v>98.181818181818187</v>
      </c>
      <c r="T1156" s="5" t="str">
        <f>IF(Delivery_Data[[#This Row],[Delays (min)]]&gt;0,"No","Yes")</f>
        <v>No</v>
      </c>
    </row>
    <row r="1157" spans="1:20" ht="15.75" customHeight="1" x14ac:dyDescent="0.3">
      <c r="A1157" s="4">
        <v>2156</v>
      </c>
      <c r="B1157" s="5" t="s">
        <v>1260</v>
      </c>
      <c r="C1157" s="6">
        <v>45170.423611111109</v>
      </c>
      <c r="D1157" s="5" t="s">
        <v>43</v>
      </c>
      <c r="E1157" s="5" t="s">
        <v>154</v>
      </c>
      <c r="F1157" s="5" t="s">
        <v>38</v>
      </c>
      <c r="G1157" s="5" t="s">
        <v>56</v>
      </c>
      <c r="H1157" s="5">
        <v>227</v>
      </c>
      <c r="I1157" s="5">
        <v>1</v>
      </c>
      <c r="J1157" s="5" t="s">
        <v>26</v>
      </c>
      <c r="K1157" s="5" t="s">
        <v>27</v>
      </c>
      <c r="L1157" s="5" t="s">
        <v>20</v>
      </c>
      <c r="M1157" s="7" t="s">
        <v>41</v>
      </c>
      <c r="N1157" s="26">
        <f t="shared" si="108"/>
        <v>1</v>
      </c>
      <c r="O1157" s="42">
        <f t="shared" si="109"/>
        <v>45170</v>
      </c>
      <c r="P1157" s="5" t="str">
        <f t="shared" si="110"/>
        <v>Friday</v>
      </c>
      <c r="Q1157" s="5">
        <f t="shared" si="111"/>
        <v>10</v>
      </c>
      <c r="R1157" s="28">
        <f t="shared" si="112"/>
        <v>0.99561403508771928</v>
      </c>
      <c r="S1157" s="29">
        <f t="shared" si="113"/>
        <v>99.561403508771932</v>
      </c>
      <c r="T1157" s="5" t="str">
        <f>IF(Delivery_Data[[#This Row],[Delays (min)]]&gt;0,"No","Yes")</f>
        <v>No</v>
      </c>
    </row>
    <row r="1158" spans="1:20" ht="15.75" customHeight="1" x14ac:dyDescent="0.3">
      <c r="A1158" s="4">
        <v>2157</v>
      </c>
      <c r="B1158" s="5" t="s">
        <v>1261</v>
      </c>
      <c r="C1158" s="6">
        <v>45174.57916666667</v>
      </c>
      <c r="D1158" s="5" t="s">
        <v>43</v>
      </c>
      <c r="E1158" s="5" t="s">
        <v>44</v>
      </c>
      <c r="F1158" s="5" t="s">
        <v>38</v>
      </c>
      <c r="G1158" s="5" t="s">
        <v>56</v>
      </c>
      <c r="H1158" s="5">
        <v>131</v>
      </c>
      <c r="I1158" s="5">
        <v>27</v>
      </c>
      <c r="J1158" s="5" t="s">
        <v>32</v>
      </c>
      <c r="K1158" s="5" t="s">
        <v>45</v>
      </c>
      <c r="L1158" s="5" t="s">
        <v>40</v>
      </c>
      <c r="M1158" s="7" t="s">
        <v>41</v>
      </c>
      <c r="N1158" s="26">
        <f t="shared" si="108"/>
        <v>-1</v>
      </c>
      <c r="O1158" s="42">
        <f t="shared" si="109"/>
        <v>45174</v>
      </c>
      <c r="P1158" s="5" t="str">
        <f t="shared" si="110"/>
        <v>Tuesday</v>
      </c>
      <c r="Q1158" s="5">
        <f t="shared" si="111"/>
        <v>13</v>
      </c>
      <c r="R1158" s="28">
        <f t="shared" si="112"/>
        <v>0.82911392405063289</v>
      </c>
      <c r="S1158" s="29">
        <f t="shared" si="113"/>
        <v>82.911392405063282</v>
      </c>
      <c r="T1158" s="5" t="str">
        <f>IF(Delivery_Data[[#This Row],[Delays (min)]]&gt;0,"No","Yes")</f>
        <v>No</v>
      </c>
    </row>
    <row r="1159" spans="1:20" ht="15.75" customHeight="1" x14ac:dyDescent="0.3">
      <c r="A1159" s="4">
        <v>2158</v>
      </c>
      <c r="B1159" s="5" t="s">
        <v>1262</v>
      </c>
      <c r="C1159" s="6">
        <v>45171.42291666667</v>
      </c>
      <c r="D1159" s="5" t="s">
        <v>43</v>
      </c>
      <c r="E1159" s="5" t="s">
        <v>87</v>
      </c>
      <c r="F1159" s="5" t="s">
        <v>16</v>
      </c>
      <c r="G1159" s="5" t="s">
        <v>56</v>
      </c>
      <c r="H1159" s="5">
        <v>219</v>
      </c>
      <c r="I1159" s="5">
        <v>10</v>
      </c>
      <c r="J1159" s="5" t="s">
        <v>18</v>
      </c>
      <c r="K1159" s="5" t="s">
        <v>27</v>
      </c>
      <c r="L1159" s="5" t="s">
        <v>28</v>
      </c>
      <c r="M1159" s="7" t="s">
        <v>46</v>
      </c>
      <c r="N1159" s="26">
        <f t="shared" si="108"/>
        <v>0</v>
      </c>
      <c r="O1159" s="42">
        <f t="shared" si="109"/>
        <v>45171</v>
      </c>
      <c r="P1159" s="5" t="str">
        <f t="shared" si="110"/>
        <v>Saturday</v>
      </c>
      <c r="Q1159" s="5">
        <f t="shared" si="111"/>
        <v>10</v>
      </c>
      <c r="R1159" s="28">
        <f t="shared" si="112"/>
        <v>0.95633187772925765</v>
      </c>
      <c r="S1159" s="29">
        <f t="shared" si="113"/>
        <v>95.633187772925766</v>
      </c>
      <c r="T1159" s="5" t="str">
        <f>IF(Delivery_Data[[#This Row],[Delays (min)]]&gt;0,"No","Yes")</f>
        <v>No</v>
      </c>
    </row>
    <row r="1160" spans="1:20" ht="15.75" customHeight="1" x14ac:dyDescent="0.3">
      <c r="A1160" s="4">
        <v>2159</v>
      </c>
      <c r="B1160" s="5" t="s">
        <v>1263</v>
      </c>
      <c r="C1160" s="6">
        <v>45176.59097222222</v>
      </c>
      <c r="D1160" s="5" t="s">
        <v>43</v>
      </c>
      <c r="E1160" s="5" t="s">
        <v>140</v>
      </c>
      <c r="F1160" s="5" t="s">
        <v>38</v>
      </c>
      <c r="G1160" s="5" t="s">
        <v>31</v>
      </c>
      <c r="H1160" s="5">
        <v>139</v>
      </c>
      <c r="I1160" s="5">
        <v>26</v>
      </c>
      <c r="J1160" s="5" t="s">
        <v>18</v>
      </c>
      <c r="K1160" s="5" t="s">
        <v>49</v>
      </c>
      <c r="L1160" s="5" t="s">
        <v>20</v>
      </c>
      <c r="M1160" s="7" t="s">
        <v>41</v>
      </c>
      <c r="N1160" s="26">
        <f t="shared" si="108"/>
        <v>0</v>
      </c>
      <c r="O1160" s="42">
        <f t="shared" si="109"/>
        <v>45176</v>
      </c>
      <c r="P1160" s="5" t="str">
        <f t="shared" si="110"/>
        <v>Thursday</v>
      </c>
      <c r="Q1160" s="5">
        <f t="shared" si="111"/>
        <v>14</v>
      </c>
      <c r="R1160" s="28">
        <f t="shared" si="112"/>
        <v>0.84242424242424241</v>
      </c>
      <c r="S1160" s="29">
        <f t="shared" si="113"/>
        <v>84.242424242424235</v>
      </c>
      <c r="T1160" s="5" t="str">
        <f>IF(Delivery_Data[[#This Row],[Delays (min)]]&gt;0,"No","Yes")</f>
        <v>No</v>
      </c>
    </row>
    <row r="1161" spans="1:20" ht="15.75" customHeight="1" x14ac:dyDescent="0.3">
      <c r="A1161" s="4">
        <v>2160</v>
      </c>
      <c r="B1161" s="5" t="s">
        <v>1264</v>
      </c>
      <c r="C1161" s="6">
        <v>45174.571527777778</v>
      </c>
      <c r="D1161" s="5" t="s">
        <v>43</v>
      </c>
      <c r="E1161" s="5" t="s">
        <v>23</v>
      </c>
      <c r="F1161" s="5" t="s">
        <v>24</v>
      </c>
      <c r="G1161" s="5" t="s">
        <v>25</v>
      </c>
      <c r="H1161" s="5">
        <v>217</v>
      </c>
      <c r="I1161" s="5">
        <v>7</v>
      </c>
      <c r="J1161" s="5" t="s">
        <v>32</v>
      </c>
      <c r="K1161" s="5" t="s">
        <v>35</v>
      </c>
      <c r="L1161" s="5" t="s">
        <v>40</v>
      </c>
      <c r="M1161" s="7" t="s">
        <v>41</v>
      </c>
      <c r="N1161" s="26">
        <f t="shared" si="108"/>
        <v>-1</v>
      </c>
      <c r="O1161" s="42">
        <f t="shared" si="109"/>
        <v>45174</v>
      </c>
      <c r="P1161" s="5" t="str">
        <f t="shared" si="110"/>
        <v>Tuesday</v>
      </c>
      <c r="Q1161" s="5">
        <f t="shared" si="111"/>
        <v>13</v>
      </c>
      <c r="R1161" s="28">
        <f t="shared" si="112"/>
        <v>0.96875</v>
      </c>
      <c r="S1161" s="29">
        <f t="shared" si="113"/>
        <v>96.875</v>
      </c>
      <c r="T1161" s="5" t="str">
        <f>IF(Delivery_Data[[#This Row],[Delays (min)]]&gt;0,"No","Yes")</f>
        <v>No</v>
      </c>
    </row>
    <row r="1162" spans="1:20" ht="15.75" customHeight="1" x14ac:dyDescent="0.3">
      <c r="A1162" s="4">
        <v>2161</v>
      </c>
      <c r="B1162" s="5" t="s">
        <v>1265</v>
      </c>
      <c r="C1162" s="6">
        <v>45173.620833333334</v>
      </c>
      <c r="D1162" s="5" t="s">
        <v>43</v>
      </c>
      <c r="E1162" s="5" t="s">
        <v>234</v>
      </c>
      <c r="F1162" s="5" t="s">
        <v>16</v>
      </c>
      <c r="G1162" s="5" t="s">
        <v>31</v>
      </c>
      <c r="H1162" s="5">
        <v>60</v>
      </c>
      <c r="I1162" s="5">
        <v>16</v>
      </c>
      <c r="J1162" s="5" t="s">
        <v>32</v>
      </c>
      <c r="K1162" s="5" t="s">
        <v>45</v>
      </c>
      <c r="L1162" s="5" t="s">
        <v>40</v>
      </c>
      <c r="M1162" s="7" t="s">
        <v>46</v>
      </c>
      <c r="N1162" s="26">
        <f t="shared" si="108"/>
        <v>-1</v>
      </c>
      <c r="O1162" s="42">
        <f t="shared" si="109"/>
        <v>45173</v>
      </c>
      <c r="P1162" s="5" t="str">
        <f t="shared" si="110"/>
        <v>Monday</v>
      </c>
      <c r="Q1162" s="5">
        <f t="shared" si="111"/>
        <v>14</v>
      </c>
      <c r="R1162" s="28">
        <f t="shared" si="112"/>
        <v>0.78947368421052633</v>
      </c>
      <c r="S1162" s="29">
        <f t="shared" si="113"/>
        <v>78.94736842105263</v>
      </c>
      <c r="T1162" s="5" t="str">
        <f>IF(Delivery_Data[[#This Row],[Delays (min)]]&gt;0,"No","Yes")</f>
        <v>No</v>
      </c>
    </row>
    <row r="1163" spans="1:20" ht="15.75" customHeight="1" x14ac:dyDescent="0.3">
      <c r="A1163" s="4">
        <v>2162</v>
      </c>
      <c r="B1163" s="5" t="s">
        <v>1266</v>
      </c>
      <c r="C1163" s="6">
        <v>45170.490972222222</v>
      </c>
      <c r="D1163" s="5" t="s">
        <v>14</v>
      </c>
      <c r="E1163" s="5" t="s">
        <v>182</v>
      </c>
      <c r="F1163" s="5" t="s">
        <v>24</v>
      </c>
      <c r="G1163" s="5" t="s">
        <v>31</v>
      </c>
      <c r="H1163" s="5">
        <v>118</v>
      </c>
      <c r="I1163" s="5">
        <v>11</v>
      </c>
      <c r="J1163" s="5" t="s">
        <v>26</v>
      </c>
      <c r="K1163" s="5" t="s">
        <v>35</v>
      </c>
      <c r="L1163" s="5" t="s">
        <v>20</v>
      </c>
      <c r="M1163" s="7" t="s">
        <v>46</v>
      </c>
      <c r="N1163" s="26">
        <f t="shared" si="108"/>
        <v>1</v>
      </c>
      <c r="O1163" s="42">
        <f t="shared" si="109"/>
        <v>45170</v>
      </c>
      <c r="P1163" s="5" t="str">
        <f t="shared" si="110"/>
        <v>Friday</v>
      </c>
      <c r="Q1163" s="5">
        <f t="shared" si="111"/>
        <v>11</v>
      </c>
      <c r="R1163" s="28">
        <f t="shared" si="112"/>
        <v>0.9147286821705426</v>
      </c>
      <c r="S1163" s="29">
        <f t="shared" si="113"/>
        <v>91.472868217054256</v>
      </c>
      <c r="T1163" s="5" t="str">
        <f>IF(Delivery_Data[[#This Row],[Delays (min)]]&gt;0,"No","Yes")</f>
        <v>No</v>
      </c>
    </row>
    <row r="1164" spans="1:20" ht="15.75" customHeight="1" x14ac:dyDescent="0.3">
      <c r="A1164" s="4">
        <v>2163</v>
      </c>
      <c r="B1164" s="5" t="s">
        <v>1267</v>
      </c>
      <c r="C1164" s="6">
        <v>45173.702777777777</v>
      </c>
      <c r="D1164" s="5" t="s">
        <v>14</v>
      </c>
      <c r="E1164" s="5" t="s">
        <v>143</v>
      </c>
      <c r="F1164" s="5" t="s">
        <v>24</v>
      </c>
      <c r="G1164" s="5" t="s">
        <v>31</v>
      </c>
      <c r="H1164" s="5">
        <v>72</v>
      </c>
      <c r="I1164" s="5">
        <v>28</v>
      </c>
      <c r="J1164" s="5" t="s">
        <v>32</v>
      </c>
      <c r="K1164" s="5" t="s">
        <v>19</v>
      </c>
      <c r="L1164" s="5" t="s">
        <v>40</v>
      </c>
      <c r="M1164" s="7" t="s">
        <v>46</v>
      </c>
      <c r="N1164" s="26">
        <f t="shared" si="108"/>
        <v>-1</v>
      </c>
      <c r="O1164" s="42">
        <f t="shared" si="109"/>
        <v>45173</v>
      </c>
      <c r="P1164" s="5" t="str">
        <f t="shared" si="110"/>
        <v>Monday</v>
      </c>
      <c r="Q1164" s="5">
        <f t="shared" si="111"/>
        <v>16</v>
      </c>
      <c r="R1164" s="28">
        <f t="shared" si="112"/>
        <v>0.72</v>
      </c>
      <c r="S1164" s="29">
        <f t="shared" si="113"/>
        <v>72</v>
      </c>
      <c r="T1164" s="5" t="str">
        <f>IF(Delivery_Data[[#This Row],[Delays (min)]]&gt;0,"No","Yes")</f>
        <v>No</v>
      </c>
    </row>
    <row r="1165" spans="1:20" ht="15.75" customHeight="1" x14ac:dyDescent="0.3">
      <c r="A1165" s="4">
        <v>2164</v>
      </c>
      <c r="B1165" s="5" t="s">
        <v>1268</v>
      </c>
      <c r="C1165" s="6">
        <v>45174.470833333333</v>
      </c>
      <c r="D1165" s="5" t="s">
        <v>14</v>
      </c>
      <c r="E1165" s="5" t="s">
        <v>154</v>
      </c>
      <c r="F1165" s="5" t="s">
        <v>38</v>
      </c>
      <c r="G1165" s="5" t="s">
        <v>17</v>
      </c>
      <c r="H1165" s="5">
        <v>118</v>
      </c>
      <c r="I1165" s="5">
        <v>0</v>
      </c>
      <c r="J1165" s="5" t="s">
        <v>32</v>
      </c>
      <c r="K1165" s="5" t="s">
        <v>49</v>
      </c>
      <c r="L1165" s="5" t="s">
        <v>28</v>
      </c>
      <c r="M1165" s="7" t="s">
        <v>21</v>
      </c>
      <c r="N1165" s="26">
        <f t="shared" si="108"/>
        <v>-1</v>
      </c>
      <c r="O1165" s="42">
        <f t="shared" si="109"/>
        <v>45174</v>
      </c>
      <c r="P1165" s="5" t="str">
        <f t="shared" si="110"/>
        <v>Tuesday</v>
      </c>
      <c r="Q1165" s="5">
        <f t="shared" si="111"/>
        <v>11</v>
      </c>
      <c r="R1165" s="28">
        <f t="shared" si="112"/>
        <v>1</v>
      </c>
      <c r="S1165" s="29">
        <f t="shared" si="113"/>
        <v>100</v>
      </c>
      <c r="T1165" s="5" t="str">
        <f>IF(Delivery_Data[[#This Row],[Delays (min)]]&gt;0,"No","Yes")</f>
        <v>Yes</v>
      </c>
    </row>
    <row r="1166" spans="1:20" ht="15.75" customHeight="1" x14ac:dyDescent="0.3">
      <c r="A1166" s="4">
        <v>2165</v>
      </c>
      <c r="B1166" s="5" t="s">
        <v>1269</v>
      </c>
      <c r="C1166" s="6">
        <v>45170.519444444442</v>
      </c>
      <c r="D1166" s="5" t="s">
        <v>43</v>
      </c>
      <c r="E1166" s="5" t="s">
        <v>243</v>
      </c>
      <c r="F1166" s="5" t="s">
        <v>38</v>
      </c>
      <c r="G1166" s="5" t="s">
        <v>17</v>
      </c>
      <c r="H1166" s="5">
        <v>228</v>
      </c>
      <c r="I1166" s="5">
        <v>20</v>
      </c>
      <c r="J1166" s="5" t="s">
        <v>32</v>
      </c>
      <c r="K1166" s="5" t="s">
        <v>45</v>
      </c>
      <c r="L1166" s="5" t="s">
        <v>40</v>
      </c>
      <c r="M1166" s="7" t="s">
        <v>46</v>
      </c>
      <c r="N1166" s="26">
        <f t="shared" si="108"/>
        <v>-1</v>
      </c>
      <c r="O1166" s="42">
        <f t="shared" si="109"/>
        <v>45170</v>
      </c>
      <c r="P1166" s="5" t="str">
        <f t="shared" si="110"/>
        <v>Friday</v>
      </c>
      <c r="Q1166" s="5">
        <f t="shared" si="111"/>
        <v>12</v>
      </c>
      <c r="R1166" s="28">
        <f t="shared" si="112"/>
        <v>0.91935483870967738</v>
      </c>
      <c r="S1166" s="29">
        <f t="shared" si="113"/>
        <v>91.935483870967744</v>
      </c>
      <c r="T1166" s="5" t="str">
        <f>IF(Delivery_Data[[#This Row],[Delays (min)]]&gt;0,"No","Yes")</f>
        <v>No</v>
      </c>
    </row>
    <row r="1167" spans="1:20" ht="15.75" customHeight="1" x14ac:dyDescent="0.3">
      <c r="A1167" s="4">
        <v>2166</v>
      </c>
      <c r="B1167" s="5" t="s">
        <v>1270</v>
      </c>
      <c r="C1167" s="6">
        <v>45177.522222222222</v>
      </c>
      <c r="D1167" s="5" t="s">
        <v>14</v>
      </c>
      <c r="E1167" s="5" t="s">
        <v>204</v>
      </c>
      <c r="F1167" s="5" t="s">
        <v>38</v>
      </c>
      <c r="G1167" s="5" t="s">
        <v>17</v>
      </c>
      <c r="H1167" s="5">
        <v>212</v>
      </c>
      <c r="I1167" s="5">
        <v>9</v>
      </c>
      <c r="J1167" s="5" t="s">
        <v>18</v>
      </c>
      <c r="K1167" s="5" t="s">
        <v>19</v>
      </c>
      <c r="L1167" s="5" t="s">
        <v>40</v>
      </c>
      <c r="M1167" s="7" t="s">
        <v>46</v>
      </c>
      <c r="N1167" s="26">
        <f t="shared" si="108"/>
        <v>0</v>
      </c>
      <c r="O1167" s="42">
        <f t="shared" si="109"/>
        <v>45177</v>
      </c>
      <c r="P1167" s="5" t="str">
        <f t="shared" si="110"/>
        <v>Friday</v>
      </c>
      <c r="Q1167" s="5">
        <f t="shared" si="111"/>
        <v>12</v>
      </c>
      <c r="R1167" s="28">
        <f t="shared" si="112"/>
        <v>0.95927601809954754</v>
      </c>
      <c r="S1167" s="29">
        <f t="shared" si="113"/>
        <v>95.927601809954751</v>
      </c>
      <c r="T1167" s="5" t="str">
        <f>IF(Delivery_Data[[#This Row],[Delays (min)]]&gt;0,"No","Yes")</f>
        <v>No</v>
      </c>
    </row>
    <row r="1168" spans="1:20" ht="15.75" customHeight="1" x14ac:dyDescent="0.3">
      <c r="A1168" s="4">
        <v>2167</v>
      </c>
      <c r="B1168" s="5" t="s">
        <v>1271</v>
      </c>
      <c r="C1168" s="6">
        <v>45175.693055555559</v>
      </c>
      <c r="D1168" s="5" t="s">
        <v>43</v>
      </c>
      <c r="E1168" s="5" t="s">
        <v>261</v>
      </c>
      <c r="F1168" s="5" t="s">
        <v>24</v>
      </c>
      <c r="G1168" s="5" t="s">
        <v>31</v>
      </c>
      <c r="H1168" s="5">
        <v>169</v>
      </c>
      <c r="I1168" s="5">
        <v>24</v>
      </c>
      <c r="J1168" s="5" t="s">
        <v>18</v>
      </c>
      <c r="K1168" s="5" t="s">
        <v>49</v>
      </c>
      <c r="L1168" s="5" t="s">
        <v>40</v>
      </c>
      <c r="M1168" s="7" t="s">
        <v>21</v>
      </c>
      <c r="N1168" s="26">
        <f t="shared" si="108"/>
        <v>0</v>
      </c>
      <c r="O1168" s="42">
        <f t="shared" si="109"/>
        <v>45175</v>
      </c>
      <c r="P1168" s="5" t="str">
        <f t="shared" si="110"/>
        <v>Wednesday</v>
      </c>
      <c r="Q1168" s="5">
        <f t="shared" si="111"/>
        <v>16</v>
      </c>
      <c r="R1168" s="28">
        <f t="shared" si="112"/>
        <v>0.87564766839378239</v>
      </c>
      <c r="S1168" s="29">
        <f t="shared" si="113"/>
        <v>87.564766839378237</v>
      </c>
      <c r="T1168" s="5" t="str">
        <f>IF(Delivery_Data[[#This Row],[Delays (min)]]&gt;0,"No","Yes")</f>
        <v>No</v>
      </c>
    </row>
    <row r="1169" spans="1:20" ht="15.75" customHeight="1" x14ac:dyDescent="0.3">
      <c r="A1169" s="4">
        <v>2168</v>
      </c>
      <c r="B1169" s="5" t="s">
        <v>1272</v>
      </c>
      <c r="C1169" s="6">
        <v>45177.345138888886</v>
      </c>
      <c r="D1169" s="5" t="s">
        <v>14</v>
      </c>
      <c r="E1169" s="5" t="s">
        <v>374</v>
      </c>
      <c r="F1169" s="5" t="s">
        <v>16</v>
      </c>
      <c r="G1169" s="5" t="s">
        <v>39</v>
      </c>
      <c r="H1169" s="5">
        <v>138</v>
      </c>
      <c r="I1169" s="5">
        <v>19</v>
      </c>
      <c r="J1169" s="5" t="s">
        <v>18</v>
      </c>
      <c r="K1169" s="5" t="s">
        <v>27</v>
      </c>
      <c r="L1169" s="5" t="s">
        <v>28</v>
      </c>
      <c r="M1169" s="7" t="s">
        <v>21</v>
      </c>
      <c r="N1169" s="26">
        <f t="shared" si="108"/>
        <v>0</v>
      </c>
      <c r="O1169" s="42">
        <f t="shared" si="109"/>
        <v>45177</v>
      </c>
      <c r="P1169" s="5" t="str">
        <f t="shared" si="110"/>
        <v>Friday</v>
      </c>
      <c r="Q1169" s="5">
        <f t="shared" si="111"/>
        <v>8</v>
      </c>
      <c r="R1169" s="28">
        <f t="shared" si="112"/>
        <v>0.87898089171974525</v>
      </c>
      <c r="S1169" s="29">
        <f t="shared" si="113"/>
        <v>87.898089171974519</v>
      </c>
      <c r="T1169" s="5" t="str">
        <f>IF(Delivery_Data[[#This Row],[Delays (min)]]&gt;0,"No","Yes")</f>
        <v>No</v>
      </c>
    </row>
    <row r="1170" spans="1:20" ht="15.75" customHeight="1" x14ac:dyDescent="0.3">
      <c r="A1170" s="4">
        <v>2169</v>
      </c>
      <c r="B1170" s="5" t="s">
        <v>1273</v>
      </c>
      <c r="C1170" s="6">
        <v>45172.368750000001</v>
      </c>
      <c r="D1170" s="5" t="s">
        <v>14</v>
      </c>
      <c r="E1170" s="5" t="s">
        <v>304</v>
      </c>
      <c r="F1170" s="5" t="s">
        <v>16</v>
      </c>
      <c r="G1170" s="5" t="s">
        <v>17</v>
      </c>
      <c r="H1170" s="5">
        <v>99</v>
      </c>
      <c r="I1170" s="5">
        <v>13</v>
      </c>
      <c r="J1170" s="5" t="s">
        <v>32</v>
      </c>
      <c r="K1170" s="5" t="s">
        <v>35</v>
      </c>
      <c r="L1170" s="5" t="s">
        <v>28</v>
      </c>
      <c r="M1170" s="7" t="s">
        <v>46</v>
      </c>
      <c r="N1170" s="26">
        <f t="shared" si="108"/>
        <v>-1</v>
      </c>
      <c r="O1170" s="42">
        <f t="shared" si="109"/>
        <v>45172</v>
      </c>
      <c r="P1170" s="5" t="str">
        <f t="shared" si="110"/>
        <v>Sunday</v>
      </c>
      <c r="Q1170" s="5">
        <f t="shared" si="111"/>
        <v>8</v>
      </c>
      <c r="R1170" s="28">
        <f t="shared" si="112"/>
        <v>0.8839285714285714</v>
      </c>
      <c r="S1170" s="29">
        <f t="shared" si="113"/>
        <v>88.392857142857139</v>
      </c>
      <c r="T1170" s="5" t="str">
        <f>IF(Delivery_Data[[#This Row],[Delays (min)]]&gt;0,"No","Yes")</f>
        <v>No</v>
      </c>
    </row>
    <row r="1171" spans="1:20" ht="15.75" customHeight="1" x14ac:dyDescent="0.3">
      <c r="A1171" s="4">
        <v>2170</v>
      </c>
      <c r="B1171" s="5" t="s">
        <v>1274</v>
      </c>
      <c r="C1171" s="6">
        <v>45175.371527777781</v>
      </c>
      <c r="D1171" s="5" t="s">
        <v>14</v>
      </c>
      <c r="E1171" s="5" t="s">
        <v>228</v>
      </c>
      <c r="F1171" s="5" t="s">
        <v>16</v>
      </c>
      <c r="G1171" s="5" t="s">
        <v>25</v>
      </c>
      <c r="H1171" s="5">
        <v>164</v>
      </c>
      <c r="I1171" s="5">
        <v>27</v>
      </c>
      <c r="J1171" s="5" t="s">
        <v>32</v>
      </c>
      <c r="K1171" s="5" t="s">
        <v>45</v>
      </c>
      <c r="L1171" s="5" t="s">
        <v>20</v>
      </c>
      <c r="M1171" s="7" t="s">
        <v>46</v>
      </c>
      <c r="N1171" s="26">
        <f t="shared" si="108"/>
        <v>-1</v>
      </c>
      <c r="O1171" s="42">
        <f t="shared" si="109"/>
        <v>45175</v>
      </c>
      <c r="P1171" s="5" t="str">
        <f t="shared" si="110"/>
        <v>Wednesday</v>
      </c>
      <c r="Q1171" s="5">
        <f t="shared" si="111"/>
        <v>8</v>
      </c>
      <c r="R1171" s="28">
        <f t="shared" si="112"/>
        <v>0.8586387434554974</v>
      </c>
      <c r="S1171" s="29">
        <f t="shared" si="113"/>
        <v>85.863874345549746</v>
      </c>
      <c r="T1171" s="5" t="str">
        <f>IF(Delivery_Data[[#This Row],[Delays (min)]]&gt;0,"No","Yes")</f>
        <v>No</v>
      </c>
    </row>
    <row r="1172" spans="1:20" ht="15.75" customHeight="1" x14ac:dyDescent="0.3">
      <c r="A1172" s="4">
        <v>2171</v>
      </c>
      <c r="B1172" s="5" t="s">
        <v>1275</v>
      </c>
      <c r="C1172" s="6">
        <v>45175.617361111108</v>
      </c>
      <c r="D1172" s="5" t="s">
        <v>14</v>
      </c>
      <c r="E1172" s="5" t="s">
        <v>149</v>
      </c>
      <c r="F1172" s="5" t="s">
        <v>24</v>
      </c>
      <c r="G1172" s="5" t="s">
        <v>56</v>
      </c>
      <c r="H1172" s="5">
        <v>82</v>
      </c>
      <c r="I1172" s="5">
        <v>13</v>
      </c>
      <c r="J1172" s="5" t="s">
        <v>18</v>
      </c>
      <c r="K1172" s="5" t="s">
        <v>49</v>
      </c>
      <c r="L1172" s="5" t="s">
        <v>28</v>
      </c>
      <c r="M1172" s="7" t="s">
        <v>46</v>
      </c>
      <c r="N1172" s="26">
        <f t="shared" si="108"/>
        <v>0</v>
      </c>
      <c r="O1172" s="42">
        <f t="shared" si="109"/>
        <v>45175</v>
      </c>
      <c r="P1172" s="5" t="str">
        <f t="shared" si="110"/>
        <v>Wednesday</v>
      </c>
      <c r="Q1172" s="5">
        <f t="shared" si="111"/>
        <v>14</v>
      </c>
      <c r="R1172" s="28">
        <f t="shared" si="112"/>
        <v>0.86315789473684212</v>
      </c>
      <c r="S1172" s="29">
        <f t="shared" si="113"/>
        <v>86.31578947368422</v>
      </c>
      <c r="T1172" s="5" t="str">
        <f>IF(Delivery_Data[[#This Row],[Delays (min)]]&gt;0,"No","Yes")</f>
        <v>No</v>
      </c>
    </row>
    <row r="1173" spans="1:20" ht="15.75" customHeight="1" x14ac:dyDescent="0.3">
      <c r="A1173" s="4">
        <v>2172</v>
      </c>
      <c r="B1173" s="5" t="s">
        <v>1276</v>
      </c>
      <c r="C1173" s="6">
        <v>45175.402083333334</v>
      </c>
      <c r="D1173" s="5" t="s">
        <v>14</v>
      </c>
      <c r="E1173" s="5" t="s">
        <v>37</v>
      </c>
      <c r="F1173" s="5" t="s">
        <v>16</v>
      </c>
      <c r="G1173" s="5" t="s">
        <v>39</v>
      </c>
      <c r="H1173" s="5">
        <v>164</v>
      </c>
      <c r="I1173" s="5">
        <v>6</v>
      </c>
      <c r="J1173" s="5" t="s">
        <v>18</v>
      </c>
      <c r="K1173" s="5" t="s">
        <v>49</v>
      </c>
      <c r="L1173" s="5" t="s">
        <v>20</v>
      </c>
      <c r="M1173" s="7" t="s">
        <v>21</v>
      </c>
      <c r="N1173" s="26">
        <f t="shared" si="108"/>
        <v>0</v>
      </c>
      <c r="O1173" s="42">
        <f t="shared" si="109"/>
        <v>45175</v>
      </c>
      <c r="P1173" s="5" t="str">
        <f t="shared" si="110"/>
        <v>Wednesday</v>
      </c>
      <c r="Q1173" s="5">
        <f t="shared" si="111"/>
        <v>9</v>
      </c>
      <c r="R1173" s="28">
        <f t="shared" si="112"/>
        <v>0.96470588235294119</v>
      </c>
      <c r="S1173" s="29">
        <f t="shared" si="113"/>
        <v>96.470588235294116</v>
      </c>
      <c r="T1173" s="5" t="str">
        <f>IF(Delivery_Data[[#This Row],[Delays (min)]]&gt;0,"No","Yes")</f>
        <v>No</v>
      </c>
    </row>
    <row r="1174" spans="1:20" ht="15.75" customHeight="1" x14ac:dyDescent="0.3">
      <c r="A1174" s="4">
        <v>2173</v>
      </c>
      <c r="B1174" s="5" t="s">
        <v>1277</v>
      </c>
      <c r="C1174" s="6">
        <v>45177.493055555555</v>
      </c>
      <c r="D1174" s="5" t="s">
        <v>14</v>
      </c>
      <c r="E1174" s="5" t="s">
        <v>200</v>
      </c>
      <c r="F1174" s="5" t="s">
        <v>38</v>
      </c>
      <c r="G1174" s="5" t="s">
        <v>17</v>
      </c>
      <c r="H1174" s="5">
        <v>208</v>
      </c>
      <c r="I1174" s="5">
        <v>25</v>
      </c>
      <c r="J1174" s="5" t="s">
        <v>18</v>
      </c>
      <c r="K1174" s="5" t="s">
        <v>19</v>
      </c>
      <c r="L1174" s="5" t="s">
        <v>40</v>
      </c>
      <c r="M1174" s="7" t="s">
        <v>46</v>
      </c>
      <c r="N1174" s="26">
        <f t="shared" si="108"/>
        <v>0</v>
      </c>
      <c r="O1174" s="42">
        <f t="shared" si="109"/>
        <v>45177</v>
      </c>
      <c r="P1174" s="5" t="str">
        <f t="shared" si="110"/>
        <v>Friday</v>
      </c>
      <c r="Q1174" s="5">
        <f t="shared" si="111"/>
        <v>11</v>
      </c>
      <c r="R1174" s="28">
        <f t="shared" si="112"/>
        <v>0.89270386266094426</v>
      </c>
      <c r="S1174" s="29">
        <f t="shared" si="113"/>
        <v>89.27038626609442</v>
      </c>
      <c r="T1174" s="5" t="str">
        <f>IF(Delivery_Data[[#This Row],[Delays (min)]]&gt;0,"No","Yes")</f>
        <v>No</v>
      </c>
    </row>
    <row r="1175" spans="1:20" ht="15.75" customHeight="1" x14ac:dyDescent="0.3">
      <c r="A1175" s="4">
        <v>2174</v>
      </c>
      <c r="B1175" s="5" t="s">
        <v>1278</v>
      </c>
      <c r="C1175" s="6">
        <v>45172.636111111111</v>
      </c>
      <c r="D1175" s="5" t="s">
        <v>43</v>
      </c>
      <c r="E1175" s="5" t="s">
        <v>164</v>
      </c>
      <c r="F1175" s="5" t="s">
        <v>16</v>
      </c>
      <c r="G1175" s="5" t="s">
        <v>39</v>
      </c>
      <c r="H1175" s="5">
        <v>89</v>
      </c>
      <c r="I1175" s="5">
        <v>18</v>
      </c>
      <c r="J1175" s="5" t="s">
        <v>32</v>
      </c>
      <c r="K1175" s="5" t="s">
        <v>19</v>
      </c>
      <c r="L1175" s="5" t="s">
        <v>20</v>
      </c>
      <c r="M1175" s="7" t="s">
        <v>41</v>
      </c>
      <c r="N1175" s="26">
        <f t="shared" si="108"/>
        <v>-1</v>
      </c>
      <c r="O1175" s="42">
        <f t="shared" si="109"/>
        <v>45172</v>
      </c>
      <c r="P1175" s="5" t="str">
        <f t="shared" si="110"/>
        <v>Sunday</v>
      </c>
      <c r="Q1175" s="5">
        <f t="shared" si="111"/>
        <v>15</v>
      </c>
      <c r="R1175" s="28">
        <f t="shared" si="112"/>
        <v>0.83177570093457942</v>
      </c>
      <c r="S1175" s="29">
        <f t="shared" si="113"/>
        <v>83.177570093457945</v>
      </c>
      <c r="T1175" s="5" t="str">
        <f>IF(Delivery_Data[[#This Row],[Delays (min)]]&gt;0,"No","Yes")</f>
        <v>No</v>
      </c>
    </row>
    <row r="1176" spans="1:20" ht="15.75" customHeight="1" x14ac:dyDescent="0.3">
      <c r="A1176" s="4">
        <v>2175</v>
      </c>
      <c r="B1176" s="5" t="s">
        <v>1279</v>
      </c>
      <c r="C1176" s="6">
        <v>45173.602083333331</v>
      </c>
      <c r="D1176" s="5" t="s">
        <v>14</v>
      </c>
      <c r="E1176" s="5" t="s">
        <v>97</v>
      </c>
      <c r="F1176" s="5" t="s">
        <v>38</v>
      </c>
      <c r="G1176" s="5" t="s">
        <v>17</v>
      </c>
      <c r="H1176" s="5">
        <v>110</v>
      </c>
      <c r="I1176" s="5">
        <v>19</v>
      </c>
      <c r="J1176" s="5" t="s">
        <v>32</v>
      </c>
      <c r="K1176" s="5" t="s">
        <v>45</v>
      </c>
      <c r="L1176" s="5" t="s">
        <v>40</v>
      </c>
      <c r="M1176" s="7" t="s">
        <v>46</v>
      </c>
      <c r="N1176" s="26">
        <f t="shared" si="108"/>
        <v>-1</v>
      </c>
      <c r="O1176" s="42">
        <f t="shared" si="109"/>
        <v>45173</v>
      </c>
      <c r="P1176" s="5" t="str">
        <f t="shared" si="110"/>
        <v>Monday</v>
      </c>
      <c r="Q1176" s="5">
        <f t="shared" si="111"/>
        <v>14</v>
      </c>
      <c r="R1176" s="28">
        <f t="shared" si="112"/>
        <v>0.8527131782945736</v>
      </c>
      <c r="S1176" s="29">
        <f t="shared" si="113"/>
        <v>85.271317829457359</v>
      </c>
      <c r="T1176" s="5" t="str">
        <f>IF(Delivery_Data[[#This Row],[Delays (min)]]&gt;0,"No","Yes")</f>
        <v>No</v>
      </c>
    </row>
    <row r="1177" spans="1:20" ht="15.75" customHeight="1" x14ac:dyDescent="0.3">
      <c r="A1177" s="4">
        <v>2176</v>
      </c>
      <c r="B1177" s="5" t="s">
        <v>1280</v>
      </c>
      <c r="C1177" s="6">
        <v>45175.455555555556</v>
      </c>
      <c r="D1177" s="5" t="s">
        <v>43</v>
      </c>
      <c r="E1177" s="5" t="s">
        <v>240</v>
      </c>
      <c r="F1177" s="5" t="s">
        <v>16</v>
      </c>
      <c r="G1177" s="5" t="s">
        <v>31</v>
      </c>
      <c r="H1177" s="5">
        <v>105</v>
      </c>
      <c r="I1177" s="5">
        <v>29</v>
      </c>
      <c r="J1177" s="5" t="s">
        <v>32</v>
      </c>
      <c r="K1177" s="5" t="s">
        <v>45</v>
      </c>
      <c r="L1177" s="5" t="s">
        <v>40</v>
      </c>
      <c r="M1177" s="7" t="s">
        <v>41</v>
      </c>
      <c r="N1177" s="26">
        <f t="shared" si="108"/>
        <v>-1</v>
      </c>
      <c r="O1177" s="42">
        <f t="shared" si="109"/>
        <v>45175</v>
      </c>
      <c r="P1177" s="5" t="str">
        <f t="shared" si="110"/>
        <v>Wednesday</v>
      </c>
      <c r="Q1177" s="5">
        <f t="shared" si="111"/>
        <v>10</v>
      </c>
      <c r="R1177" s="28">
        <f t="shared" si="112"/>
        <v>0.78358208955223885</v>
      </c>
      <c r="S1177" s="29">
        <f t="shared" si="113"/>
        <v>78.358208955223887</v>
      </c>
      <c r="T1177" s="5" t="str">
        <f>IF(Delivery_Data[[#This Row],[Delays (min)]]&gt;0,"No","Yes")</f>
        <v>No</v>
      </c>
    </row>
    <row r="1178" spans="1:20" ht="15.75" customHeight="1" x14ac:dyDescent="0.3">
      <c r="A1178" s="4">
        <v>2177</v>
      </c>
      <c r="B1178" s="5" t="s">
        <v>1281</v>
      </c>
      <c r="C1178" s="6">
        <v>45174.593055555553</v>
      </c>
      <c r="D1178" s="5" t="s">
        <v>14</v>
      </c>
      <c r="E1178" s="5" t="s">
        <v>73</v>
      </c>
      <c r="F1178" s="5" t="s">
        <v>16</v>
      </c>
      <c r="G1178" s="5" t="s">
        <v>56</v>
      </c>
      <c r="H1178" s="5">
        <v>107</v>
      </c>
      <c r="I1178" s="5">
        <v>28</v>
      </c>
      <c r="J1178" s="5" t="s">
        <v>18</v>
      </c>
      <c r="K1178" s="5" t="s">
        <v>35</v>
      </c>
      <c r="L1178" s="5" t="s">
        <v>20</v>
      </c>
      <c r="M1178" s="7" t="s">
        <v>21</v>
      </c>
      <c r="N1178" s="26">
        <f t="shared" si="108"/>
        <v>0</v>
      </c>
      <c r="O1178" s="42">
        <f t="shared" si="109"/>
        <v>45174</v>
      </c>
      <c r="P1178" s="5" t="str">
        <f t="shared" si="110"/>
        <v>Tuesday</v>
      </c>
      <c r="Q1178" s="5">
        <f t="shared" si="111"/>
        <v>14</v>
      </c>
      <c r="R1178" s="28">
        <f t="shared" si="112"/>
        <v>0.79259259259259263</v>
      </c>
      <c r="S1178" s="29">
        <f t="shared" si="113"/>
        <v>79.259259259259267</v>
      </c>
      <c r="T1178" s="5" t="str">
        <f>IF(Delivery_Data[[#This Row],[Delays (min)]]&gt;0,"No","Yes")</f>
        <v>No</v>
      </c>
    </row>
    <row r="1179" spans="1:20" ht="15.75" customHeight="1" x14ac:dyDescent="0.3">
      <c r="A1179" s="4">
        <v>2178</v>
      </c>
      <c r="B1179" s="5" t="s">
        <v>1282</v>
      </c>
      <c r="C1179" s="6">
        <v>45177.436111111114</v>
      </c>
      <c r="D1179" s="5" t="s">
        <v>43</v>
      </c>
      <c r="E1179" s="5" t="s">
        <v>355</v>
      </c>
      <c r="F1179" s="5" t="s">
        <v>24</v>
      </c>
      <c r="G1179" s="5" t="s">
        <v>56</v>
      </c>
      <c r="H1179" s="5">
        <v>114</v>
      </c>
      <c r="I1179" s="5">
        <v>23</v>
      </c>
      <c r="J1179" s="5" t="s">
        <v>32</v>
      </c>
      <c r="K1179" s="5" t="s">
        <v>19</v>
      </c>
      <c r="L1179" s="5" t="s">
        <v>40</v>
      </c>
      <c r="M1179" s="7" t="s">
        <v>46</v>
      </c>
      <c r="N1179" s="26">
        <f t="shared" si="108"/>
        <v>-1</v>
      </c>
      <c r="O1179" s="42">
        <f t="shared" si="109"/>
        <v>45177</v>
      </c>
      <c r="P1179" s="5" t="str">
        <f t="shared" si="110"/>
        <v>Friday</v>
      </c>
      <c r="Q1179" s="5">
        <f t="shared" si="111"/>
        <v>10</v>
      </c>
      <c r="R1179" s="28">
        <f t="shared" si="112"/>
        <v>0.83211678832116787</v>
      </c>
      <c r="S1179" s="29">
        <f t="shared" si="113"/>
        <v>83.211678832116789</v>
      </c>
      <c r="T1179" s="5" t="str">
        <f>IF(Delivery_Data[[#This Row],[Delays (min)]]&gt;0,"No","Yes")</f>
        <v>No</v>
      </c>
    </row>
    <row r="1180" spans="1:20" ht="15.75" customHeight="1" x14ac:dyDescent="0.3">
      <c r="A1180" s="4">
        <v>2179</v>
      </c>
      <c r="B1180" s="5" t="s">
        <v>1283</v>
      </c>
      <c r="C1180" s="6">
        <v>45172.638888888891</v>
      </c>
      <c r="D1180" s="5" t="s">
        <v>14</v>
      </c>
      <c r="E1180" s="5" t="s">
        <v>128</v>
      </c>
      <c r="F1180" s="5" t="s">
        <v>16</v>
      </c>
      <c r="G1180" s="5" t="s">
        <v>25</v>
      </c>
      <c r="H1180" s="5">
        <v>194</v>
      </c>
      <c r="I1180" s="5">
        <v>6</v>
      </c>
      <c r="J1180" s="5" t="s">
        <v>32</v>
      </c>
      <c r="K1180" s="5" t="s">
        <v>35</v>
      </c>
      <c r="L1180" s="5" t="s">
        <v>28</v>
      </c>
      <c r="M1180" s="7" t="s">
        <v>41</v>
      </c>
      <c r="N1180" s="26">
        <f t="shared" si="108"/>
        <v>-1</v>
      </c>
      <c r="O1180" s="42">
        <f t="shared" si="109"/>
        <v>45172</v>
      </c>
      <c r="P1180" s="5" t="str">
        <f t="shared" si="110"/>
        <v>Sunday</v>
      </c>
      <c r="Q1180" s="5">
        <f t="shared" si="111"/>
        <v>15</v>
      </c>
      <c r="R1180" s="28">
        <f t="shared" si="112"/>
        <v>0.97</v>
      </c>
      <c r="S1180" s="29">
        <f t="shared" si="113"/>
        <v>97</v>
      </c>
      <c r="T1180" s="5" t="str">
        <f>IF(Delivery_Data[[#This Row],[Delays (min)]]&gt;0,"No","Yes")</f>
        <v>No</v>
      </c>
    </row>
    <row r="1181" spans="1:20" ht="15.75" customHeight="1" x14ac:dyDescent="0.3">
      <c r="A1181" s="4">
        <v>2180</v>
      </c>
      <c r="B1181" s="5" t="s">
        <v>1284</v>
      </c>
      <c r="C1181" s="6">
        <v>45175.456944444442</v>
      </c>
      <c r="D1181" s="5" t="s">
        <v>43</v>
      </c>
      <c r="E1181" s="5" t="s">
        <v>243</v>
      </c>
      <c r="F1181" s="5" t="s">
        <v>16</v>
      </c>
      <c r="G1181" s="5" t="s">
        <v>39</v>
      </c>
      <c r="H1181" s="5">
        <v>105</v>
      </c>
      <c r="I1181" s="5">
        <v>13</v>
      </c>
      <c r="J1181" s="5" t="s">
        <v>32</v>
      </c>
      <c r="K1181" s="5" t="s">
        <v>19</v>
      </c>
      <c r="L1181" s="5" t="s">
        <v>20</v>
      </c>
      <c r="M1181" s="7" t="s">
        <v>21</v>
      </c>
      <c r="N1181" s="26">
        <f t="shared" si="108"/>
        <v>-1</v>
      </c>
      <c r="O1181" s="42">
        <f t="shared" si="109"/>
        <v>45175</v>
      </c>
      <c r="P1181" s="5" t="str">
        <f t="shared" si="110"/>
        <v>Wednesday</v>
      </c>
      <c r="Q1181" s="5">
        <f t="shared" si="111"/>
        <v>10</v>
      </c>
      <c r="R1181" s="28">
        <f t="shared" si="112"/>
        <v>0.88983050847457623</v>
      </c>
      <c r="S1181" s="29">
        <f t="shared" si="113"/>
        <v>88.983050847457619</v>
      </c>
      <c r="T1181" s="5" t="str">
        <f>IF(Delivery_Data[[#This Row],[Delays (min)]]&gt;0,"No","Yes")</f>
        <v>No</v>
      </c>
    </row>
    <row r="1182" spans="1:20" ht="15.75" customHeight="1" x14ac:dyDescent="0.3">
      <c r="A1182" s="4">
        <v>2181</v>
      </c>
      <c r="B1182" s="5" t="s">
        <v>1285</v>
      </c>
      <c r="C1182" s="6">
        <v>45176.417361111111</v>
      </c>
      <c r="D1182" s="5" t="s">
        <v>14</v>
      </c>
      <c r="E1182" s="5" t="s">
        <v>115</v>
      </c>
      <c r="F1182" s="5" t="s">
        <v>16</v>
      </c>
      <c r="G1182" s="5" t="s">
        <v>56</v>
      </c>
      <c r="H1182" s="5">
        <v>89</v>
      </c>
      <c r="I1182" s="5">
        <v>28</v>
      </c>
      <c r="J1182" s="5" t="s">
        <v>32</v>
      </c>
      <c r="K1182" s="5" t="s">
        <v>19</v>
      </c>
      <c r="L1182" s="5" t="s">
        <v>28</v>
      </c>
      <c r="M1182" s="7" t="s">
        <v>41</v>
      </c>
      <c r="N1182" s="26">
        <f t="shared" si="108"/>
        <v>-1</v>
      </c>
      <c r="O1182" s="42">
        <f t="shared" si="109"/>
        <v>45176</v>
      </c>
      <c r="P1182" s="5" t="str">
        <f t="shared" si="110"/>
        <v>Thursday</v>
      </c>
      <c r="Q1182" s="5">
        <f t="shared" si="111"/>
        <v>10</v>
      </c>
      <c r="R1182" s="28">
        <f t="shared" si="112"/>
        <v>0.76068376068376065</v>
      </c>
      <c r="S1182" s="29">
        <f t="shared" si="113"/>
        <v>76.068376068376068</v>
      </c>
      <c r="T1182" s="5" t="str">
        <f>IF(Delivery_Data[[#This Row],[Delays (min)]]&gt;0,"No","Yes")</f>
        <v>No</v>
      </c>
    </row>
    <row r="1183" spans="1:20" ht="15.75" customHeight="1" x14ac:dyDescent="0.3">
      <c r="A1183" s="4">
        <v>2182</v>
      </c>
      <c r="B1183" s="5" t="s">
        <v>1286</v>
      </c>
      <c r="C1183" s="6">
        <v>45176.413888888892</v>
      </c>
      <c r="D1183" s="5" t="s">
        <v>43</v>
      </c>
      <c r="E1183" s="5" t="s">
        <v>103</v>
      </c>
      <c r="F1183" s="5" t="s">
        <v>16</v>
      </c>
      <c r="G1183" s="5" t="s">
        <v>17</v>
      </c>
      <c r="H1183" s="5">
        <v>173</v>
      </c>
      <c r="I1183" s="5">
        <v>28</v>
      </c>
      <c r="J1183" s="5" t="s">
        <v>18</v>
      </c>
      <c r="K1183" s="5" t="s">
        <v>45</v>
      </c>
      <c r="L1183" s="5" t="s">
        <v>40</v>
      </c>
      <c r="M1183" s="7" t="s">
        <v>41</v>
      </c>
      <c r="N1183" s="26">
        <f t="shared" si="108"/>
        <v>0</v>
      </c>
      <c r="O1183" s="42">
        <f t="shared" si="109"/>
        <v>45176</v>
      </c>
      <c r="P1183" s="5" t="str">
        <f t="shared" si="110"/>
        <v>Thursday</v>
      </c>
      <c r="Q1183" s="5">
        <f t="shared" si="111"/>
        <v>9</v>
      </c>
      <c r="R1183" s="28">
        <f t="shared" si="112"/>
        <v>0.86069651741293529</v>
      </c>
      <c r="S1183" s="29">
        <f t="shared" si="113"/>
        <v>86.069651741293526</v>
      </c>
      <c r="T1183" s="5" t="str">
        <f>IF(Delivery_Data[[#This Row],[Delays (min)]]&gt;0,"No","Yes")</f>
        <v>No</v>
      </c>
    </row>
    <row r="1184" spans="1:20" ht="15.75" customHeight="1" x14ac:dyDescent="0.3">
      <c r="A1184" s="4">
        <v>2183</v>
      </c>
      <c r="B1184" s="5" t="s">
        <v>1287</v>
      </c>
      <c r="C1184" s="6">
        <v>45171.56527777778</v>
      </c>
      <c r="D1184" s="5" t="s">
        <v>14</v>
      </c>
      <c r="E1184" s="5" t="s">
        <v>228</v>
      </c>
      <c r="F1184" s="5" t="s">
        <v>24</v>
      </c>
      <c r="G1184" s="5" t="s">
        <v>17</v>
      </c>
      <c r="H1184" s="5">
        <v>72</v>
      </c>
      <c r="I1184" s="5">
        <v>4</v>
      </c>
      <c r="J1184" s="5" t="s">
        <v>18</v>
      </c>
      <c r="K1184" s="5" t="s">
        <v>19</v>
      </c>
      <c r="L1184" s="5" t="s">
        <v>40</v>
      </c>
      <c r="M1184" s="7" t="s">
        <v>41</v>
      </c>
      <c r="N1184" s="26">
        <f t="shared" si="108"/>
        <v>0</v>
      </c>
      <c r="O1184" s="42">
        <f t="shared" si="109"/>
        <v>45171</v>
      </c>
      <c r="P1184" s="5" t="str">
        <f t="shared" si="110"/>
        <v>Saturday</v>
      </c>
      <c r="Q1184" s="5">
        <f t="shared" si="111"/>
        <v>13</v>
      </c>
      <c r="R1184" s="28">
        <f t="shared" si="112"/>
        <v>0.94736842105263153</v>
      </c>
      <c r="S1184" s="29">
        <f t="shared" si="113"/>
        <v>94.73684210526315</v>
      </c>
      <c r="T1184" s="5" t="str">
        <f>IF(Delivery_Data[[#This Row],[Delays (min)]]&gt;0,"No","Yes")</f>
        <v>No</v>
      </c>
    </row>
    <row r="1185" spans="1:20" ht="15.75" customHeight="1" x14ac:dyDescent="0.3">
      <c r="A1185" s="4">
        <v>2184</v>
      </c>
      <c r="B1185" s="5" t="s">
        <v>1288</v>
      </c>
      <c r="C1185" s="6">
        <v>45172.45208333333</v>
      </c>
      <c r="D1185" s="5" t="s">
        <v>43</v>
      </c>
      <c r="E1185" s="5" t="s">
        <v>128</v>
      </c>
      <c r="F1185" s="5" t="s">
        <v>38</v>
      </c>
      <c r="G1185" s="5" t="s">
        <v>31</v>
      </c>
      <c r="H1185" s="5">
        <v>205</v>
      </c>
      <c r="I1185" s="5">
        <v>20</v>
      </c>
      <c r="J1185" s="5" t="s">
        <v>26</v>
      </c>
      <c r="K1185" s="5" t="s">
        <v>45</v>
      </c>
      <c r="L1185" s="5" t="s">
        <v>28</v>
      </c>
      <c r="M1185" s="7" t="s">
        <v>46</v>
      </c>
      <c r="N1185" s="26">
        <f t="shared" si="108"/>
        <v>1</v>
      </c>
      <c r="O1185" s="42">
        <f t="shared" si="109"/>
        <v>45172</v>
      </c>
      <c r="P1185" s="5" t="str">
        <f t="shared" si="110"/>
        <v>Sunday</v>
      </c>
      <c r="Q1185" s="5">
        <f t="shared" si="111"/>
        <v>10</v>
      </c>
      <c r="R1185" s="28">
        <f t="shared" si="112"/>
        <v>0.91111111111111109</v>
      </c>
      <c r="S1185" s="29">
        <f t="shared" si="113"/>
        <v>91.111111111111114</v>
      </c>
      <c r="T1185" s="5" t="str">
        <f>IF(Delivery_Data[[#This Row],[Delays (min)]]&gt;0,"No","Yes")</f>
        <v>No</v>
      </c>
    </row>
    <row r="1186" spans="1:20" ht="15.75" customHeight="1" x14ac:dyDescent="0.3">
      <c r="A1186" s="4">
        <v>2185</v>
      </c>
      <c r="B1186" s="5" t="s">
        <v>1289</v>
      </c>
      <c r="C1186" s="6">
        <v>45175.361805555556</v>
      </c>
      <c r="D1186" s="5" t="s">
        <v>43</v>
      </c>
      <c r="E1186" s="5" t="s">
        <v>60</v>
      </c>
      <c r="F1186" s="5" t="s">
        <v>24</v>
      </c>
      <c r="G1186" s="5" t="s">
        <v>56</v>
      </c>
      <c r="H1186" s="5">
        <v>80</v>
      </c>
      <c r="I1186" s="5">
        <v>22</v>
      </c>
      <c r="J1186" s="5" t="s">
        <v>32</v>
      </c>
      <c r="K1186" s="5" t="s">
        <v>35</v>
      </c>
      <c r="L1186" s="5" t="s">
        <v>28</v>
      </c>
      <c r="M1186" s="7" t="s">
        <v>41</v>
      </c>
      <c r="N1186" s="26">
        <f t="shared" si="108"/>
        <v>-1</v>
      </c>
      <c r="O1186" s="42">
        <f t="shared" si="109"/>
        <v>45175</v>
      </c>
      <c r="P1186" s="5" t="str">
        <f t="shared" si="110"/>
        <v>Wednesday</v>
      </c>
      <c r="Q1186" s="5">
        <f t="shared" si="111"/>
        <v>8</v>
      </c>
      <c r="R1186" s="28">
        <f t="shared" si="112"/>
        <v>0.78431372549019607</v>
      </c>
      <c r="S1186" s="29">
        <f t="shared" si="113"/>
        <v>78.431372549019613</v>
      </c>
      <c r="T1186" s="5" t="str">
        <f>IF(Delivery_Data[[#This Row],[Delays (min)]]&gt;0,"No","Yes")</f>
        <v>No</v>
      </c>
    </row>
    <row r="1187" spans="1:20" ht="15.75" customHeight="1" x14ac:dyDescent="0.3">
      <c r="A1187" s="4">
        <v>2186</v>
      </c>
      <c r="B1187" s="5" t="s">
        <v>1290</v>
      </c>
      <c r="C1187" s="6">
        <v>45174.42291666667</v>
      </c>
      <c r="D1187" s="5" t="s">
        <v>14</v>
      </c>
      <c r="E1187" s="5" t="s">
        <v>162</v>
      </c>
      <c r="F1187" s="5" t="s">
        <v>38</v>
      </c>
      <c r="G1187" s="5" t="s">
        <v>56</v>
      </c>
      <c r="H1187" s="5">
        <v>105</v>
      </c>
      <c r="I1187" s="5">
        <v>14</v>
      </c>
      <c r="J1187" s="5" t="s">
        <v>26</v>
      </c>
      <c r="K1187" s="5" t="s">
        <v>45</v>
      </c>
      <c r="L1187" s="5" t="s">
        <v>20</v>
      </c>
      <c r="M1187" s="7" t="s">
        <v>41</v>
      </c>
      <c r="N1187" s="26">
        <f t="shared" si="108"/>
        <v>1</v>
      </c>
      <c r="O1187" s="42">
        <f t="shared" si="109"/>
        <v>45174</v>
      </c>
      <c r="P1187" s="5" t="str">
        <f t="shared" si="110"/>
        <v>Tuesday</v>
      </c>
      <c r="Q1187" s="5">
        <f t="shared" si="111"/>
        <v>10</v>
      </c>
      <c r="R1187" s="28">
        <f t="shared" si="112"/>
        <v>0.88235294117647056</v>
      </c>
      <c r="S1187" s="29">
        <f t="shared" si="113"/>
        <v>88.235294117647058</v>
      </c>
      <c r="T1187" s="5" t="str">
        <f>IF(Delivery_Data[[#This Row],[Delays (min)]]&gt;0,"No","Yes")</f>
        <v>No</v>
      </c>
    </row>
    <row r="1188" spans="1:20" ht="15.75" customHeight="1" x14ac:dyDescent="0.3">
      <c r="A1188" s="4">
        <v>2187</v>
      </c>
      <c r="B1188" s="5" t="s">
        <v>1291</v>
      </c>
      <c r="C1188" s="6">
        <v>45175.37777777778</v>
      </c>
      <c r="D1188" s="5" t="s">
        <v>43</v>
      </c>
      <c r="E1188" s="5" t="s">
        <v>111</v>
      </c>
      <c r="F1188" s="5" t="s">
        <v>38</v>
      </c>
      <c r="G1188" s="5" t="s">
        <v>31</v>
      </c>
      <c r="H1188" s="5">
        <v>134</v>
      </c>
      <c r="I1188" s="5">
        <v>28</v>
      </c>
      <c r="J1188" s="5" t="s">
        <v>18</v>
      </c>
      <c r="K1188" s="5" t="s">
        <v>35</v>
      </c>
      <c r="L1188" s="5" t="s">
        <v>28</v>
      </c>
      <c r="M1188" s="7" t="s">
        <v>41</v>
      </c>
      <c r="N1188" s="26">
        <f t="shared" si="108"/>
        <v>0</v>
      </c>
      <c r="O1188" s="42">
        <f t="shared" si="109"/>
        <v>45175</v>
      </c>
      <c r="P1188" s="5" t="str">
        <f t="shared" si="110"/>
        <v>Wednesday</v>
      </c>
      <c r="Q1188" s="5">
        <f t="shared" si="111"/>
        <v>9</v>
      </c>
      <c r="R1188" s="28">
        <f t="shared" si="112"/>
        <v>0.8271604938271605</v>
      </c>
      <c r="S1188" s="29">
        <f t="shared" si="113"/>
        <v>82.716049382716051</v>
      </c>
      <c r="T1188" s="5" t="str">
        <f>IF(Delivery_Data[[#This Row],[Delays (min)]]&gt;0,"No","Yes")</f>
        <v>No</v>
      </c>
    </row>
    <row r="1189" spans="1:20" ht="15.75" customHeight="1" x14ac:dyDescent="0.3">
      <c r="A1189" s="4">
        <v>2188</v>
      </c>
      <c r="B1189" s="5" t="s">
        <v>1292</v>
      </c>
      <c r="C1189" s="6">
        <v>45170.592361111114</v>
      </c>
      <c r="D1189" s="5" t="s">
        <v>14</v>
      </c>
      <c r="E1189" s="5" t="s">
        <v>281</v>
      </c>
      <c r="F1189" s="5" t="s">
        <v>38</v>
      </c>
      <c r="G1189" s="5" t="s">
        <v>17</v>
      </c>
      <c r="H1189" s="5">
        <v>126</v>
      </c>
      <c r="I1189" s="5">
        <v>29</v>
      </c>
      <c r="J1189" s="5" t="s">
        <v>18</v>
      </c>
      <c r="K1189" s="5" t="s">
        <v>35</v>
      </c>
      <c r="L1189" s="5" t="s">
        <v>20</v>
      </c>
      <c r="M1189" s="7" t="s">
        <v>41</v>
      </c>
      <c r="N1189" s="26">
        <f t="shared" si="108"/>
        <v>0</v>
      </c>
      <c r="O1189" s="42">
        <f t="shared" si="109"/>
        <v>45170</v>
      </c>
      <c r="P1189" s="5" t="str">
        <f t="shared" si="110"/>
        <v>Friday</v>
      </c>
      <c r="Q1189" s="5">
        <f t="shared" si="111"/>
        <v>14</v>
      </c>
      <c r="R1189" s="28">
        <f t="shared" si="112"/>
        <v>0.81290322580645158</v>
      </c>
      <c r="S1189" s="29">
        <f t="shared" si="113"/>
        <v>81.290322580645153</v>
      </c>
      <c r="T1189" s="5" t="str">
        <f>IF(Delivery_Data[[#This Row],[Delays (min)]]&gt;0,"No","Yes")</f>
        <v>No</v>
      </c>
    </row>
    <row r="1190" spans="1:20" ht="15.75" customHeight="1" x14ac:dyDescent="0.3">
      <c r="A1190" s="4">
        <v>2189</v>
      </c>
      <c r="B1190" s="5" t="s">
        <v>1293</v>
      </c>
      <c r="C1190" s="6">
        <v>45175.442361111112</v>
      </c>
      <c r="D1190" s="5" t="s">
        <v>14</v>
      </c>
      <c r="E1190" s="5" t="s">
        <v>44</v>
      </c>
      <c r="F1190" s="5" t="s">
        <v>16</v>
      </c>
      <c r="G1190" s="5" t="s">
        <v>17</v>
      </c>
      <c r="H1190" s="5">
        <v>98</v>
      </c>
      <c r="I1190" s="5">
        <v>10</v>
      </c>
      <c r="J1190" s="5" t="s">
        <v>26</v>
      </c>
      <c r="K1190" s="5" t="s">
        <v>27</v>
      </c>
      <c r="L1190" s="5" t="s">
        <v>20</v>
      </c>
      <c r="M1190" s="7" t="s">
        <v>46</v>
      </c>
      <c r="N1190" s="26">
        <f t="shared" si="108"/>
        <v>1</v>
      </c>
      <c r="O1190" s="42">
        <f t="shared" si="109"/>
        <v>45175</v>
      </c>
      <c r="P1190" s="5" t="str">
        <f t="shared" si="110"/>
        <v>Wednesday</v>
      </c>
      <c r="Q1190" s="5">
        <f t="shared" si="111"/>
        <v>10</v>
      </c>
      <c r="R1190" s="28">
        <f t="shared" si="112"/>
        <v>0.90740740740740744</v>
      </c>
      <c r="S1190" s="29">
        <f t="shared" si="113"/>
        <v>90.740740740740748</v>
      </c>
      <c r="T1190" s="5" t="str">
        <f>IF(Delivery_Data[[#This Row],[Delays (min)]]&gt;0,"No","Yes")</f>
        <v>No</v>
      </c>
    </row>
    <row r="1191" spans="1:20" ht="15.75" customHeight="1" x14ac:dyDescent="0.3">
      <c r="A1191" s="4">
        <v>2190</v>
      </c>
      <c r="B1191" s="5" t="s">
        <v>1166</v>
      </c>
      <c r="C1191" s="6">
        <v>45176.574999999997</v>
      </c>
      <c r="D1191" s="5" t="s">
        <v>43</v>
      </c>
      <c r="E1191" s="5" t="s">
        <v>122</v>
      </c>
      <c r="F1191" s="5" t="s">
        <v>24</v>
      </c>
      <c r="G1191" s="5" t="s">
        <v>56</v>
      </c>
      <c r="H1191" s="5">
        <v>166</v>
      </c>
      <c r="I1191" s="5">
        <v>17</v>
      </c>
      <c r="J1191" s="5" t="s">
        <v>32</v>
      </c>
      <c r="K1191" s="5" t="s">
        <v>45</v>
      </c>
      <c r="L1191" s="5" t="s">
        <v>20</v>
      </c>
      <c r="M1191" s="7" t="s">
        <v>46</v>
      </c>
      <c r="N1191" s="26">
        <f t="shared" si="108"/>
        <v>-1</v>
      </c>
      <c r="O1191" s="42">
        <f t="shared" si="109"/>
        <v>45176</v>
      </c>
      <c r="P1191" s="5" t="str">
        <f t="shared" si="110"/>
        <v>Thursday</v>
      </c>
      <c r="Q1191" s="5">
        <f t="shared" si="111"/>
        <v>13</v>
      </c>
      <c r="R1191" s="28">
        <f t="shared" si="112"/>
        <v>0.90710382513661203</v>
      </c>
      <c r="S1191" s="29">
        <f t="shared" si="113"/>
        <v>90.710382513661202</v>
      </c>
      <c r="T1191" s="5" t="str">
        <f>IF(Delivery_Data[[#This Row],[Delays (min)]]&gt;0,"No","Yes")</f>
        <v>No</v>
      </c>
    </row>
    <row r="1192" spans="1:20" ht="15.75" customHeight="1" x14ac:dyDescent="0.3">
      <c r="A1192" s="4">
        <v>2191</v>
      </c>
      <c r="B1192" s="5" t="s">
        <v>1294</v>
      </c>
      <c r="C1192" s="6">
        <v>45173.477083333331</v>
      </c>
      <c r="D1192" s="5" t="s">
        <v>43</v>
      </c>
      <c r="E1192" s="5" t="s">
        <v>87</v>
      </c>
      <c r="F1192" s="5" t="s">
        <v>24</v>
      </c>
      <c r="G1192" s="5" t="s">
        <v>25</v>
      </c>
      <c r="H1192" s="5">
        <v>162</v>
      </c>
      <c r="I1192" s="5">
        <v>0</v>
      </c>
      <c r="J1192" s="5" t="s">
        <v>26</v>
      </c>
      <c r="K1192" s="5" t="s">
        <v>35</v>
      </c>
      <c r="L1192" s="5" t="s">
        <v>28</v>
      </c>
      <c r="M1192" s="7" t="s">
        <v>21</v>
      </c>
      <c r="N1192" s="26">
        <f t="shared" si="108"/>
        <v>1</v>
      </c>
      <c r="O1192" s="42">
        <f t="shared" si="109"/>
        <v>45173</v>
      </c>
      <c r="P1192" s="5" t="str">
        <f t="shared" si="110"/>
        <v>Monday</v>
      </c>
      <c r="Q1192" s="5">
        <f t="shared" si="111"/>
        <v>11</v>
      </c>
      <c r="R1192" s="28">
        <f t="shared" si="112"/>
        <v>1</v>
      </c>
      <c r="S1192" s="29">
        <f t="shared" si="113"/>
        <v>100</v>
      </c>
      <c r="T1192" s="5" t="str">
        <f>IF(Delivery_Data[[#This Row],[Delays (min)]]&gt;0,"No","Yes")</f>
        <v>Yes</v>
      </c>
    </row>
    <row r="1193" spans="1:20" ht="15.75" customHeight="1" x14ac:dyDescent="0.3">
      <c r="A1193" s="4">
        <v>2192</v>
      </c>
      <c r="B1193" s="5" t="s">
        <v>1295</v>
      </c>
      <c r="C1193" s="6">
        <v>45172.654166666667</v>
      </c>
      <c r="D1193" s="5" t="s">
        <v>43</v>
      </c>
      <c r="E1193" s="5" t="s">
        <v>58</v>
      </c>
      <c r="F1193" s="5" t="s">
        <v>16</v>
      </c>
      <c r="G1193" s="5" t="s">
        <v>31</v>
      </c>
      <c r="H1193" s="5">
        <v>174</v>
      </c>
      <c r="I1193" s="5">
        <v>22</v>
      </c>
      <c r="J1193" s="5" t="s">
        <v>26</v>
      </c>
      <c r="K1193" s="5" t="s">
        <v>27</v>
      </c>
      <c r="L1193" s="5" t="s">
        <v>20</v>
      </c>
      <c r="M1193" s="7" t="s">
        <v>46</v>
      </c>
      <c r="N1193" s="26">
        <f t="shared" si="108"/>
        <v>1</v>
      </c>
      <c r="O1193" s="42">
        <f t="shared" si="109"/>
        <v>45172</v>
      </c>
      <c r="P1193" s="5" t="str">
        <f t="shared" si="110"/>
        <v>Sunday</v>
      </c>
      <c r="Q1193" s="5">
        <f t="shared" si="111"/>
        <v>15</v>
      </c>
      <c r="R1193" s="28">
        <f t="shared" si="112"/>
        <v>0.88775510204081631</v>
      </c>
      <c r="S1193" s="29">
        <f t="shared" si="113"/>
        <v>88.775510204081627</v>
      </c>
      <c r="T1193" s="5" t="str">
        <f>IF(Delivery_Data[[#This Row],[Delays (min)]]&gt;0,"No","Yes")</f>
        <v>No</v>
      </c>
    </row>
    <row r="1194" spans="1:20" ht="15.75" customHeight="1" x14ac:dyDescent="0.3">
      <c r="A1194" s="4">
        <v>2193</v>
      </c>
      <c r="B1194" s="5" t="s">
        <v>1296</v>
      </c>
      <c r="C1194" s="6">
        <v>45174.59097222222</v>
      </c>
      <c r="D1194" s="5" t="s">
        <v>43</v>
      </c>
      <c r="E1194" s="5" t="s">
        <v>301</v>
      </c>
      <c r="F1194" s="5" t="s">
        <v>16</v>
      </c>
      <c r="G1194" s="5" t="s">
        <v>31</v>
      </c>
      <c r="H1194" s="5">
        <v>155</v>
      </c>
      <c r="I1194" s="5">
        <v>1</v>
      </c>
      <c r="J1194" s="5" t="s">
        <v>18</v>
      </c>
      <c r="K1194" s="5" t="s">
        <v>19</v>
      </c>
      <c r="L1194" s="5" t="s">
        <v>20</v>
      </c>
      <c r="M1194" s="7" t="s">
        <v>46</v>
      </c>
      <c r="N1194" s="26">
        <f t="shared" si="108"/>
        <v>0</v>
      </c>
      <c r="O1194" s="42">
        <f t="shared" si="109"/>
        <v>45174</v>
      </c>
      <c r="P1194" s="5" t="str">
        <f t="shared" si="110"/>
        <v>Tuesday</v>
      </c>
      <c r="Q1194" s="5">
        <f t="shared" si="111"/>
        <v>14</v>
      </c>
      <c r="R1194" s="28">
        <f t="shared" si="112"/>
        <v>0.99358974358974361</v>
      </c>
      <c r="S1194" s="29">
        <f t="shared" si="113"/>
        <v>99.358974358974365</v>
      </c>
      <c r="T1194" s="5" t="str">
        <f>IF(Delivery_Data[[#This Row],[Delays (min)]]&gt;0,"No","Yes")</f>
        <v>No</v>
      </c>
    </row>
    <row r="1195" spans="1:20" ht="15.75" customHeight="1" x14ac:dyDescent="0.3">
      <c r="A1195" s="4">
        <v>2194</v>
      </c>
      <c r="B1195" s="5" t="s">
        <v>1297</v>
      </c>
      <c r="C1195" s="6">
        <v>45176.418055555558</v>
      </c>
      <c r="D1195" s="5" t="s">
        <v>43</v>
      </c>
      <c r="E1195" s="5" t="s">
        <v>277</v>
      </c>
      <c r="F1195" s="5" t="s">
        <v>16</v>
      </c>
      <c r="G1195" s="5" t="s">
        <v>31</v>
      </c>
      <c r="H1195" s="5">
        <v>138</v>
      </c>
      <c r="I1195" s="5">
        <v>20</v>
      </c>
      <c r="J1195" s="5" t="s">
        <v>26</v>
      </c>
      <c r="K1195" s="5" t="s">
        <v>27</v>
      </c>
      <c r="L1195" s="5" t="s">
        <v>28</v>
      </c>
      <c r="M1195" s="7" t="s">
        <v>46</v>
      </c>
      <c r="N1195" s="26">
        <f t="shared" si="108"/>
        <v>1</v>
      </c>
      <c r="O1195" s="42">
        <f t="shared" si="109"/>
        <v>45176</v>
      </c>
      <c r="P1195" s="5" t="str">
        <f t="shared" si="110"/>
        <v>Thursday</v>
      </c>
      <c r="Q1195" s="5">
        <f t="shared" si="111"/>
        <v>10</v>
      </c>
      <c r="R1195" s="28">
        <f t="shared" si="112"/>
        <v>0.87341772151898733</v>
      </c>
      <c r="S1195" s="29">
        <f t="shared" si="113"/>
        <v>87.341772151898738</v>
      </c>
      <c r="T1195" s="5" t="str">
        <f>IF(Delivery_Data[[#This Row],[Delays (min)]]&gt;0,"No","Yes")</f>
        <v>No</v>
      </c>
    </row>
    <row r="1196" spans="1:20" ht="15.75" customHeight="1" x14ac:dyDescent="0.3">
      <c r="A1196" s="4">
        <v>2195</v>
      </c>
      <c r="B1196" s="5" t="s">
        <v>1298</v>
      </c>
      <c r="C1196" s="6">
        <v>45175.586111111108</v>
      </c>
      <c r="D1196" s="5" t="s">
        <v>14</v>
      </c>
      <c r="E1196" s="5" t="s">
        <v>234</v>
      </c>
      <c r="F1196" s="5" t="s">
        <v>24</v>
      </c>
      <c r="G1196" s="5" t="s">
        <v>25</v>
      </c>
      <c r="H1196" s="5">
        <v>135</v>
      </c>
      <c r="I1196" s="5">
        <v>12</v>
      </c>
      <c r="J1196" s="5" t="s">
        <v>32</v>
      </c>
      <c r="K1196" s="5" t="s">
        <v>45</v>
      </c>
      <c r="L1196" s="5" t="s">
        <v>28</v>
      </c>
      <c r="M1196" s="7" t="s">
        <v>21</v>
      </c>
      <c r="N1196" s="26">
        <f t="shared" si="108"/>
        <v>-1</v>
      </c>
      <c r="O1196" s="42">
        <f t="shared" si="109"/>
        <v>45175</v>
      </c>
      <c r="P1196" s="5" t="str">
        <f t="shared" si="110"/>
        <v>Wednesday</v>
      </c>
      <c r="Q1196" s="5">
        <f t="shared" si="111"/>
        <v>14</v>
      </c>
      <c r="R1196" s="28">
        <f t="shared" si="112"/>
        <v>0.91836734693877553</v>
      </c>
      <c r="S1196" s="29">
        <f t="shared" si="113"/>
        <v>91.83673469387756</v>
      </c>
      <c r="T1196" s="5" t="str">
        <f>IF(Delivery_Data[[#This Row],[Delays (min)]]&gt;0,"No","Yes")</f>
        <v>No</v>
      </c>
    </row>
    <row r="1197" spans="1:20" ht="15.75" customHeight="1" x14ac:dyDescent="0.3">
      <c r="A1197" s="4">
        <v>2196</v>
      </c>
      <c r="B1197" s="5" t="s">
        <v>1299</v>
      </c>
      <c r="C1197" s="6">
        <v>45170.527083333334</v>
      </c>
      <c r="D1197" s="5" t="s">
        <v>43</v>
      </c>
      <c r="E1197" s="5" t="s">
        <v>132</v>
      </c>
      <c r="F1197" s="5" t="s">
        <v>16</v>
      </c>
      <c r="G1197" s="5" t="s">
        <v>31</v>
      </c>
      <c r="H1197" s="5">
        <v>183</v>
      </c>
      <c r="I1197" s="5">
        <v>2</v>
      </c>
      <c r="J1197" s="5" t="s">
        <v>26</v>
      </c>
      <c r="K1197" s="5" t="s">
        <v>49</v>
      </c>
      <c r="L1197" s="5" t="s">
        <v>20</v>
      </c>
      <c r="M1197" s="7" t="s">
        <v>46</v>
      </c>
      <c r="N1197" s="26">
        <f t="shared" si="108"/>
        <v>1</v>
      </c>
      <c r="O1197" s="42">
        <f t="shared" si="109"/>
        <v>45170</v>
      </c>
      <c r="P1197" s="5" t="str">
        <f t="shared" si="110"/>
        <v>Friday</v>
      </c>
      <c r="Q1197" s="5">
        <f t="shared" si="111"/>
        <v>12</v>
      </c>
      <c r="R1197" s="28">
        <f t="shared" si="112"/>
        <v>0.98918918918918919</v>
      </c>
      <c r="S1197" s="29">
        <f t="shared" si="113"/>
        <v>98.918918918918919</v>
      </c>
      <c r="T1197" s="5" t="str">
        <f>IF(Delivery_Data[[#This Row],[Delays (min)]]&gt;0,"No","Yes")</f>
        <v>No</v>
      </c>
    </row>
    <row r="1198" spans="1:20" ht="15.75" customHeight="1" x14ac:dyDescent="0.3">
      <c r="A1198" s="4">
        <v>2197</v>
      </c>
      <c r="B1198" s="5" t="s">
        <v>1300</v>
      </c>
      <c r="C1198" s="6">
        <v>45171.681250000001</v>
      </c>
      <c r="D1198" s="5" t="s">
        <v>43</v>
      </c>
      <c r="E1198" s="5" t="s">
        <v>149</v>
      </c>
      <c r="F1198" s="5" t="s">
        <v>24</v>
      </c>
      <c r="G1198" s="5" t="s">
        <v>17</v>
      </c>
      <c r="H1198" s="5">
        <v>189</v>
      </c>
      <c r="I1198" s="5">
        <v>22</v>
      </c>
      <c r="J1198" s="5" t="s">
        <v>18</v>
      </c>
      <c r="K1198" s="5" t="s">
        <v>35</v>
      </c>
      <c r="L1198" s="5" t="s">
        <v>40</v>
      </c>
      <c r="M1198" s="7" t="s">
        <v>46</v>
      </c>
      <c r="N1198" s="26">
        <f t="shared" si="108"/>
        <v>0</v>
      </c>
      <c r="O1198" s="42">
        <f t="shared" si="109"/>
        <v>45171</v>
      </c>
      <c r="P1198" s="5" t="str">
        <f t="shared" si="110"/>
        <v>Saturday</v>
      </c>
      <c r="Q1198" s="5">
        <f t="shared" si="111"/>
        <v>16</v>
      </c>
      <c r="R1198" s="28">
        <f t="shared" si="112"/>
        <v>0.89573459715639814</v>
      </c>
      <c r="S1198" s="29">
        <f t="shared" si="113"/>
        <v>89.573459715639814</v>
      </c>
      <c r="T1198" s="5" t="str">
        <f>IF(Delivery_Data[[#This Row],[Delays (min)]]&gt;0,"No","Yes")</f>
        <v>No</v>
      </c>
    </row>
    <row r="1199" spans="1:20" ht="15.75" customHeight="1" x14ac:dyDescent="0.3">
      <c r="A1199" s="4">
        <v>2198</v>
      </c>
      <c r="B1199" s="5" t="s">
        <v>1301</v>
      </c>
      <c r="C1199" s="6">
        <v>45171.467361111114</v>
      </c>
      <c r="D1199" s="5" t="s">
        <v>14</v>
      </c>
      <c r="E1199" s="5" t="s">
        <v>245</v>
      </c>
      <c r="F1199" s="5" t="s">
        <v>16</v>
      </c>
      <c r="G1199" s="5" t="s">
        <v>17</v>
      </c>
      <c r="H1199" s="5">
        <v>225</v>
      </c>
      <c r="I1199" s="5">
        <v>11</v>
      </c>
      <c r="J1199" s="5" t="s">
        <v>26</v>
      </c>
      <c r="K1199" s="5" t="s">
        <v>19</v>
      </c>
      <c r="L1199" s="5" t="s">
        <v>28</v>
      </c>
      <c r="M1199" s="7" t="s">
        <v>41</v>
      </c>
      <c r="N1199" s="26">
        <f t="shared" si="108"/>
        <v>1</v>
      </c>
      <c r="O1199" s="42">
        <f t="shared" si="109"/>
        <v>45171</v>
      </c>
      <c r="P1199" s="5" t="str">
        <f t="shared" si="110"/>
        <v>Saturday</v>
      </c>
      <c r="Q1199" s="5">
        <f t="shared" si="111"/>
        <v>11</v>
      </c>
      <c r="R1199" s="28">
        <f t="shared" si="112"/>
        <v>0.95338983050847459</v>
      </c>
      <c r="S1199" s="29">
        <f t="shared" si="113"/>
        <v>95.33898305084746</v>
      </c>
      <c r="T1199" s="5" t="str">
        <f>IF(Delivery_Data[[#This Row],[Delays (min)]]&gt;0,"No","Yes")</f>
        <v>No</v>
      </c>
    </row>
    <row r="1200" spans="1:20" ht="15.75" customHeight="1" x14ac:dyDescent="0.3">
      <c r="A1200" s="4">
        <v>2199</v>
      </c>
      <c r="B1200" s="5" t="s">
        <v>1302</v>
      </c>
      <c r="C1200" s="6">
        <v>45170.486805555556</v>
      </c>
      <c r="D1200" s="5" t="s">
        <v>43</v>
      </c>
      <c r="E1200" s="5" t="s">
        <v>288</v>
      </c>
      <c r="F1200" s="5" t="s">
        <v>38</v>
      </c>
      <c r="G1200" s="5" t="s">
        <v>31</v>
      </c>
      <c r="H1200" s="5">
        <v>68</v>
      </c>
      <c r="I1200" s="5">
        <v>4</v>
      </c>
      <c r="J1200" s="5" t="s">
        <v>26</v>
      </c>
      <c r="K1200" s="5" t="s">
        <v>19</v>
      </c>
      <c r="L1200" s="5" t="s">
        <v>40</v>
      </c>
      <c r="M1200" s="7" t="s">
        <v>41</v>
      </c>
      <c r="N1200" s="26">
        <f t="shared" si="108"/>
        <v>1</v>
      </c>
      <c r="O1200" s="42">
        <f t="shared" si="109"/>
        <v>45170</v>
      </c>
      <c r="P1200" s="5" t="str">
        <f t="shared" si="110"/>
        <v>Friday</v>
      </c>
      <c r="Q1200" s="5">
        <f t="shared" si="111"/>
        <v>11</v>
      </c>
      <c r="R1200" s="28">
        <f t="shared" si="112"/>
        <v>0.94444444444444442</v>
      </c>
      <c r="S1200" s="29">
        <f t="shared" si="113"/>
        <v>94.444444444444443</v>
      </c>
      <c r="T1200" s="5" t="str">
        <f>IF(Delivery_Data[[#This Row],[Delays (min)]]&gt;0,"No","Yes")</f>
        <v>No</v>
      </c>
    </row>
    <row r="1201" spans="1:20" ht="15.75" customHeight="1" x14ac:dyDescent="0.3">
      <c r="A1201" s="4">
        <v>2200</v>
      </c>
      <c r="B1201" s="5" t="s">
        <v>1303</v>
      </c>
      <c r="C1201" s="6">
        <v>45173.345138888886</v>
      </c>
      <c r="D1201" s="5" t="s">
        <v>14</v>
      </c>
      <c r="E1201" s="5" t="s">
        <v>234</v>
      </c>
      <c r="F1201" s="5" t="s">
        <v>16</v>
      </c>
      <c r="G1201" s="5" t="s">
        <v>56</v>
      </c>
      <c r="H1201" s="5">
        <v>163</v>
      </c>
      <c r="I1201" s="5">
        <v>9</v>
      </c>
      <c r="J1201" s="5" t="s">
        <v>26</v>
      </c>
      <c r="K1201" s="5" t="s">
        <v>27</v>
      </c>
      <c r="L1201" s="5" t="s">
        <v>40</v>
      </c>
      <c r="M1201" s="7" t="s">
        <v>46</v>
      </c>
      <c r="N1201" s="26">
        <f t="shared" si="108"/>
        <v>1</v>
      </c>
      <c r="O1201" s="42">
        <f t="shared" si="109"/>
        <v>45173</v>
      </c>
      <c r="P1201" s="5" t="str">
        <f t="shared" si="110"/>
        <v>Monday</v>
      </c>
      <c r="Q1201" s="5">
        <f t="shared" si="111"/>
        <v>8</v>
      </c>
      <c r="R1201" s="28">
        <f t="shared" si="112"/>
        <v>0.94767441860465118</v>
      </c>
      <c r="S1201" s="29">
        <f t="shared" si="113"/>
        <v>94.767441860465112</v>
      </c>
      <c r="T1201" s="5" t="str">
        <f>IF(Delivery_Data[[#This Row],[Delays (min)]]&gt;0,"No","Yes")</f>
        <v>No</v>
      </c>
    </row>
    <row r="1202" spans="1:20" ht="15.75" customHeight="1" x14ac:dyDescent="0.3">
      <c r="A1202" s="4">
        <v>2201</v>
      </c>
      <c r="B1202" s="5" t="s">
        <v>1304</v>
      </c>
      <c r="C1202" s="6">
        <v>45171.419444444444</v>
      </c>
      <c r="D1202" s="5" t="s">
        <v>43</v>
      </c>
      <c r="E1202" s="5" t="s">
        <v>441</v>
      </c>
      <c r="F1202" s="5" t="s">
        <v>38</v>
      </c>
      <c r="G1202" s="5" t="s">
        <v>56</v>
      </c>
      <c r="H1202" s="5">
        <v>234</v>
      </c>
      <c r="I1202" s="5">
        <v>3</v>
      </c>
      <c r="J1202" s="5" t="s">
        <v>18</v>
      </c>
      <c r="K1202" s="5" t="s">
        <v>35</v>
      </c>
      <c r="L1202" s="5" t="s">
        <v>20</v>
      </c>
      <c r="M1202" s="7" t="s">
        <v>46</v>
      </c>
      <c r="N1202" s="26">
        <f t="shared" si="108"/>
        <v>0</v>
      </c>
      <c r="O1202" s="42">
        <f t="shared" si="109"/>
        <v>45171</v>
      </c>
      <c r="P1202" s="5" t="str">
        <f t="shared" si="110"/>
        <v>Saturday</v>
      </c>
      <c r="Q1202" s="5">
        <f t="shared" si="111"/>
        <v>10</v>
      </c>
      <c r="R1202" s="28">
        <f t="shared" si="112"/>
        <v>0.98734177215189878</v>
      </c>
      <c r="S1202" s="29">
        <f t="shared" si="113"/>
        <v>98.734177215189874</v>
      </c>
      <c r="T1202" s="5" t="str">
        <f>IF(Delivery_Data[[#This Row],[Delays (min)]]&gt;0,"No","Yes")</f>
        <v>No</v>
      </c>
    </row>
    <row r="1203" spans="1:20" ht="15.75" customHeight="1" x14ac:dyDescent="0.3">
      <c r="A1203" s="4">
        <v>2202</v>
      </c>
      <c r="B1203" s="5" t="s">
        <v>1305</v>
      </c>
      <c r="C1203" s="6">
        <v>45172.45416666667</v>
      </c>
      <c r="D1203" s="5" t="s">
        <v>43</v>
      </c>
      <c r="E1203" s="5" t="s">
        <v>267</v>
      </c>
      <c r="F1203" s="5" t="s">
        <v>24</v>
      </c>
      <c r="G1203" s="5" t="s">
        <v>39</v>
      </c>
      <c r="H1203" s="5">
        <v>160</v>
      </c>
      <c r="I1203" s="5">
        <v>27</v>
      </c>
      <c r="J1203" s="5" t="s">
        <v>32</v>
      </c>
      <c r="K1203" s="5" t="s">
        <v>27</v>
      </c>
      <c r="L1203" s="5" t="s">
        <v>28</v>
      </c>
      <c r="M1203" s="7" t="s">
        <v>21</v>
      </c>
      <c r="N1203" s="26">
        <f t="shared" si="108"/>
        <v>-1</v>
      </c>
      <c r="O1203" s="42">
        <f t="shared" si="109"/>
        <v>45172</v>
      </c>
      <c r="P1203" s="5" t="str">
        <f t="shared" si="110"/>
        <v>Sunday</v>
      </c>
      <c r="Q1203" s="5">
        <f t="shared" si="111"/>
        <v>10</v>
      </c>
      <c r="R1203" s="28">
        <f t="shared" si="112"/>
        <v>0.85561497326203206</v>
      </c>
      <c r="S1203" s="29">
        <f t="shared" si="113"/>
        <v>85.561497326203209</v>
      </c>
      <c r="T1203" s="5" t="str">
        <f>IF(Delivery_Data[[#This Row],[Delays (min)]]&gt;0,"No","Yes")</f>
        <v>No</v>
      </c>
    </row>
    <row r="1204" spans="1:20" ht="15.75" customHeight="1" x14ac:dyDescent="0.3">
      <c r="A1204" s="4">
        <v>2203</v>
      </c>
      <c r="B1204" s="5" t="s">
        <v>1306</v>
      </c>
      <c r="C1204" s="6">
        <v>45172.411805555559</v>
      </c>
      <c r="D1204" s="5" t="s">
        <v>14</v>
      </c>
      <c r="E1204" s="5" t="s">
        <v>93</v>
      </c>
      <c r="F1204" s="5" t="s">
        <v>16</v>
      </c>
      <c r="G1204" s="5" t="s">
        <v>31</v>
      </c>
      <c r="H1204" s="5">
        <v>105</v>
      </c>
      <c r="I1204" s="5">
        <v>21</v>
      </c>
      <c r="J1204" s="5" t="s">
        <v>32</v>
      </c>
      <c r="K1204" s="5" t="s">
        <v>27</v>
      </c>
      <c r="L1204" s="5" t="s">
        <v>40</v>
      </c>
      <c r="M1204" s="7" t="s">
        <v>46</v>
      </c>
      <c r="N1204" s="26">
        <f t="shared" si="108"/>
        <v>-1</v>
      </c>
      <c r="O1204" s="42">
        <f t="shared" si="109"/>
        <v>45172</v>
      </c>
      <c r="P1204" s="5" t="str">
        <f t="shared" si="110"/>
        <v>Sunday</v>
      </c>
      <c r="Q1204" s="5">
        <f t="shared" si="111"/>
        <v>9</v>
      </c>
      <c r="R1204" s="28">
        <f t="shared" si="112"/>
        <v>0.83333333333333337</v>
      </c>
      <c r="S1204" s="29">
        <f t="shared" si="113"/>
        <v>83.333333333333343</v>
      </c>
      <c r="T1204" s="5" t="str">
        <f>IF(Delivery_Data[[#This Row],[Delays (min)]]&gt;0,"No","Yes")</f>
        <v>No</v>
      </c>
    </row>
    <row r="1205" spans="1:20" ht="15.75" customHeight="1" x14ac:dyDescent="0.3">
      <c r="A1205" s="4">
        <v>2204</v>
      </c>
      <c r="B1205" s="5" t="s">
        <v>1307</v>
      </c>
      <c r="C1205" s="6">
        <v>45174.390972222223</v>
      </c>
      <c r="D1205" s="5" t="s">
        <v>43</v>
      </c>
      <c r="E1205" s="5" t="s">
        <v>197</v>
      </c>
      <c r="F1205" s="5" t="s">
        <v>38</v>
      </c>
      <c r="G1205" s="5" t="s">
        <v>17</v>
      </c>
      <c r="H1205" s="5">
        <v>165</v>
      </c>
      <c r="I1205" s="5">
        <v>2</v>
      </c>
      <c r="J1205" s="5" t="s">
        <v>18</v>
      </c>
      <c r="K1205" s="5" t="s">
        <v>35</v>
      </c>
      <c r="L1205" s="5" t="s">
        <v>20</v>
      </c>
      <c r="M1205" s="7" t="s">
        <v>41</v>
      </c>
      <c r="N1205" s="26">
        <f t="shared" si="108"/>
        <v>0</v>
      </c>
      <c r="O1205" s="42">
        <f t="shared" si="109"/>
        <v>45174</v>
      </c>
      <c r="P1205" s="5" t="str">
        <f t="shared" si="110"/>
        <v>Tuesday</v>
      </c>
      <c r="Q1205" s="5">
        <f t="shared" si="111"/>
        <v>9</v>
      </c>
      <c r="R1205" s="28">
        <f t="shared" si="112"/>
        <v>0.9880239520958084</v>
      </c>
      <c r="S1205" s="29">
        <f t="shared" si="113"/>
        <v>98.802395209580837</v>
      </c>
      <c r="T1205" s="5" t="str">
        <f>IF(Delivery_Data[[#This Row],[Delays (min)]]&gt;0,"No","Yes")</f>
        <v>No</v>
      </c>
    </row>
    <row r="1206" spans="1:20" ht="15.75" customHeight="1" x14ac:dyDescent="0.3">
      <c r="A1206" s="4">
        <v>2205</v>
      </c>
      <c r="B1206" s="5" t="s">
        <v>1308</v>
      </c>
      <c r="C1206" s="6">
        <v>45171.695833333331</v>
      </c>
      <c r="D1206" s="5" t="s">
        <v>43</v>
      </c>
      <c r="E1206" s="5" t="s">
        <v>85</v>
      </c>
      <c r="F1206" s="5" t="s">
        <v>38</v>
      </c>
      <c r="G1206" s="5" t="s">
        <v>17</v>
      </c>
      <c r="H1206" s="5">
        <v>192</v>
      </c>
      <c r="I1206" s="5">
        <v>13</v>
      </c>
      <c r="J1206" s="5" t="s">
        <v>26</v>
      </c>
      <c r="K1206" s="5" t="s">
        <v>45</v>
      </c>
      <c r="L1206" s="5" t="s">
        <v>28</v>
      </c>
      <c r="M1206" s="7" t="s">
        <v>46</v>
      </c>
      <c r="N1206" s="26">
        <f t="shared" si="108"/>
        <v>1</v>
      </c>
      <c r="O1206" s="42">
        <f t="shared" si="109"/>
        <v>45171</v>
      </c>
      <c r="P1206" s="5" t="str">
        <f t="shared" si="110"/>
        <v>Saturday</v>
      </c>
      <c r="Q1206" s="5">
        <f t="shared" si="111"/>
        <v>16</v>
      </c>
      <c r="R1206" s="28">
        <f t="shared" si="112"/>
        <v>0.93658536585365859</v>
      </c>
      <c r="S1206" s="29">
        <f t="shared" si="113"/>
        <v>93.658536585365866</v>
      </c>
      <c r="T1206" s="5" t="str">
        <f>IF(Delivery_Data[[#This Row],[Delays (min)]]&gt;0,"No","Yes")</f>
        <v>No</v>
      </c>
    </row>
    <row r="1207" spans="1:20" ht="15.75" customHeight="1" x14ac:dyDescent="0.3">
      <c r="A1207" s="4">
        <v>2206</v>
      </c>
      <c r="B1207" s="5" t="s">
        <v>1309</v>
      </c>
      <c r="C1207" s="6">
        <v>45172.56527777778</v>
      </c>
      <c r="D1207" s="5" t="s">
        <v>43</v>
      </c>
      <c r="E1207" s="5" t="s">
        <v>132</v>
      </c>
      <c r="F1207" s="5" t="s">
        <v>16</v>
      </c>
      <c r="G1207" s="5" t="s">
        <v>17</v>
      </c>
      <c r="H1207" s="5">
        <v>94</v>
      </c>
      <c r="I1207" s="5">
        <v>24</v>
      </c>
      <c r="J1207" s="5" t="s">
        <v>32</v>
      </c>
      <c r="K1207" s="5" t="s">
        <v>27</v>
      </c>
      <c r="L1207" s="5" t="s">
        <v>40</v>
      </c>
      <c r="M1207" s="7" t="s">
        <v>46</v>
      </c>
      <c r="N1207" s="26">
        <f t="shared" si="108"/>
        <v>-1</v>
      </c>
      <c r="O1207" s="42">
        <f t="shared" si="109"/>
        <v>45172</v>
      </c>
      <c r="P1207" s="5" t="str">
        <f t="shared" si="110"/>
        <v>Sunday</v>
      </c>
      <c r="Q1207" s="5">
        <f t="shared" si="111"/>
        <v>13</v>
      </c>
      <c r="R1207" s="28">
        <f t="shared" si="112"/>
        <v>0.79661016949152541</v>
      </c>
      <c r="S1207" s="29">
        <f t="shared" si="113"/>
        <v>79.66101694915254</v>
      </c>
      <c r="T1207" s="5" t="str">
        <f>IF(Delivery_Data[[#This Row],[Delays (min)]]&gt;0,"No","Yes")</f>
        <v>No</v>
      </c>
    </row>
    <row r="1208" spans="1:20" ht="15.75" customHeight="1" x14ac:dyDescent="0.3">
      <c r="A1208" s="4">
        <v>2207</v>
      </c>
      <c r="B1208" s="5" t="s">
        <v>1310</v>
      </c>
      <c r="C1208" s="6">
        <v>45176.606944444444</v>
      </c>
      <c r="D1208" s="5" t="s">
        <v>43</v>
      </c>
      <c r="E1208" s="5" t="s">
        <v>311</v>
      </c>
      <c r="F1208" s="5" t="s">
        <v>16</v>
      </c>
      <c r="G1208" s="5" t="s">
        <v>56</v>
      </c>
      <c r="H1208" s="5">
        <v>90</v>
      </c>
      <c r="I1208" s="5">
        <v>20</v>
      </c>
      <c r="J1208" s="5" t="s">
        <v>32</v>
      </c>
      <c r="K1208" s="5" t="s">
        <v>49</v>
      </c>
      <c r="L1208" s="5" t="s">
        <v>20</v>
      </c>
      <c r="M1208" s="7" t="s">
        <v>21</v>
      </c>
      <c r="N1208" s="26">
        <f t="shared" si="108"/>
        <v>-1</v>
      </c>
      <c r="O1208" s="42">
        <f t="shared" si="109"/>
        <v>45176</v>
      </c>
      <c r="P1208" s="5" t="str">
        <f t="shared" si="110"/>
        <v>Thursday</v>
      </c>
      <c r="Q1208" s="5">
        <f t="shared" si="111"/>
        <v>14</v>
      </c>
      <c r="R1208" s="28">
        <f t="shared" si="112"/>
        <v>0.81818181818181823</v>
      </c>
      <c r="S1208" s="29">
        <f t="shared" si="113"/>
        <v>81.818181818181827</v>
      </c>
      <c r="T1208" s="5" t="str">
        <f>IF(Delivery_Data[[#This Row],[Delays (min)]]&gt;0,"No","Yes")</f>
        <v>No</v>
      </c>
    </row>
    <row r="1209" spans="1:20" ht="15.75" customHeight="1" x14ac:dyDescent="0.3">
      <c r="A1209" s="4">
        <v>2208</v>
      </c>
      <c r="B1209" s="5" t="s">
        <v>1311</v>
      </c>
      <c r="C1209" s="6">
        <v>45176.688194444447</v>
      </c>
      <c r="D1209" s="5" t="s">
        <v>14</v>
      </c>
      <c r="E1209" s="5" t="s">
        <v>51</v>
      </c>
      <c r="F1209" s="5" t="s">
        <v>38</v>
      </c>
      <c r="G1209" s="5" t="s">
        <v>17</v>
      </c>
      <c r="H1209" s="5">
        <v>219</v>
      </c>
      <c r="I1209" s="5">
        <v>17</v>
      </c>
      <c r="J1209" s="5" t="s">
        <v>26</v>
      </c>
      <c r="K1209" s="5" t="s">
        <v>27</v>
      </c>
      <c r="L1209" s="5" t="s">
        <v>28</v>
      </c>
      <c r="M1209" s="7" t="s">
        <v>21</v>
      </c>
      <c r="N1209" s="26">
        <f t="shared" si="108"/>
        <v>1</v>
      </c>
      <c r="O1209" s="42">
        <f t="shared" si="109"/>
        <v>45176</v>
      </c>
      <c r="P1209" s="5" t="str">
        <f t="shared" si="110"/>
        <v>Thursday</v>
      </c>
      <c r="Q1209" s="5">
        <f t="shared" si="111"/>
        <v>16</v>
      </c>
      <c r="R1209" s="28">
        <f t="shared" si="112"/>
        <v>0.92796610169491522</v>
      </c>
      <c r="S1209" s="29">
        <f t="shared" si="113"/>
        <v>92.796610169491515</v>
      </c>
      <c r="T1209" s="5" t="str">
        <f>IF(Delivery_Data[[#This Row],[Delays (min)]]&gt;0,"No","Yes")</f>
        <v>No</v>
      </c>
    </row>
    <row r="1210" spans="1:20" ht="15.75" customHeight="1" x14ac:dyDescent="0.3">
      <c r="A1210" s="4">
        <v>2209</v>
      </c>
      <c r="B1210" s="5" t="s">
        <v>1312</v>
      </c>
      <c r="C1210" s="6">
        <v>45170.539583333331</v>
      </c>
      <c r="D1210" s="5" t="s">
        <v>14</v>
      </c>
      <c r="E1210" s="5" t="s">
        <v>73</v>
      </c>
      <c r="F1210" s="5" t="s">
        <v>38</v>
      </c>
      <c r="G1210" s="5" t="s">
        <v>17</v>
      </c>
      <c r="H1210" s="5">
        <v>176</v>
      </c>
      <c r="I1210" s="5">
        <v>2</v>
      </c>
      <c r="J1210" s="5" t="s">
        <v>32</v>
      </c>
      <c r="K1210" s="5" t="s">
        <v>19</v>
      </c>
      <c r="L1210" s="5" t="s">
        <v>20</v>
      </c>
      <c r="M1210" s="7" t="s">
        <v>41</v>
      </c>
      <c r="N1210" s="26">
        <f t="shared" si="108"/>
        <v>-1</v>
      </c>
      <c r="O1210" s="42">
        <f t="shared" si="109"/>
        <v>45170</v>
      </c>
      <c r="P1210" s="5" t="str">
        <f t="shared" si="110"/>
        <v>Friday</v>
      </c>
      <c r="Q1210" s="5">
        <f t="shared" si="111"/>
        <v>12</v>
      </c>
      <c r="R1210" s="28">
        <f t="shared" si="112"/>
        <v>0.9887640449438202</v>
      </c>
      <c r="S1210" s="29">
        <f t="shared" si="113"/>
        <v>98.876404494382015</v>
      </c>
      <c r="T1210" s="5" t="str">
        <f>IF(Delivery_Data[[#This Row],[Delays (min)]]&gt;0,"No","Yes")</f>
        <v>No</v>
      </c>
    </row>
    <row r="1211" spans="1:20" ht="15.75" customHeight="1" x14ac:dyDescent="0.3">
      <c r="A1211" s="4">
        <v>2210</v>
      </c>
      <c r="B1211" s="5" t="s">
        <v>1313</v>
      </c>
      <c r="C1211" s="6">
        <v>45171.408333333333</v>
      </c>
      <c r="D1211" s="5" t="s">
        <v>43</v>
      </c>
      <c r="E1211" s="5" t="s">
        <v>120</v>
      </c>
      <c r="F1211" s="5" t="s">
        <v>24</v>
      </c>
      <c r="G1211" s="5" t="s">
        <v>17</v>
      </c>
      <c r="H1211" s="5">
        <v>210</v>
      </c>
      <c r="I1211" s="5">
        <v>16</v>
      </c>
      <c r="J1211" s="5" t="s">
        <v>26</v>
      </c>
      <c r="K1211" s="5" t="s">
        <v>45</v>
      </c>
      <c r="L1211" s="5" t="s">
        <v>28</v>
      </c>
      <c r="M1211" s="7" t="s">
        <v>41</v>
      </c>
      <c r="N1211" s="26">
        <f t="shared" si="108"/>
        <v>1</v>
      </c>
      <c r="O1211" s="42">
        <f t="shared" si="109"/>
        <v>45171</v>
      </c>
      <c r="P1211" s="5" t="str">
        <f t="shared" si="110"/>
        <v>Saturday</v>
      </c>
      <c r="Q1211" s="5">
        <f t="shared" si="111"/>
        <v>9</v>
      </c>
      <c r="R1211" s="28">
        <f t="shared" si="112"/>
        <v>0.92920353982300885</v>
      </c>
      <c r="S1211" s="29">
        <f t="shared" si="113"/>
        <v>92.920353982300881</v>
      </c>
      <c r="T1211" s="5" t="str">
        <f>IF(Delivery_Data[[#This Row],[Delays (min)]]&gt;0,"No","Yes")</f>
        <v>No</v>
      </c>
    </row>
    <row r="1212" spans="1:20" ht="15.75" customHeight="1" x14ac:dyDescent="0.3">
      <c r="A1212" s="4">
        <v>2211</v>
      </c>
      <c r="B1212" s="5" t="s">
        <v>1314</v>
      </c>
      <c r="C1212" s="6">
        <v>45174.680555555555</v>
      </c>
      <c r="D1212" s="5" t="s">
        <v>14</v>
      </c>
      <c r="E1212" s="5" t="s">
        <v>64</v>
      </c>
      <c r="F1212" s="5" t="s">
        <v>16</v>
      </c>
      <c r="G1212" s="5" t="s">
        <v>56</v>
      </c>
      <c r="H1212" s="5">
        <v>64</v>
      </c>
      <c r="I1212" s="5">
        <v>0</v>
      </c>
      <c r="J1212" s="5" t="s">
        <v>26</v>
      </c>
      <c r="K1212" s="5" t="s">
        <v>45</v>
      </c>
      <c r="L1212" s="5" t="s">
        <v>20</v>
      </c>
      <c r="M1212" s="7" t="s">
        <v>21</v>
      </c>
      <c r="N1212" s="26">
        <f t="shared" si="108"/>
        <v>1</v>
      </c>
      <c r="O1212" s="42">
        <f t="shared" si="109"/>
        <v>45174</v>
      </c>
      <c r="P1212" s="5" t="str">
        <f t="shared" si="110"/>
        <v>Tuesday</v>
      </c>
      <c r="Q1212" s="5">
        <f t="shared" si="111"/>
        <v>16</v>
      </c>
      <c r="R1212" s="28">
        <f t="shared" si="112"/>
        <v>1</v>
      </c>
      <c r="S1212" s="29">
        <f t="shared" si="113"/>
        <v>100</v>
      </c>
      <c r="T1212" s="5" t="str">
        <f>IF(Delivery_Data[[#This Row],[Delays (min)]]&gt;0,"No","Yes")</f>
        <v>Yes</v>
      </c>
    </row>
    <row r="1213" spans="1:20" ht="15.75" customHeight="1" x14ac:dyDescent="0.3">
      <c r="A1213" s="4">
        <v>2212</v>
      </c>
      <c r="B1213" s="5" t="s">
        <v>1315</v>
      </c>
      <c r="C1213" s="6">
        <v>45170.69027777778</v>
      </c>
      <c r="D1213" s="5" t="s">
        <v>43</v>
      </c>
      <c r="E1213" s="5" t="s">
        <v>118</v>
      </c>
      <c r="F1213" s="5" t="s">
        <v>24</v>
      </c>
      <c r="G1213" s="5" t="s">
        <v>56</v>
      </c>
      <c r="H1213" s="5">
        <v>218</v>
      </c>
      <c r="I1213" s="5">
        <v>16</v>
      </c>
      <c r="J1213" s="5" t="s">
        <v>26</v>
      </c>
      <c r="K1213" s="5" t="s">
        <v>27</v>
      </c>
      <c r="L1213" s="5" t="s">
        <v>20</v>
      </c>
      <c r="M1213" s="7" t="s">
        <v>21</v>
      </c>
      <c r="N1213" s="26">
        <f t="shared" si="108"/>
        <v>1</v>
      </c>
      <c r="O1213" s="42">
        <f t="shared" si="109"/>
        <v>45170</v>
      </c>
      <c r="P1213" s="5" t="str">
        <f t="shared" si="110"/>
        <v>Friday</v>
      </c>
      <c r="Q1213" s="5">
        <f t="shared" si="111"/>
        <v>16</v>
      </c>
      <c r="R1213" s="28">
        <f t="shared" si="112"/>
        <v>0.93162393162393164</v>
      </c>
      <c r="S1213" s="29">
        <f t="shared" si="113"/>
        <v>93.162393162393158</v>
      </c>
      <c r="T1213" s="5" t="str">
        <f>IF(Delivery_Data[[#This Row],[Delays (min)]]&gt;0,"No","Yes")</f>
        <v>No</v>
      </c>
    </row>
    <row r="1214" spans="1:20" ht="15.75" customHeight="1" x14ac:dyDescent="0.3">
      <c r="A1214" s="4">
        <v>2213</v>
      </c>
      <c r="B1214" s="5" t="s">
        <v>1316</v>
      </c>
      <c r="C1214" s="6">
        <v>45174.59652777778</v>
      </c>
      <c r="D1214" s="5" t="s">
        <v>14</v>
      </c>
      <c r="E1214" s="5" t="s">
        <v>48</v>
      </c>
      <c r="F1214" s="5" t="s">
        <v>38</v>
      </c>
      <c r="G1214" s="5" t="s">
        <v>39</v>
      </c>
      <c r="H1214" s="5">
        <v>198</v>
      </c>
      <c r="I1214" s="5">
        <v>23</v>
      </c>
      <c r="J1214" s="5" t="s">
        <v>26</v>
      </c>
      <c r="K1214" s="5" t="s">
        <v>35</v>
      </c>
      <c r="L1214" s="5" t="s">
        <v>28</v>
      </c>
      <c r="M1214" s="7" t="s">
        <v>21</v>
      </c>
      <c r="N1214" s="26">
        <f t="shared" si="108"/>
        <v>1</v>
      </c>
      <c r="O1214" s="42">
        <f t="shared" si="109"/>
        <v>45174</v>
      </c>
      <c r="P1214" s="5" t="str">
        <f t="shared" si="110"/>
        <v>Tuesday</v>
      </c>
      <c r="Q1214" s="5">
        <f t="shared" si="111"/>
        <v>14</v>
      </c>
      <c r="R1214" s="28">
        <f t="shared" si="112"/>
        <v>0.89592760180995479</v>
      </c>
      <c r="S1214" s="29">
        <f t="shared" si="113"/>
        <v>89.592760180995484</v>
      </c>
      <c r="T1214" s="5" t="str">
        <f>IF(Delivery_Data[[#This Row],[Delays (min)]]&gt;0,"No","Yes")</f>
        <v>No</v>
      </c>
    </row>
    <row r="1215" spans="1:20" ht="15.75" customHeight="1" x14ac:dyDescent="0.3">
      <c r="A1215" s="4">
        <v>2214</v>
      </c>
      <c r="B1215" s="5" t="s">
        <v>1317</v>
      </c>
      <c r="C1215" s="6">
        <v>45170.453472222223</v>
      </c>
      <c r="D1215" s="5" t="s">
        <v>43</v>
      </c>
      <c r="E1215" s="5" t="s">
        <v>126</v>
      </c>
      <c r="F1215" s="5" t="s">
        <v>24</v>
      </c>
      <c r="G1215" s="5" t="s">
        <v>17</v>
      </c>
      <c r="H1215" s="5">
        <v>76</v>
      </c>
      <c r="I1215" s="5">
        <v>19</v>
      </c>
      <c r="J1215" s="5" t="s">
        <v>32</v>
      </c>
      <c r="K1215" s="5" t="s">
        <v>27</v>
      </c>
      <c r="L1215" s="5" t="s">
        <v>40</v>
      </c>
      <c r="M1215" s="7" t="s">
        <v>21</v>
      </c>
      <c r="N1215" s="26">
        <f t="shared" si="108"/>
        <v>-1</v>
      </c>
      <c r="O1215" s="42">
        <f t="shared" si="109"/>
        <v>45170</v>
      </c>
      <c r="P1215" s="5" t="str">
        <f t="shared" si="110"/>
        <v>Friday</v>
      </c>
      <c r="Q1215" s="5">
        <f t="shared" si="111"/>
        <v>10</v>
      </c>
      <c r="R1215" s="28">
        <f t="shared" si="112"/>
        <v>0.8</v>
      </c>
      <c r="S1215" s="29">
        <f t="shared" si="113"/>
        <v>80</v>
      </c>
      <c r="T1215" s="5" t="str">
        <f>IF(Delivery_Data[[#This Row],[Delays (min)]]&gt;0,"No","Yes")</f>
        <v>No</v>
      </c>
    </row>
    <row r="1216" spans="1:20" ht="15.75" customHeight="1" x14ac:dyDescent="0.3">
      <c r="A1216" s="4">
        <v>2215</v>
      </c>
      <c r="B1216" s="5" t="s">
        <v>1318</v>
      </c>
      <c r="C1216" s="6">
        <v>45176.368055555555</v>
      </c>
      <c r="D1216" s="5" t="s">
        <v>43</v>
      </c>
      <c r="E1216" s="5" t="s">
        <v>130</v>
      </c>
      <c r="F1216" s="5" t="s">
        <v>24</v>
      </c>
      <c r="G1216" s="5" t="s">
        <v>31</v>
      </c>
      <c r="H1216" s="5">
        <v>148</v>
      </c>
      <c r="I1216" s="5">
        <v>20</v>
      </c>
      <c r="J1216" s="5" t="s">
        <v>32</v>
      </c>
      <c r="K1216" s="5" t="s">
        <v>45</v>
      </c>
      <c r="L1216" s="5" t="s">
        <v>40</v>
      </c>
      <c r="M1216" s="7" t="s">
        <v>41</v>
      </c>
      <c r="N1216" s="26">
        <f t="shared" si="108"/>
        <v>-1</v>
      </c>
      <c r="O1216" s="42">
        <f t="shared" si="109"/>
        <v>45176</v>
      </c>
      <c r="P1216" s="5" t="str">
        <f t="shared" si="110"/>
        <v>Thursday</v>
      </c>
      <c r="Q1216" s="5">
        <f t="shared" si="111"/>
        <v>8</v>
      </c>
      <c r="R1216" s="28">
        <f t="shared" si="112"/>
        <v>0.88095238095238093</v>
      </c>
      <c r="S1216" s="29">
        <f t="shared" si="113"/>
        <v>88.095238095238088</v>
      </c>
      <c r="T1216" s="5" t="str">
        <f>IF(Delivery_Data[[#This Row],[Delays (min)]]&gt;0,"No","Yes")</f>
        <v>No</v>
      </c>
    </row>
    <row r="1217" spans="1:20" ht="15.75" customHeight="1" x14ac:dyDescent="0.3">
      <c r="A1217" s="4">
        <v>2216</v>
      </c>
      <c r="B1217" s="5" t="s">
        <v>1319</v>
      </c>
      <c r="C1217" s="6">
        <v>45177.441666666666</v>
      </c>
      <c r="D1217" s="5" t="s">
        <v>43</v>
      </c>
      <c r="E1217" s="5" t="s">
        <v>306</v>
      </c>
      <c r="F1217" s="5" t="s">
        <v>38</v>
      </c>
      <c r="G1217" s="5" t="s">
        <v>31</v>
      </c>
      <c r="H1217" s="5">
        <v>161</v>
      </c>
      <c r="I1217" s="5">
        <v>3</v>
      </c>
      <c r="J1217" s="5" t="s">
        <v>26</v>
      </c>
      <c r="K1217" s="5" t="s">
        <v>45</v>
      </c>
      <c r="L1217" s="5" t="s">
        <v>40</v>
      </c>
      <c r="M1217" s="7" t="s">
        <v>41</v>
      </c>
      <c r="N1217" s="26">
        <f t="shared" si="108"/>
        <v>1</v>
      </c>
      <c r="O1217" s="42">
        <f t="shared" si="109"/>
        <v>45177</v>
      </c>
      <c r="P1217" s="5" t="str">
        <f t="shared" si="110"/>
        <v>Friday</v>
      </c>
      <c r="Q1217" s="5">
        <f t="shared" si="111"/>
        <v>10</v>
      </c>
      <c r="R1217" s="28">
        <f t="shared" si="112"/>
        <v>0.98170731707317072</v>
      </c>
      <c r="S1217" s="29">
        <f t="shared" si="113"/>
        <v>98.170731707317074</v>
      </c>
      <c r="T1217" s="5" t="str">
        <f>IF(Delivery_Data[[#This Row],[Delays (min)]]&gt;0,"No","Yes")</f>
        <v>No</v>
      </c>
    </row>
    <row r="1218" spans="1:20" ht="15.75" customHeight="1" x14ac:dyDescent="0.3">
      <c r="A1218" s="4">
        <v>2217</v>
      </c>
      <c r="B1218" s="5" t="s">
        <v>1320</v>
      </c>
      <c r="C1218" s="6">
        <v>45177.652777777781</v>
      </c>
      <c r="D1218" s="5" t="s">
        <v>43</v>
      </c>
      <c r="E1218" s="5" t="s">
        <v>301</v>
      </c>
      <c r="F1218" s="5" t="s">
        <v>38</v>
      </c>
      <c r="G1218" s="5" t="s">
        <v>17</v>
      </c>
      <c r="H1218" s="5">
        <v>121</v>
      </c>
      <c r="I1218" s="5">
        <v>10</v>
      </c>
      <c r="J1218" s="5" t="s">
        <v>26</v>
      </c>
      <c r="K1218" s="5" t="s">
        <v>49</v>
      </c>
      <c r="L1218" s="5" t="s">
        <v>28</v>
      </c>
      <c r="M1218" s="7" t="s">
        <v>21</v>
      </c>
      <c r="N1218" s="26">
        <f t="shared" ref="N1218:N1281" si="114">IF(J1218="Positive",1,IF(J1218="Neutral",0,IF(J1218="Negative",-1,"")))</f>
        <v>1</v>
      </c>
      <c r="O1218" s="42">
        <f t="shared" ref="O1218:O1281" si="115">INT(C1218)</f>
        <v>45177</v>
      </c>
      <c r="P1218" s="5" t="str">
        <f t="shared" ref="P1218:P1281" si="116">TEXT(C1218,"dddd")</f>
        <v>Friday</v>
      </c>
      <c r="Q1218" s="5">
        <f t="shared" ref="Q1218:Q1281" si="117">HOUR(C1218)</f>
        <v>15</v>
      </c>
      <c r="R1218" s="28">
        <f t="shared" ref="R1218:R1281" si="118">H1218/(H1218+I1218)</f>
        <v>0.92366412213740456</v>
      </c>
      <c r="S1218" s="29">
        <f t="shared" si="113"/>
        <v>92.36641221374046</v>
      </c>
      <c r="T1218" s="5" t="str">
        <f>IF(Delivery_Data[[#This Row],[Delays (min)]]&gt;0,"No","Yes")</f>
        <v>No</v>
      </c>
    </row>
    <row r="1219" spans="1:20" ht="15.75" customHeight="1" x14ac:dyDescent="0.3">
      <c r="A1219" s="4">
        <v>2218</v>
      </c>
      <c r="B1219" s="5" t="s">
        <v>1321</v>
      </c>
      <c r="C1219" s="6">
        <v>45175.495138888888</v>
      </c>
      <c r="D1219" s="5" t="s">
        <v>14</v>
      </c>
      <c r="E1219" s="5" t="s">
        <v>30</v>
      </c>
      <c r="F1219" s="5" t="s">
        <v>38</v>
      </c>
      <c r="G1219" s="5" t="s">
        <v>17</v>
      </c>
      <c r="H1219" s="5">
        <v>145</v>
      </c>
      <c r="I1219" s="5">
        <v>9</v>
      </c>
      <c r="J1219" s="5" t="s">
        <v>32</v>
      </c>
      <c r="K1219" s="5" t="s">
        <v>35</v>
      </c>
      <c r="L1219" s="5" t="s">
        <v>40</v>
      </c>
      <c r="M1219" s="7" t="s">
        <v>41</v>
      </c>
      <c r="N1219" s="26">
        <f t="shared" si="114"/>
        <v>-1</v>
      </c>
      <c r="O1219" s="42">
        <f t="shared" si="115"/>
        <v>45175</v>
      </c>
      <c r="P1219" s="5" t="str">
        <f t="shared" si="116"/>
        <v>Wednesday</v>
      </c>
      <c r="Q1219" s="5">
        <f t="shared" si="117"/>
        <v>11</v>
      </c>
      <c r="R1219" s="28">
        <f t="shared" si="118"/>
        <v>0.94155844155844159</v>
      </c>
      <c r="S1219" s="29">
        <f t="shared" ref="S1219:S1282" si="119">IF(H1219+I1219=0,0,(H1219/(H1219+I1219))*100) + (IFERROR(--J1219,0)*10)</f>
        <v>94.155844155844164</v>
      </c>
      <c r="T1219" s="5" t="str">
        <f>IF(Delivery_Data[[#This Row],[Delays (min)]]&gt;0,"No","Yes")</f>
        <v>No</v>
      </c>
    </row>
    <row r="1220" spans="1:20" ht="15.75" customHeight="1" x14ac:dyDescent="0.3">
      <c r="A1220" s="4">
        <v>2219</v>
      </c>
      <c r="B1220" s="5" t="s">
        <v>1322</v>
      </c>
      <c r="C1220" s="6">
        <v>45176.680555555555</v>
      </c>
      <c r="D1220" s="5" t="s">
        <v>14</v>
      </c>
      <c r="E1220" s="5" t="s">
        <v>115</v>
      </c>
      <c r="F1220" s="5" t="s">
        <v>38</v>
      </c>
      <c r="G1220" s="5" t="s">
        <v>31</v>
      </c>
      <c r="H1220" s="5">
        <v>220</v>
      </c>
      <c r="I1220" s="5">
        <v>22</v>
      </c>
      <c r="J1220" s="5" t="s">
        <v>18</v>
      </c>
      <c r="K1220" s="5" t="s">
        <v>35</v>
      </c>
      <c r="L1220" s="5" t="s">
        <v>20</v>
      </c>
      <c r="M1220" s="7" t="s">
        <v>46</v>
      </c>
      <c r="N1220" s="26">
        <f t="shared" si="114"/>
        <v>0</v>
      </c>
      <c r="O1220" s="42">
        <f t="shared" si="115"/>
        <v>45176</v>
      </c>
      <c r="P1220" s="5" t="str">
        <f t="shared" si="116"/>
        <v>Thursday</v>
      </c>
      <c r="Q1220" s="5">
        <f t="shared" si="117"/>
        <v>16</v>
      </c>
      <c r="R1220" s="28">
        <f t="shared" si="118"/>
        <v>0.90909090909090906</v>
      </c>
      <c r="S1220" s="29">
        <f t="shared" si="119"/>
        <v>90.909090909090907</v>
      </c>
      <c r="T1220" s="5" t="str">
        <f>IF(Delivery_Data[[#This Row],[Delays (min)]]&gt;0,"No","Yes")</f>
        <v>No</v>
      </c>
    </row>
    <row r="1221" spans="1:20" ht="15.75" customHeight="1" x14ac:dyDescent="0.3">
      <c r="A1221" s="4">
        <v>2220</v>
      </c>
      <c r="B1221" s="5" t="s">
        <v>1323</v>
      </c>
      <c r="C1221" s="6">
        <v>45176.595833333333</v>
      </c>
      <c r="D1221" s="5" t="s">
        <v>14</v>
      </c>
      <c r="E1221" s="5" t="s">
        <v>306</v>
      </c>
      <c r="F1221" s="5" t="s">
        <v>38</v>
      </c>
      <c r="G1221" s="5" t="s">
        <v>31</v>
      </c>
      <c r="H1221" s="5">
        <v>219</v>
      </c>
      <c r="I1221" s="5">
        <v>21</v>
      </c>
      <c r="J1221" s="5" t="s">
        <v>26</v>
      </c>
      <c r="K1221" s="5" t="s">
        <v>35</v>
      </c>
      <c r="L1221" s="5" t="s">
        <v>20</v>
      </c>
      <c r="M1221" s="7" t="s">
        <v>41</v>
      </c>
      <c r="N1221" s="26">
        <f t="shared" si="114"/>
        <v>1</v>
      </c>
      <c r="O1221" s="42">
        <f t="shared" si="115"/>
        <v>45176</v>
      </c>
      <c r="P1221" s="5" t="str">
        <f t="shared" si="116"/>
        <v>Thursday</v>
      </c>
      <c r="Q1221" s="5">
        <f t="shared" si="117"/>
        <v>14</v>
      </c>
      <c r="R1221" s="28">
        <f t="shared" si="118"/>
        <v>0.91249999999999998</v>
      </c>
      <c r="S1221" s="29">
        <f t="shared" si="119"/>
        <v>91.25</v>
      </c>
      <c r="T1221" s="5" t="str">
        <f>IF(Delivery_Data[[#This Row],[Delays (min)]]&gt;0,"No","Yes")</f>
        <v>No</v>
      </c>
    </row>
    <row r="1222" spans="1:20" ht="15.75" customHeight="1" x14ac:dyDescent="0.3">
      <c r="A1222" s="4">
        <v>2221</v>
      </c>
      <c r="B1222" s="5" t="s">
        <v>1324</v>
      </c>
      <c r="C1222" s="6">
        <v>45171.53402777778</v>
      </c>
      <c r="D1222" s="5" t="s">
        <v>43</v>
      </c>
      <c r="E1222" s="5" t="s">
        <v>160</v>
      </c>
      <c r="F1222" s="5" t="s">
        <v>24</v>
      </c>
      <c r="G1222" s="5" t="s">
        <v>31</v>
      </c>
      <c r="H1222" s="5">
        <v>186</v>
      </c>
      <c r="I1222" s="5">
        <v>17</v>
      </c>
      <c r="J1222" s="5" t="s">
        <v>32</v>
      </c>
      <c r="K1222" s="5" t="s">
        <v>35</v>
      </c>
      <c r="L1222" s="5" t="s">
        <v>40</v>
      </c>
      <c r="M1222" s="7" t="s">
        <v>41</v>
      </c>
      <c r="N1222" s="26">
        <f t="shared" si="114"/>
        <v>-1</v>
      </c>
      <c r="O1222" s="42">
        <f t="shared" si="115"/>
        <v>45171</v>
      </c>
      <c r="P1222" s="5" t="str">
        <f t="shared" si="116"/>
        <v>Saturday</v>
      </c>
      <c r="Q1222" s="5">
        <f t="shared" si="117"/>
        <v>12</v>
      </c>
      <c r="R1222" s="28">
        <f t="shared" si="118"/>
        <v>0.91625615763546797</v>
      </c>
      <c r="S1222" s="29">
        <f t="shared" si="119"/>
        <v>91.62561576354679</v>
      </c>
      <c r="T1222" s="5" t="str">
        <f>IF(Delivery_Data[[#This Row],[Delays (min)]]&gt;0,"No","Yes")</f>
        <v>No</v>
      </c>
    </row>
    <row r="1223" spans="1:20" ht="15.75" customHeight="1" x14ac:dyDescent="0.3">
      <c r="A1223" s="4">
        <v>2222</v>
      </c>
      <c r="B1223" s="5" t="s">
        <v>1325</v>
      </c>
      <c r="C1223" s="6">
        <v>45172.615277777775</v>
      </c>
      <c r="D1223" s="5" t="s">
        <v>43</v>
      </c>
      <c r="E1223" s="5" t="s">
        <v>85</v>
      </c>
      <c r="F1223" s="5" t="s">
        <v>38</v>
      </c>
      <c r="G1223" s="5" t="s">
        <v>17</v>
      </c>
      <c r="H1223" s="5">
        <v>229</v>
      </c>
      <c r="I1223" s="5">
        <v>18</v>
      </c>
      <c r="J1223" s="5" t="s">
        <v>18</v>
      </c>
      <c r="K1223" s="5" t="s">
        <v>35</v>
      </c>
      <c r="L1223" s="5" t="s">
        <v>40</v>
      </c>
      <c r="M1223" s="7" t="s">
        <v>21</v>
      </c>
      <c r="N1223" s="26">
        <f t="shared" si="114"/>
        <v>0</v>
      </c>
      <c r="O1223" s="42">
        <f t="shared" si="115"/>
        <v>45172</v>
      </c>
      <c r="P1223" s="5" t="str">
        <f t="shared" si="116"/>
        <v>Sunday</v>
      </c>
      <c r="Q1223" s="5">
        <f t="shared" si="117"/>
        <v>14</v>
      </c>
      <c r="R1223" s="28">
        <f t="shared" si="118"/>
        <v>0.92712550607287447</v>
      </c>
      <c r="S1223" s="29">
        <f t="shared" si="119"/>
        <v>92.712550607287454</v>
      </c>
      <c r="T1223" s="5" t="str">
        <f>IF(Delivery_Data[[#This Row],[Delays (min)]]&gt;0,"No","Yes")</f>
        <v>No</v>
      </c>
    </row>
    <row r="1224" spans="1:20" ht="15.75" customHeight="1" x14ac:dyDescent="0.3">
      <c r="A1224" s="4">
        <v>2223</v>
      </c>
      <c r="B1224" s="5" t="s">
        <v>1326</v>
      </c>
      <c r="C1224" s="6">
        <v>45172.470833333333</v>
      </c>
      <c r="D1224" s="5" t="s">
        <v>14</v>
      </c>
      <c r="E1224" s="5" t="s">
        <v>240</v>
      </c>
      <c r="F1224" s="5" t="s">
        <v>38</v>
      </c>
      <c r="G1224" s="5" t="s">
        <v>56</v>
      </c>
      <c r="H1224" s="5">
        <v>123</v>
      </c>
      <c r="I1224" s="5">
        <v>19</v>
      </c>
      <c r="J1224" s="5" t="s">
        <v>26</v>
      </c>
      <c r="K1224" s="5" t="s">
        <v>49</v>
      </c>
      <c r="L1224" s="5" t="s">
        <v>40</v>
      </c>
      <c r="M1224" s="7" t="s">
        <v>41</v>
      </c>
      <c r="N1224" s="26">
        <f t="shared" si="114"/>
        <v>1</v>
      </c>
      <c r="O1224" s="42">
        <f t="shared" si="115"/>
        <v>45172</v>
      </c>
      <c r="P1224" s="5" t="str">
        <f t="shared" si="116"/>
        <v>Sunday</v>
      </c>
      <c r="Q1224" s="5">
        <f t="shared" si="117"/>
        <v>11</v>
      </c>
      <c r="R1224" s="28">
        <f t="shared" si="118"/>
        <v>0.86619718309859151</v>
      </c>
      <c r="S1224" s="29">
        <f t="shared" si="119"/>
        <v>86.619718309859152</v>
      </c>
      <c r="T1224" s="5" t="str">
        <f>IF(Delivery_Data[[#This Row],[Delays (min)]]&gt;0,"No","Yes")</f>
        <v>No</v>
      </c>
    </row>
    <row r="1225" spans="1:20" ht="15.75" customHeight="1" x14ac:dyDescent="0.3">
      <c r="A1225" s="4">
        <v>2224</v>
      </c>
      <c r="B1225" s="5" t="s">
        <v>1327</v>
      </c>
      <c r="C1225" s="6">
        <v>45172.402083333334</v>
      </c>
      <c r="D1225" s="5" t="s">
        <v>14</v>
      </c>
      <c r="E1225" s="5" t="s">
        <v>187</v>
      </c>
      <c r="F1225" s="5" t="s">
        <v>38</v>
      </c>
      <c r="G1225" s="5" t="s">
        <v>39</v>
      </c>
      <c r="H1225" s="5">
        <v>176</v>
      </c>
      <c r="I1225" s="5">
        <v>12</v>
      </c>
      <c r="J1225" s="5" t="s">
        <v>26</v>
      </c>
      <c r="K1225" s="5" t="s">
        <v>45</v>
      </c>
      <c r="L1225" s="5" t="s">
        <v>40</v>
      </c>
      <c r="M1225" s="7" t="s">
        <v>21</v>
      </c>
      <c r="N1225" s="26">
        <f t="shared" si="114"/>
        <v>1</v>
      </c>
      <c r="O1225" s="42">
        <f t="shared" si="115"/>
        <v>45172</v>
      </c>
      <c r="P1225" s="5" t="str">
        <f t="shared" si="116"/>
        <v>Sunday</v>
      </c>
      <c r="Q1225" s="5">
        <f t="shared" si="117"/>
        <v>9</v>
      </c>
      <c r="R1225" s="28">
        <f t="shared" si="118"/>
        <v>0.93617021276595747</v>
      </c>
      <c r="S1225" s="29">
        <f t="shared" si="119"/>
        <v>93.61702127659575</v>
      </c>
      <c r="T1225" s="5" t="str">
        <f>IF(Delivery_Data[[#This Row],[Delays (min)]]&gt;0,"No","Yes")</f>
        <v>No</v>
      </c>
    </row>
    <row r="1226" spans="1:20" ht="15.75" customHeight="1" x14ac:dyDescent="0.3">
      <c r="A1226" s="4">
        <v>2225</v>
      </c>
      <c r="B1226" s="5" t="s">
        <v>1328</v>
      </c>
      <c r="C1226" s="6">
        <v>45172.618750000001</v>
      </c>
      <c r="D1226" s="5" t="s">
        <v>14</v>
      </c>
      <c r="E1226" s="5" t="s">
        <v>120</v>
      </c>
      <c r="F1226" s="5" t="s">
        <v>24</v>
      </c>
      <c r="G1226" s="5" t="s">
        <v>31</v>
      </c>
      <c r="H1226" s="5">
        <v>141</v>
      </c>
      <c r="I1226" s="5">
        <v>29</v>
      </c>
      <c r="J1226" s="5" t="s">
        <v>32</v>
      </c>
      <c r="K1226" s="5" t="s">
        <v>35</v>
      </c>
      <c r="L1226" s="5" t="s">
        <v>20</v>
      </c>
      <c r="M1226" s="7" t="s">
        <v>46</v>
      </c>
      <c r="N1226" s="26">
        <f t="shared" si="114"/>
        <v>-1</v>
      </c>
      <c r="O1226" s="42">
        <f t="shared" si="115"/>
        <v>45172</v>
      </c>
      <c r="P1226" s="5" t="str">
        <f t="shared" si="116"/>
        <v>Sunday</v>
      </c>
      <c r="Q1226" s="5">
        <f t="shared" si="117"/>
        <v>14</v>
      </c>
      <c r="R1226" s="28">
        <f t="shared" si="118"/>
        <v>0.8294117647058824</v>
      </c>
      <c r="S1226" s="29">
        <f t="shared" si="119"/>
        <v>82.941176470588246</v>
      </c>
      <c r="T1226" s="5" t="str">
        <f>IF(Delivery_Data[[#This Row],[Delays (min)]]&gt;0,"No","Yes")</f>
        <v>No</v>
      </c>
    </row>
    <row r="1227" spans="1:20" ht="15.75" customHeight="1" x14ac:dyDescent="0.3">
      <c r="A1227" s="4">
        <v>2226</v>
      </c>
      <c r="B1227" s="5" t="s">
        <v>1329</v>
      </c>
      <c r="C1227" s="6">
        <v>45173.419444444444</v>
      </c>
      <c r="D1227" s="5" t="s">
        <v>14</v>
      </c>
      <c r="E1227" s="5" t="s">
        <v>200</v>
      </c>
      <c r="F1227" s="5" t="s">
        <v>24</v>
      </c>
      <c r="G1227" s="5" t="s">
        <v>25</v>
      </c>
      <c r="H1227" s="5">
        <v>170</v>
      </c>
      <c r="I1227" s="5">
        <v>23</v>
      </c>
      <c r="J1227" s="5" t="s">
        <v>18</v>
      </c>
      <c r="K1227" s="5" t="s">
        <v>49</v>
      </c>
      <c r="L1227" s="5" t="s">
        <v>28</v>
      </c>
      <c r="M1227" s="7" t="s">
        <v>21</v>
      </c>
      <c r="N1227" s="26">
        <f t="shared" si="114"/>
        <v>0</v>
      </c>
      <c r="O1227" s="42">
        <f t="shared" si="115"/>
        <v>45173</v>
      </c>
      <c r="P1227" s="5" t="str">
        <f t="shared" si="116"/>
        <v>Monday</v>
      </c>
      <c r="Q1227" s="5">
        <f t="shared" si="117"/>
        <v>10</v>
      </c>
      <c r="R1227" s="28">
        <f t="shared" si="118"/>
        <v>0.88082901554404147</v>
      </c>
      <c r="S1227" s="29">
        <f t="shared" si="119"/>
        <v>88.082901554404145</v>
      </c>
      <c r="T1227" s="5" t="str">
        <f>IF(Delivery_Data[[#This Row],[Delays (min)]]&gt;0,"No","Yes")</f>
        <v>No</v>
      </c>
    </row>
    <row r="1228" spans="1:20" ht="15.75" customHeight="1" x14ac:dyDescent="0.3">
      <c r="A1228" s="4">
        <v>2227</v>
      </c>
      <c r="B1228" s="5" t="s">
        <v>230</v>
      </c>
      <c r="C1228" s="6">
        <v>45174.417361111111</v>
      </c>
      <c r="D1228" s="5" t="s">
        <v>14</v>
      </c>
      <c r="E1228" s="5" t="s">
        <v>53</v>
      </c>
      <c r="F1228" s="5" t="s">
        <v>16</v>
      </c>
      <c r="G1228" s="5" t="s">
        <v>39</v>
      </c>
      <c r="H1228" s="5">
        <v>94</v>
      </c>
      <c r="I1228" s="5">
        <v>19</v>
      </c>
      <c r="J1228" s="5" t="s">
        <v>32</v>
      </c>
      <c r="K1228" s="5" t="s">
        <v>49</v>
      </c>
      <c r="L1228" s="5" t="s">
        <v>20</v>
      </c>
      <c r="M1228" s="7" t="s">
        <v>21</v>
      </c>
      <c r="N1228" s="26">
        <f t="shared" si="114"/>
        <v>-1</v>
      </c>
      <c r="O1228" s="42">
        <f t="shared" si="115"/>
        <v>45174</v>
      </c>
      <c r="P1228" s="5" t="str">
        <f t="shared" si="116"/>
        <v>Tuesday</v>
      </c>
      <c r="Q1228" s="5">
        <f t="shared" si="117"/>
        <v>10</v>
      </c>
      <c r="R1228" s="28">
        <f t="shared" si="118"/>
        <v>0.83185840707964598</v>
      </c>
      <c r="S1228" s="29">
        <f t="shared" si="119"/>
        <v>83.185840707964601</v>
      </c>
      <c r="T1228" s="5" t="str">
        <f>IF(Delivery_Data[[#This Row],[Delays (min)]]&gt;0,"No","Yes")</f>
        <v>No</v>
      </c>
    </row>
    <row r="1229" spans="1:20" ht="15.75" customHeight="1" x14ac:dyDescent="0.3">
      <c r="A1229" s="4">
        <v>2228</v>
      </c>
      <c r="B1229" s="5" t="s">
        <v>1330</v>
      </c>
      <c r="C1229" s="6">
        <v>45174.376388888886</v>
      </c>
      <c r="D1229" s="5" t="s">
        <v>43</v>
      </c>
      <c r="E1229" s="5" t="s">
        <v>234</v>
      </c>
      <c r="F1229" s="5" t="s">
        <v>16</v>
      </c>
      <c r="G1229" s="5" t="s">
        <v>25</v>
      </c>
      <c r="H1229" s="5">
        <v>145</v>
      </c>
      <c r="I1229" s="5">
        <v>5</v>
      </c>
      <c r="J1229" s="5" t="s">
        <v>32</v>
      </c>
      <c r="K1229" s="5" t="s">
        <v>45</v>
      </c>
      <c r="L1229" s="5" t="s">
        <v>40</v>
      </c>
      <c r="M1229" s="7" t="s">
        <v>41</v>
      </c>
      <c r="N1229" s="26">
        <f t="shared" si="114"/>
        <v>-1</v>
      </c>
      <c r="O1229" s="42">
        <f t="shared" si="115"/>
        <v>45174</v>
      </c>
      <c r="P1229" s="5" t="str">
        <f t="shared" si="116"/>
        <v>Tuesday</v>
      </c>
      <c r="Q1229" s="5">
        <f t="shared" si="117"/>
        <v>9</v>
      </c>
      <c r="R1229" s="28">
        <f t="shared" si="118"/>
        <v>0.96666666666666667</v>
      </c>
      <c r="S1229" s="29">
        <f t="shared" si="119"/>
        <v>96.666666666666671</v>
      </c>
      <c r="T1229" s="5" t="str">
        <f>IF(Delivery_Data[[#This Row],[Delays (min)]]&gt;0,"No","Yes")</f>
        <v>No</v>
      </c>
    </row>
    <row r="1230" spans="1:20" ht="15.75" customHeight="1" x14ac:dyDescent="0.3">
      <c r="A1230" s="4">
        <v>2229</v>
      </c>
      <c r="B1230" s="5" t="s">
        <v>717</v>
      </c>
      <c r="C1230" s="6">
        <v>45174.443749999999</v>
      </c>
      <c r="D1230" s="5" t="s">
        <v>43</v>
      </c>
      <c r="E1230" s="5" t="s">
        <v>267</v>
      </c>
      <c r="F1230" s="5" t="s">
        <v>24</v>
      </c>
      <c r="G1230" s="5" t="s">
        <v>56</v>
      </c>
      <c r="H1230" s="5">
        <v>71</v>
      </c>
      <c r="I1230" s="5">
        <v>5</v>
      </c>
      <c r="J1230" s="5" t="s">
        <v>18</v>
      </c>
      <c r="K1230" s="5" t="s">
        <v>45</v>
      </c>
      <c r="L1230" s="5" t="s">
        <v>28</v>
      </c>
      <c r="M1230" s="7" t="s">
        <v>41</v>
      </c>
      <c r="N1230" s="26">
        <f t="shared" si="114"/>
        <v>0</v>
      </c>
      <c r="O1230" s="42">
        <f t="shared" si="115"/>
        <v>45174</v>
      </c>
      <c r="P1230" s="5" t="str">
        <f t="shared" si="116"/>
        <v>Tuesday</v>
      </c>
      <c r="Q1230" s="5">
        <f t="shared" si="117"/>
        <v>10</v>
      </c>
      <c r="R1230" s="28">
        <f t="shared" si="118"/>
        <v>0.93421052631578949</v>
      </c>
      <c r="S1230" s="29">
        <f t="shared" si="119"/>
        <v>93.421052631578945</v>
      </c>
      <c r="T1230" s="5" t="str">
        <f>IF(Delivery_Data[[#This Row],[Delays (min)]]&gt;0,"No","Yes")</f>
        <v>No</v>
      </c>
    </row>
    <row r="1231" spans="1:20" ht="15.75" customHeight="1" x14ac:dyDescent="0.3">
      <c r="A1231" s="4">
        <v>2230</v>
      </c>
      <c r="B1231" s="5" t="s">
        <v>1331</v>
      </c>
      <c r="C1231" s="6">
        <v>45171.675694444442</v>
      </c>
      <c r="D1231" s="5" t="s">
        <v>14</v>
      </c>
      <c r="E1231" s="5" t="s">
        <v>15</v>
      </c>
      <c r="F1231" s="5" t="s">
        <v>16</v>
      </c>
      <c r="G1231" s="5" t="s">
        <v>39</v>
      </c>
      <c r="H1231" s="5">
        <v>84</v>
      </c>
      <c r="I1231" s="5">
        <v>0</v>
      </c>
      <c r="J1231" s="5" t="s">
        <v>26</v>
      </c>
      <c r="K1231" s="5" t="s">
        <v>35</v>
      </c>
      <c r="L1231" s="5" t="s">
        <v>28</v>
      </c>
      <c r="M1231" s="7" t="s">
        <v>21</v>
      </c>
      <c r="N1231" s="26">
        <f t="shared" si="114"/>
        <v>1</v>
      </c>
      <c r="O1231" s="42">
        <f t="shared" si="115"/>
        <v>45171</v>
      </c>
      <c r="P1231" s="5" t="str">
        <f t="shared" si="116"/>
        <v>Saturday</v>
      </c>
      <c r="Q1231" s="5">
        <f t="shared" si="117"/>
        <v>16</v>
      </c>
      <c r="R1231" s="28">
        <f t="shared" si="118"/>
        <v>1</v>
      </c>
      <c r="S1231" s="29">
        <f t="shared" si="119"/>
        <v>100</v>
      </c>
      <c r="T1231" s="5" t="str">
        <f>IF(Delivery_Data[[#This Row],[Delays (min)]]&gt;0,"No","Yes")</f>
        <v>Yes</v>
      </c>
    </row>
    <row r="1232" spans="1:20" ht="15.75" customHeight="1" x14ac:dyDescent="0.3">
      <c r="A1232" s="4">
        <v>2231</v>
      </c>
      <c r="B1232" s="5" t="s">
        <v>1332</v>
      </c>
      <c r="C1232" s="6">
        <v>45177.531944444447</v>
      </c>
      <c r="D1232" s="5" t="s">
        <v>43</v>
      </c>
      <c r="E1232" s="5" t="s">
        <v>109</v>
      </c>
      <c r="F1232" s="5" t="s">
        <v>38</v>
      </c>
      <c r="G1232" s="5" t="s">
        <v>17</v>
      </c>
      <c r="H1232" s="5">
        <v>75</v>
      </c>
      <c r="I1232" s="5">
        <v>24</v>
      </c>
      <c r="J1232" s="5" t="s">
        <v>18</v>
      </c>
      <c r="K1232" s="5" t="s">
        <v>49</v>
      </c>
      <c r="L1232" s="5" t="s">
        <v>20</v>
      </c>
      <c r="M1232" s="7" t="s">
        <v>21</v>
      </c>
      <c r="N1232" s="26">
        <f t="shared" si="114"/>
        <v>0</v>
      </c>
      <c r="O1232" s="42">
        <f t="shared" si="115"/>
        <v>45177</v>
      </c>
      <c r="P1232" s="5" t="str">
        <f t="shared" si="116"/>
        <v>Friday</v>
      </c>
      <c r="Q1232" s="5">
        <f t="shared" si="117"/>
        <v>12</v>
      </c>
      <c r="R1232" s="28">
        <f t="shared" si="118"/>
        <v>0.75757575757575757</v>
      </c>
      <c r="S1232" s="29">
        <f t="shared" si="119"/>
        <v>75.757575757575751</v>
      </c>
      <c r="T1232" s="5" t="str">
        <f>IF(Delivery_Data[[#This Row],[Delays (min)]]&gt;0,"No","Yes")</f>
        <v>No</v>
      </c>
    </row>
    <row r="1233" spans="1:20" ht="15.75" customHeight="1" x14ac:dyDescent="0.3">
      <c r="A1233" s="4">
        <v>2232</v>
      </c>
      <c r="B1233" s="5" t="s">
        <v>1333</v>
      </c>
      <c r="C1233" s="6">
        <v>45171.706944444442</v>
      </c>
      <c r="D1233" s="5" t="s">
        <v>14</v>
      </c>
      <c r="E1233" s="5" t="s">
        <v>306</v>
      </c>
      <c r="F1233" s="5" t="s">
        <v>38</v>
      </c>
      <c r="G1233" s="5" t="s">
        <v>56</v>
      </c>
      <c r="H1233" s="5">
        <v>140</v>
      </c>
      <c r="I1233" s="5">
        <v>22</v>
      </c>
      <c r="J1233" s="5" t="s">
        <v>26</v>
      </c>
      <c r="K1233" s="5" t="s">
        <v>35</v>
      </c>
      <c r="L1233" s="5" t="s">
        <v>40</v>
      </c>
      <c r="M1233" s="7" t="s">
        <v>41</v>
      </c>
      <c r="N1233" s="26">
        <f t="shared" si="114"/>
        <v>1</v>
      </c>
      <c r="O1233" s="42">
        <f t="shared" si="115"/>
        <v>45171</v>
      </c>
      <c r="P1233" s="5" t="str">
        <f t="shared" si="116"/>
        <v>Saturday</v>
      </c>
      <c r="Q1233" s="5">
        <f t="shared" si="117"/>
        <v>16</v>
      </c>
      <c r="R1233" s="28">
        <f t="shared" si="118"/>
        <v>0.86419753086419748</v>
      </c>
      <c r="S1233" s="29">
        <f t="shared" si="119"/>
        <v>86.419753086419746</v>
      </c>
      <c r="T1233" s="5" t="str">
        <f>IF(Delivery_Data[[#This Row],[Delays (min)]]&gt;0,"No","Yes")</f>
        <v>No</v>
      </c>
    </row>
    <row r="1234" spans="1:20" ht="15.75" customHeight="1" x14ac:dyDescent="0.3">
      <c r="A1234" s="4">
        <v>2233</v>
      </c>
      <c r="B1234" s="5" t="s">
        <v>1334</v>
      </c>
      <c r="C1234" s="6">
        <v>45177.395833333336</v>
      </c>
      <c r="D1234" s="5" t="s">
        <v>14</v>
      </c>
      <c r="E1234" s="5" t="s">
        <v>120</v>
      </c>
      <c r="F1234" s="5" t="s">
        <v>38</v>
      </c>
      <c r="G1234" s="5" t="s">
        <v>25</v>
      </c>
      <c r="H1234" s="5">
        <v>82</v>
      </c>
      <c r="I1234" s="5">
        <v>4</v>
      </c>
      <c r="J1234" s="5" t="s">
        <v>26</v>
      </c>
      <c r="K1234" s="5" t="s">
        <v>45</v>
      </c>
      <c r="L1234" s="5" t="s">
        <v>20</v>
      </c>
      <c r="M1234" s="7" t="s">
        <v>21</v>
      </c>
      <c r="N1234" s="26">
        <f t="shared" si="114"/>
        <v>1</v>
      </c>
      <c r="O1234" s="42">
        <f t="shared" si="115"/>
        <v>45177</v>
      </c>
      <c r="P1234" s="5" t="str">
        <f t="shared" si="116"/>
        <v>Friday</v>
      </c>
      <c r="Q1234" s="5">
        <f t="shared" si="117"/>
        <v>9</v>
      </c>
      <c r="R1234" s="28">
        <f t="shared" si="118"/>
        <v>0.95348837209302328</v>
      </c>
      <c r="S1234" s="29">
        <f t="shared" si="119"/>
        <v>95.348837209302332</v>
      </c>
      <c r="T1234" s="5" t="str">
        <f>IF(Delivery_Data[[#This Row],[Delays (min)]]&gt;0,"No","Yes")</f>
        <v>No</v>
      </c>
    </row>
    <row r="1235" spans="1:20" ht="15.75" customHeight="1" x14ac:dyDescent="0.3">
      <c r="A1235" s="4">
        <v>2234</v>
      </c>
      <c r="B1235" s="5" t="s">
        <v>1335</v>
      </c>
      <c r="C1235" s="6">
        <v>45176.452777777777</v>
      </c>
      <c r="D1235" s="5" t="s">
        <v>43</v>
      </c>
      <c r="E1235" s="5" t="s">
        <v>261</v>
      </c>
      <c r="F1235" s="5" t="s">
        <v>16</v>
      </c>
      <c r="G1235" s="5" t="s">
        <v>17</v>
      </c>
      <c r="H1235" s="5">
        <v>195</v>
      </c>
      <c r="I1235" s="5">
        <v>10</v>
      </c>
      <c r="J1235" s="5" t="s">
        <v>18</v>
      </c>
      <c r="K1235" s="5" t="s">
        <v>27</v>
      </c>
      <c r="L1235" s="5" t="s">
        <v>20</v>
      </c>
      <c r="M1235" s="7" t="s">
        <v>46</v>
      </c>
      <c r="N1235" s="26">
        <f t="shared" si="114"/>
        <v>0</v>
      </c>
      <c r="O1235" s="42">
        <f t="shared" si="115"/>
        <v>45176</v>
      </c>
      <c r="P1235" s="5" t="str">
        <f t="shared" si="116"/>
        <v>Thursday</v>
      </c>
      <c r="Q1235" s="5">
        <f t="shared" si="117"/>
        <v>10</v>
      </c>
      <c r="R1235" s="28">
        <f t="shared" si="118"/>
        <v>0.95121951219512191</v>
      </c>
      <c r="S1235" s="29">
        <f t="shared" si="119"/>
        <v>95.121951219512198</v>
      </c>
      <c r="T1235" s="5" t="str">
        <f>IF(Delivery_Data[[#This Row],[Delays (min)]]&gt;0,"No","Yes")</f>
        <v>No</v>
      </c>
    </row>
    <row r="1236" spans="1:20" ht="15.75" customHeight="1" x14ac:dyDescent="0.3">
      <c r="A1236" s="4">
        <v>2235</v>
      </c>
      <c r="B1236" s="5" t="s">
        <v>1336</v>
      </c>
      <c r="C1236" s="6">
        <v>45171.525000000001</v>
      </c>
      <c r="D1236" s="5" t="s">
        <v>43</v>
      </c>
      <c r="E1236" s="5" t="s">
        <v>169</v>
      </c>
      <c r="F1236" s="5" t="s">
        <v>24</v>
      </c>
      <c r="G1236" s="5" t="s">
        <v>39</v>
      </c>
      <c r="H1236" s="5">
        <v>93</v>
      </c>
      <c r="I1236" s="5">
        <v>28</v>
      </c>
      <c r="J1236" s="5" t="s">
        <v>18</v>
      </c>
      <c r="K1236" s="5" t="s">
        <v>45</v>
      </c>
      <c r="L1236" s="5" t="s">
        <v>20</v>
      </c>
      <c r="M1236" s="7" t="s">
        <v>41</v>
      </c>
      <c r="N1236" s="26">
        <f t="shared" si="114"/>
        <v>0</v>
      </c>
      <c r="O1236" s="42">
        <f t="shared" si="115"/>
        <v>45171</v>
      </c>
      <c r="P1236" s="5" t="str">
        <f t="shared" si="116"/>
        <v>Saturday</v>
      </c>
      <c r="Q1236" s="5">
        <f t="shared" si="117"/>
        <v>12</v>
      </c>
      <c r="R1236" s="28">
        <f t="shared" si="118"/>
        <v>0.76859504132231404</v>
      </c>
      <c r="S1236" s="29">
        <f t="shared" si="119"/>
        <v>76.859504132231407</v>
      </c>
      <c r="T1236" s="5" t="str">
        <f>IF(Delivery_Data[[#This Row],[Delays (min)]]&gt;0,"No","Yes")</f>
        <v>No</v>
      </c>
    </row>
    <row r="1237" spans="1:20" ht="15.75" customHeight="1" x14ac:dyDescent="0.3">
      <c r="A1237" s="4">
        <v>2236</v>
      </c>
      <c r="B1237" s="5" t="s">
        <v>1337</v>
      </c>
      <c r="C1237" s="6">
        <v>45173.438888888886</v>
      </c>
      <c r="D1237" s="5" t="s">
        <v>43</v>
      </c>
      <c r="E1237" s="5" t="s">
        <v>240</v>
      </c>
      <c r="F1237" s="5" t="s">
        <v>38</v>
      </c>
      <c r="G1237" s="5" t="s">
        <v>17</v>
      </c>
      <c r="H1237" s="5">
        <v>156</v>
      </c>
      <c r="I1237" s="5">
        <v>13</v>
      </c>
      <c r="J1237" s="5" t="s">
        <v>26</v>
      </c>
      <c r="K1237" s="5" t="s">
        <v>27</v>
      </c>
      <c r="L1237" s="5" t="s">
        <v>28</v>
      </c>
      <c r="M1237" s="7" t="s">
        <v>46</v>
      </c>
      <c r="N1237" s="26">
        <f t="shared" si="114"/>
        <v>1</v>
      </c>
      <c r="O1237" s="42">
        <f t="shared" si="115"/>
        <v>45173</v>
      </c>
      <c r="P1237" s="5" t="str">
        <f t="shared" si="116"/>
        <v>Monday</v>
      </c>
      <c r="Q1237" s="5">
        <f t="shared" si="117"/>
        <v>10</v>
      </c>
      <c r="R1237" s="28">
        <f t="shared" si="118"/>
        <v>0.92307692307692313</v>
      </c>
      <c r="S1237" s="29">
        <f t="shared" si="119"/>
        <v>92.307692307692307</v>
      </c>
      <c r="T1237" s="5" t="str">
        <f>IF(Delivery_Data[[#This Row],[Delays (min)]]&gt;0,"No","Yes")</f>
        <v>No</v>
      </c>
    </row>
    <row r="1238" spans="1:20" ht="15.75" customHeight="1" x14ac:dyDescent="0.3">
      <c r="A1238" s="4">
        <v>2237</v>
      </c>
      <c r="B1238" s="5" t="s">
        <v>1338</v>
      </c>
      <c r="C1238" s="6">
        <v>45170.407638888886</v>
      </c>
      <c r="D1238" s="5" t="s">
        <v>14</v>
      </c>
      <c r="E1238" s="5" t="s">
        <v>263</v>
      </c>
      <c r="F1238" s="5" t="s">
        <v>16</v>
      </c>
      <c r="G1238" s="5" t="s">
        <v>56</v>
      </c>
      <c r="H1238" s="5">
        <v>123</v>
      </c>
      <c r="I1238" s="5">
        <v>13</v>
      </c>
      <c r="J1238" s="5" t="s">
        <v>18</v>
      </c>
      <c r="K1238" s="5" t="s">
        <v>45</v>
      </c>
      <c r="L1238" s="5" t="s">
        <v>20</v>
      </c>
      <c r="M1238" s="7" t="s">
        <v>46</v>
      </c>
      <c r="N1238" s="26">
        <f t="shared" si="114"/>
        <v>0</v>
      </c>
      <c r="O1238" s="42">
        <f t="shared" si="115"/>
        <v>45170</v>
      </c>
      <c r="P1238" s="5" t="str">
        <f t="shared" si="116"/>
        <v>Friday</v>
      </c>
      <c r="Q1238" s="5">
        <f t="shared" si="117"/>
        <v>9</v>
      </c>
      <c r="R1238" s="28">
        <f t="shared" si="118"/>
        <v>0.90441176470588236</v>
      </c>
      <c r="S1238" s="29">
        <f t="shared" si="119"/>
        <v>90.441176470588232</v>
      </c>
      <c r="T1238" s="5" t="str">
        <f>IF(Delivery_Data[[#This Row],[Delays (min)]]&gt;0,"No","Yes")</f>
        <v>No</v>
      </c>
    </row>
    <row r="1239" spans="1:20" ht="15.75" customHeight="1" x14ac:dyDescent="0.3">
      <c r="A1239" s="4">
        <v>2238</v>
      </c>
      <c r="B1239" s="5" t="s">
        <v>1339</v>
      </c>
      <c r="C1239" s="6">
        <v>45176.343055555553</v>
      </c>
      <c r="D1239" s="5" t="s">
        <v>14</v>
      </c>
      <c r="E1239" s="5" t="s">
        <v>80</v>
      </c>
      <c r="F1239" s="5" t="s">
        <v>16</v>
      </c>
      <c r="G1239" s="5" t="s">
        <v>25</v>
      </c>
      <c r="H1239" s="5">
        <v>217</v>
      </c>
      <c r="I1239" s="5">
        <v>1</v>
      </c>
      <c r="J1239" s="5" t="s">
        <v>18</v>
      </c>
      <c r="K1239" s="5" t="s">
        <v>49</v>
      </c>
      <c r="L1239" s="5" t="s">
        <v>20</v>
      </c>
      <c r="M1239" s="7" t="s">
        <v>46</v>
      </c>
      <c r="N1239" s="26">
        <f t="shared" si="114"/>
        <v>0</v>
      </c>
      <c r="O1239" s="42">
        <f t="shared" si="115"/>
        <v>45176</v>
      </c>
      <c r="P1239" s="5" t="str">
        <f t="shared" si="116"/>
        <v>Thursday</v>
      </c>
      <c r="Q1239" s="5">
        <f t="shared" si="117"/>
        <v>8</v>
      </c>
      <c r="R1239" s="28">
        <f t="shared" si="118"/>
        <v>0.99541284403669728</v>
      </c>
      <c r="S1239" s="29">
        <f t="shared" si="119"/>
        <v>99.541284403669721</v>
      </c>
      <c r="T1239" s="5" t="str">
        <f>IF(Delivery_Data[[#This Row],[Delays (min)]]&gt;0,"No","Yes")</f>
        <v>No</v>
      </c>
    </row>
    <row r="1240" spans="1:20" ht="15.75" customHeight="1" x14ac:dyDescent="0.3">
      <c r="A1240" s="4">
        <v>2239</v>
      </c>
      <c r="B1240" s="5" t="s">
        <v>1340</v>
      </c>
      <c r="C1240" s="6">
        <v>45170.601388888892</v>
      </c>
      <c r="D1240" s="5" t="s">
        <v>14</v>
      </c>
      <c r="E1240" s="5" t="s">
        <v>80</v>
      </c>
      <c r="F1240" s="5" t="s">
        <v>24</v>
      </c>
      <c r="G1240" s="5" t="s">
        <v>39</v>
      </c>
      <c r="H1240" s="5">
        <v>110</v>
      </c>
      <c r="I1240" s="5">
        <v>7</v>
      </c>
      <c r="J1240" s="5" t="s">
        <v>32</v>
      </c>
      <c r="K1240" s="5" t="s">
        <v>27</v>
      </c>
      <c r="L1240" s="5" t="s">
        <v>28</v>
      </c>
      <c r="M1240" s="7" t="s">
        <v>46</v>
      </c>
      <c r="N1240" s="26">
        <f t="shared" si="114"/>
        <v>-1</v>
      </c>
      <c r="O1240" s="42">
        <f t="shared" si="115"/>
        <v>45170</v>
      </c>
      <c r="P1240" s="5" t="str">
        <f t="shared" si="116"/>
        <v>Friday</v>
      </c>
      <c r="Q1240" s="5">
        <f t="shared" si="117"/>
        <v>14</v>
      </c>
      <c r="R1240" s="28">
        <f t="shared" si="118"/>
        <v>0.94017094017094016</v>
      </c>
      <c r="S1240" s="29">
        <f t="shared" si="119"/>
        <v>94.01709401709401</v>
      </c>
      <c r="T1240" s="5" t="str">
        <f>IF(Delivery_Data[[#This Row],[Delays (min)]]&gt;0,"No","Yes")</f>
        <v>No</v>
      </c>
    </row>
    <row r="1241" spans="1:20" ht="15.75" customHeight="1" x14ac:dyDescent="0.3">
      <c r="A1241" s="4">
        <v>2240</v>
      </c>
      <c r="B1241" s="5" t="s">
        <v>1341</v>
      </c>
      <c r="C1241" s="6">
        <v>45170.447916666664</v>
      </c>
      <c r="D1241" s="5" t="s">
        <v>14</v>
      </c>
      <c r="E1241" s="5" t="s">
        <v>267</v>
      </c>
      <c r="F1241" s="5" t="s">
        <v>16</v>
      </c>
      <c r="G1241" s="5" t="s">
        <v>56</v>
      </c>
      <c r="H1241" s="5">
        <v>169</v>
      </c>
      <c r="I1241" s="5">
        <v>8</v>
      </c>
      <c r="J1241" s="5" t="s">
        <v>32</v>
      </c>
      <c r="K1241" s="5" t="s">
        <v>49</v>
      </c>
      <c r="L1241" s="5" t="s">
        <v>40</v>
      </c>
      <c r="M1241" s="7" t="s">
        <v>46</v>
      </c>
      <c r="N1241" s="26">
        <f t="shared" si="114"/>
        <v>-1</v>
      </c>
      <c r="O1241" s="42">
        <f t="shared" si="115"/>
        <v>45170</v>
      </c>
      <c r="P1241" s="5" t="str">
        <f t="shared" si="116"/>
        <v>Friday</v>
      </c>
      <c r="Q1241" s="5">
        <f t="shared" si="117"/>
        <v>10</v>
      </c>
      <c r="R1241" s="28">
        <f t="shared" si="118"/>
        <v>0.95480225988700562</v>
      </c>
      <c r="S1241" s="29">
        <f t="shared" si="119"/>
        <v>95.480225988700568</v>
      </c>
      <c r="T1241" s="5" t="str">
        <f>IF(Delivery_Data[[#This Row],[Delays (min)]]&gt;0,"No","Yes")</f>
        <v>No</v>
      </c>
    </row>
    <row r="1242" spans="1:20" ht="15.75" customHeight="1" x14ac:dyDescent="0.3">
      <c r="A1242" s="4">
        <v>2241</v>
      </c>
      <c r="B1242" s="5" t="s">
        <v>1342</v>
      </c>
      <c r="C1242" s="6">
        <v>45175.333333333336</v>
      </c>
      <c r="D1242" s="5" t="s">
        <v>43</v>
      </c>
      <c r="E1242" s="5" t="s">
        <v>76</v>
      </c>
      <c r="F1242" s="5" t="s">
        <v>16</v>
      </c>
      <c r="G1242" s="5" t="s">
        <v>17</v>
      </c>
      <c r="H1242" s="5">
        <v>161</v>
      </c>
      <c r="I1242" s="5">
        <v>7</v>
      </c>
      <c r="J1242" s="5" t="s">
        <v>18</v>
      </c>
      <c r="K1242" s="5" t="s">
        <v>45</v>
      </c>
      <c r="L1242" s="5" t="s">
        <v>40</v>
      </c>
      <c r="M1242" s="7" t="s">
        <v>21</v>
      </c>
      <c r="N1242" s="26">
        <f t="shared" si="114"/>
        <v>0</v>
      </c>
      <c r="O1242" s="42">
        <f t="shared" si="115"/>
        <v>45175</v>
      </c>
      <c r="P1242" s="5" t="str">
        <f t="shared" si="116"/>
        <v>Wednesday</v>
      </c>
      <c r="Q1242" s="5">
        <f t="shared" si="117"/>
        <v>8</v>
      </c>
      <c r="R1242" s="28">
        <f t="shared" si="118"/>
        <v>0.95833333333333337</v>
      </c>
      <c r="S1242" s="29">
        <f t="shared" si="119"/>
        <v>95.833333333333343</v>
      </c>
      <c r="T1242" s="5" t="str">
        <f>IF(Delivery_Data[[#This Row],[Delays (min)]]&gt;0,"No","Yes")</f>
        <v>No</v>
      </c>
    </row>
    <row r="1243" spans="1:20" ht="15.75" customHeight="1" x14ac:dyDescent="0.3">
      <c r="A1243" s="4">
        <v>2242</v>
      </c>
      <c r="B1243" s="5" t="s">
        <v>1343</v>
      </c>
      <c r="C1243" s="6">
        <v>45172.490972222222</v>
      </c>
      <c r="D1243" s="5" t="s">
        <v>14</v>
      </c>
      <c r="E1243" s="5" t="s">
        <v>410</v>
      </c>
      <c r="F1243" s="5" t="s">
        <v>24</v>
      </c>
      <c r="G1243" s="5" t="s">
        <v>17</v>
      </c>
      <c r="H1243" s="5">
        <v>175</v>
      </c>
      <c r="I1243" s="5">
        <v>5</v>
      </c>
      <c r="J1243" s="5" t="s">
        <v>32</v>
      </c>
      <c r="K1243" s="5" t="s">
        <v>49</v>
      </c>
      <c r="L1243" s="5" t="s">
        <v>20</v>
      </c>
      <c r="M1243" s="7" t="s">
        <v>21</v>
      </c>
      <c r="N1243" s="26">
        <f t="shared" si="114"/>
        <v>-1</v>
      </c>
      <c r="O1243" s="42">
        <f t="shared" si="115"/>
        <v>45172</v>
      </c>
      <c r="P1243" s="5" t="str">
        <f t="shared" si="116"/>
        <v>Sunday</v>
      </c>
      <c r="Q1243" s="5">
        <f t="shared" si="117"/>
        <v>11</v>
      </c>
      <c r="R1243" s="28">
        <f t="shared" si="118"/>
        <v>0.97222222222222221</v>
      </c>
      <c r="S1243" s="29">
        <f t="shared" si="119"/>
        <v>97.222222222222214</v>
      </c>
      <c r="T1243" s="5" t="str">
        <f>IF(Delivery_Data[[#This Row],[Delays (min)]]&gt;0,"No","Yes")</f>
        <v>No</v>
      </c>
    </row>
    <row r="1244" spans="1:20" ht="15.75" customHeight="1" x14ac:dyDescent="0.3">
      <c r="A1244" s="4">
        <v>2243</v>
      </c>
      <c r="B1244" s="5" t="s">
        <v>1344</v>
      </c>
      <c r="C1244" s="6">
        <v>45173.681250000001</v>
      </c>
      <c r="D1244" s="5" t="s">
        <v>14</v>
      </c>
      <c r="E1244" s="5" t="s">
        <v>89</v>
      </c>
      <c r="F1244" s="5" t="s">
        <v>38</v>
      </c>
      <c r="G1244" s="5" t="s">
        <v>56</v>
      </c>
      <c r="H1244" s="5">
        <v>131</v>
      </c>
      <c r="I1244" s="5">
        <v>26</v>
      </c>
      <c r="J1244" s="5" t="s">
        <v>18</v>
      </c>
      <c r="K1244" s="5" t="s">
        <v>49</v>
      </c>
      <c r="L1244" s="5" t="s">
        <v>20</v>
      </c>
      <c r="M1244" s="7" t="s">
        <v>46</v>
      </c>
      <c r="N1244" s="26">
        <f t="shared" si="114"/>
        <v>0</v>
      </c>
      <c r="O1244" s="42">
        <f t="shared" si="115"/>
        <v>45173</v>
      </c>
      <c r="P1244" s="5" t="str">
        <f t="shared" si="116"/>
        <v>Monday</v>
      </c>
      <c r="Q1244" s="5">
        <f t="shared" si="117"/>
        <v>16</v>
      </c>
      <c r="R1244" s="28">
        <f t="shared" si="118"/>
        <v>0.83439490445859876</v>
      </c>
      <c r="S1244" s="29">
        <f t="shared" si="119"/>
        <v>83.439490445859875</v>
      </c>
      <c r="T1244" s="5" t="str">
        <f>IF(Delivery_Data[[#This Row],[Delays (min)]]&gt;0,"No","Yes")</f>
        <v>No</v>
      </c>
    </row>
    <row r="1245" spans="1:20" ht="15.75" customHeight="1" x14ac:dyDescent="0.3">
      <c r="A1245" s="4">
        <v>2244</v>
      </c>
      <c r="B1245" s="5" t="s">
        <v>1345</v>
      </c>
      <c r="C1245" s="6">
        <v>45173.684027777781</v>
      </c>
      <c r="D1245" s="5" t="s">
        <v>14</v>
      </c>
      <c r="E1245" s="5" t="s">
        <v>182</v>
      </c>
      <c r="F1245" s="5" t="s">
        <v>16</v>
      </c>
      <c r="G1245" s="5" t="s">
        <v>17</v>
      </c>
      <c r="H1245" s="5">
        <v>193</v>
      </c>
      <c r="I1245" s="5">
        <v>24</v>
      </c>
      <c r="J1245" s="5" t="s">
        <v>18</v>
      </c>
      <c r="K1245" s="5" t="s">
        <v>35</v>
      </c>
      <c r="L1245" s="5" t="s">
        <v>20</v>
      </c>
      <c r="M1245" s="7" t="s">
        <v>21</v>
      </c>
      <c r="N1245" s="26">
        <f t="shared" si="114"/>
        <v>0</v>
      </c>
      <c r="O1245" s="42">
        <f t="shared" si="115"/>
        <v>45173</v>
      </c>
      <c r="P1245" s="5" t="str">
        <f t="shared" si="116"/>
        <v>Monday</v>
      </c>
      <c r="Q1245" s="5">
        <f t="shared" si="117"/>
        <v>16</v>
      </c>
      <c r="R1245" s="28">
        <f t="shared" si="118"/>
        <v>0.88940092165898621</v>
      </c>
      <c r="S1245" s="29">
        <f t="shared" si="119"/>
        <v>88.940092165898619</v>
      </c>
      <c r="T1245" s="5" t="str">
        <f>IF(Delivery_Data[[#This Row],[Delays (min)]]&gt;0,"No","Yes")</f>
        <v>No</v>
      </c>
    </row>
    <row r="1246" spans="1:20" ht="15.75" customHeight="1" x14ac:dyDescent="0.3">
      <c r="A1246" s="4">
        <v>2245</v>
      </c>
      <c r="B1246" s="5" t="s">
        <v>1346</v>
      </c>
      <c r="C1246" s="6">
        <v>45175.375</v>
      </c>
      <c r="D1246" s="5" t="s">
        <v>43</v>
      </c>
      <c r="E1246" s="5" t="s">
        <v>115</v>
      </c>
      <c r="F1246" s="5" t="s">
        <v>38</v>
      </c>
      <c r="G1246" s="5" t="s">
        <v>25</v>
      </c>
      <c r="H1246" s="5">
        <v>171</v>
      </c>
      <c r="I1246" s="5">
        <v>23</v>
      </c>
      <c r="J1246" s="5" t="s">
        <v>18</v>
      </c>
      <c r="K1246" s="5" t="s">
        <v>27</v>
      </c>
      <c r="L1246" s="5" t="s">
        <v>20</v>
      </c>
      <c r="M1246" s="7" t="s">
        <v>46</v>
      </c>
      <c r="N1246" s="26">
        <f t="shared" si="114"/>
        <v>0</v>
      </c>
      <c r="O1246" s="42">
        <f t="shared" si="115"/>
        <v>45175</v>
      </c>
      <c r="P1246" s="5" t="str">
        <f t="shared" si="116"/>
        <v>Wednesday</v>
      </c>
      <c r="Q1246" s="5">
        <f t="shared" si="117"/>
        <v>9</v>
      </c>
      <c r="R1246" s="28">
        <f t="shared" si="118"/>
        <v>0.88144329896907214</v>
      </c>
      <c r="S1246" s="29">
        <f t="shared" si="119"/>
        <v>88.144329896907209</v>
      </c>
      <c r="T1246" s="5" t="str">
        <f>IF(Delivery_Data[[#This Row],[Delays (min)]]&gt;0,"No","Yes")</f>
        <v>No</v>
      </c>
    </row>
    <row r="1247" spans="1:20" ht="15.75" customHeight="1" x14ac:dyDescent="0.3">
      <c r="A1247" s="4">
        <v>2246</v>
      </c>
      <c r="B1247" s="5" t="s">
        <v>1347</v>
      </c>
      <c r="C1247" s="6">
        <v>45172.347222222219</v>
      </c>
      <c r="D1247" s="5" t="s">
        <v>43</v>
      </c>
      <c r="E1247" s="5" t="s">
        <v>62</v>
      </c>
      <c r="F1247" s="5" t="s">
        <v>24</v>
      </c>
      <c r="G1247" s="5" t="s">
        <v>56</v>
      </c>
      <c r="H1247" s="5">
        <v>223</v>
      </c>
      <c r="I1247" s="5">
        <v>27</v>
      </c>
      <c r="J1247" s="5" t="s">
        <v>26</v>
      </c>
      <c r="K1247" s="5" t="s">
        <v>19</v>
      </c>
      <c r="L1247" s="5" t="s">
        <v>20</v>
      </c>
      <c r="M1247" s="7" t="s">
        <v>46</v>
      </c>
      <c r="N1247" s="26">
        <f t="shared" si="114"/>
        <v>1</v>
      </c>
      <c r="O1247" s="42">
        <f t="shared" si="115"/>
        <v>45172</v>
      </c>
      <c r="P1247" s="5" t="str">
        <f t="shared" si="116"/>
        <v>Sunday</v>
      </c>
      <c r="Q1247" s="5">
        <f t="shared" si="117"/>
        <v>8</v>
      </c>
      <c r="R1247" s="28">
        <f t="shared" si="118"/>
        <v>0.89200000000000002</v>
      </c>
      <c r="S1247" s="29">
        <f t="shared" si="119"/>
        <v>89.2</v>
      </c>
      <c r="T1247" s="5" t="str">
        <f>IF(Delivery_Data[[#This Row],[Delays (min)]]&gt;0,"No","Yes")</f>
        <v>No</v>
      </c>
    </row>
    <row r="1248" spans="1:20" ht="15.75" customHeight="1" x14ac:dyDescent="0.3">
      <c r="A1248" s="4">
        <v>2247</v>
      </c>
      <c r="B1248" s="5" t="s">
        <v>807</v>
      </c>
      <c r="C1248" s="6">
        <v>45173.510416666664</v>
      </c>
      <c r="D1248" s="5" t="s">
        <v>43</v>
      </c>
      <c r="E1248" s="5" t="s">
        <v>171</v>
      </c>
      <c r="F1248" s="5" t="s">
        <v>16</v>
      </c>
      <c r="G1248" s="5" t="s">
        <v>56</v>
      </c>
      <c r="H1248" s="5">
        <v>224</v>
      </c>
      <c r="I1248" s="5">
        <v>12</v>
      </c>
      <c r="J1248" s="5" t="s">
        <v>18</v>
      </c>
      <c r="K1248" s="5" t="s">
        <v>27</v>
      </c>
      <c r="L1248" s="5" t="s">
        <v>40</v>
      </c>
      <c r="M1248" s="7" t="s">
        <v>21</v>
      </c>
      <c r="N1248" s="26">
        <f t="shared" si="114"/>
        <v>0</v>
      </c>
      <c r="O1248" s="42">
        <f t="shared" si="115"/>
        <v>45173</v>
      </c>
      <c r="P1248" s="5" t="str">
        <f t="shared" si="116"/>
        <v>Monday</v>
      </c>
      <c r="Q1248" s="5">
        <f t="shared" si="117"/>
        <v>12</v>
      </c>
      <c r="R1248" s="28">
        <f t="shared" si="118"/>
        <v>0.94915254237288138</v>
      </c>
      <c r="S1248" s="29">
        <f t="shared" si="119"/>
        <v>94.915254237288138</v>
      </c>
      <c r="T1248" s="5" t="str">
        <f>IF(Delivery_Data[[#This Row],[Delays (min)]]&gt;0,"No","Yes")</f>
        <v>No</v>
      </c>
    </row>
    <row r="1249" spans="1:20" ht="15.75" customHeight="1" x14ac:dyDescent="0.3">
      <c r="A1249" s="4">
        <v>2248</v>
      </c>
      <c r="B1249" s="5" t="s">
        <v>1348</v>
      </c>
      <c r="C1249" s="6">
        <v>45170.697916666664</v>
      </c>
      <c r="D1249" s="5" t="s">
        <v>14</v>
      </c>
      <c r="E1249" s="5" t="s">
        <v>441</v>
      </c>
      <c r="F1249" s="5" t="s">
        <v>38</v>
      </c>
      <c r="G1249" s="5" t="s">
        <v>31</v>
      </c>
      <c r="H1249" s="5">
        <v>121</v>
      </c>
      <c r="I1249" s="5">
        <v>16</v>
      </c>
      <c r="J1249" s="5" t="s">
        <v>32</v>
      </c>
      <c r="K1249" s="5" t="s">
        <v>19</v>
      </c>
      <c r="L1249" s="5" t="s">
        <v>28</v>
      </c>
      <c r="M1249" s="7" t="s">
        <v>21</v>
      </c>
      <c r="N1249" s="26">
        <f t="shared" si="114"/>
        <v>-1</v>
      </c>
      <c r="O1249" s="42">
        <f t="shared" si="115"/>
        <v>45170</v>
      </c>
      <c r="P1249" s="5" t="str">
        <f t="shared" si="116"/>
        <v>Friday</v>
      </c>
      <c r="Q1249" s="5">
        <f t="shared" si="117"/>
        <v>16</v>
      </c>
      <c r="R1249" s="28">
        <f t="shared" si="118"/>
        <v>0.88321167883211682</v>
      </c>
      <c r="S1249" s="29">
        <f t="shared" si="119"/>
        <v>88.321167883211686</v>
      </c>
      <c r="T1249" s="5" t="str">
        <f>IF(Delivery_Data[[#This Row],[Delays (min)]]&gt;0,"No","Yes")</f>
        <v>No</v>
      </c>
    </row>
    <row r="1250" spans="1:20" ht="15.75" customHeight="1" x14ac:dyDescent="0.3">
      <c r="A1250" s="4">
        <v>2249</v>
      </c>
      <c r="B1250" s="5" t="s">
        <v>1349</v>
      </c>
      <c r="C1250" s="6">
        <v>45172.565972222219</v>
      </c>
      <c r="D1250" s="5" t="s">
        <v>14</v>
      </c>
      <c r="E1250" s="5" t="s">
        <v>91</v>
      </c>
      <c r="F1250" s="5" t="s">
        <v>38</v>
      </c>
      <c r="G1250" s="5" t="s">
        <v>25</v>
      </c>
      <c r="H1250" s="5">
        <v>154</v>
      </c>
      <c r="I1250" s="5">
        <v>12</v>
      </c>
      <c r="J1250" s="5" t="s">
        <v>26</v>
      </c>
      <c r="K1250" s="5" t="s">
        <v>35</v>
      </c>
      <c r="L1250" s="5" t="s">
        <v>40</v>
      </c>
      <c r="M1250" s="7" t="s">
        <v>41</v>
      </c>
      <c r="N1250" s="26">
        <f t="shared" si="114"/>
        <v>1</v>
      </c>
      <c r="O1250" s="42">
        <f t="shared" si="115"/>
        <v>45172</v>
      </c>
      <c r="P1250" s="5" t="str">
        <f t="shared" si="116"/>
        <v>Sunday</v>
      </c>
      <c r="Q1250" s="5">
        <f t="shared" si="117"/>
        <v>13</v>
      </c>
      <c r="R1250" s="28">
        <f t="shared" si="118"/>
        <v>0.92771084337349397</v>
      </c>
      <c r="S1250" s="29">
        <f t="shared" si="119"/>
        <v>92.771084337349393</v>
      </c>
      <c r="T1250" s="5" t="str">
        <f>IF(Delivery_Data[[#This Row],[Delays (min)]]&gt;0,"No","Yes")</f>
        <v>No</v>
      </c>
    </row>
    <row r="1251" spans="1:20" ht="15.75" customHeight="1" x14ac:dyDescent="0.3">
      <c r="A1251" s="4">
        <v>2250</v>
      </c>
      <c r="B1251" s="5" t="s">
        <v>1350</v>
      </c>
      <c r="C1251" s="6">
        <v>45172.620138888888</v>
      </c>
      <c r="D1251" s="5" t="s">
        <v>14</v>
      </c>
      <c r="E1251" s="5" t="s">
        <v>220</v>
      </c>
      <c r="F1251" s="5" t="s">
        <v>24</v>
      </c>
      <c r="G1251" s="5" t="s">
        <v>25</v>
      </c>
      <c r="H1251" s="5">
        <v>157</v>
      </c>
      <c r="I1251" s="5">
        <v>2</v>
      </c>
      <c r="J1251" s="5" t="s">
        <v>18</v>
      </c>
      <c r="K1251" s="5" t="s">
        <v>35</v>
      </c>
      <c r="L1251" s="5" t="s">
        <v>40</v>
      </c>
      <c r="M1251" s="7" t="s">
        <v>41</v>
      </c>
      <c r="N1251" s="26">
        <f t="shared" si="114"/>
        <v>0</v>
      </c>
      <c r="O1251" s="42">
        <f t="shared" si="115"/>
        <v>45172</v>
      </c>
      <c r="P1251" s="5" t="str">
        <f t="shared" si="116"/>
        <v>Sunday</v>
      </c>
      <c r="Q1251" s="5">
        <f t="shared" si="117"/>
        <v>14</v>
      </c>
      <c r="R1251" s="28">
        <f t="shared" si="118"/>
        <v>0.98742138364779874</v>
      </c>
      <c r="S1251" s="29">
        <f t="shared" si="119"/>
        <v>98.742138364779876</v>
      </c>
      <c r="T1251" s="5" t="str">
        <f>IF(Delivery_Data[[#This Row],[Delays (min)]]&gt;0,"No","Yes")</f>
        <v>No</v>
      </c>
    </row>
    <row r="1252" spans="1:20" ht="15.75" customHeight="1" x14ac:dyDescent="0.3">
      <c r="A1252" s="4">
        <v>2251</v>
      </c>
      <c r="B1252" s="5" t="s">
        <v>1351</v>
      </c>
      <c r="C1252" s="6">
        <v>45177.335416666669</v>
      </c>
      <c r="D1252" s="5" t="s">
        <v>43</v>
      </c>
      <c r="E1252" s="5" t="s">
        <v>135</v>
      </c>
      <c r="F1252" s="5" t="s">
        <v>16</v>
      </c>
      <c r="G1252" s="5" t="s">
        <v>25</v>
      </c>
      <c r="H1252" s="5">
        <v>123</v>
      </c>
      <c r="I1252" s="5">
        <v>4</v>
      </c>
      <c r="J1252" s="5" t="s">
        <v>26</v>
      </c>
      <c r="K1252" s="5" t="s">
        <v>27</v>
      </c>
      <c r="L1252" s="5" t="s">
        <v>28</v>
      </c>
      <c r="M1252" s="7" t="s">
        <v>21</v>
      </c>
      <c r="N1252" s="26">
        <f t="shared" si="114"/>
        <v>1</v>
      </c>
      <c r="O1252" s="42">
        <f t="shared" si="115"/>
        <v>45177</v>
      </c>
      <c r="P1252" s="5" t="str">
        <f t="shared" si="116"/>
        <v>Friday</v>
      </c>
      <c r="Q1252" s="5">
        <f t="shared" si="117"/>
        <v>8</v>
      </c>
      <c r="R1252" s="28">
        <f t="shared" si="118"/>
        <v>0.96850393700787396</v>
      </c>
      <c r="S1252" s="29">
        <f t="shared" si="119"/>
        <v>96.850393700787393</v>
      </c>
      <c r="T1252" s="5" t="str">
        <f>IF(Delivery_Data[[#This Row],[Delays (min)]]&gt;0,"No","Yes")</f>
        <v>No</v>
      </c>
    </row>
    <row r="1253" spans="1:20" ht="15.75" customHeight="1" x14ac:dyDescent="0.3">
      <c r="A1253" s="4">
        <v>2252</v>
      </c>
      <c r="B1253" s="5" t="s">
        <v>1352</v>
      </c>
      <c r="C1253" s="6">
        <v>45176.606944444444</v>
      </c>
      <c r="D1253" s="5" t="s">
        <v>43</v>
      </c>
      <c r="E1253" s="5" t="s">
        <v>468</v>
      </c>
      <c r="F1253" s="5" t="s">
        <v>16</v>
      </c>
      <c r="G1253" s="5" t="s">
        <v>25</v>
      </c>
      <c r="H1253" s="5">
        <v>158</v>
      </c>
      <c r="I1253" s="5">
        <v>1</v>
      </c>
      <c r="J1253" s="5" t="s">
        <v>26</v>
      </c>
      <c r="K1253" s="5" t="s">
        <v>27</v>
      </c>
      <c r="L1253" s="5" t="s">
        <v>20</v>
      </c>
      <c r="M1253" s="7" t="s">
        <v>21</v>
      </c>
      <c r="N1253" s="26">
        <f t="shared" si="114"/>
        <v>1</v>
      </c>
      <c r="O1253" s="42">
        <f t="shared" si="115"/>
        <v>45176</v>
      </c>
      <c r="P1253" s="5" t="str">
        <f t="shared" si="116"/>
        <v>Thursday</v>
      </c>
      <c r="Q1253" s="5">
        <f t="shared" si="117"/>
        <v>14</v>
      </c>
      <c r="R1253" s="28">
        <f t="shared" si="118"/>
        <v>0.99371069182389937</v>
      </c>
      <c r="S1253" s="29">
        <f t="shared" si="119"/>
        <v>99.371069182389931</v>
      </c>
      <c r="T1253" s="5" t="str">
        <f>IF(Delivery_Data[[#This Row],[Delays (min)]]&gt;0,"No","Yes")</f>
        <v>No</v>
      </c>
    </row>
    <row r="1254" spans="1:20" ht="15.75" customHeight="1" x14ac:dyDescent="0.3">
      <c r="A1254" s="4">
        <v>2253</v>
      </c>
      <c r="B1254" s="5" t="s">
        <v>1353</v>
      </c>
      <c r="C1254" s="6">
        <v>45177.452777777777</v>
      </c>
      <c r="D1254" s="5" t="s">
        <v>14</v>
      </c>
      <c r="E1254" s="5" t="s">
        <v>95</v>
      </c>
      <c r="F1254" s="5" t="s">
        <v>24</v>
      </c>
      <c r="G1254" s="5" t="s">
        <v>39</v>
      </c>
      <c r="H1254" s="5">
        <v>216</v>
      </c>
      <c r="I1254" s="5">
        <v>24</v>
      </c>
      <c r="J1254" s="5" t="s">
        <v>32</v>
      </c>
      <c r="K1254" s="5" t="s">
        <v>19</v>
      </c>
      <c r="L1254" s="5" t="s">
        <v>40</v>
      </c>
      <c r="M1254" s="7" t="s">
        <v>46</v>
      </c>
      <c r="N1254" s="26">
        <f t="shared" si="114"/>
        <v>-1</v>
      </c>
      <c r="O1254" s="42">
        <f t="shared" si="115"/>
        <v>45177</v>
      </c>
      <c r="P1254" s="5" t="str">
        <f t="shared" si="116"/>
        <v>Friday</v>
      </c>
      <c r="Q1254" s="5">
        <f t="shared" si="117"/>
        <v>10</v>
      </c>
      <c r="R1254" s="28">
        <f t="shared" si="118"/>
        <v>0.9</v>
      </c>
      <c r="S1254" s="29">
        <f t="shared" si="119"/>
        <v>90</v>
      </c>
      <c r="T1254" s="5" t="str">
        <f>IF(Delivery_Data[[#This Row],[Delays (min)]]&gt;0,"No","Yes")</f>
        <v>No</v>
      </c>
    </row>
    <row r="1255" spans="1:20" ht="15.75" customHeight="1" x14ac:dyDescent="0.3">
      <c r="A1255" s="4">
        <v>2254</v>
      </c>
      <c r="B1255" s="5" t="s">
        <v>1354</v>
      </c>
      <c r="C1255" s="6">
        <v>45173.624305555553</v>
      </c>
      <c r="D1255" s="5" t="s">
        <v>14</v>
      </c>
      <c r="E1255" s="5" t="s">
        <v>333</v>
      </c>
      <c r="F1255" s="5" t="s">
        <v>16</v>
      </c>
      <c r="G1255" s="5" t="s">
        <v>39</v>
      </c>
      <c r="H1255" s="5">
        <v>75</v>
      </c>
      <c r="I1255" s="5">
        <v>8</v>
      </c>
      <c r="J1255" s="5" t="s">
        <v>32</v>
      </c>
      <c r="K1255" s="5" t="s">
        <v>27</v>
      </c>
      <c r="L1255" s="5" t="s">
        <v>40</v>
      </c>
      <c r="M1255" s="7" t="s">
        <v>46</v>
      </c>
      <c r="N1255" s="26">
        <f t="shared" si="114"/>
        <v>-1</v>
      </c>
      <c r="O1255" s="42">
        <f t="shared" si="115"/>
        <v>45173</v>
      </c>
      <c r="P1255" s="5" t="str">
        <f t="shared" si="116"/>
        <v>Monday</v>
      </c>
      <c r="Q1255" s="5">
        <f t="shared" si="117"/>
        <v>14</v>
      </c>
      <c r="R1255" s="28">
        <f t="shared" si="118"/>
        <v>0.90361445783132532</v>
      </c>
      <c r="S1255" s="29">
        <f t="shared" si="119"/>
        <v>90.361445783132538</v>
      </c>
      <c r="T1255" s="5" t="str">
        <f>IF(Delivery_Data[[#This Row],[Delays (min)]]&gt;0,"No","Yes")</f>
        <v>No</v>
      </c>
    </row>
    <row r="1256" spans="1:20" ht="15.75" customHeight="1" x14ac:dyDescent="0.3">
      <c r="A1256" s="4">
        <v>2255</v>
      </c>
      <c r="B1256" s="5" t="s">
        <v>1355</v>
      </c>
      <c r="C1256" s="6">
        <v>45173.46597222222</v>
      </c>
      <c r="D1256" s="5" t="s">
        <v>14</v>
      </c>
      <c r="E1256" s="5" t="s">
        <v>370</v>
      </c>
      <c r="F1256" s="5" t="s">
        <v>38</v>
      </c>
      <c r="G1256" s="5" t="s">
        <v>25</v>
      </c>
      <c r="H1256" s="5">
        <v>166</v>
      </c>
      <c r="I1256" s="5">
        <v>29</v>
      </c>
      <c r="J1256" s="5" t="s">
        <v>18</v>
      </c>
      <c r="K1256" s="5" t="s">
        <v>49</v>
      </c>
      <c r="L1256" s="5" t="s">
        <v>28</v>
      </c>
      <c r="M1256" s="7" t="s">
        <v>21</v>
      </c>
      <c r="N1256" s="26">
        <f t="shared" si="114"/>
        <v>0</v>
      </c>
      <c r="O1256" s="42">
        <f t="shared" si="115"/>
        <v>45173</v>
      </c>
      <c r="P1256" s="5" t="str">
        <f t="shared" si="116"/>
        <v>Monday</v>
      </c>
      <c r="Q1256" s="5">
        <f t="shared" si="117"/>
        <v>11</v>
      </c>
      <c r="R1256" s="28">
        <f t="shared" si="118"/>
        <v>0.85128205128205126</v>
      </c>
      <c r="S1256" s="29">
        <f t="shared" si="119"/>
        <v>85.128205128205124</v>
      </c>
      <c r="T1256" s="5" t="str">
        <f>IF(Delivery_Data[[#This Row],[Delays (min)]]&gt;0,"No","Yes")</f>
        <v>No</v>
      </c>
    </row>
    <row r="1257" spans="1:20" ht="15.75" customHeight="1" x14ac:dyDescent="0.3">
      <c r="A1257" s="4">
        <v>2256</v>
      </c>
      <c r="B1257" s="5" t="s">
        <v>1356</v>
      </c>
      <c r="C1257" s="6">
        <v>45176.693749999999</v>
      </c>
      <c r="D1257" s="5" t="s">
        <v>43</v>
      </c>
      <c r="E1257" s="5" t="s">
        <v>154</v>
      </c>
      <c r="F1257" s="5" t="s">
        <v>16</v>
      </c>
      <c r="G1257" s="5" t="s">
        <v>31</v>
      </c>
      <c r="H1257" s="5">
        <v>96</v>
      </c>
      <c r="I1257" s="5">
        <v>27</v>
      </c>
      <c r="J1257" s="5" t="s">
        <v>32</v>
      </c>
      <c r="K1257" s="5" t="s">
        <v>49</v>
      </c>
      <c r="L1257" s="5" t="s">
        <v>28</v>
      </c>
      <c r="M1257" s="7" t="s">
        <v>46</v>
      </c>
      <c r="N1257" s="26">
        <f t="shared" si="114"/>
        <v>-1</v>
      </c>
      <c r="O1257" s="42">
        <f t="shared" si="115"/>
        <v>45176</v>
      </c>
      <c r="P1257" s="5" t="str">
        <f t="shared" si="116"/>
        <v>Thursday</v>
      </c>
      <c r="Q1257" s="5">
        <f t="shared" si="117"/>
        <v>16</v>
      </c>
      <c r="R1257" s="28">
        <f t="shared" si="118"/>
        <v>0.78048780487804881</v>
      </c>
      <c r="S1257" s="29">
        <f t="shared" si="119"/>
        <v>78.048780487804876</v>
      </c>
      <c r="T1257" s="5" t="str">
        <f>IF(Delivery_Data[[#This Row],[Delays (min)]]&gt;0,"No","Yes")</f>
        <v>No</v>
      </c>
    </row>
    <row r="1258" spans="1:20" ht="15.75" customHeight="1" x14ac:dyDescent="0.3">
      <c r="A1258" s="4">
        <v>2257</v>
      </c>
      <c r="B1258" s="5" t="s">
        <v>1357</v>
      </c>
      <c r="C1258" s="6">
        <v>45177.467361111114</v>
      </c>
      <c r="D1258" s="5" t="s">
        <v>14</v>
      </c>
      <c r="E1258" s="5" t="s">
        <v>55</v>
      </c>
      <c r="F1258" s="5" t="s">
        <v>38</v>
      </c>
      <c r="G1258" s="5" t="s">
        <v>31</v>
      </c>
      <c r="H1258" s="5">
        <v>181</v>
      </c>
      <c r="I1258" s="5">
        <v>8</v>
      </c>
      <c r="J1258" s="5" t="s">
        <v>18</v>
      </c>
      <c r="K1258" s="5" t="s">
        <v>35</v>
      </c>
      <c r="L1258" s="5" t="s">
        <v>20</v>
      </c>
      <c r="M1258" s="7" t="s">
        <v>41</v>
      </c>
      <c r="N1258" s="26">
        <f t="shared" si="114"/>
        <v>0</v>
      </c>
      <c r="O1258" s="42">
        <f t="shared" si="115"/>
        <v>45177</v>
      </c>
      <c r="P1258" s="5" t="str">
        <f t="shared" si="116"/>
        <v>Friday</v>
      </c>
      <c r="Q1258" s="5">
        <f t="shared" si="117"/>
        <v>11</v>
      </c>
      <c r="R1258" s="28">
        <f t="shared" si="118"/>
        <v>0.95767195767195767</v>
      </c>
      <c r="S1258" s="29">
        <f t="shared" si="119"/>
        <v>95.767195767195773</v>
      </c>
      <c r="T1258" s="5" t="str">
        <f>IF(Delivery_Data[[#This Row],[Delays (min)]]&gt;0,"No","Yes")</f>
        <v>No</v>
      </c>
    </row>
    <row r="1259" spans="1:20" ht="15.75" customHeight="1" x14ac:dyDescent="0.3">
      <c r="A1259" s="4">
        <v>2258</v>
      </c>
      <c r="B1259" s="5" t="s">
        <v>1358</v>
      </c>
      <c r="C1259" s="6">
        <v>45171.622916666667</v>
      </c>
      <c r="D1259" s="5" t="s">
        <v>43</v>
      </c>
      <c r="E1259" s="5" t="s">
        <v>106</v>
      </c>
      <c r="F1259" s="5" t="s">
        <v>38</v>
      </c>
      <c r="G1259" s="5" t="s">
        <v>56</v>
      </c>
      <c r="H1259" s="5">
        <v>67</v>
      </c>
      <c r="I1259" s="5">
        <v>29</v>
      </c>
      <c r="J1259" s="5" t="s">
        <v>18</v>
      </c>
      <c r="K1259" s="5" t="s">
        <v>19</v>
      </c>
      <c r="L1259" s="5" t="s">
        <v>28</v>
      </c>
      <c r="M1259" s="7" t="s">
        <v>41</v>
      </c>
      <c r="N1259" s="26">
        <f t="shared" si="114"/>
        <v>0</v>
      </c>
      <c r="O1259" s="42">
        <f t="shared" si="115"/>
        <v>45171</v>
      </c>
      <c r="P1259" s="5" t="str">
        <f t="shared" si="116"/>
        <v>Saturday</v>
      </c>
      <c r="Q1259" s="5">
        <f t="shared" si="117"/>
        <v>14</v>
      </c>
      <c r="R1259" s="28">
        <f t="shared" si="118"/>
        <v>0.69791666666666663</v>
      </c>
      <c r="S1259" s="29">
        <f t="shared" si="119"/>
        <v>69.791666666666657</v>
      </c>
      <c r="T1259" s="5" t="str">
        <f>IF(Delivery_Data[[#This Row],[Delays (min)]]&gt;0,"No","Yes")</f>
        <v>No</v>
      </c>
    </row>
    <row r="1260" spans="1:20" ht="15.75" customHeight="1" x14ac:dyDescent="0.3">
      <c r="A1260" s="4">
        <v>2259</v>
      </c>
      <c r="B1260" s="5" t="s">
        <v>1359</v>
      </c>
      <c r="C1260" s="6">
        <v>45171.681250000001</v>
      </c>
      <c r="D1260" s="5" t="s">
        <v>14</v>
      </c>
      <c r="E1260" s="5" t="s">
        <v>135</v>
      </c>
      <c r="F1260" s="5" t="s">
        <v>24</v>
      </c>
      <c r="G1260" s="5" t="s">
        <v>17</v>
      </c>
      <c r="H1260" s="5">
        <v>98</v>
      </c>
      <c r="I1260" s="5">
        <v>3</v>
      </c>
      <c r="J1260" s="5" t="s">
        <v>26</v>
      </c>
      <c r="K1260" s="5" t="s">
        <v>49</v>
      </c>
      <c r="L1260" s="5" t="s">
        <v>40</v>
      </c>
      <c r="M1260" s="7" t="s">
        <v>41</v>
      </c>
      <c r="N1260" s="26">
        <f t="shared" si="114"/>
        <v>1</v>
      </c>
      <c r="O1260" s="42">
        <f t="shared" si="115"/>
        <v>45171</v>
      </c>
      <c r="P1260" s="5" t="str">
        <f t="shared" si="116"/>
        <v>Saturday</v>
      </c>
      <c r="Q1260" s="5">
        <f t="shared" si="117"/>
        <v>16</v>
      </c>
      <c r="R1260" s="28">
        <f t="shared" si="118"/>
        <v>0.97029702970297027</v>
      </c>
      <c r="S1260" s="29">
        <f t="shared" si="119"/>
        <v>97.029702970297024</v>
      </c>
      <c r="T1260" s="5" t="str">
        <f>IF(Delivery_Data[[#This Row],[Delays (min)]]&gt;0,"No","Yes")</f>
        <v>No</v>
      </c>
    </row>
    <row r="1261" spans="1:20" ht="15.75" customHeight="1" x14ac:dyDescent="0.3">
      <c r="A1261" s="4">
        <v>2260</v>
      </c>
      <c r="B1261" s="5" t="s">
        <v>1360</v>
      </c>
      <c r="C1261" s="6">
        <v>45176.706944444442</v>
      </c>
      <c r="D1261" s="5" t="s">
        <v>14</v>
      </c>
      <c r="E1261" s="5" t="s">
        <v>240</v>
      </c>
      <c r="F1261" s="5" t="s">
        <v>38</v>
      </c>
      <c r="G1261" s="5" t="s">
        <v>25</v>
      </c>
      <c r="H1261" s="5">
        <v>66</v>
      </c>
      <c r="I1261" s="5">
        <v>8</v>
      </c>
      <c r="J1261" s="5" t="s">
        <v>26</v>
      </c>
      <c r="K1261" s="5" t="s">
        <v>49</v>
      </c>
      <c r="L1261" s="5" t="s">
        <v>40</v>
      </c>
      <c r="M1261" s="7" t="s">
        <v>21</v>
      </c>
      <c r="N1261" s="26">
        <f t="shared" si="114"/>
        <v>1</v>
      </c>
      <c r="O1261" s="42">
        <f t="shared" si="115"/>
        <v>45176</v>
      </c>
      <c r="P1261" s="5" t="str">
        <f t="shared" si="116"/>
        <v>Thursday</v>
      </c>
      <c r="Q1261" s="5">
        <f t="shared" si="117"/>
        <v>16</v>
      </c>
      <c r="R1261" s="28">
        <f t="shared" si="118"/>
        <v>0.89189189189189189</v>
      </c>
      <c r="S1261" s="29">
        <f t="shared" si="119"/>
        <v>89.189189189189193</v>
      </c>
      <c r="T1261" s="5" t="str">
        <f>IF(Delivery_Data[[#This Row],[Delays (min)]]&gt;0,"No","Yes")</f>
        <v>No</v>
      </c>
    </row>
    <row r="1262" spans="1:20" ht="15.75" customHeight="1" x14ac:dyDescent="0.3">
      <c r="A1262" s="4">
        <v>2261</v>
      </c>
      <c r="B1262" s="5" t="s">
        <v>1361</v>
      </c>
      <c r="C1262" s="6">
        <v>45177.434027777781</v>
      </c>
      <c r="D1262" s="5" t="s">
        <v>43</v>
      </c>
      <c r="E1262" s="5" t="s">
        <v>83</v>
      </c>
      <c r="F1262" s="5" t="s">
        <v>16</v>
      </c>
      <c r="G1262" s="5" t="s">
        <v>39</v>
      </c>
      <c r="H1262" s="5">
        <v>96</v>
      </c>
      <c r="I1262" s="5">
        <v>21</v>
      </c>
      <c r="J1262" s="5" t="s">
        <v>18</v>
      </c>
      <c r="K1262" s="5" t="s">
        <v>45</v>
      </c>
      <c r="L1262" s="5" t="s">
        <v>28</v>
      </c>
      <c r="M1262" s="7" t="s">
        <v>21</v>
      </c>
      <c r="N1262" s="26">
        <f t="shared" si="114"/>
        <v>0</v>
      </c>
      <c r="O1262" s="42">
        <f t="shared" si="115"/>
        <v>45177</v>
      </c>
      <c r="P1262" s="5" t="str">
        <f t="shared" si="116"/>
        <v>Friday</v>
      </c>
      <c r="Q1262" s="5">
        <f t="shared" si="117"/>
        <v>10</v>
      </c>
      <c r="R1262" s="28">
        <f t="shared" si="118"/>
        <v>0.82051282051282048</v>
      </c>
      <c r="S1262" s="29">
        <f t="shared" si="119"/>
        <v>82.051282051282044</v>
      </c>
      <c r="T1262" s="5" t="str">
        <f>IF(Delivery_Data[[#This Row],[Delays (min)]]&gt;0,"No","Yes")</f>
        <v>No</v>
      </c>
    </row>
    <row r="1263" spans="1:20" ht="15.75" customHeight="1" x14ac:dyDescent="0.3">
      <c r="A1263" s="4">
        <v>2262</v>
      </c>
      <c r="B1263" s="5" t="s">
        <v>1362</v>
      </c>
      <c r="C1263" s="6">
        <v>45176.385416666664</v>
      </c>
      <c r="D1263" s="5" t="s">
        <v>43</v>
      </c>
      <c r="E1263" s="5" t="s">
        <v>58</v>
      </c>
      <c r="F1263" s="5" t="s">
        <v>38</v>
      </c>
      <c r="G1263" s="5" t="s">
        <v>56</v>
      </c>
      <c r="H1263" s="5">
        <v>162</v>
      </c>
      <c r="I1263" s="5">
        <v>2</v>
      </c>
      <c r="J1263" s="5" t="s">
        <v>26</v>
      </c>
      <c r="K1263" s="5" t="s">
        <v>27</v>
      </c>
      <c r="L1263" s="5" t="s">
        <v>40</v>
      </c>
      <c r="M1263" s="7" t="s">
        <v>41</v>
      </c>
      <c r="N1263" s="26">
        <f t="shared" si="114"/>
        <v>1</v>
      </c>
      <c r="O1263" s="42">
        <f t="shared" si="115"/>
        <v>45176</v>
      </c>
      <c r="P1263" s="5" t="str">
        <f t="shared" si="116"/>
        <v>Thursday</v>
      </c>
      <c r="Q1263" s="5">
        <f t="shared" si="117"/>
        <v>9</v>
      </c>
      <c r="R1263" s="28">
        <f t="shared" si="118"/>
        <v>0.98780487804878048</v>
      </c>
      <c r="S1263" s="29">
        <f t="shared" si="119"/>
        <v>98.780487804878049</v>
      </c>
      <c r="T1263" s="5" t="str">
        <f>IF(Delivery_Data[[#This Row],[Delays (min)]]&gt;0,"No","Yes")</f>
        <v>No</v>
      </c>
    </row>
    <row r="1264" spans="1:20" ht="15.75" customHeight="1" x14ac:dyDescent="0.3">
      <c r="A1264" s="4">
        <v>2263</v>
      </c>
      <c r="B1264" s="5" t="s">
        <v>1363</v>
      </c>
      <c r="C1264" s="6">
        <v>45171.679861111108</v>
      </c>
      <c r="D1264" s="5" t="s">
        <v>14</v>
      </c>
      <c r="E1264" s="5" t="s">
        <v>355</v>
      </c>
      <c r="F1264" s="5" t="s">
        <v>24</v>
      </c>
      <c r="G1264" s="5" t="s">
        <v>25</v>
      </c>
      <c r="H1264" s="5">
        <v>165</v>
      </c>
      <c r="I1264" s="5">
        <v>27</v>
      </c>
      <c r="J1264" s="5" t="s">
        <v>26</v>
      </c>
      <c r="K1264" s="5" t="s">
        <v>27</v>
      </c>
      <c r="L1264" s="5" t="s">
        <v>28</v>
      </c>
      <c r="M1264" s="7" t="s">
        <v>46</v>
      </c>
      <c r="N1264" s="26">
        <f t="shared" si="114"/>
        <v>1</v>
      </c>
      <c r="O1264" s="42">
        <f t="shared" si="115"/>
        <v>45171</v>
      </c>
      <c r="P1264" s="5" t="str">
        <f t="shared" si="116"/>
        <v>Saturday</v>
      </c>
      <c r="Q1264" s="5">
        <f t="shared" si="117"/>
        <v>16</v>
      </c>
      <c r="R1264" s="28">
        <f t="shared" si="118"/>
        <v>0.859375</v>
      </c>
      <c r="S1264" s="29">
        <f t="shared" si="119"/>
        <v>85.9375</v>
      </c>
      <c r="T1264" s="5" t="str">
        <f>IF(Delivery_Data[[#This Row],[Delays (min)]]&gt;0,"No","Yes")</f>
        <v>No</v>
      </c>
    </row>
    <row r="1265" spans="1:20" ht="15.75" customHeight="1" x14ac:dyDescent="0.3">
      <c r="A1265" s="4">
        <v>2264</v>
      </c>
      <c r="B1265" s="5" t="s">
        <v>1364</v>
      </c>
      <c r="C1265" s="6">
        <v>45173.336111111108</v>
      </c>
      <c r="D1265" s="5" t="s">
        <v>14</v>
      </c>
      <c r="E1265" s="5" t="s">
        <v>132</v>
      </c>
      <c r="F1265" s="5" t="s">
        <v>24</v>
      </c>
      <c r="G1265" s="5" t="s">
        <v>39</v>
      </c>
      <c r="H1265" s="5">
        <v>235</v>
      </c>
      <c r="I1265" s="5">
        <v>11</v>
      </c>
      <c r="J1265" s="5" t="s">
        <v>26</v>
      </c>
      <c r="K1265" s="5" t="s">
        <v>45</v>
      </c>
      <c r="L1265" s="5" t="s">
        <v>40</v>
      </c>
      <c r="M1265" s="7" t="s">
        <v>46</v>
      </c>
      <c r="N1265" s="26">
        <f t="shared" si="114"/>
        <v>1</v>
      </c>
      <c r="O1265" s="42">
        <f t="shared" si="115"/>
        <v>45173</v>
      </c>
      <c r="P1265" s="5" t="str">
        <f t="shared" si="116"/>
        <v>Monday</v>
      </c>
      <c r="Q1265" s="5">
        <f t="shared" si="117"/>
        <v>8</v>
      </c>
      <c r="R1265" s="28">
        <f t="shared" si="118"/>
        <v>0.95528455284552849</v>
      </c>
      <c r="S1265" s="29">
        <f t="shared" si="119"/>
        <v>95.528455284552848</v>
      </c>
      <c r="T1265" s="5" t="str">
        <f>IF(Delivery_Data[[#This Row],[Delays (min)]]&gt;0,"No","Yes")</f>
        <v>No</v>
      </c>
    </row>
    <row r="1266" spans="1:20" ht="15.75" customHeight="1" x14ac:dyDescent="0.3">
      <c r="A1266" s="4">
        <v>2265</v>
      </c>
      <c r="B1266" s="5" t="s">
        <v>1365</v>
      </c>
      <c r="C1266" s="6">
        <v>45172.445833333331</v>
      </c>
      <c r="D1266" s="5" t="s">
        <v>43</v>
      </c>
      <c r="E1266" s="5" t="s">
        <v>130</v>
      </c>
      <c r="F1266" s="5" t="s">
        <v>16</v>
      </c>
      <c r="G1266" s="5" t="s">
        <v>17</v>
      </c>
      <c r="H1266" s="5">
        <v>177</v>
      </c>
      <c r="I1266" s="5">
        <v>16</v>
      </c>
      <c r="J1266" s="5" t="s">
        <v>26</v>
      </c>
      <c r="K1266" s="5" t="s">
        <v>35</v>
      </c>
      <c r="L1266" s="5" t="s">
        <v>28</v>
      </c>
      <c r="M1266" s="7" t="s">
        <v>21</v>
      </c>
      <c r="N1266" s="26">
        <f t="shared" si="114"/>
        <v>1</v>
      </c>
      <c r="O1266" s="42">
        <f t="shared" si="115"/>
        <v>45172</v>
      </c>
      <c r="P1266" s="5" t="str">
        <f t="shared" si="116"/>
        <v>Sunday</v>
      </c>
      <c r="Q1266" s="5">
        <f t="shared" si="117"/>
        <v>10</v>
      </c>
      <c r="R1266" s="28">
        <f t="shared" si="118"/>
        <v>0.91709844559585496</v>
      </c>
      <c r="S1266" s="29">
        <f t="shared" si="119"/>
        <v>91.709844559585491</v>
      </c>
      <c r="T1266" s="5" t="str">
        <f>IF(Delivery_Data[[#This Row],[Delays (min)]]&gt;0,"No","Yes")</f>
        <v>No</v>
      </c>
    </row>
    <row r="1267" spans="1:20" ht="15.75" customHeight="1" x14ac:dyDescent="0.3">
      <c r="A1267" s="4">
        <v>2266</v>
      </c>
      <c r="B1267" s="5" t="s">
        <v>1366</v>
      </c>
      <c r="C1267" s="6">
        <v>45173.497916666667</v>
      </c>
      <c r="D1267" s="5" t="s">
        <v>14</v>
      </c>
      <c r="E1267" s="5" t="s">
        <v>228</v>
      </c>
      <c r="F1267" s="5" t="s">
        <v>38</v>
      </c>
      <c r="G1267" s="5" t="s">
        <v>25</v>
      </c>
      <c r="H1267" s="5">
        <v>214</v>
      </c>
      <c r="I1267" s="5">
        <v>24</v>
      </c>
      <c r="J1267" s="5" t="s">
        <v>18</v>
      </c>
      <c r="K1267" s="5" t="s">
        <v>45</v>
      </c>
      <c r="L1267" s="5" t="s">
        <v>40</v>
      </c>
      <c r="M1267" s="7" t="s">
        <v>21</v>
      </c>
      <c r="N1267" s="26">
        <f t="shared" si="114"/>
        <v>0</v>
      </c>
      <c r="O1267" s="42">
        <f t="shared" si="115"/>
        <v>45173</v>
      </c>
      <c r="P1267" s="5" t="str">
        <f t="shared" si="116"/>
        <v>Monday</v>
      </c>
      <c r="Q1267" s="5">
        <f t="shared" si="117"/>
        <v>11</v>
      </c>
      <c r="R1267" s="28">
        <f t="shared" si="118"/>
        <v>0.89915966386554624</v>
      </c>
      <c r="S1267" s="29">
        <f t="shared" si="119"/>
        <v>89.915966386554629</v>
      </c>
      <c r="T1267" s="5" t="str">
        <f>IF(Delivery_Data[[#This Row],[Delays (min)]]&gt;0,"No","Yes")</f>
        <v>No</v>
      </c>
    </row>
    <row r="1268" spans="1:20" ht="15.75" customHeight="1" x14ac:dyDescent="0.3">
      <c r="A1268" s="4">
        <v>2267</v>
      </c>
      <c r="B1268" s="5" t="s">
        <v>1367</v>
      </c>
      <c r="C1268" s="6">
        <v>45173.42083333333</v>
      </c>
      <c r="D1268" s="5" t="s">
        <v>14</v>
      </c>
      <c r="E1268" s="5" t="s">
        <v>441</v>
      </c>
      <c r="F1268" s="5" t="s">
        <v>16</v>
      </c>
      <c r="G1268" s="5" t="s">
        <v>56</v>
      </c>
      <c r="H1268" s="5">
        <v>66</v>
      </c>
      <c r="I1268" s="5">
        <v>28</v>
      </c>
      <c r="J1268" s="5" t="s">
        <v>18</v>
      </c>
      <c r="K1268" s="5" t="s">
        <v>27</v>
      </c>
      <c r="L1268" s="5" t="s">
        <v>40</v>
      </c>
      <c r="M1268" s="7" t="s">
        <v>46</v>
      </c>
      <c r="N1268" s="26">
        <f t="shared" si="114"/>
        <v>0</v>
      </c>
      <c r="O1268" s="42">
        <f t="shared" si="115"/>
        <v>45173</v>
      </c>
      <c r="P1268" s="5" t="str">
        <f t="shared" si="116"/>
        <v>Monday</v>
      </c>
      <c r="Q1268" s="5">
        <f t="shared" si="117"/>
        <v>10</v>
      </c>
      <c r="R1268" s="28">
        <f t="shared" si="118"/>
        <v>0.7021276595744681</v>
      </c>
      <c r="S1268" s="29">
        <f t="shared" si="119"/>
        <v>70.212765957446805</v>
      </c>
      <c r="T1268" s="5" t="str">
        <f>IF(Delivery_Data[[#This Row],[Delays (min)]]&gt;0,"No","Yes")</f>
        <v>No</v>
      </c>
    </row>
    <row r="1269" spans="1:20" ht="15.75" customHeight="1" x14ac:dyDescent="0.3">
      <c r="A1269" s="4">
        <v>2268</v>
      </c>
      <c r="B1269" s="5" t="s">
        <v>1368</v>
      </c>
      <c r="C1269" s="6">
        <v>45172.581250000003</v>
      </c>
      <c r="D1269" s="5" t="s">
        <v>43</v>
      </c>
      <c r="E1269" s="5" t="s">
        <v>111</v>
      </c>
      <c r="F1269" s="5" t="s">
        <v>24</v>
      </c>
      <c r="G1269" s="5" t="s">
        <v>39</v>
      </c>
      <c r="H1269" s="5">
        <v>228</v>
      </c>
      <c r="I1269" s="5">
        <v>6</v>
      </c>
      <c r="J1269" s="5" t="s">
        <v>32</v>
      </c>
      <c r="K1269" s="5" t="s">
        <v>45</v>
      </c>
      <c r="L1269" s="5" t="s">
        <v>20</v>
      </c>
      <c r="M1269" s="7" t="s">
        <v>46</v>
      </c>
      <c r="N1269" s="26">
        <f t="shared" si="114"/>
        <v>-1</v>
      </c>
      <c r="O1269" s="42">
        <f t="shared" si="115"/>
        <v>45172</v>
      </c>
      <c r="P1269" s="5" t="str">
        <f t="shared" si="116"/>
        <v>Sunday</v>
      </c>
      <c r="Q1269" s="5">
        <f t="shared" si="117"/>
        <v>13</v>
      </c>
      <c r="R1269" s="28">
        <f t="shared" si="118"/>
        <v>0.97435897435897434</v>
      </c>
      <c r="S1269" s="29">
        <f t="shared" si="119"/>
        <v>97.435897435897431</v>
      </c>
      <c r="T1269" s="5" t="str">
        <f>IF(Delivery_Data[[#This Row],[Delays (min)]]&gt;0,"No","Yes")</f>
        <v>No</v>
      </c>
    </row>
    <row r="1270" spans="1:20" ht="15.75" customHeight="1" x14ac:dyDescent="0.3">
      <c r="A1270" s="4">
        <v>2269</v>
      </c>
      <c r="B1270" s="5" t="s">
        <v>1369</v>
      </c>
      <c r="C1270" s="6">
        <v>45171.657638888886</v>
      </c>
      <c r="D1270" s="5" t="s">
        <v>43</v>
      </c>
      <c r="E1270" s="5" t="s">
        <v>51</v>
      </c>
      <c r="F1270" s="5" t="s">
        <v>38</v>
      </c>
      <c r="G1270" s="5" t="s">
        <v>25</v>
      </c>
      <c r="H1270" s="5">
        <v>181</v>
      </c>
      <c r="I1270" s="5">
        <v>9</v>
      </c>
      <c r="J1270" s="5" t="s">
        <v>18</v>
      </c>
      <c r="K1270" s="5" t="s">
        <v>27</v>
      </c>
      <c r="L1270" s="5" t="s">
        <v>40</v>
      </c>
      <c r="M1270" s="7" t="s">
        <v>41</v>
      </c>
      <c r="N1270" s="26">
        <f t="shared" si="114"/>
        <v>0</v>
      </c>
      <c r="O1270" s="42">
        <f t="shared" si="115"/>
        <v>45171</v>
      </c>
      <c r="P1270" s="5" t="str">
        <f t="shared" si="116"/>
        <v>Saturday</v>
      </c>
      <c r="Q1270" s="5">
        <f t="shared" si="117"/>
        <v>15</v>
      </c>
      <c r="R1270" s="28">
        <f t="shared" si="118"/>
        <v>0.95263157894736838</v>
      </c>
      <c r="S1270" s="29">
        <f t="shared" si="119"/>
        <v>95.263157894736835</v>
      </c>
      <c r="T1270" s="5" t="str">
        <f>IF(Delivery_Data[[#This Row],[Delays (min)]]&gt;0,"No","Yes")</f>
        <v>No</v>
      </c>
    </row>
    <row r="1271" spans="1:20" ht="15.75" customHeight="1" x14ac:dyDescent="0.3">
      <c r="A1271" s="4">
        <v>2270</v>
      </c>
      <c r="B1271" s="5" t="s">
        <v>1370</v>
      </c>
      <c r="C1271" s="6">
        <v>45175.6875</v>
      </c>
      <c r="D1271" s="5" t="s">
        <v>43</v>
      </c>
      <c r="E1271" s="5" t="s">
        <v>68</v>
      </c>
      <c r="F1271" s="5" t="s">
        <v>38</v>
      </c>
      <c r="G1271" s="5" t="s">
        <v>25</v>
      </c>
      <c r="H1271" s="5">
        <v>226</v>
      </c>
      <c r="I1271" s="5">
        <v>15</v>
      </c>
      <c r="J1271" s="5" t="s">
        <v>18</v>
      </c>
      <c r="K1271" s="5" t="s">
        <v>45</v>
      </c>
      <c r="L1271" s="5" t="s">
        <v>28</v>
      </c>
      <c r="M1271" s="7" t="s">
        <v>46</v>
      </c>
      <c r="N1271" s="26">
        <f t="shared" si="114"/>
        <v>0</v>
      </c>
      <c r="O1271" s="42">
        <f t="shared" si="115"/>
        <v>45175</v>
      </c>
      <c r="P1271" s="5" t="str">
        <f t="shared" si="116"/>
        <v>Wednesday</v>
      </c>
      <c r="Q1271" s="5">
        <f t="shared" si="117"/>
        <v>16</v>
      </c>
      <c r="R1271" s="28">
        <f t="shared" si="118"/>
        <v>0.93775933609958506</v>
      </c>
      <c r="S1271" s="29">
        <f t="shared" si="119"/>
        <v>93.7759336099585</v>
      </c>
      <c r="T1271" s="5" t="str">
        <f>IF(Delivery_Data[[#This Row],[Delays (min)]]&gt;0,"No","Yes")</f>
        <v>No</v>
      </c>
    </row>
    <row r="1272" spans="1:20" ht="15.75" customHeight="1" x14ac:dyDescent="0.3">
      <c r="A1272" s="4">
        <v>2271</v>
      </c>
      <c r="B1272" s="5" t="s">
        <v>1371</v>
      </c>
      <c r="C1272" s="6">
        <v>45177.350694444445</v>
      </c>
      <c r="D1272" s="5" t="s">
        <v>14</v>
      </c>
      <c r="E1272" s="5" t="s">
        <v>48</v>
      </c>
      <c r="F1272" s="5" t="s">
        <v>16</v>
      </c>
      <c r="G1272" s="5" t="s">
        <v>56</v>
      </c>
      <c r="H1272" s="5">
        <v>197</v>
      </c>
      <c r="I1272" s="5">
        <v>9</v>
      </c>
      <c r="J1272" s="5" t="s">
        <v>26</v>
      </c>
      <c r="K1272" s="5" t="s">
        <v>49</v>
      </c>
      <c r="L1272" s="5" t="s">
        <v>28</v>
      </c>
      <c r="M1272" s="7" t="s">
        <v>46</v>
      </c>
      <c r="N1272" s="26">
        <f t="shared" si="114"/>
        <v>1</v>
      </c>
      <c r="O1272" s="42">
        <f t="shared" si="115"/>
        <v>45177</v>
      </c>
      <c r="P1272" s="5" t="str">
        <f t="shared" si="116"/>
        <v>Friday</v>
      </c>
      <c r="Q1272" s="5">
        <f t="shared" si="117"/>
        <v>8</v>
      </c>
      <c r="R1272" s="28">
        <f t="shared" si="118"/>
        <v>0.9563106796116505</v>
      </c>
      <c r="S1272" s="29">
        <f t="shared" si="119"/>
        <v>95.631067961165044</v>
      </c>
      <c r="T1272" s="5" t="str">
        <f>IF(Delivery_Data[[#This Row],[Delays (min)]]&gt;0,"No","Yes")</f>
        <v>No</v>
      </c>
    </row>
    <row r="1273" spans="1:20" ht="15.75" customHeight="1" x14ac:dyDescent="0.3">
      <c r="A1273" s="4">
        <v>2272</v>
      </c>
      <c r="B1273" s="5" t="s">
        <v>1372</v>
      </c>
      <c r="C1273" s="6">
        <v>45171.64166666667</v>
      </c>
      <c r="D1273" s="5" t="s">
        <v>43</v>
      </c>
      <c r="E1273" s="5" t="s">
        <v>109</v>
      </c>
      <c r="F1273" s="5" t="s">
        <v>24</v>
      </c>
      <c r="G1273" s="5" t="s">
        <v>17</v>
      </c>
      <c r="H1273" s="5">
        <v>238</v>
      </c>
      <c r="I1273" s="5">
        <v>21</v>
      </c>
      <c r="J1273" s="5" t="s">
        <v>32</v>
      </c>
      <c r="K1273" s="5" t="s">
        <v>27</v>
      </c>
      <c r="L1273" s="5" t="s">
        <v>20</v>
      </c>
      <c r="M1273" s="7" t="s">
        <v>21</v>
      </c>
      <c r="N1273" s="26">
        <f t="shared" si="114"/>
        <v>-1</v>
      </c>
      <c r="O1273" s="42">
        <f t="shared" si="115"/>
        <v>45171</v>
      </c>
      <c r="P1273" s="5" t="str">
        <f t="shared" si="116"/>
        <v>Saturday</v>
      </c>
      <c r="Q1273" s="5">
        <f t="shared" si="117"/>
        <v>15</v>
      </c>
      <c r="R1273" s="28">
        <f t="shared" si="118"/>
        <v>0.91891891891891897</v>
      </c>
      <c r="S1273" s="29">
        <f t="shared" si="119"/>
        <v>91.891891891891902</v>
      </c>
      <c r="T1273" s="5" t="str">
        <f>IF(Delivery_Data[[#This Row],[Delays (min)]]&gt;0,"No","Yes")</f>
        <v>No</v>
      </c>
    </row>
    <row r="1274" spans="1:20" ht="15.75" customHeight="1" x14ac:dyDescent="0.3">
      <c r="A1274" s="4">
        <v>2273</v>
      </c>
      <c r="B1274" s="5" t="s">
        <v>1373</v>
      </c>
      <c r="C1274" s="6">
        <v>45175.352083333331</v>
      </c>
      <c r="D1274" s="5" t="s">
        <v>43</v>
      </c>
      <c r="E1274" s="5" t="s">
        <v>30</v>
      </c>
      <c r="F1274" s="5" t="s">
        <v>24</v>
      </c>
      <c r="G1274" s="5" t="s">
        <v>17</v>
      </c>
      <c r="H1274" s="5">
        <v>166</v>
      </c>
      <c r="I1274" s="5">
        <v>11</v>
      </c>
      <c r="J1274" s="5" t="s">
        <v>18</v>
      </c>
      <c r="K1274" s="5" t="s">
        <v>19</v>
      </c>
      <c r="L1274" s="5" t="s">
        <v>20</v>
      </c>
      <c r="M1274" s="7" t="s">
        <v>21</v>
      </c>
      <c r="N1274" s="26">
        <f t="shared" si="114"/>
        <v>0</v>
      </c>
      <c r="O1274" s="42">
        <f t="shared" si="115"/>
        <v>45175</v>
      </c>
      <c r="P1274" s="5" t="str">
        <f t="shared" si="116"/>
        <v>Wednesday</v>
      </c>
      <c r="Q1274" s="5">
        <f t="shared" si="117"/>
        <v>8</v>
      </c>
      <c r="R1274" s="28">
        <f t="shared" si="118"/>
        <v>0.93785310734463279</v>
      </c>
      <c r="S1274" s="29">
        <f t="shared" si="119"/>
        <v>93.78531073446328</v>
      </c>
      <c r="T1274" s="5" t="str">
        <f>IF(Delivery_Data[[#This Row],[Delays (min)]]&gt;0,"No","Yes")</f>
        <v>No</v>
      </c>
    </row>
    <row r="1275" spans="1:20" ht="15.75" customHeight="1" x14ac:dyDescent="0.3">
      <c r="A1275" s="4">
        <v>2274</v>
      </c>
      <c r="B1275" s="5" t="s">
        <v>1374</v>
      </c>
      <c r="C1275" s="6">
        <v>45171.416666666664</v>
      </c>
      <c r="D1275" s="5" t="s">
        <v>43</v>
      </c>
      <c r="E1275" s="5" t="s">
        <v>277</v>
      </c>
      <c r="F1275" s="5" t="s">
        <v>38</v>
      </c>
      <c r="G1275" s="5" t="s">
        <v>31</v>
      </c>
      <c r="H1275" s="5">
        <v>168</v>
      </c>
      <c r="I1275" s="5">
        <v>29</v>
      </c>
      <c r="J1275" s="5" t="s">
        <v>32</v>
      </c>
      <c r="K1275" s="5" t="s">
        <v>49</v>
      </c>
      <c r="L1275" s="5" t="s">
        <v>40</v>
      </c>
      <c r="M1275" s="7" t="s">
        <v>41</v>
      </c>
      <c r="N1275" s="26">
        <f t="shared" si="114"/>
        <v>-1</v>
      </c>
      <c r="O1275" s="42">
        <f t="shared" si="115"/>
        <v>45171</v>
      </c>
      <c r="P1275" s="5" t="str">
        <f t="shared" si="116"/>
        <v>Saturday</v>
      </c>
      <c r="Q1275" s="5">
        <f t="shared" si="117"/>
        <v>10</v>
      </c>
      <c r="R1275" s="28">
        <f t="shared" si="118"/>
        <v>0.85279187817258884</v>
      </c>
      <c r="S1275" s="29">
        <f t="shared" si="119"/>
        <v>85.279187817258887</v>
      </c>
      <c r="T1275" s="5" t="str">
        <f>IF(Delivery_Data[[#This Row],[Delays (min)]]&gt;0,"No","Yes")</f>
        <v>No</v>
      </c>
    </row>
    <row r="1276" spans="1:20" ht="15.75" customHeight="1" x14ac:dyDescent="0.3">
      <c r="A1276" s="4">
        <v>2275</v>
      </c>
      <c r="B1276" s="5" t="s">
        <v>1375</v>
      </c>
      <c r="C1276" s="6">
        <v>45171.510416666664</v>
      </c>
      <c r="D1276" s="5" t="s">
        <v>14</v>
      </c>
      <c r="E1276" s="5" t="s">
        <v>130</v>
      </c>
      <c r="F1276" s="5" t="s">
        <v>16</v>
      </c>
      <c r="G1276" s="5" t="s">
        <v>39</v>
      </c>
      <c r="H1276" s="5">
        <v>178</v>
      </c>
      <c r="I1276" s="5">
        <v>29</v>
      </c>
      <c r="J1276" s="5" t="s">
        <v>26</v>
      </c>
      <c r="K1276" s="5" t="s">
        <v>49</v>
      </c>
      <c r="L1276" s="5" t="s">
        <v>40</v>
      </c>
      <c r="M1276" s="7" t="s">
        <v>21</v>
      </c>
      <c r="N1276" s="26">
        <f t="shared" si="114"/>
        <v>1</v>
      </c>
      <c r="O1276" s="42">
        <f t="shared" si="115"/>
        <v>45171</v>
      </c>
      <c r="P1276" s="5" t="str">
        <f t="shared" si="116"/>
        <v>Saturday</v>
      </c>
      <c r="Q1276" s="5">
        <f t="shared" si="117"/>
        <v>12</v>
      </c>
      <c r="R1276" s="28">
        <f t="shared" si="118"/>
        <v>0.85990338164251212</v>
      </c>
      <c r="S1276" s="29">
        <f t="shared" si="119"/>
        <v>85.990338164251213</v>
      </c>
      <c r="T1276" s="5" t="str">
        <f>IF(Delivery_Data[[#This Row],[Delays (min)]]&gt;0,"No","Yes")</f>
        <v>No</v>
      </c>
    </row>
    <row r="1277" spans="1:20" ht="15.75" customHeight="1" x14ac:dyDescent="0.3">
      <c r="A1277" s="4">
        <v>2276</v>
      </c>
      <c r="B1277" s="5" t="s">
        <v>1376</v>
      </c>
      <c r="C1277" s="6">
        <v>45177.436805555553</v>
      </c>
      <c r="D1277" s="5" t="s">
        <v>43</v>
      </c>
      <c r="E1277" s="5" t="s">
        <v>91</v>
      </c>
      <c r="F1277" s="5" t="s">
        <v>38</v>
      </c>
      <c r="G1277" s="5" t="s">
        <v>56</v>
      </c>
      <c r="H1277" s="5">
        <v>97</v>
      </c>
      <c r="I1277" s="5">
        <v>22</v>
      </c>
      <c r="J1277" s="5" t="s">
        <v>32</v>
      </c>
      <c r="K1277" s="5" t="s">
        <v>49</v>
      </c>
      <c r="L1277" s="5" t="s">
        <v>40</v>
      </c>
      <c r="M1277" s="7" t="s">
        <v>21</v>
      </c>
      <c r="N1277" s="26">
        <f t="shared" si="114"/>
        <v>-1</v>
      </c>
      <c r="O1277" s="42">
        <f t="shared" si="115"/>
        <v>45177</v>
      </c>
      <c r="P1277" s="5" t="str">
        <f t="shared" si="116"/>
        <v>Friday</v>
      </c>
      <c r="Q1277" s="5">
        <f t="shared" si="117"/>
        <v>10</v>
      </c>
      <c r="R1277" s="28">
        <f t="shared" si="118"/>
        <v>0.81512605042016806</v>
      </c>
      <c r="S1277" s="29">
        <f t="shared" si="119"/>
        <v>81.512605042016801</v>
      </c>
      <c r="T1277" s="5" t="str">
        <f>IF(Delivery_Data[[#This Row],[Delays (min)]]&gt;0,"No","Yes")</f>
        <v>No</v>
      </c>
    </row>
    <row r="1278" spans="1:20" ht="15.75" customHeight="1" x14ac:dyDescent="0.3">
      <c r="A1278" s="4">
        <v>2277</v>
      </c>
      <c r="B1278" s="5" t="s">
        <v>1377</v>
      </c>
      <c r="C1278" s="6">
        <v>45177.588194444441</v>
      </c>
      <c r="D1278" s="5" t="s">
        <v>43</v>
      </c>
      <c r="E1278" s="5" t="s">
        <v>220</v>
      </c>
      <c r="F1278" s="5" t="s">
        <v>38</v>
      </c>
      <c r="G1278" s="5" t="s">
        <v>17</v>
      </c>
      <c r="H1278" s="5">
        <v>184</v>
      </c>
      <c r="I1278" s="5">
        <v>22</v>
      </c>
      <c r="J1278" s="5" t="s">
        <v>32</v>
      </c>
      <c r="K1278" s="5" t="s">
        <v>27</v>
      </c>
      <c r="L1278" s="5" t="s">
        <v>28</v>
      </c>
      <c r="M1278" s="7" t="s">
        <v>46</v>
      </c>
      <c r="N1278" s="26">
        <f t="shared" si="114"/>
        <v>-1</v>
      </c>
      <c r="O1278" s="42">
        <f t="shared" si="115"/>
        <v>45177</v>
      </c>
      <c r="P1278" s="5" t="str">
        <f t="shared" si="116"/>
        <v>Friday</v>
      </c>
      <c r="Q1278" s="5">
        <f t="shared" si="117"/>
        <v>14</v>
      </c>
      <c r="R1278" s="28">
        <f t="shared" si="118"/>
        <v>0.89320388349514568</v>
      </c>
      <c r="S1278" s="29">
        <f t="shared" si="119"/>
        <v>89.320388349514573</v>
      </c>
      <c r="T1278" s="5" t="str">
        <f>IF(Delivery_Data[[#This Row],[Delays (min)]]&gt;0,"No","Yes")</f>
        <v>No</v>
      </c>
    </row>
    <row r="1279" spans="1:20" ht="15.75" customHeight="1" x14ac:dyDescent="0.3">
      <c r="A1279" s="4">
        <v>2278</v>
      </c>
      <c r="B1279" s="5" t="s">
        <v>1378</v>
      </c>
      <c r="C1279" s="6">
        <v>45171.697222222225</v>
      </c>
      <c r="D1279" s="5" t="s">
        <v>14</v>
      </c>
      <c r="E1279" s="5" t="s">
        <v>182</v>
      </c>
      <c r="F1279" s="5" t="s">
        <v>24</v>
      </c>
      <c r="G1279" s="5" t="s">
        <v>31</v>
      </c>
      <c r="H1279" s="5">
        <v>234</v>
      </c>
      <c r="I1279" s="5">
        <v>6</v>
      </c>
      <c r="J1279" s="5" t="s">
        <v>18</v>
      </c>
      <c r="K1279" s="5" t="s">
        <v>45</v>
      </c>
      <c r="L1279" s="5" t="s">
        <v>40</v>
      </c>
      <c r="M1279" s="7" t="s">
        <v>46</v>
      </c>
      <c r="N1279" s="26">
        <f t="shared" si="114"/>
        <v>0</v>
      </c>
      <c r="O1279" s="42">
        <f t="shared" si="115"/>
        <v>45171</v>
      </c>
      <c r="P1279" s="5" t="str">
        <f t="shared" si="116"/>
        <v>Saturday</v>
      </c>
      <c r="Q1279" s="5">
        <f t="shared" si="117"/>
        <v>16</v>
      </c>
      <c r="R1279" s="28">
        <f t="shared" si="118"/>
        <v>0.97499999999999998</v>
      </c>
      <c r="S1279" s="29">
        <f t="shared" si="119"/>
        <v>97.5</v>
      </c>
      <c r="T1279" s="5" t="str">
        <f>IF(Delivery_Data[[#This Row],[Delays (min)]]&gt;0,"No","Yes")</f>
        <v>No</v>
      </c>
    </row>
    <row r="1280" spans="1:20" ht="15.75" customHeight="1" x14ac:dyDescent="0.3">
      <c r="A1280" s="4">
        <v>2279</v>
      </c>
      <c r="B1280" s="5" t="s">
        <v>1379</v>
      </c>
      <c r="C1280" s="6">
        <v>45176.567361111112</v>
      </c>
      <c r="D1280" s="5" t="s">
        <v>43</v>
      </c>
      <c r="E1280" s="5" t="s">
        <v>154</v>
      </c>
      <c r="F1280" s="5" t="s">
        <v>16</v>
      </c>
      <c r="G1280" s="5" t="s">
        <v>56</v>
      </c>
      <c r="H1280" s="5">
        <v>233</v>
      </c>
      <c r="I1280" s="5">
        <v>3</v>
      </c>
      <c r="J1280" s="5" t="s">
        <v>18</v>
      </c>
      <c r="K1280" s="5" t="s">
        <v>45</v>
      </c>
      <c r="L1280" s="5" t="s">
        <v>40</v>
      </c>
      <c r="M1280" s="7" t="s">
        <v>41</v>
      </c>
      <c r="N1280" s="26">
        <f t="shared" si="114"/>
        <v>0</v>
      </c>
      <c r="O1280" s="42">
        <f t="shared" si="115"/>
        <v>45176</v>
      </c>
      <c r="P1280" s="5" t="str">
        <f t="shared" si="116"/>
        <v>Thursday</v>
      </c>
      <c r="Q1280" s="5">
        <f t="shared" si="117"/>
        <v>13</v>
      </c>
      <c r="R1280" s="28">
        <f t="shared" si="118"/>
        <v>0.98728813559322037</v>
      </c>
      <c r="S1280" s="29">
        <f t="shared" si="119"/>
        <v>98.728813559322035</v>
      </c>
      <c r="T1280" s="5" t="str">
        <f>IF(Delivery_Data[[#This Row],[Delays (min)]]&gt;0,"No","Yes")</f>
        <v>No</v>
      </c>
    </row>
    <row r="1281" spans="1:20" ht="15.75" customHeight="1" x14ac:dyDescent="0.3">
      <c r="A1281" s="4">
        <v>2280</v>
      </c>
      <c r="B1281" s="5" t="s">
        <v>1380</v>
      </c>
      <c r="C1281" s="6">
        <v>45173.695138888892</v>
      </c>
      <c r="D1281" s="5" t="s">
        <v>43</v>
      </c>
      <c r="E1281" s="5" t="s">
        <v>89</v>
      </c>
      <c r="F1281" s="5" t="s">
        <v>38</v>
      </c>
      <c r="G1281" s="5" t="s">
        <v>25</v>
      </c>
      <c r="H1281" s="5">
        <v>163</v>
      </c>
      <c r="I1281" s="5">
        <v>19</v>
      </c>
      <c r="J1281" s="5" t="s">
        <v>32</v>
      </c>
      <c r="K1281" s="5" t="s">
        <v>19</v>
      </c>
      <c r="L1281" s="5" t="s">
        <v>20</v>
      </c>
      <c r="M1281" s="7" t="s">
        <v>21</v>
      </c>
      <c r="N1281" s="26">
        <f t="shared" si="114"/>
        <v>-1</v>
      </c>
      <c r="O1281" s="42">
        <f t="shared" si="115"/>
        <v>45173</v>
      </c>
      <c r="P1281" s="5" t="str">
        <f t="shared" si="116"/>
        <v>Monday</v>
      </c>
      <c r="Q1281" s="5">
        <f t="shared" si="117"/>
        <v>16</v>
      </c>
      <c r="R1281" s="28">
        <f t="shared" si="118"/>
        <v>0.89560439560439564</v>
      </c>
      <c r="S1281" s="29">
        <f t="shared" si="119"/>
        <v>89.560439560439562</v>
      </c>
      <c r="T1281" s="5" t="str">
        <f>IF(Delivery_Data[[#This Row],[Delays (min)]]&gt;0,"No","Yes")</f>
        <v>No</v>
      </c>
    </row>
    <row r="1282" spans="1:20" ht="15.75" customHeight="1" x14ac:dyDescent="0.3">
      <c r="A1282" s="4">
        <v>2281</v>
      </c>
      <c r="B1282" s="5" t="s">
        <v>1381</v>
      </c>
      <c r="C1282" s="6">
        <v>45174.697222222225</v>
      </c>
      <c r="D1282" s="5" t="s">
        <v>43</v>
      </c>
      <c r="E1282" s="5" t="s">
        <v>103</v>
      </c>
      <c r="F1282" s="5" t="s">
        <v>24</v>
      </c>
      <c r="G1282" s="5" t="s">
        <v>17</v>
      </c>
      <c r="H1282" s="5">
        <v>159</v>
      </c>
      <c r="I1282" s="5">
        <v>24</v>
      </c>
      <c r="J1282" s="5" t="s">
        <v>32</v>
      </c>
      <c r="K1282" s="5" t="s">
        <v>27</v>
      </c>
      <c r="L1282" s="5" t="s">
        <v>20</v>
      </c>
      <c r="M1282" s="7" t="s">
        <v>41</v>
      </c>
      <c r="N1282" s="26">
        <f t="shared" ref="N1282:N1345" si="120">IF(J1282="Positive",1,IF(J1282="Neutral",0,IF(J1282="Negative",-1,"")))</f>
        <v>-1</v>
      </c>
      <c r="O1282" s="42">
        <f t="shared" ref="O1282:O1345" si="121">INT(C1282)</f>
        <v>45174</v>
      </c>
      <c r="P1282" s="5" t="str">
        <f t="shared" ref="P1282:P1345" si="122">TEXT(C1282,"dddd")</f>
        <v>Tuesday</v>
      </c>
      <c r="Q1282" s="5">
        <f t="shared" ref="Q1282:Q1345" si="123">HOUR(C1282)</f>
        <v>16</v>
      </c>
      <c r="R1282" s="28">
        <f t="shared" ref="R1282:R1345" si="124">H1282/(H1282+I1282)</f>
        <v>0.86885245901639341</v>
      </c>
      <c r="S1282" s="29">
        <f t="shared" si="119"/>
        <v>86.885245901639337</v>
      </c>
      <c r="T1282" s="5" t="str">
        <f>IF(Delivery_Data[[#This Row],[Delays (min)]]&gt;0,"No","Yes")</f>
        <v>No</v>
      </c>
    </row>
    <row r="1283" spans="1:20" ht="15.75" customHeight="1" x14ac:dyDescent="0.3">
      <c r="A1283" s="4">
        <v>2282</v>
      </c>
      <c r="B1283" s="5" t="s">
        <v>1382</v>
      </c>
      <c r="C1283" s="6">
        <v>45177.570833333331</v>
      </c>
      <c r="D1283" s="5" t="s">
        <v>43</v>
      </c>
      <c r="E1283" s="5" t="s">
        <v>270</v>
      </c>
      <c r="F1283" s="5" t="s">
        <v>38</v>
      </c>
      <c r="G1283" s="5" t="s">
        <v>17</v>
      </c>
      <c r="H1283" s="5">
        <v>144</v>
      </c>
      <c r="I1283" s="5">
        <v>19</v>
      </c>
      <c r="J1283" s="5" t="s">
        <v>26</v>
      </c>
      <c r="K1283" s="5" t="s">
        <v>19</v>
      </c>
      <c r="L1283" s="5" t="s">
        <v>40</v>
      </c>
      <c r="M1283" s="7" t="s">
        <v>41</v>
      </c>
      <c r="N1283" s="26">
        <f t="shared" si="120"/>
        <v>1</v>
      </c>
      <c r="O1283" s="42">
        <f t="shared" si="121"/>
        <v>45177</v>
      </c>
      <c r="P1283" s="5" t="str">
        <f t="shared" si="122"/>
        <v>Friday</v>
      </c>
      <c r="Q1283" s="5">
        <f t="shared" si="123"/>
        <v>13</v>
      </c>
      <c r="R1283" s="28">
        <f t="shared" si="124"/>
        <v>0.8834355828220859</v>
      </c>
      <c r="S1283" s="29">
        <f t="shared" ref="S1283:S1346" si="125">IF(H1283+I1283=0,0,(H1283/(H1283+I1283))*100) + (IFERROR(--J1283,0)*10)</f>
        <v>88.343558282208591</v>
      </c>
      <c r="T1283" s="5" t="str">
        <f>IF(Delivery_Data[[#This Row],[Delays (min)]]&gt;0,"No","Yes")</f>
        <v>No</v>
      </c>
    </row>
    <row r="1284" spans="1:20" ht="15.75" customHeight="1" x14ac:dyDescent="0.3">
      <c r="A1284" s="4">
        <v>2283</v>
      </c>
      <c r="B1284" s="5" t="s">
        <v>1383</v>
      </c>
      <c r="C1284" s="6">
        <v>45170.449305555558</v>
      </c>
      <c r="D1284" s="5" t="s">
        <v>43</v>
      </c>
      <c r="E1284" s="5" t="s">
        <v>171</v>
      </c>
      <c r="F1284" s="5" t="s">
        <v>24</v>
      </c>
      <c r="G1284" s="5" t="s">
        <v>17</v>
      </c>
      <c r="H1284" s="5">
        <v>105</v>
      </c>
      <c r="I1284" s="5">
        <v>10</v>
      </c>
      <c r="J1284" s="5" t="s">
        <v>32</v>
      </c>
      <c r="K1284" s="5" t="s">
        <v>45</v>
      </c>
      <c r="L1284" s="5" t="s">
        <v>40</v>
      </c>
      <c r="M1284" s="7" t="s">
        <v>41</v>
      </c>
      <c r="N1284" s="26">
        <f t="shared" si="120"/>
        <v>-1</v>
      </c>
      <c r="O1284" s="42">
        <f t="shared" si="121"/>
        <v>45170</v>
      </c>
      <c r="P1284" s="5" t="str">
        <f t="shared" si="122"/>
        <v>Friday</v>
      </c>
      <c r="Q1284" s="5">
        <f t="shared" si="123"/>
        <v>10</v>
      </c>
      <c r="R1284" s="28">
        <f t="shared" si="124"/>
        <v>0.91304347826086951</v>
      </c>
      <c r="S1284" s="29">
        <f t="shared" si="125"/>
        <v>91.304347826086953</v>
      </c>
      <c r="T1284" s="5" t="str">
        <f>IF(Delivery_Data[[#This Row],[Delays (min)]]&gt;0,"No","Yes")</f>
        <v>No</v>
      </c>
    </row>
    <row r="1285" spans="1:20" ht="15.75" customHeight="1" x14ac:dyDescent="0.3">
      <c r="A1285" s="4">
        <v>2284</v>
      </c>
      <c r="B1285" s="5" t="s">
        <v>1384</v>
      </c>
      <c r="C1285" s="6">
        <v>45176.447222222225</v>
      </c>
      <c r="D1285" s="5" t="s">
        <v>14</v>
      </c>
      <c r="E1285" s="5" t="s">
        <v>126</v>
      </c>
      <c r="F1285" s="5" t="s">
        <v>16</v>
      </c>
      <c r="G1285" s="5" t="s">
        <v>31</v>
      </c>
      <c r="H1285" s="5">
        <v>94</v>
      </c>
      <c r="I1285" s="5">
        <v>13</v>
      </c>
      <c r="J1285" s="5" t="s">
        <v>18</v>
      </c>
      <c r="K1285" s="5" t="s">
        <v>27</v>
      </c>
      <c r="L1285" s="5" t="s">
        <v>40</v>
      </c>
      <c r="M1285" s="7" t="s">
        <v>41</v>
      </c>
      <c r="N1285" s="26">
        <f t="shared" si="120"/>
        <v>0</v>
      </c>
      <c r="O1285" s="42">
        <f t="shared" si="121"/>
        <v>45176</v>
      </c>
      <c r="P1285" s="5" t="str">
        <f t="shared" si="122"/>
        <v>Thursday</v>
      </c>
      <c r="Q1285" s="5">
        <f t="shared" si="123"/>
        <v>10</v>
      </c>
      <c r="R1285" s="28">
        <f t="shared" si="124"/>
        <v>0.87850467289719625</v>
      </c>
      <c r="S1285" s="29">
        <f t="shared" si="125"/>
        <v>87.850467289719631</v>
      </c>
      <c r="T1285" s="5" t="str">
        <f>IF(Delivery_Data[[#This Row],[Delays (min)]]&gt;0,"No","Yes")</f>
        <v>No</v>
      </c>
    </row>
    <row r="1286" spans="1:20" ht="15.75" customHeight="1" x14ac:dyDescent="0.3">
      <c r="A1286" s="4">
        <v>2285</v>
      </c>
      <c r="B1286" s="5" t="s">
        <v>1385</v>
      </c>
      <c r="C1286" s="6">
        <v>45176.599305555559</v>
      </c>
      <c r="D1286" s="5" t="s">
        <v>14</v>
      </c>
      <c r="E1286" s="5" t="s">
        <v>277</v>
      </c>
      <c r="F1286" s="5" t="s">
        <v>38</v>
      </c>
      <c r="G1286" s="5" t="s">
        <v>39</v>
      </c>
      <c r="H1286" s="5">
        <v>111</v>
      </c>
      <c r="I1286" s="5">
        <v>0</v>
      </c>
      <c r="J1286" s="5" t="s">
        <v>26</v>
      </c>
      <c r="K1286" s="5" t="s">
        <v>19</v>
      </c>
      <c r="L1286" s="5" t="s">
        <v>40</v>
      </c>
      <c r="M1286" s="7" t="s">
        <v>46</v>
      </c>
      <c r="N1286" s="26">
        <f t="shared" si="120"/>
        <v>1</v>
      </c>
      <c r="O1286" s="42">
        <f t="shared" si="121"/>
        <v>45176</v>
      </c>
      <c r="P1286" s="5" t="str">
        <f t="shared" si="122"/>
        <v>Thursday</v>
      </c>
      <c r="Q1286" s="5">
        <f t="shared" si="123"/>
        <v>14</v>
      </c>
      <c r="R1286" s="28">
        <f t="shared" si="124"/>
        <v>1</v>
      </c>
      <c r="S1286" s="29">
        <f t="shared" si="125"/>
        <v>100</v>
      </c>
      <c r="T1286" s="5" t="str">
        <f>IF(Delivery_Data[[#This Row],[Delays (min)]]&gt;0,"No","Yes")</f>
        <v>Yes</v>
      </c>
    </row>
    <row r="1287" spans="1:20" ht="15.75" customHeight="1" x14ac:dyDescent="0.3">
      <c r="A1287" s="4">
        <v>2286</v>
      </c>
      <c r="B1287" s="5" t="s">
        <v>1386</v>
      </c>
      <c r="C1287" s="6">
        <v>45172.683333333334</v>
      </c>
      <c r="D1287" s="5" t="s">
        <v>14</v>
      </c>
      <c r="E1287" s="5" t="s">
        <v>34</v>
      </c>
      <c r="F1287" s="5" t="s">
        <v>24</v>
      </c>
      <c r="G1287" s="5" t="s">
        <v>31</v>
      </c>
      <c r="H1287" s="5">
        <v>105</v>
      </c>
      <c r="I1287" s="5">
        <v>20</v>
      </c>
      <c r="J1287" s="5" t="s">
        <v>18</v>
      </c>
      <c r="K1287" s="5" t="s">
        <v>45</v>
      </c>
      <c r="L1287" s="5" t="s">
        <v>20</v>
      </c>
      <c r="M1287" s="7" t="s">
        <v>21</v>
      </c>
      <c r="N1287" s="26">
        <f t="shared" si="120"/>
        <v>0</v>
      </c>
      <c r="O1287" s="42">
        <f t="shared" si="121"/>
        <v>45172</v>
      </c>
      <c r="P1287" s="5" t="str">
        <f t="shared" si="122"/>
        <v>Sunday</v>
      </c>
      <c r="Q1287" s="5">
        <f t="shared" si="123"/>
        <v>16</v>
      </c>
      <c r="R1287" s="28">
        <f t="shared" si="124"/>
        <v>0.84</v>
      </c>
      <c r="S1287" s="29">
        <f t="shared" si="125"/>
        <v>84</v>
      </c>
      <c r="T1287" s="5" t="str">
        <f>IF(Delivery_Data[[#This Row],[Delays (min)]]&gt;0,"No","Yes")</f>
        <v>No</v>
      </c>
    </row>
    <row r="1288" spans="1:20" ht="15.75" customHeight="1" x14ac:dyDescent="0.3">
      <c r="A1288" s="4">
        <v>2287</v>
      </c>
      <c r="B1288" s="5" t="s">
        <v>1387</v>
      </c>
      <c r="C1288" s="6">
        <v>45171.566666666666</v>
      </c>
      <c r="D1288" s="5" t="s">
        <v>14</v>
      </c>
      <c r="E1288" s="5" t="s">
        <v>64</v>
      </c>
      <c r="F1288" s="5" t="s">
        <v>24</v>
      </c>
      <c r="G1288" s="5" t="s">
        <v>39</v>
      </c>
      <c r="H1288" s="5">
        <v>77</v>
      </c>
      <c r="I1288" s="5">
        <v>22</v>
      </c>
      <c r="J1288" s="5" t="s">
        <v>32</v>
      </c>
      <c r="K1288" s="5" t="s">
        <v>49</v>
      </c>
      <c r="L1288" s="5" t="s">
        <v>40</v>
      </c>
      <c r="M1288" s="7" t="s">
        <v>21</v>
      </c>
      <c r="N1288" s="26">
        <f t="shared" si="120"/>
        <v>-1</v>
      </c>
      <c r="O1288" s="42">
        <f t="shared" si="121"/>
        <v>45171</v>
      </c>
      <c r="P1288" s="5" t="str">
        <f t="shared" si="122"/>
        <v>Saturday</v>
      </c>
      <c r="Q1288" s="5">
        <f t="shared" si="123"/>
        <v>13</v>
      </c>
      <c r="R1288" s="28">
        <f t="shared" si="124"/>
        <v>0.77777777777777779</v>
      </c>
      <c r="S1288" s="29">
        <f t="shared" si="125"/>
        <v>77.777777777777786</v>
      </c>
      <c r="T1288" s="5" t="str">
        <f>IF(Delivery_Data[[#This Row],[Delays (min)]]&gt;0,"No","Yes")</f>
        <v>No</v>
      </c>
    </row>
    <row r="1289" spans="1:20" ht="15.75" customHeight="1" x14ac:dyDescent="0.3">
      <c r="A1289" s="4">
        <v>2288</v>
      </c>
      <c r="B1289" s="5" t="s">
        <v>1388</v>
      </c>
      <c r="C1289" s="6">
        <v>45177.430555555555</v>
      </c>
      <c r="D1289" s="5" t="s">
        <v>43</v>
      </c>
      <c r="E1289" s="5" t="s">
        <v>197</v>
      </c>
      <c r="F1289" s="5" t="s">
        <v>38</v>
      </c>
      <c r="G1289" s="5" t="s">
        <v>56</v>
      </c>
      <c r="H1289" s="5">
        <v>230</v>
      </c>
      <c r="I1289" s="5">
        <v>5</v>
      </c>
      <c r="J1289" s="5" t="s">
        <v>26</v>
      </c>
      <c r="K1289" s="5" t="s">
        <v>49</v>
      </c>
      <c r="L1289" s="5" t="s">
        <v>40</v>
      </c>
      <c r="M1289" s="7" t="s">
        <v>46</v>
      </c>
      <c r="N1289" s="26">
        <f t="shared" si="120"/>
        <v>1</v>
      </c>
      <c r="O1289" s="42">
        <f t="shared" si="121"/>
        <v>45177</v>
      </c>
      <c r="P1289" s="5" t="str">
        <f t="shared" si="122"/>
        <v>Friday</v>
      </c>
      <c r="Q1289" s="5">
        <f t="shared" si="123"/>
        <v>10</v>
      </c>
      <c r="R1289" s="28">
        <f t="shared" si="124"/>
        <v>0.97872340425531912</v>
      </c>
      <c r="S1289" s="29">
        <f t="shared" si="125"/>
        <v>97.872340425531917</v>
      </c>
      <c r="T1289" s="5" t="str">
        <f>IF(Delivery_Data[[#This Row],[Delays (min)]]&gt;0,"No","Yes")</f>
        <v>No</v>
      </c>
    </row>
    <row r="1290" spans="1:20" ht="15.75" customHeight="1" x14ac:dyDescent="0.3">
      <c r="A1290" s="4">
        <v>2289</v>
      </c>
      <c r="B1290" s="5" t="s">
        <v>1389</v>
      </c>
      <c r="C1290" s="6">
        <v>45172.47152777778</v>
      </c>
      <c r="D1290" s="5" t="s">
        <v>43</v>
      </c>
      <c r="E1290" s="5" t="s">
        <v>76</v>
      </c>
      <c r="F1290" s="5" t="s">
        <v>16</v>
      </c>
      <c r="G1290" s="5" t="s">
        <v>56</v>
      </c>
      <c r="H1290" s="5">
        <v>170</v>
      </c>
      <c r="I1290" s="5">
        <v>24</v>
      </c>
      <c r="J1290" s="5" t="s">
        <v>18</v>
      </c>
      <c r="K1290" s="5" t="s">
        <v>49</v>
      </c>
      <c r="L1290" s="5" t="s">
        <v>40</v>
      </c>
      <c r="M1290" s="7" t="s">
        <v>46</v>
      </c>
      <c r="N1290" s="26">
        <f t="shared" si="120"/>
        <v>0</v>
      </c>
      <c r="O1290" s="42">
        <f t="shared" si="121"/>
        <v>45172</v>
      </c>
      <c r="P1290" s="5" t="str">
        <f t="shared" si="122"/>
        <v>Sunday</v>
      </c>
      <c r="Q1290" s="5">
        <f t="shared" si="123"/>
        <v>11</v>
      </c>
      <c r="R1290" s="28">
        <f t="shared" si="124"/>
        <v>0.87628865979381443</v>
      </c>
      <c r="S1290" s="29">
        <f t="shared" si="125"/>
        <v>87.628865979381445</v>
      </c>
      <c r="T1290" s="5" t="str">
        <f>IF(Delivery_Data[[#This Row],[Delays (min)]]&gt;0,"No","Yes")</f>
        <v>No</v>
      </c>
    </row>
    <row r="1291" spans="1:20" ht="15.75" customHeight="1" x14ac:dyDescent="0.3">
      <c r="A1291" s="4">
        <v>2290</v>
      </c>
      <c r="B1291" s="5" t="s">
        <v>1390</v>
      </c>
      <c r="C1291" s="6">
        <v>45173.555555555555</v>
      </c>
      <c r="D1291" s="5" t="s">
        <v>43</v>
      </c>
      <c r="E1291" s="5" t="s">
        <v>270</v>
      </c>
      <c r="F1291" s="5" t="s">
        <v>38</v>
      </c>
      <c r="G1291" s="5" t="s">
        <v>39</v>
      </c>
      <c r="H1291" s="5">
        <v>189</v>
      </c>
      <c r="I1291" s="5">
        <v>24</v>
      </c>
      <c r="J1291" s="5" t="s">
        <v>26</v>
      </c>
      <c r="K1291" s="5" t="s">
        <v>19</v>
      </c>
      <c r="L1291" s="5" t="s">
        <v>20</v>
      </c>
      <c r="M1291" s="7" t="s">
        <v>21</v>
      </c>
      <c r="N1291" s="26">
        <f t="shared" si="120"/>
        <v>1</v>
      </c>
      <c r="O1291" s="42">
        <f t="shared" si="121"/>
        <v>45173</v>
      </c>
      <c r="P1291" s="5" t="str">
        <f t="shared" si="122"/>
        <v>Monday</v>
      </c>
      <c r="Q1291" s="5">
        <f t="shared" si="123"/>
        <v>13</v>
      </c>
      <c r="R1291" s="28">
        <f t="shared" si="124"/>
        <v>0.88732394366197187</v>
      </c>
      <c r="S1291" s="29">
        <f t="shared" si="125"/>
        <v>88.732394366197184</v>
      </c>
      <c r="T1291" s="5" t="str">
        <f>IF(Delivery_Data[[#This Row],[Delays (min)]]&gt;0,"No","Yes")</f>
        <v>No</v>
      </c>
    </row>
    <row r="1292" spans="1:20" ht="15.75" customHeight="1" x14ac:dyDescent="0.3">
      <c r="A1292" s="4">
        <v>2291</v>
      </c>
      <c r="B1292" s="5" t="s">
        <v>1391</v>
      </c>
      <c r="C1292" s="6">
        <v>45176.529166666667</v>
      </c>
      <c r="D1292" s="5" t="s">
        <v>43</v>
      </c>
      <c r="E1292" s="5" t="s">
        <v>23</v>
      </c>
      <c r="F1292" s="5" t="s">
        <v>38</v>
      </c>
      <c r="G1292" s="5" t="s">
        <v>25</v>
      </c>
      <c r="H1292" s="5">
        <v>95</v>
      </c>
      <c r="I1292" s="5">
        <v>1</v>
      </c>
      <c r="J1292" s="5" t="s">
        <v>32</v>
      </c>
      <c r="K1292" s="5" t="s">
        <v>45</v>
      </c>
      <c r="L1292" s="5" t="s">
        <v>20</v>
      </c>
      <c r="M1292" s="7" t="s">
        <v>46</v>
      </c>
      <c r="N1292" s="26">
        <f t="shared" si="120"/>
        <v>-1</v>
      </c>
      <c r="O1292" s="42">
        <f t="shared" si="121"/>
        <v>45176</v>
      </c>
      <c r="P1292" s="5" t="str">
        <f t="shared" si="122"/>
        <v>Thursday</v>
      </c>
      <c r="Q1292" s="5">
        <f t="shared" si="123"/>
        <v>12</v>
      </c>
      <c r="R1292" s="28">
        <f t="shared" si="124"/>
        <v>0.98958333333333337</v>
      </c>
      <c r="S1292" s="29">
        <f t="shared" si="125"/>
        <v>98.958333333333343</v>
      </c>
      <c r="T1292" s="5" t="str">
        <f>IF(Delivery_Data[[#This Row],[Delays (min)]]&gt;0,"No","Yes")</f>
        <v>No</v>
      </c>
    </row>
    <row r="1293" spans="1:20" ht="15.75" customHeight="1" x14ac:dyDescent="0.3">
      <c r="A1293" s="4">
        <v>2292</v>
      </c>
      <c r="B1293" s="5" t="s">
        <v>1392</v>
      </c>
      <c r="C1293" s="6">
        <v>45177.366666666669</v>
      </c>
      <c r="D1293" s="5" t="s">
        <v>43</v>
      </c>
      <c r="E1293" s="5" t="s">
        <v>132</v>
      </c>
      <c r="F1293" s="5" t="s">
        <v>16</v>
      </c>
      <c r="G1293" s="5" t="s">
        <v>39</v>
      </c>
      <c r="H1293" s="5">
        <v>191</v>
      </c>
      <c r="I1293" s="5">
        <v>19</v>
      </c>
      <c r="J1293" s="5" t="s">
        <v>18</v>
      </c>
      <c r="K1293" s="5" t="s">
        <v>27</v>
      </c>
      <c r="L1293" s="5" t="s">
        <v>40</v>
      </c>
      <c r="M1293" s="7" t="s">
        <v>41</v>
      </c>
      <c r="N1293" s="26">
        <f t="shared" si="120"/>
        <v>0</v>
      </c>
      <c r="O1293" s="42">
        <f t="shared" si="121"/>
        <v>45177</v>
      </c>
      <c r="P1293" s="5" t="str">
        <f t="shared" si="122"/>
        <v>Friday</v>
      </c>
      <c r="Q1293" s="5">
        <f t="shared" si="123"/>
        <v>8</v>
      </c>
      <c r="R1293" s="28">
        <f t="shared" si="124"/>
        <v>0.90952380952380951</v>
      </c>
      <c r="S1293" s="29">
        <f t="shared" si="125"/>
        <v>90.952380952380949</v>
      </c>
      <c r="T1293" s="5" t="str">
        <f>IF(Delivery_Data[[#This Row],[Delays (min)]]&gt;0,"No","Yes")</f>
        <v>No</v>
      </c>
    </row>
    <row r="1294" spans="1:20" ht="15.75" customHeight="1" x14ac:dyDescent="0.3">
      <c r="A1294" s="4">
        <v>2293</v>
      </c>
      <c r="B1294" s="5" t="s">
        <v>1393</v>
      </c>
      <c r="C1294" s="6">
        <v>45172.538888888892</v>
      </c>
      <c r="D1294" s="5" t="s">
        <v>43</v>
      </c>
      <c r="E1294" s="5" t="s">
        <v>106</v>
      </c>
      <c r="F1294" s="5" t="s">
        <v>38</v>
      </c>
      <c r="G1294" s="5" t="s">
        <v>17</v>
      </c>
      <c r="H1294" s="5">
        <v>66</v>
      </c>
      <c r="I1294" s="5">
        <v>28</v>
      </c>
      <c r="J1294" s="5" t="s">
        <v>26</v>
      </c>
      <c r="K1294" s="5" t="s">
        <v>45</v>
      </c>
      <c r="L1294" s="5" t="s">
        <v>28</v>
      </c>
      <c r="M1294" s="7" t="s">
        <v>41</v>
      </c>
      <c r="N1294" s="26">
        <f t="shared" si="120"/>
        <v>1</v>
      </c>
      <c r="O1294" s="42">
        <f t="shared" si="121"/>
        <v>45172</v>
      </c>
      <c r="P1294" s="5" t="str">
        <f t="shared" si="122"/>
        <v>Sunday</v>
      </c>
      <c r="Q1294" s="5">
        <f t="shared" si="123"/>
        <v>12</v>
      </c>
      <c r="R1294" s="28">
        <f t="shared" si="124"/>
        <v>0.7021276595744681</v>
      </c>
      <c r="S1294" s="29">
        <f t="shared" si="125"/>
        <v>70.212765957446805</v>
      </c>
      <c r="T1294" s="5" t="str">
        <f>IF(Delivery_Data[[#This Row],[Delays (min)]]&gt;0,"No","Yes")</f>
        <v>No</v>
      </c>
    </row>
    <row r="1295" spans="1:20" ht="15.75" customHeight="1" x14ac:dyDescent="0.3">
      <c r="A1295" s="4">
        <v>2294</v>
      </c>
      <c r="B1295" s="5" t="s">
        <v>1394</v>
      </c>
      <c r="C1295" s="6">
        <v>45174.352777777778</v>
      </c>
      <c r="D1295" s="5" t="s">
        <v>43</v>
      </c>
      <c r="E1295" s="5" t="s">
        <v>87</v>
      </c>
      <c r="F1295" s="5" t="s">
        <v>38</v>
      </c>
      <c r="G1295" s="5" t="s">
        <v>56</v>
      </c>
      <c r="H1295" s="5">
        <v>187</v>
      </c>
      <c r="I1295" s="5">
        <v>17</v>
      </c>
      <c r="J1295" s="5" t="s">
        <v>32</v>
      </c>
      <c r="K1295" s="5" t="s">
        <v>49</v>
      </c>
      <c r="L1295" s="5" t="s">
        <v>20</v>
      </c>
      <c r="M1295" s="7" t="s">
        <v>46</v>
      </c>
      <c r="N1295" s="26">
        <f t="shared" si="120"/>
        <v>-1</v>
      </c>
      <c r="O1295" s="42">
        <f t="shared" si="121"/>
        <v>45174</v>
      </c>
      <c r="P1295" s="5" t="str">
        <f t="shared" si="122"/>
        <v>Tuesday</v>
      </c>
      <c r="Q1295" s="5">
        <f t="shared" si="123"/>
        <v>8</v>
      </c>
      <c r="R1295" s="28">
        <f t="shared" si="124"/>
        <v>0.91666666666666663</v>
      </c>
      <c r="S1295" s="29">
        <f t="shared" si="125"/>
        <v>91.666666666666657</v>
      </c>
      <c r="T1295" s="5" t="str">
        <f>IF(Delivery_Data[[#This Row],[Delays (min)]]&gt;0,"No","Yes")</f>
        <v>No</v>
      </c>
    </row>
    <row r="1296" spans="1:20" ht="15.75" customHeight="1" x14ac:dyDescent="0.3">
      <c r="A1296" s="4">
        <v>2295</v>
      </c>
      <c r="B1296" s="5" t="s">
        <v>1395</v>
      </c>
      <c r="C1296" s="6">
        <v>45176.631249999999</v>
      </c>
      <c r="D1296" s="5" t="s">
        <v>43</v>
      </c>
      <c r="E1296" s="5" t="s">
        <v>370</v>
      </c>
      <c r="F1296" s="5" t="s">
        <v>16</v>
      </c>
      <c r="G1296" s="5" t="s">
        <v>25</v>
      </c>
      <c r="H1296" s="5">
        <v>160</v>
      </c>
      <c r="I1296" s="5">
        <v>28</v>
      </c>
      <c r="J1296" s="5" t="s">
        <v>26</v>
      </c>
      <c r="K1296" s="5" t="s">
        <v>27</v>
      </c>
      <c r="L1296" s="5" t="s">
        <v>40</v>
      </c>
      <c r="M1296" s="7" t="s">
        <v>21</v>
      </c>
      <c r="N1296" s="26">
        <f t="shared" si="120"/>
        <v>1</v>
      </c>
      <c r="O1296" s="42">
        <f t="shared" si="121"/>
        <v>45176</v>
      </c>
      <c r="P1296" s="5" t="str">
        <f t="shared" si="122"/>
        <v>Thursday</v>
      </c>
      <c r="Q1296" s="5">
        <f t="shared" si="123"/>
        <v>15</v>
      </c>
      <c r="R1296" s="28">
        <f t="shared" si="124"/>
        <v>0.85106382978723405</v>
      </c>
      <c r="S1296" s="29">
        <f t="shared" si="125"/>
        <v>85.106382978723403</v>
      </c>
      <c r="T1296" s="5" t="str">
        <f>IF(Delivery_Data[[#This Row],[Delays (min)]]&gt;0,"No","Yes")</f>
        <v>No</v>
      </c>
    </row>
    <row r="1297" spans="1:20" ht="15.75" customHeight="1" x14ac:dyDescent="0.3">
      <c r="A1297" s="4">
        <v>2296</v>
      </c>
      <c r="B1297" s="5" t="s">
        <v>1396</v>
      </c>
      <c r="C1297" s="6">
        <v>45174.609027777777</v>
      </c>
      <c r="D1297" s="5" t="s">
        <v>43</v>
      </c>
      <c r="E1297" s="5" t="s">
        <v>140</v>
      </c>
      <c r="F1297" s="5" t="s">
        <v>38</v>
      </c>
      <c r="G1297" s="5" t="s">
        <v>17</v>
      </c>
      <c r="H1297" s="5">
        <v>117</v>
      </c>
      <c r="I1297" s="5">
        <v>14</v>
      </c>
      <c r="J1297" s="5" t="s">
        <v>32</v>
      </c>
      <c r="K1297" s="5" t="s">
        <v>35</v>
      </c>
      <c r="L1297" s="5" t="s">
        <v>40</v>
      </c>
      <c r="M1297" s="7" t="s">
        <v>41</v>
      </c>
      <c r="N1297" s="26">
        <f t="shared" si="120"/>
        <v>-1</v>
      </c>
      <c r="O1297" s="42">
        <f t="shared" si="121"/>
        <v>45174</v>
      </c>
      <c r="P1297" s="5" t="str">
        <f t="shared" si="122"/>
        <v>Tuesday</v>
      </c>
      <c r="Q1297" s="5">
        <f t="shared" si="123"/>
        <v>14</v>
      </c>
      <c r="R1297" s="28">
        <f t="shared" si="124"/>
        <v>0.89312977099236646</v>
      </c>
      <c r="S1297" s="29">
        <f t="shared" si="125"/>
        <v>89.312977099236647</v>
      </c>
      <c r="T1297" s="5" t="str">
        <f>IF(Delivery_Data[[#This Row],[Delays (min)]]&gt;0,"No","Yes")</f>
        <v>No</v>
      </c>
    </row>
    <row r="1298" spans="1:20" ht="15.75" customHeight="1" x14ac:dyDescent="0.3">
      <c r="A1298" s="4">
        <v>2297</v>
      </c>
      <c r="B1298" s="5" t="s">
        <v>1397</v>
      </c>
      <c r="C1298" s="6">
        <v>45177.408333333333</v>
      </c>
      <c r="D1298" s="5" t="s">
        <v>14</v>
      </c>
      <c r="E1298" s="5" t="s">
        <v>37</v>
      </c>
      <c r="F1298" s="5" t="s">
        <v>16</v>
      </c>
      <c r="G1298" s="5" t="s">
        <v>56</v>
      </c>
      <c r="H1298" s="5">
        <v>132</v>
      </c>
      <c r="I1298" s="5">
        <v>3</v>
      </c>
      <c r="J1298" s="5" t="s">
        <v>18</v>
      </c>
      <c r="K1298" s="5" t="s">
        <v>35</v>
      </c>
      <c r="L1298" s="5" t="s">
        <v>20</v>
      </c>
      <c r="M1298" s="7" t="s">
        <v>21</v>
      </c>
      <c r="N1298" s="26">
        <f t="shared" si="120"/>
        <v>0</v>
      </c>
      <c r="O1298" s="42">
        <f t="shared" si="121"/>
        <v>45177</v>
      </c>
      <c r="P1298" s="5" t="str">
        <f t="shared" si="122"/>
        <v>Friday</v>
      </c>
      <c r="Q1298" s="5">
        <f t="shared" si="123"/>
        <v>9</v>
      </c>
      <c r="R1298" s="28">
        <f t="shared" si="124"/>
        <v>0.97777777777777775</v>
      </c>
      <c r="S1298" s="29">
        <f t="shared" si="125"/>
        <v>97.777777777777771</v>
      </c>
      <c r="T1298" s="5" t="str">
        <f>IF(Delivery_Data[[#This Row],[Delays (min)]]&gt;0,"No","Yes")</f>
        <v>No</v>
      </c>
    </row>
    <row r="1299" spans="1:20" ht="15.75" customHeight="1" x14ac:dyDescent="0.3">
      <c r="A1299" s="4">
        <v>2298</v>
      </c>
      <c r="B1299" s="5" t="s">
        <v>1398</v>
      </c>
      <c r="C1299" s="6">
        <v>45170.604861111111</v>
      </c>
      <c r="D1299" s="5" t="s">
        <v>43</v>
      </c>
      <c r="E1299" s="5" t="s">
        <v>83</v>
      </c>
      <c r="F1299" s="5" t="s">
        <v>38</v>
      </c>
      <c r="G1299" s="5" t="s">
        <v>56</v>
      </c>
      <c r="H1299" s="5">
        <v>94</v>
      </c>
      <c r="I1299" s="5">
        <v>6</v>
      </c>
      <c r="J1299" s="5" t="s">
        <v>26</v>
      </c>
      <c r="K1299" s="5" t="s">
        <v>35</v>
      </c>
      <c r="L1299" s="5" t="s">
        <v>20</v>
      </c>
      <c r="M1299" s="7" t="s">
        <v>46</v>
      </c>
      <c r="N1299" s="26">
        <f t="shared" si="120"/>
        <v>1</v>
      </c>
      <c r="O1299" s="42">
        <f t="shared" si="121"/>
        <v>45170</v>
      </c>
      <c r="P1299" s="5" t="str">
        <f t="shared" si="122"/>
        <v>Friday</v>
      </c>
      <c r="Q1299" s="5">
        <f t="shared" si="123"/>
        <v>14</v>
      </c>
      <c r="R1299" s="28">
        <f t="shared" si="124"/>
        <v>0.94</v>
      </c>
      <c r="S1299" s="29">
        <f t="shared" si="125"/>
        <v>94</v>
      </c>
      <c r="T1299" s="5" t="str">
        <f>IF(Delivery_Data[[#This Row],[Delays (min)]]&gt;0,"No","Yes")</f>
        <v>No</v>
      </c>
    </row>
    <row r="1300" spans="1:20" ht="15.75" customHeight="1" x14ac:dyDescent="0.3">
      <c r="A1300" s="4">
        <v>2299</v>
      </c>
      <c r="B1300" s="5" t="s">
        <v>1399</v>
      </c>
      <c r="C1300" s="6">
        <v>45177.666666666664</v>
      </c>
      <c r="D1300" s="5" t="s">
        <v>43</v>
      </c>
      <c r="E1300" s="5" t="s">
        <v>132</v>
      </c>
      <c r="F1300" s="5" t="s">
        <v>38</v>
      </c>
      <c r="G1300" s="5" t="s">
        <v>39</v>
      </c>
      <c r="H1300" s="5">
        <v>153</v>
      </c>
      <c r="I1300" s="5">
        <v>6</v>
      </c>
      <c r="J1300" s="5" t="s">
        <v>18</v>
      </c>
      <c r="K1300" s="5" t="s">
        <v>35</v>
      </c>
      <c r="L1300" s="5" t="s">
        <v>28</v>
      </c>
      <c r="M1300" s="7" t="s">
        <v>41</v>
      </c>
      <c r="N1300" s="26">
        <f t="shared" si="120"/>
        <v>0</v>
      </c>
      <c r="O1300" s="42">
        <f t="shared" si="121"/>
        <v>45177</v>
      </c>
      <c r="P1300" s="5" t="str">
        <f t="shared" si="122"/>
        <v>Friday</v>
      </c>
      <c r="Q1300" s="5">
        <f t="shared" si="123"/>
        <v>16</v>
      </c>
      <c r="R1300" s="28">
        <f t="shared" si="124"/>
        <v>0.96226415094339623</v>
      </c>
      <c r="S1300" s="29">
        <f t="shared" si="125"/>
        <v>96.226415094339629</v>
      </c>
      <c r="T1300" s="5" t="str">
        <f>IF(Delivery_Data[[#This Row],[Delays (min)]]&gt;0,"No","Yes")</f>
        <v>No</v>
      </c>
    </row>
    <row r="1301" spans="1:20" ht="15.75" customHeight="1" x14ac:dyDescent="0.3">
      <c r="A1301" s="4">
        <v>2300</v>
      </c>
      <c r="B1301" s="5" t="s">
        <v>1400</v>
      </c>
      <c r="C1301" s="6">
        <v>45177.529861111114</v>
      </c>
      <c r="D1301" s="5" t="s">
        <v>14</v>
      </c>
      <c r="E1301" s="5" t="s">
        <v>166</v>
      </c>
      <c r="F1301" s="5" t="s">
        <v>24</v>
      </c>
      <c r="G1301" s="5" t="s">
        <v>56</v>
      </c>
      <c r="H1301" s="5">
        <v>104</v>
      </c>
      <c r="I1301" s="5">
        <v>12</v>
      </c>
      <c r="J1301" s="5" t="s">
        <v>32</v>
      </c>
      <c r="K1301" s="5" t="s">
        <v>35</v>
      </c>
      <c r="L1301" s="5" t="s">
        <v>20</v>
      </c>
      <c r="M1301" s="7" t="s">
        <v>41</v>
      </c>
      <c r="N1301" s="26">
        <f t="shared" si="120"/>
        <v>-1</v>
      </c>
      <c r="O1301" s="42">
        <f t="shared" si="121"/>
        <v>45177</v>
      </c>
      <c r="P1301" s="5" t="str">
        <f t="shared" si="122"/>
        <v>Friday</v>
      </c>
      <c r="Q1301" s="5">
        <f t="shared" si="123"/>
        <v>12</v>
      </c>
      <c r="R1301" s="28">
        <f t="shared" si="124"/>
        <v>0.89655172413793105</v>
      </c>
      <c r="S1301" s="29">
        <f t="shared" si="125"/>
        <v>89.65517241379311</v>
      </c>
      <c r="T1301" s="5" t="str">
        <f>IF(Delivery_Data[[#This Row],[Delays (min)]]&gt;0,"No","Yes")</f>
        <v>No</v>
      </c>
    </row>
    <row r="1302" spans="1:20" ht="15.75" customHeight="1" x14ac:dyDescent="0.3">
      <c r="A1302" s="4">
        <v>2301</v>
      </c>
      <c r="B1302" s="5" t="s">
        <v>1401</v>
      </c>
      <c r="C1302" s="6">
        <v>45175.524305555555</v>
      </c>
      <c r="D1302" s="5" t="s">
        <v>14</v>
      </c>
      <c r="E1302" s="5" t="s">
        <v>162</v>
      </c>
      <c r="F1302" s="5" t="s">
        <v>16</v>
      </c>
      <c r="G1302" s="5" t="s">
        <v>25</v>
      </c>
      <c r="H1302" s="5">
        <v>144</v>
      </c>
      <c r="I1302" s="5">
        <v>23</v>
      </c>
      <c r="J1302" s="5" t="s">
        <v>18</v>
      </c>
      <c r="K1302" s="5" t="s">
        <v>49</v>
      </c>
      <c r="L1302" s="5" t="s">
        <v>20</v>
      </c>
      <c r="M1302" s="7" t="s">
        <v>21</v>
      </c>
      <c r="N1302" s="26">
        <f t="shared" si="120"/>
        <v>0</v>
      </c>
      <c r="O1302" s="42">
        <f t="shared" si="121"/>
        <v>45175</v>
      </c>
      <c r="P1302" s="5" t="str">
        <f t="shared" si="122"/>
        <v>Wednesday</v>
      </c>
      <c r="Q1302" s="5">
        <f t="shared" si="123"/>
        <v>12</v>
      </c>
      <c r="R1302" s="28">
        <f t="shared" si="124"/>
        <v>0.86227544910179643</v>
      </c>
      <c r="S1302" s="29">
        <f t="shared" si="125"/>
        <v>86.227544910179645</v>
      </c>
      <c r="T1302" s="5" t="str">
        <f>IF(Delivery_Data[[#This Row],[Delays (min)]]&gt;0,"No","Yes")</f>
        <v>No</v>
      </c>
    </row>
    <row r="1303" spans="1:20" ht="15.75" customHeight="1" x14ac:dyDescent="0.3">
      <c r="A1303" s="4">
        <v>2302</v>
      </c>
      <c r="B1303" s="5" t="s">
        <v>1402</v>
      </c>
      <c r="C1303" s="6">
        <v>45174.517361111109</v>
      </c>
      <c r="D1303" s="5" t="s">
        <v>43</v>
      </c>
      <c r="E1303" s="5" t="s">
        <v>111</v>
      </c>
      <c r="F1303" s="5" t="s">
        <v>16</v>
      </c>
      <c r="G1303" s="5" t="s">
        <v>17</v>
      </c>
      <c r="H1303" s="5">
        <v>230</v>
      </c>
      <c r="I1303" s="5">
        <v>25</v>
      </c>
      <c r="J1303" s="5" t="s">
        <v>18</v>
      </c>
      <c r="K1303" s="5" t="s">
        <v>45</v>
      </c>
      <c r="L1303" s="5" t="s">
        <v>40</v>
      </c>
      <c r="M1303" s="7" t="s">
        <v>41</v>
      </c>
      <c r="N1303" s="26">
        <f t="shared" si="120"/>
        <v>0</v>
      </c>
      <c r="O1303" s="42">
        <f t="shared" si="121"/>
        <v>45174</v>
      </c>
      <c r="P1303" s="5" t="str">
        <f t="shared" si="122"/>
        <v>Tuesday</v>
      </c>
      <c r="Q1303" s="5">
        <f t="shared" si="123"/>
        <v>12</v>
      </c>
      <c r="R1303" s="28">
        <f t="shared" si="124"/>
        <v>0.90196078431372551</v>
      </c>
      <c r="S1303" s="29">
        <f t="shared" si="125"/>
        <v>90.196078431372555</v>
      </c>
      <c r="T1303" s="5" t="str">
        <f>IF(Delivery_Data[[#This Row],[Delays (min)]]&gt;0,"No","Yes")</f>
        <v>No</v>
      </c>
    </row>
    <row r="1304" spans="1:20" ht="15.75" customHeight="1" x14ac:dyDescent="0.3">
      <c r="A1304" s="4">
        <v>2303</v>
      </c>
      <c r="B1304" s="5" t="s">
        <v>1403</v>
      </c>
      <c r="C1304" s="6">
        <v>45173.397222222222</v>
      </c>
      <c r="D1304" s="5" t="s">
        <v>43</v>
      </c>
      <c r="E1304" s="5" t="s">
        <v>135</v>
      </c>
      <c r="F1304" s="5" t="s">
        <v>24</v>
      </c>
      <c r="G1304" s="5" t="s">
        <v>31</v>
      </c>
      <c r="H1304" s="5">
        <v>239</v>
      </c>
      <c r="I1304" s="5">
        <v>18</v>
      </c>
      <c r="J1304" s="5" t="s">
        <v>26</v>
      </c>
      <c r="K1304" s="5" t="s">
        <v>49</v>
      </c>
      <c r="L1304" s="5" t="s">
        <v>40</v>
      </c>
      <c r="M1304" s="7" t="s">
        <v>41</v>
      </c>
      <c r="N1304" s="26">
        <f t="shared" si="120"/>
        <v>1</v>
      </c>
      <c r="O1304" s="42">
        <f t="shared" si="121"/>
        <v>45173</v>
      </c>
      <c r="P1304" s="5" t="str">
        <f t="shared" si="122"/>
        <v>Monday</v>
      </c>
      <c r="Q1304" s="5">
        <f t="shared" si="123"/>
        <v>9</v>
      </c>
      <c r="R1304" s="28">
        <f t="shared" si="124"/>
        <v>0.92996108949416345</v>
      </c>
      <c r="S1304" s="29">
        <f t="shared" si="125"/>
        <v>92.996108949416339</v>
      </c>
      <c r="T1304" s="5" t="str">
        <f>IF(Delivery_Data[[#This Row],[Delays (min)]]&gt;0,"No","Yes")</f>
        <v>No</v>
      </c>
    </row>
    <row r="1305" spans="1:20" ht="15.75" customHeight="1" x14ac:dyDescent="0.3">
      <c r="A1305" s="4">
        <v>2304</v>
      </c>
      <c r="B1305" s="5" t="s">
        <v>1404</v>
      </c>
      <c r="C1305" s="6">
        <v>45174.70416666667</v>
      </c>
      <c r="D1305" s="5" t="s">
        <v>43</v>
      </c>
      <c r="E1305" s="5" t="s">
        <v>285</v>
      </c>
      <c r="F1305" s="5" t="s">
        <v>24</v>
      </c>
      <c r="G1305" s="5" t="s">
        <v>31</v>
      </c>
      <c r="H1305" s="5">
        <v>149</v>
      </c>
      <c r="I1305" s="5">
        <v>0</v>
      </c>
      <c r="J1305" s="5" t="s">
        <v>32</v>
      </c>
      <c r="K1305" s="5" t="s">
        <v>27</v>
      </c>
      <c r="L1305" s="5" t="s">
        <v>20</v>
      </c>
      <c r="M1305" s="7" t="s">
        <v>46</v>
      </c>
      <c r="N1305" s="26">
        <f t="shared" si="120"/>
        <v>-1</v>
      </c>
      <c r="O1305" s="42">
        <f t="shared" si="121"/>
        <v>45174</v>
      </c>
      <c r="P1305" s="5" t="str">
        <f t="shared" si="122"/>
        <v>Tuesday</v>
      </c>
      <c r="Q1305" s="5">
        <f t="shared" si="123"/>
        <v>16</v>
      </c>
      <c r="R1305" s="28">
        <f t="shared" si="124"/>
        <v>1</v>
      </c>
      <c r="S1305" s="29">
        <f t="shared" si="125"/>
        <v>100</v>
      </c>
      <c r="T1305" s="5" t="str">
        <f>IF(Delivery_Data[[#This Row],[Delays (min)]]&gt;0,"No","Yes")</f>
        <v>Yes</v>
      </c>
    </row>
    <row r="1306" spans="1:20" ht="15.75" customHeight="1" x14ac:dyDescent="0.3">
      <c r="A1306" s="4">
        <v>2305</v>
      </c>
      <c r="B1306" s="5" t="s">
        <v>1405</v>
      </c>
      <c r="C1306" s="6">
        <v>45177.393055555556</v>
      </c>
      <c r="D1306" s="5" t="s">
        <v>14</v>
      </c>
      <c r="E1306" s="5" t="s">
        <v>113</v>
      </c>
      <c r="F1306" s="5" t="s">
        <v>38</v>
      </c>
      <c r="G1306" s="5" t="s">
        <v>31</v>
      </c>
      <c r="H1306" s="5">
        <v>152</v>
      </c>
      <c r="I1306" s="5">
        <v>5</v>
      </c>
      <c r="J1306" s="5" t="s">
        <v>26</v>
      </c>
      <c r="K1306" s="5" t="s">
        <v>35</v>
      </c>
      <c r="L1306" s="5" t="s">
        <v>20</v>
      </c>
      <c r="M1306" s="7" t="s">
        <v>21</v>
      </c>
      <c r="N1306" s="26">
        <f t="shared" si="120"/>
        <v>1</v>
      </c>
      <c r="O1306" s="42">
        <f t="shared" si="121"/>
        <v>45177</v>
      </c>
      <c r="P1306" s="5" t="str">
        <f t="shared" si="122"/>
        <v>Friday</v>
      </c>
      <c r="Q1306" s="5">
        <f t="shared" si="123"/>
        <v>9</v>
      </c>
      <c r="R1306" s="28">
        <f t="shared" si="124"/>
        <v>0.96815286624203822</v>
      </c>
      <c r="S1306" s="29">
        <f t="shared" si="125"/>
        <v>96.815286624203821</v>
      </c>
      <c r="T1306" s="5" t="str">
        <f>IF(Delivery_Data[[#This Row],[Delays (min)]]&gt;0,"No","Yes")</f>
        <v>No</v>
      </c>
    </row>
    <row r="1307" spans="1:20" ht="15.75" customHeight="1" x14ac:dyDescent="0.3">
      <c r="A1307" s="4">
        <v>2306</v>
      </c>
      <c r="B1307" s="5" t="s">
        <v>1406</v>
      </c>
      <c r="C1307" s="6">
        <v>45177.470833333333</v>
      </c>
      <c r="D1307" s="5" t="s">
        <v>14</v>
      </c>
      <c r="E1307" s="5" t="s">
        <v>83</v>
      </c>
      <c r="F1307" s="5" t="s">
        <v>38</v>
      </c>
      <c r="G1307" s="5" t="s">
        <v>17</v>
      </c>
      <c r="H1307" s="5">
        <v>173</v>
      </c>
      <c r="I1307" s="5">
        <v>17</v>
      </c>
      <c r="J1307" s="5" t="s">
        <v>18</v>
      </c>
      <c r="K1307" s="5" t="s">
        <v>27</v>
      </c>
      <c r="L1307" s="5" t="s">
        <v>28</v>
      </c>
      <c r="M1307" s="7" t="s">
        <v>21</v>
      </c>
      <c r="N1307" s="26">
        <f t="shared" si="120"/>
        <v>0</v>
      </c>
      <c r="O1307" s="42">
        <f t="shared" si="121"/>
        <v>45177</v>
      </c>
      <c r="P1307" s="5" t="str">
        <f t="shared" si="122"/>
        <v>Friday</v>
      </c>
      <c r="Q1307" s="5">
        <f t="shared" si="123"/>
        <v>11</v>
      </c>
      <c r="R1307" s="28">
        <f t="shared" si="124"/>
        <v>0.91052631578947374</v>
      </c>
      <c r="S1307" s="29">
        <f t="shared" si="125"/>
        <v>91.05263157894737</v>
      </c>
      <c r="T1307" s="5" t="str">
        <f>IF(Delivery_Data[[#This Row],[Delays (min)]]&gt;0,"No","Yes")</f>
        <v>No</v>
      </c>
    </row>
    <row r="1308" spans="1:20" ht="15.75" customHeight="1" x14ac:dyDescent="0.3">
      <c r="A1308" s="4">
        <v>2307</v>
      </c>
      <c r="B1308" s="5" t="s">
        <v>1407</v>
      </c>
      <c r="C1308" s="6">
        <v>45175.694444444445</v>
      </c>
      <c r="D1308" s="5" t="s">
        <v>43</v>
      </c>
      <c r="E1308" s="5" t="s">
        <v>53</v>
      </c>
      <c r="F1308" s="5" t="s">
        <v>38</v>
      </c>
      <c r="G1308" s="5" t="s">
        <v>25</v>
      </c>
      <c r="H1308" s="5">
        <v>113</v>
      </c>
      <c r="I1308" s="5">
        <v>5</v>
      </c>
      <c r="J1308" s="5" t="s">
        <v>32</v>
      </c>
      <c r="K1308" s="5" t="s">
        <v>27</v>
      </c>
      <c r="L1308" s="5" t="s">
        <v>40</v>
      </c>
      <c r="M1308" s="7" t="s">
        <v>21</v>
      </c>
      <c r="N1308" s="26">
        <f t="shared" si="120"/>
        <v>-1</v>
      </c>
      <c r="O1308" s="42">
        <f t="shared" si="121"/>
        <v>45175</v>
      </c>
      <c r="P1308" s="5" t="str">
        <f t="shared" si="122"/>
        <v>Wednesday</v>
      </c>
      <c r="Q1308" s="5">
        <f t="shared" si="123"/>
        <v>16</v>
      </c>
      <c r="R1308" s="28">
        <f t="shared" si="124"/>
        <v>0.9576271186440678</v>
      </c>
      <c r="S1308" s="29">
        <f t="shared" si="125"/>
        <v>95.762711864406782</v>
      </c>
      <c r="T1308" s="5" t="str">
        <f>IF(Delivery_Data[[#This Row],[Delays (min)]]&gt;0,"No","Yes")</f>
        <v>No</v>
      </c>
    </row>
    <row r="1309" spans="1:20" ht="15.75" customHeight="1" x14ac:dyDescent="0.3">
      <c r="A1309" s="4">
        <v>2308</v>
      </c>
      <c r="B1309" s="5" t="s">
        <v>1408</v>
      </c>
      <c r="C1309" s="6">
        <v>45171.475694444445</v>
      </c>
      <c r="D1309" s="5" t="s">
        <v>43</v>
      </c>
      <c r="E1309" s="5" t="s">
        <v>261</v>
      </c>
      <c r="F1309" s="5" t="s">
        <v>38</v>
      </c>
      <c r="G1309" s="5" t="s">
        <v>17</v>
      </c>
      <c r="H1309" s="5">
        <v>132</v>
      </c>
      <c r="I1309" s="5">
        <v>2</v>
      </c>
      <c r="J1309" s="5" t="s">
        <v>26</v>
      </c>
      <c r="K1309" s="5" t="s">
        <v>49</v>
      </c>
      <c r="L1309" s="5" t="s">
        <v>28</v>
      </c>
      <c r="M1309" s="7" t="s">
        <v>21</v>
      </c>
      <c r="N1309" s="26">
        <f t="shared" si="120"/>
        <v>1</v>
      </c>
      <c r="O1309" s="42">
        <f t="shared" si="121"/>
        <v>45171</v>
      </c>
      <c r="P1309" s="5" t="str">
        <f t="shared" si="122"/>
        <v>Saturday</v>
      </c>
      <c r="Q1309" s="5">
        <f t="shared" si="123"/>
        <v>11</v>
      </c>
      <c r="R1309" s="28">
        <f t="shared" si="124"/>
        <v>0.9850746268656716</v>
      </c>
      <c r="S1309" s="29">
        <f t="shared" si="125"/>
        <v>98.507462686567166</v>
      </c>
      <c r="T1309" s="5" t="str">
        <f>IF(Delivery_Data[[#This Row],[Delays (min)]]&gt;0,"No","Yes")</f>
        <v>No</v>
      </c>
    </row>
    <row r="1310" spans="1:20" ht="15.75" customHeight="1" x14ac:dyDescent="0.3">
      <c r="A1310" s="4">
        <v>2309</v>
      </c>
      <c r="B1310" s="5" t="s">
        <v>1409</v>
      </c>
      <c r="C1310" s="6">
        <v>45170.595833333333</v>
      </c>
      <c r="D1310" s="5" t="s">
        <v>14</v>
      </c>
      <c r="E1310" s="5" t="s">
        <v>245</v>
      </c>
      <c r="F1310" s="5" t="s">
        <v>24</v>
      </c>
      <c r="G1310" s="5" t="s">
        <v>39</v>
      </c>
      <c r="H1310" s="5">
        <v>225</v>
      </c>
      <c r="I1310" s="5">
        <v>9</v>
      </c>
      <c r="J1310" s="5" t="s">
        <v>18</v>
      </c>
      <c r="K1310" s="5" t="s">
        <v>19</v>
      </c>
      <c r="L1310" s="5" t="s">
        <v>40</v>
      </c>
      <c r="M1310" s="7" t="s">
        <v>46</v>
      </c>
      <c r="N1310" s="26">
        <f t="shared" si="120"/>
        <v>0</v>
      </c>
      <c r="O1310" s="42">
        <f t="shared" si="121"/>
        <v>45170</v>
      </c>
      <c r="P1310" s="5" t="str">
        <f t="shared" si="122"/>
        <v>Friday</v>
      </c>
      <c r="Q1310" s="5">
        <f t="shared" si="123"/>
        <v>14</v>
      </c>
      <c r="R1310" s="28">
        <f t="shared" si="124"/>
        <v>0.96153846153846156</v>
      </c>
      <c r="S1310" s="29">
        <f t="shared" si="125"/>
        <v>96.15384615384616</v>
      </c>
      <c r="T1310" s="5" t="str">
        <f>IF(Delivery_Data[[#This Row],[Delays (min)]]&gt;0,"No","Yes")</f>
        <v>No</v>
      </c>
    </row>
    <row r="1311" spans="1:20" ht="15.75" customHeight="1" x14ac:dyDescent="0.3">
      <c r="A1311" s="4">
        <v>2310</v>
      </c>
      <c r="B1311" s="5" t="s">
        <v>1410</v>
      </c>
      <c r="C1311" s="6">
        <v>45175.512499999997</v>
      </c>
      <c r="D1311" s="5" t="s">
        <v>43</v>
      </c>
      <c r="E1311" s="5" t="s">
        <v>441</v>
      </c>
      <c r="F1311" s="5" t="s">
        <v>16</v>
      </c>
      <c r="G1311" s="5" t="s">
        <v>17</v>
      </c>
      <c r="H1311" s="5">
        <v>232</v>
      </c>
      <c r="I1311" s="5">
        <v>0</v>
      </c>
      <c r="J1311" s="5" t="s">
        <v>26</v>
      </c>
      <c r="K1311" s="5" t="s">
        <v>49</v>
      </c>
      <c r="L1311" s="5" t="s">
        <v>40</v>
      </c>
      <c r="M1311" s="7" t="s">
        <v>46</v>
      </c>
      <c r="N1311" s="26">
        <f t="shared" si="120"/>
        <v>1</v>
      </c>
      <c r="O1311" s="42">
        <f t="shared" si="121"/>
        <v>45175</v>
      </c>
      <c r="P1311" s="5" t="str">
        <f t="shared" si="122"/>
        <v>Wednesday</v>
      </c>
      <c r="Q1311" s="5">
        <f t="shared" si="123"/>
        <v>12</v>
      </c>
      <c r="R1311" s="28">
        <f t="shared" si="124"/>
        <v>1</v>
      </c>
      <c r="S1311" s="29">
        <f t="shared" si="125"/>
        <v>100</v>
      </c>
      <c r="T1311" s="5" t="str">
        <f>IF(Delivery_Data[[#This Row],[Delays (min)]]&gt;0,"No","Yes")</f>
        <v>Yes</v>
      </c>
    </row>
    <row r="1312" spans="1:20" ht="15.75" customHeight="1" x14ac:dyDescent="0.3">
      <c r="A1312" s="4">
        <v>2311</v>
      </c>
      <c r="B1312" s="5" t="s">
        <v>1411</v>
      </c>
      <c r="C1312" s="6">
        <v>45172.368055555555</v>
      </c>
      <c r="D1312" s="5" t="s">
        <v>43</v>
      </c>
      <c r="E1312" s="5" t="s">
        <v>200</v>
      </c>
      <c r="F1312" s="5" t="s">
        <v>16</v>
      </c>
      <c r="G1312" s="5" t="s">
        <v>17</v>
      </c>
      <c r="H1312" s="5">
        <v>61</v>
      </c>
      <c r="I1312" s="5">
        <v>4</v>
      </c>
      <c r="J1312" s="5" t="s">
        <v>32</v>
      </c>
      <c r="K1312" s="5" t="s">
        <v>45</v>
      </c>
      <c r="L1312" s="5" t="s">
        <v>20</v>
      </c>
      <c r="M1312" s="7" t="s">
        <v>41</v>
      </c>
      <c r="N1312" s="26">
        <f t="shared" si="120"/>
        <v>-1</v>
      </c>
      <c r="O1312" s="42">
        <f t="shared" si="121"/>
        <v>45172</v>
      </c>
      <c r="P1312" s="5" t="str">
        <f t="shared" si="122"/>
        <v>Sunday</v>
      </c>
      <c r="Q1312" s="5">
        <f t="shared" si="123"/>
        <v>8</v>
      </c>
      <c r="R1312" s="28">
        <f t="shared" si="124"/>
        <v>0.93846153846153846</v>
      </c>
      <c r="S1312" s="29">
        <f t="shared" si="125"/>
        <v>93.84615384615384</v>
      </c>
      <c r="T1312" s="5" t="str">
        <f>IF(Delivery_Data[[#This Row],[Delays (min)]]&gt;0,"No","Yes")</f>
        <v>No</v>
      </c>
    </row>
    <row r="1313" spans="1:20" ht="15.75" customHeight="1" x14ac:dyDescent="0.3">
      <c r="A1313" s="4">
        <v>2312</v>
      </c>
      <c r="B1313" s="5" t="s">
        <v>1412</v>
      </c>
      <c r="C1313" s="6">
        <v>45176.70208333333</v>
      </c>
      <c r="D1313" s="5" t="s">
        <v>14</v>
      </c>
      <c r="E1313" s="5" t="s">
        <v>288</v>
      </c>
      <c r="F1313" s="5" t="s">
        <v>16</v>
      </c>
      <c r="G1313" s="5" t="s">
        <v>31</v>
      </c>
      <c r="H1313" s="5">
        <v>130</v>
      </c>
      <c r="I1313" s="5">
        <v>28</v>
      </c>
      <c r="J1313" s="5" t="s">
        <v>26</v>
      </c>
      <c r="K1313" s="5" t="s">
        <v>19</v>
      </c>
      <c r="L1313" s="5" t="s">
        <v>20</v>
      </c>
      <c r="M1313" s="7" t="s">
        <v>41</v>
      </c>
      <c r="N1313" s="26">
        <f t="shared" si="120"/>
        <v>1</v>
      </c>
      <c r="O1313" s="42">
        <f t="shared" si="121"/>
        <v>45176</v>
      </c>
      <c r="P1313" s="5" t="str">
        <f t="shared" si="122"/>
        <v>Thursday</v>
      </c>
      <c r="Q1313" s="5">
        <f t="shared" si="123"/>
        <v>16</v>
      </c>
      <c r="R1313" s="28">
        <f t="shared" si="124"/>
        <v>0.82278481012658233</v>
      </c>
      <c r="S1313" s="29">
        <f t="shared" si="125"/>
        <v>82.278481012658233</v>
      </c>
      <c r="T1313" s="5" t="str">
        <f>IF(Delivery_Data[[#This Row],[Delays (min)]]&gt;0,"No","Yes")</f>
        <v>No</v>
      </c>
    </row>
    <row r="1314" spans="1:20" ht="15.75" customHeight="1" x14ac:dyDescent="0.3">
      <c r="A1314" s="4">
        <v>2313</v>
      </c>
      <c r="B1314" s="5" t="s">
        <v>1413</v>
      </c>
      <c r="C1314" s="6">
        <v>45172.347222222219</v>
      </c>
      <c r="D1314" s="5" t="s">
        <v>14</v>
      </c>
      <c r="E1314" s="5" t="s">
        <v>234</v>
      </c>
      <c r="F1314" s="5" t="s">
        <v>24</v>
      </c>
      <c r="G1314" s="5" t="s">
        <v>56</v>
      </c>
      <c r="H1314" s="5">
        <v>95</v>
      </c>
      <c r="I1314" s="5">
        <v>4</v>
      </c>
      <c r="J1314" s="5" t="s">
        <v>32</v>
      </c>
      <c r="K1314" s="5" t="s">
        <v>27</v>
      </c>
      <c r="L1314" s="5" t="s">
        <v>20</v>
      </c>
      <c r="M1314" s="7" t="s">
        <v>21</v>
      </c>
      <c r="N1314" s="26">
        <f t="shared" si="120"/>
        <v>-1</v>
      </c>
      <c r="O1314" s="42">
        <f t="shared" si="121"/>
        <v>45172</v>
      </c>
      <c r="P1314" s="5" t="str">
        <f t="shared" si="122"/>
        <v>Sunday</v>
      </c>
      <c r="Q1314" s="5">
        <f t="shared" si="123"/>
        <v>8</v>
      </c>
      <c r="R1314" s="28">
        <f t="shared" si="124"/>
        <v>0.95959595959595956</v>
      </c>
      <c r="S1314" s="29">
        <f t="shared" si="125"/>
        <v>95.959595959595958</v>
      </c>
      <c r="T1314" s="5" t="str">
        <f>IF(Delivery_Data[[#This Row],[Delays (min)]]&gt;0,"No","Yes")</f>
        <v>No</v>
      </c>
    </row>
    <row r="1315" spans="1:20" ht="15.75" customHeight="1" x14ac:dyDescent="0.3">
      <c r="A1315" s="4">
        <v>2314</v>
      </c>
      <c r="B1315" s="5" t="s">
        <v>1414</v>
      </c>
      <c r="C1315" s="6">
        <v>45170.411805555559</v>
      </c>
      <c r="D1315" s="5" t="s">
        <v>43</v>
      </c>
      <c r="E1315" s="5" t="s">
        <v>240</v>
      </c>
      <c r="F1315" s="5" t="s">
        <v>16</v>
      </c>
      <c r="G1315" s="5" t="s">
        <v>17</v>
      </c>
      <c r="H1315" s="5">
        <v>132</v>
      </c>
      <c r="I1315" s="5">
        <v>28</v>
      </c>
      <c r="J1315" s="5" t="s">
        <v>26</v>
      </c>
      <c r="K1315" s="5" t="s">
        <v>45</v>
      </c>
      <c r="L1315" s="5" t="s">
        <v>28</v>
      </c>
      <c r="M1315" s="7" t="s">
        <v>41</v>
      </c>
      <c r="N1315" s="26">
        <f t="shared" si="120"/>
        <v>1</v>
      </c>
      <c r="O1315" s="42">
        <f t="shared" si="121"/>
        <v>45170</v>
      </c>
      <c r="P1315" s="5" t="str">
        <f t="shared" si="122"/>
        <v>Friday</v>
      </c>
      <c r="Q1315" s="5">
        <f t="shared" si="123"/>
        <v>9</v>
      </c>
      <c r="R1315" s="28">
        <f t="shared" si="124"/>
        <v>0.82499999999999996</v>
      </c>
      <c r="S1315" s="29">
        <f t="shared" si="125"/>
        <v>82.5</v>
      </c>
      <c r="T1315" s="5" t="str">
        <f>IF(Delivery_Data[[#This Row],[Delays (min)]]&gt;0,"No","Yes")</f>
        <v>No</v>
      </c>
    </row>
    <row r="1316" spans="1:20" ht="15.75" customHeight="1" x14ac:dyDescent="0.3">
      <c r="A1316" s="4">
        <v>2315</v>
      </c>
      <c r="B1316" s="5" t="s">
        <v>1415</v>
      </c>
      <c r="C1316" s="6">
        <v>45172.434027777781</v>
      </c>
      <c r="D1316" s="5" t="s">
        <v>43</v>
      </c>
      <c r="E1316" s="5" t="s">
        <v>91</v>
      </c>
      <c r="F1316" s="5" t="s">
        <v>24</v>
      </c>
      <c r="G1316" s="5" t="s">
        <v>17</v>
      </c>
      <c r="H1316" s="5">
        <v>170</v>
      </c>
      <c r="I1316" s="5">
        <v>12</v>
      </c>
      <c r="J1316" s="5" t="s">
        <v>32</v>
      </c>
      <c r="K1316" s="5" t="s">
        <v>49</v>
      </c>
      <c r="L1316" s="5" t="s">
        <v>40</v>
      </c>
      <c r="M1316" s="7" t="s">
        <v>41</v>
      </c>
      <c r="N1316" s="26">
        <f t="shared" si="120"/>
        <v>-1</v>
      </c>
      <c r="O1316" s="42">
        <f t="shared" si="121"/>
        <v>45172</v>
      </c>
      <c r="P1316" s="5" t="str">
        <f t="shared" si="122"/>
        <v>Sunday</v>
      </c>
      <c r="Q1316" s="5">
        <f t="shared" si="123"/>
        <v>10</v>
      </c>
      <c r="R1316" s="28">
        <f t="shared" si="124"/>
        <v>0.93406593406593408</v>
      </c>
      <c r="S1316" s="29">
        <f t="shared" si="125"/>
        <v>93.406593406593402</v>
      </c>
      <c r="T1316" s="5" t="str">
        <f>IF(Delivery_Data[[#This Row],[Delays (min)]]&gt;0,"No","Yes")</f>
        <v>No</v>
      </c>
    </row>
    <row r="1317" spans="1:20" ht="15.75" customHeight="1" x14ac:dyDescent="0.3">
      <c r="A1317" s="4">
        <v>2316</v>
      </c>
      <c r="B1317" s="5" t="s">
        <v>1416</v>
      </c>
      <c r="C1317" s="6">
        <v>45176.626388888886</v>
      </c>
      <c r="D1317" s="5" t="s">
        <v>43</v>
      </c>
      <c r="E1317" s="5" t="s">
        <v>64</v>
      </c>
      <c r="F1317" s="5" t="s">
        <v>16</v>
      </c>
      <c r="G1317" s="5" t="s">
        <v>25</v>
      </c>
      <c r="H1317" s="5">
        <v>99</v>
      </c>
      <c r="I1317" s="5">
        <v>17</v>
      </c>
      <c r="J1317" s="5" t="s">
        <v>32</v>
      </c>
      <c r="K1317" s="5" t="s">
        <v>19</v>
      </c>
      <c r="L1317" s="5" t="s">
        <v>20</v>
      </c>
      <c r="M1317" s="7" t="s">
        <v>46</v>
      </c>
      <c r="N1317" s="26">
        <f t="shared" si="120"/>
        <v>-1</v>
      </c>
      <c r="O1317" s="42">
        <f t="shared" si="121"/>
        <v>45176</v>
      </c>
      <c r="P1317" s="5" t="str">
        <f t="shared" si="122"/>
        <v>Thursday</v>
      </c>
      <c r="Q1317" s="5">
        <f t="shared" si="123"/>
        <v>15</v>
      </c>
      <c r="R1317" s="28">
        <f t="shared" si="124"/>
        <v>0.85344827586206895</v>
      </c>
      <c r="S1317" s="29">
        <f t="shared" si="125"/>
        <v>85.34482758620689</v>
      </c>
      <c r="T1317" s="5" t="str">
        <f>IF(Delivery_Data[[#This Row],[Delays (min)]]&gt;0,"No","Yes")</f>
        <v>No</v>
      </c>
    </row>
    <row r="1318" spans="1:20" ht="15.75" customHeight="1" x14ac:dyDescent="0.3">
      <c r="A1318" s="4">
        <v>2317</v>
      </c>
      <c r="B1318" s="5" t="s">
        <v>1417</v>
      </c>
      <c r="C1318" s="6">
        <v>45170.595833333333</v>
      </c>
      <c r="D1318" s="5" t="s">
        <v>43</v>
      </c>
      <c r="E1318" s="5" t="s">
        <v>179</v>
      </c>
      <c r="F1318" s="5" t="s">
        <v>16</v>
      </c>
      <c r="G1318" s="5" t="s">
        <v>39</v>
      </c>
      <c r="H1318" s="5">
        <v>67</v>
      </c>
      <c r="I1318" s="5">
        <v>26</v>
      </c>
      <c r="J1318" s="5" t="s">
        <v>18</v>
      </c>
      <c r="K1318" s="5" t="s">
        <v>45</v>
      </c>
      <c r="L1318" s="5" t="s">
        <v>20</v>
      </c>
      <c r="M1318" s="7" t="s">
        <v>21</v>
      </c>
      <c r="N1318" s="26">
        <f t="shared" si="120"/>
        <v>0</v>
      </c>
      <c r="O1318" s="42">
        <f t="shared" si="121"/>
        <v>45170</v>
      </c>
      <c r="P1318" s="5" t="str">
        <f t="shared" si="122"/>
        <v>Friday</v>
      </c>
      <c r="Q1318" s="5">
        <f t="shared" si="123"/>
        <v>14</v>
      </c>
      <c r="R1318" s="28">
        <f t="shared" si="124"/>
        <v>0.72043010752688175</v>
      </c>
      <c r="S1318" s="29">
        <f t="shared" si="125"/>
        <v>72.043010752688176</v>
      </c>
      <c r="T1318" s="5" t="str">
        <f>IF(Delivery_Data[[#This Row],[Delays (min)]]&gt;0,"No","Yes")</f>
        <v>No</v>
      </c>
    </row>
    <row r="1319" spans="1:20" ht="15.75" customHeight="1" x14ac:dyDescent="0.3">
      <c r="A1319" s="4">
        <v>2318</v>
      </c>
      <c r="B1319" s="5" t="s">
        <v>1418</v>
      </c>
      <c r="C1319" s="6">
        <v>45172.370138888888</v>
      </c>
      <c r="D1319" s="5" t="s">
        <v>14</v>
      </c>
      <c r="E1319" s="5" t="s">
        <v>288</v>
      </c>
      <c r="F1319" s="5" t="s">
        <v>24</v>
      </c>
      <c r="G1319" s="5" t="s">
        <v>31</v>
      </c>
      <c r="H1319" s="5">
        <v>94</v>
      </c>
      <c r="I1319" s="5">
        <v>18</v>
      </c>
      <c r="J1319" s="5" t="s">
        <v>32</v>
      </c>
      <c r="K1319" s="5" t="s">
        <v>49</v>
      </c>
      <c r="L1319" s="5" t="s">
        <v>40</v>
      </c>
      <c r="M1319" s="7" t="s">
        <v>41</v>
      </c>
      <c r="N1319" s="26">
        <f t="shared" si="120"/>
        <v>-1</v>
      </c>
      <c r="O1319" s="42">
        <f t="shared" si="121"/>
        <v>45172</v>
      </c>
      <c r="P1319" s="5" t="str">
        <f t="shared" si="122"/>
        <v>Sunday</v>
      </c>
      <c r="Q1319" s="5">
        <f t="shared" si="123"/>
        <v>8</v>
      </c>
      <c r="R1319" s="28">
        <f t="shared" si="124"/>
        <v>0.8392857142857143</v>
      </c>
      <c r="S1319" s="29">
        <f t="shared" si="125"/>
        <v>83.928571428571431</v>
      </c>
      <c r="T1319" s="5" t="str">
        <f>IF(Delivery_Data[[#This Row],[Delays (min)]]&gt;0,"No","Yes")</f>
        <v>No</v>
      </c>
    </row>
    <row r="1320" spans="1:20" ht="15.75" customHeight="1" x14ac:dyDescent="0.3">
      <c r="A1320" s="4">
        <v>2319</v>
      </c>
      <c r="B1320" s="5" t="s">
        <v>1419</v>
      </c>
      <c r="C1320" s="6">
        <v>45174.523611111108</v>
      </c>
      <c r="D1320" s="5" t="s">
        <v>14</v>
      </c>
      <c r="E1320" s="5" t="s">
        <v>62</v>
      </c>
      <c r="F1320" s="5" t="s">
        <v>24</v>
      </c>
      <c r="G1320" s="5" t="s">
        <v>17</v>
      </c>
      <c r="H1320" s="5">
        <v>71</v>
      </c>
      <c r="I1320" s="5">
        <v>1</v>
      </c>
      <c r="J1320" s="5" t="s">
        <v>18</v>
      </c>
      <c r="K1320" s="5" t="s">
        <v>35</v>
      </c>
      <c r="L1320" s="5" t="s">
        <v>40</v>
      </c>
      <c r="M1320" s="7" t="s">
        <v>21</v>
      </c>
      <c r="N1320" s="26">
        <f t="shared" si="120"/>
        <v>0</v>
      </c>
      <c r="O1320" s="42">
        <f t="shared" si="121"/>
        <v>45174</v>
      </c>
      <c r="P1320" s="5" t="str">
        <f t="shared" si="122"/>
        <v>Tuesday</v>
      </c>
      <c r="Q1320" s="5">
        <f t="shared" si="123"/>
        <v>12</v>
      </c>
      <c r="R1320" s="28">
        <f t="shared" si="124"/>
        <v>0.98611111111111116</v>
      </c>
      <c r="S1320" s="29">
        <f t="shared" si="125"/>
        <v>98.611111111111114</v>
      </c>
      <c r="T1320" s="5" t="str">
        <f>IF(Delivery_Data[[#This Row],[Delays (min)]]&gt;0,"No","Yes")</f>
        <v>No</v>
      </c>
    </row>
    <row r="1321" spans="1:20" ht="15.75" customHeight="1" x14ac:dyDescent="0.3">
      <c r="A1321" s="4">
        <v>2320</v>
      </c>
      <c r="B1321" s="5" t="s">
        <v>1420</v>
      </c>
      <c r="C1321" s="6">
        <v>45171.564583333333</v>
      </c>
      <c r="D1321" s="5" t="s">
        <v>43</v>
      </c>
      <c r="E1321" s="5" t="s">
        <v>162</v>
      </c>
      <c r="F1321" s="5" t="s">
        <v>16</v>
      </c>
      <c r="G1321" s="5" t="s">
        <v>56</v>
      </c>
      <c r="H1321" s="5">
        <v>73</v>
      </c>
      <c r="I1321" s="5">
        <v>21</v>
      </c>
      <c r="J1321" s="5" t="s">
        <v>18</v>
      </c>
      <c r="K1321" s="5" t="s">
        <v>19</v>
      </c>
      <c r="L1321" s="5" t="s">
        <v>28</v>
      </c>
      <c r="M1321" s="7" t="s">
        <v>46</v>
      </c>
      <c r="N1321" s="26">
        <f t="shared" si="120"/>
        <v>0</v>
      </c>
      <c r="O1321" s="42">
        <f t="shared" si="121"/>
        <v>45171</v>
      </c>
      <c r="P1321" s="5" t="str">
        <f t="shared" si="122"/>
        <v>Saturday</v>
      </c>
      <c r="Q1321" s="5">
        <f t="shared" si="123"/>
        <v>13</v>
      </c>
      <c r="R1321" s="28">
        <f t="shared" si="124"/>
        <v>0.77659574468085102</v>
      </c>
      <c r="S1321" s="29">
        <f t="shared" si="125"/>
        <v>77.659574468085097</v>
      </c>
      <c r="T1321" s="5" t="str">
        <f>IF(Delivery_Data[[#This Row],[Delays (min)]]&gt;0,"No","Yes")</f>
        <v>No</v>
      </c>
    </row>
    <row r="1322" spans="1:20" ht="15.75" customHeight="1" x14ac:dyDescent="0.3">
      <c r="A1322" s="4">
        <v>2321</v>
      </c>
      <c r="B1322" s="5" t="s">
        <v>1421</v>
      </c>
      <c r="C1322" s="6">
        <v>45173.458333333336</v>
      </c>
      <c r="D1322" s="5" t="s">
        <v>43</v>
      </c>
      <c r="E1322" s="5" t="s">
        <v>120</v>
      </c>
      <c r="F1322" s="5" t="s">
        <v>24</v>
      </c>
      <c r="G1322" s="5" t="s">
        <v>25</v>
      </c>
      <c r="H1322" s="5">
        <v>191</v>
      </c>
      <c r="I1322" s="5">
        <v>26</v>
      </c>
      <c r="J1322" s="5" t="s">
        <v>32</v>
      </c>
      <c r="K1322" s="5" t="s">
        <v>35</v>
      </c>
      <c r="L1322" s="5" t="s">
        <v>40</v>
      </c>
      <c r="M1322" s="7" t="s">
        <v>41</v>
      </c>
      <c r="N1322" s="26">
        <f t="shared" si="120"/>
        <v>-1</v>
      </c>
      <c r="O1322" s="42">
        <f t="shared" si="121"/>
        <v>45173</v>
      </c>
      <c r="P1322" s="5" t="str">
        <f t="shared" si="122"/>
        <v>Monday</v>
      </c>
      <c r="Q1322" s="5">
        <f t="shared" si="123"/>
        <v>11</v>
      </c>
      <c r="R1322" s="28">
        <f t="shared" si="124"/>
        <v>0.88018433179723499</v>
      </c>
      <c r="S1322" s="29">
        <f t="shared" si="125"/>
        <v>88.018433179723502</v>
      </c>
      <c r="T1322" s="5" t="str">
        <f>IF(Delivery_Data[[#This Row],[Delays (min)]]&gt;0,"No","Yes")</f>
        <v>No</v>
      </c>
    </row>
    <row r="1323" spans="1:20" ht="15.75" customHeight="1" x14ac:dyDescent="0.3">
      <c r="A1323" s="4">
        <v>2322</v>
      </c>
      <c r="B1323" s="5" t="s">
        <v>1422</v>
      </c>
      <c r="C1323" s="6">
        <v>45177.347916666666</v>
      </c>
      <c r="D1323" s="5" t="s">
        <v>43</v>
      </c>
      <c r="E1323" s="5" t="s">
        <v>204</v>
      </c>
      <c r="F1323" s="5" t="s">
        <v>24</v>
      </c>
      <c r="G1323" s="5" t="s">
        <v>25</v>
      </c>
      <c r="H1323" s="5">
        <v>192</v>
      </c>
      <c r="I1323" s="5">
        <v>2</v>
      </c>
      <c r="J1323" s="5" t="s">
        <v>18</v>
      </c>
      <c r="K1323" s="5" t="s">
        <v>49</v>
      </c>
      <c r="L1323" s="5" t="s">
        <v>20</v>
      </c>
      <c r="M1323" s="7" t="s">
        <v>41</v>
      </c>
      <c r="N1323" s="26">
        <f t="shared" si="120"/>
        <v>0</v>
      </c>
      <c r="O1323" s="42">
        <f t="shared" si="121"/>
        <v>45177</v>
      </c>
      <c r="P1323" s="5" t="str">
        <f t="shared" si="122"/>
        <v>Friday</v>
      </c>
      <c r="Q1323" s="5">
        <f t="shared" si="123"/>
        <v>8</v>
      </c>
      <c r="R1323" s="28">
        <f t="shared" si="124"/>
        <v>0.98969072164948457</v>
      </c>
      <c r="S1323" s="29">
        <f t="shared" si="125"/>
        <v>98.969072164948457</v>
      </c>
      <c r="T1323" s="5" t="str">
        <f>IF(Delivery_Data[[#This Row],[Delays (min)]]&gt;0,"No","Yes")</f>
        <v>No</v>
      </c>
    </row>
    <row r="1324" spans="1:20" ht="15.75" customHeight="1" x14ac:dyDescent="0.3">
      <c r="A1324" s="4">
        <v>2323</v>
      </c>
      <c r="B1324" s="5" t="s">
        <v>1423</v>
      </c>
      <c r="C1324" s="6">
        <v>45173.529166666667</v>
      </c>
      <c r="D1324" s="5" t="s">
        <v>43</v>
      </c>
      <c r="E1324" s="5" t="s">
        <v>101</v>
      </c>
      <c r="F1324" s="5" t="s">
        <v>38</v>
      </c>
      <c r="G1324" s="5" t="s">
        <v>31</v>
      </c>
      <c r="H1324" s="5">
        <v>65</v>
      </c>
      <c r="I1324" s="5">
        <v>23</v>
      </c>
      <c r="J1324" s="5" t="s">
        <v>26</v>
      </c>
      <c r="K1324" s="5" t="s">
        <v>19</v>
      </c>
      <c r="L1324" s="5" t="s">
        <v>28</v>
      </c>
      <c r="M1324" s="7" t="s">
        <v>21</v>
      </c>
      <c r="N1324" s="26">
        <f t="shared" si="120"/>
        <v>1</v>
      </c>
      <c r="O1324" s="42">
        <f t="shared" si="121"/>
        <v>45173</v>
      </c>
      <c r="P1324" s="5" t="str">
        <f t="shared" si="122"/>
        <v>Monday</v>
      </c>
      <c r="Q1324" s="5">
        <f t="shared" si="123"/>
        <v>12</v>
      </c>
      <c r="R1324" s="28">
        <f t="shared" si="124"/>
        <v>0.73863636363636365</v>
      </c>
      <c r="S1324" s="29">
        <f t="shared" si="125"/>
        <v>73.86363636363636</v>
      </c>
      <c r="T1324" s="5" t="str">
        <f>IF(Delivery_Data[[#This Row],[Delays (min)]]&gt;0,"No","Yes")</f>
        <v>No</v>
      </c>
    </row>
    <row r="1325" spans="1:20" ht="15.75" customHeight="1" x14ac:dyDescent="0.3">
      <c r="A1325" s="4">
        <v>2324</v>
      </c>
      <c r="B1325" s="5" t="s">
        <v>1424</v>
      </c>
      <c r="C1325" s="6">
        <v>45171.636111111111</v>
      </c>
      <c r="D1325" s="5" t="s">
        <v>43</v>
      </c>
      <c r="E1325" s="5" t="s">
        <v>162</v>
      </c>
      <c r="F1325" s="5" t="s">
        <v>38</v>
      </c>
      <c r="G1325" s="5" t="s">
        <v>39</v>
      </c>
      <c r="H1325" s="5">
        <v>160</v>
      </c>
      <c r="I1325" s="5">
        <v>7</v>
      </c>
      <c r="J1325" s="5" t="s">
        <v>26</v>
      </c>
      <c r="K1325" s="5" t="s">
        <v>45</v>
      </c>
      <c r="L1325" s="5" t="s">
        <v>20</v>
      </c>
      <c r="M1325" s="7" t="s">
        <v>21</v>
      </c>
      <c r="N1325" s="26">
        <f t="shared" si="120"/>
        <v>1</v>
      </c>
      <c r="O1325" s="42">
        <f t="shared" si="121"/>
        <v>45171</v>
      </c>
      <c r="P1325" s="5" t="str">
        <f t="shared" si="122"/>
        <v>Saturday</v>
      </c>
      <c r="Q1325" s="5">
        <f t="shared" si="123"/>
        <v>15</v>
      </c>
      <c r="R1325" s="28">
        <f t="shared" si="124"/>
        <v>0.95808383233532934</v>
      </c>
      <c r="S1325" s="29">
        <f t="shared" si="125"/>
        <v>95.808383233532936</v>
      </c>
      <c r="T1325" s="5" t="str">
        <f>IF(Delivery_Data[[#This Row],[Delays (min)]]&gt;0,"No","Yes")</f>
        <v>No</v>
      </c>
    </row>
    <row r="1326" spans="1:20" ht="15.75" customHeight="1" x14ac:dyDescent="0.3">
      <c r="A1326" s="4">
        <v>2325</v>
      </c>
      <c r="B1326" s="5" t="s">
        <v>1425</v>
      </c>
      <c r="C1326" s="6">
        <v>45176.681944444441</v>
      </c>
      <c r="D1326" s="5" t="s">
        <v>43</v>
      </c>
      <c r="E1326" s="5" t="s">
        <v>249</v>
      </c>
      <c r="F1326" s="5" t="s">
        <v>38</v>
      </c>
      <c r="G1326" s="5" t="s">
        <v>56</v>
      </c>
      <c r="H1326" s="5">
        <v>144</v>
      </c>
      <c r="I1326" s="5">
        <v>16</v>
      </c>
      <c r="J1326" s="5" t="s">
        <v>26</v>
      </c>
      <c r="K1326" s="5" t="s">
        <v>35</v>
      </c>
      <c r="L1326" s="5" t="s">
        <v>40</v>
      </c>
      <c r="M1326" s="7" t="s">
        <v>21</v>
      </c>
      <c r="N1326" s="26">
        <f t="shared" si="120"/>
        <v>1</v>
      </c>
      <c r="O1326" s="42">
        <f t="shared" si="121"/>
        <v>45176</v>
      </c>
      <c r="P1326" s="5" t="str">
        <f t="shared" si="122"/>
        <v>Thursday</v>
      </c>
      <c r="Q1326" s="5">
        <f t="shared" si="123"/>
        <v>16</v>
      </c>
      <c r="R1326" s="28">
        <f t="shared" si="124"/>
        <v>0.9</v>
      </c>
      <c r="S1326" s="29">
        <f t="shared" si="125"/>
        <v>90</v>
      </c>
      <c r="T1326" s="5" t="str">
        <f>IF(Delivery_Data[[#This Row],[Delays (min)]]&gt;0,"No","Yes")</f>
        <v>No</v>
      </c>
    </row>
    <row r="1327" spans="1:20" ht="15.75" customHeight="1" x14ac:dyDescent="0.3">
      <c r="A1327" s="4">
        <v>2326</v>
      </c>
      <c r="B1327" s="5" t="s">
        <v>1426</v>
      </c>
      <c r="C1327" s="6">
        <v>45172.458333333336</v>
      </c>
      <c r="D1327" s="5" t="s">
        <v>43</v>
      </c>
      <c r="E1327" s="5" t="s">
        <v>234</v>
      </c>
      <c r="F1327" s="5" t="s">
        <v>16</v>
      </c>
      <c r="G1327" s="5" t="s">
        <v>25</v>
      </c>
      <c r="H1327" s="5">
        <v>230</v>
      </c>
      <c r="I1327" s="5">
        <v>26</v>
      </c>
      <c r="J1327" s="5" t="s">
        <v>26</v>
      </c>
      <c r="K1327" s="5" t="s">
        <v>35</v>
      </c>
      <c r="L1327" s="5" t="s">
        <v>28</v>
      </c>
      <c r="M1327" s="7" t="s">
        <v>46</v>
      </c>
      <c r="N1327" s="26">
        <f t="shared" si="120"/>
        <v>1</v>
      </c>
      <c r="O1327" s="42">
        <f t="shared" si="121"/>
        <v>45172</v>
      </c>
      <c r="P1327" s="5" t="str">
        <f t="shared" si="122"/>
        <v>Sunday</v>
      </c>
      <c r="Q1327" s="5">
        <f t="shared" si="123"/>
        <v>11</v>
      </c>
      <c r="R1327" s="28">
        <f t="shared" si="124"/>
        <v>0.8984375</v>
      </c>
      <c r="S1327" s="29">
        <f t="shared" si="125"/>
        <v>89.84375</v>
      </c>
      <c r="T1327" s="5" t="str">
        <f>IF(Delivery_Data[[#This Row],[Delays (min)]]&gt;0,"No","Yes")</f>
        <v>No</v>
      </c>
    </row>
    <row r="1328" spans="1:20" ht="15.75" customHeight="1" x14ac:dyDescent="0.3">
      <c r="A1328" s="4">
        <v>2327</v>
      </c>
      <c r="B1328" s="5" t="s">
        <v>1427</v>
      </c>
      <c r="C1328" s="6">
        <v>45175.659722222219</v>
      </c>
      <c r="D1328" s="5" t="s">
        <v>14</v>
      </c>
      <c r="E1328" s="5" t="s">
        <v>468</v>
      </c>
      <c r="F1328" s="5" t="s">
        <v>38</v>
      </c>
      <c r="G1328" s="5" t="s">
        <v>31</v>
      </c>
      <c r="H1328" s="5">
        <v>102</v>
      </c>
      <c r="I1328" s="5">
        <v>21</v>
      </c>
      <c r="J1328" s="5" t="s">
        <v>18</v>
      </c>
      <c r="K1328" s="5" t="s">
        <v>49</v>
      </c>
      <c r="L1328" s="5" t="s">
        <v>20</v>
      </c>
      <c r="M1328" s="7" t="s">
        <v>41</v>
      </c>
      <c r="N1328" s="26">
        <f t="shared" si="120"/>
        <v>0</v>
      </c>
      <c r="O1328" s="42">
        <f t="shared" si="121"/>
        <v>45175</v>
      </c>
      <c r="P1328" s="5" t="str">
        <f t="shared" si="122"/>
        <v>Wednesday</v>
      </c>
      <c r="Q1328" s="5">
        <f t="shared" si="123"/>
        <v>15</v>
      </c>
      <c r="R1328" s="28">
        <f t="shared" si="124"/>
        <v>0.82926829268292679</v>
      </c>
      <c r="S1328" s="29">
        <f t="shared" si="125"/>
        <v>82.926829268292678</v>
      </c>
      <c r="T1328" s="5" t="str">
        <f>IF(Delivery_Data[[#This Row],[Delays (min)]]&gt;0,"No","Yes")</f>
        <v>No</v>
      </c>
    </row>
    <row r="1329" spans="1:20" ht="15.75" customHeight="1" x14ac:dyDescent="0.3">
      <c r="A1329" s="4">
        <v>2328</v>
      </c>
      <c r="B1329" s="5" t="s">
        <v>1428</v>
      </c>
      <c r="C1329" s="6">
        <v>45170.335416666669</v>
      </c>
      <c r="D1329" s="5" t="s">
        <v>14</v>
      </c>
      <c r="E1329" s="5" t="s">
        <v>468</v>
      </c>
      <c r="F1329" s="5" t="s">
        <v>16</v>
      </c>
      <c r="G1329" s="5" t="s">
        <v>17</v>
      </c>
      <c r="H1329" s="5">
        <v>103</v>
      </c>
      <c r="I1329" s="5">
        <v>6</v>
      </c>
      <c r="J1329" s="5" t="s">
        <v>32</v>
      </c>
      <c r="K1329" s="5" t="s">
        <v>19</v>
      </c>
      <c r="L1329" s="5" t="s">
        <v>20</v>
      </c>
      <c r="M1329" s="7" t="s">
        <v>21</v>
      </c>
      <c r="N1329" s="26">
        <f t="shared" si="120"/>
        <v>-1</v>
      </c>
      <c r="O1329" s="42">
        <f t="shared" si="121"/>
        <v>45170</v>
      </c>
      <c r="P1329" s="5" t="str">
        <f t="shared" si="122"/>
        <v>Friday</v>
      </c>
      <c r="Q1329" s="5">
        <f t="shared" si="123"/>
        <v>8</v>
      </c>
      <c r="R1329" s="28">
        <f t="shared" si="124"/>
        <v>0.94495412844036697</v>
      </c>
      <c r="S1329" s="29">
        <f t="shared" si="125"/>
        <v>94.495412844036693</v>
      </c>
      <c r="T1329" s="5" t="str">
        <f>IF(Delivery_Data[[#This Row],[Delays (min)]]&gt;0,"No","Yes")</f>
        <v>No</v>
      </c>
    </row>
    <row r="1330" spans="1:20" ht="15.75" customHeight="1" x14ac:dyDescent="0.3">
      <c r="A1330" s="4">
        <v>2329</v>
      </c>
      <c r="B1330" s="5" t="s">
        <v>1429</v>
      </c>
      <c r="C1330" s="6">
        <v>45175.459722222222</v>
      </c>
      <c r="D1330" s="5" t="s">
        <v>14</v>
      </c>
      <c r="E1330" s="5" t="s">
        <v>58</v>
      </c>
      <c r="F1330" s="5" t="s">
        <v>16</v>
      </c>
      <c r="G1330" s="5" t="s">
        <v>31</v>
      </c>
      <c r="H1330" s="5">
        <v>127</v>
      </c>
      <c r="I1330" s="5">
        <v>17</v>
      </c>
      <c r="J1330" s="5" t="s">
        <v>26</v>
      </c>
      <c r="K1330" s="5" t="s">
        <v>49</v>
      </c>
      <c r="L1330" s="5" t="s">
        <v>40</v>
      </c>
      <c r="M1330" s="7" t="s">
        <v>46</v>
      </c>
      <c r="N1330" s="26">
        <f t="shared" si="120"/>
        <v>1</v>
      </c>
      <c r="O1330" s="42">
        <f t="shared" si="121"/>
        <v>45175</v>
      </c>
      <c r="P1330" s="5" t="str">
        <f t="shared" si="122"/>
        <v>Wednesday</v>
      </c>
      <c r="Q1330" s="5">
        <f t="shared" si="123"/>
        <v>11</v>
      </c>
      <c r="R1330" s="28">
        <f t="shared" si="124"/>
        <v>0.88194444444444442</v>
      </c>
      <c r="S1330" s="29">
        <f t="shared" si="125"/>
        <v>88.194444444444443</v>
      </c>
      <c r="T1330" s="5" t="str">
        <f>IF(Delivery_Data[[#This Row],[Delays (min)]]&gt;0,"No","Yes")</f>
        <v>No</v>
      </c>
    </row>
    <row r="1331" spans="1:20" ht="15.75" customHeight="1" x14ac:dyDescent="0.3">
      <c r="A1331" s="4">
        <v>2330</v>
      </c>
      <c r="B1331" s="5" t="s">
        <v>1430</v>
      </c>
      <c r="C1331" s="6">
        <v>45176.616666666669</v>
      </c>
      <c r="D1331" s="5" t="s">
        <v>43</v>
      </c>
      <c r="E1331" s="5" t="s">
        <v>95</v>
      </c>
      <c r="F1331" s="5" t="s">
        <v>24</v>
      </c>
      <c r="G1331" s="5" t="s">
        <v>31</v>
      </c>
      <c r="H1331" s="5">
        <v>108</v>
      </c>
      <c r="I1331" s="5">
        <v>0</v>
      </c>
      <c r="J1331" s="5" t="s">
        <v>26</v>
      </c>
      <c r="K1331" s="5" t="s">
        <v>19</v>
      </c>
      <c r="L1331" s="5" t="s">
        <v>28</v>
      </c>
      <c r="M1331" s="7" t="s">
        <v>46</v>
      </c>
      <c r="N1331" s="26">
        <f t="shared" si="120"/>
        <v>1</v>
      </c>
      <c r="O1331" s="42">
        <f t="shared" si="121"/>
        <v>45176</v>
      </c>
      <c r="P1331" s="5" t="str">
        <f t="shared" si="122"/>
        <v>Thursday</v>
      </c>
      <c r="Q1331" s="5">
        <f t="shared" si="123"/>
        <v>14</v>
      </c>
      <c r="R1331" s="28">
        <f t="shared" si="124"/>
        <v>1</v>
      </c>
      <c r="S1331" s="29">
        <f t="shared" si="125"/>
        <v>100</v>
      </c>
      <c r="T1331" s="5" t="str">
        <f>IF(Delivery_Data[[#This Row],[Delays (min)]]&gt;0,"No","Yes")</f>
        <v>Yes</v>
      </c>
    </row>
    <row r="1332" spans="1:20" ht="15.75" customHeight="1" x14ac:dyDescent="0.3">
      <c r="A1332" s="4">
        <v>2331</v>
      </c>
      <c r="B1332" s="5" t="s">
        <v>1431</v>
      </c>
      <c r="C1332" s="6">
        <v>45175.400694444441</v>
      </c>
      <c r="D1332" s="5" t="s">
        <v>14</v>
      </c>
      <c r="E1332" s="5" t="s">
        <v>169</v>
      </c>
      <c r="F1332" s="5" t="s">
        <v>38</v>
      </c>
      <c r="G1332" s="5" t="s">
        <v>25</v>
      </c>
      <c r="H1332" s="5">
        <v>112</v>
      </c>
      <c r="I1332" s="5">
        <v>17</v>
      </c>
      <c r="J1332" s="5" t="s">
        <v>18</v>
      </c>
      <c r="K1332" s="5" t="s">
        <v>27</v>
      </c>
      <c r="L1332" s="5" t="s">
        <v>40</v>
      </c>
      <c r="M1332" s="7" t="s">
        <v>46</v>
      </c>
      <c r="N1332" s="26">
        <f t="shared" si="120"/>
        <v>0</v>
      </c>
      <c r="O1332" s="42">
        <f t="shared" si="121"/>
        <v>45175</v>
      </c>
      <c r="P1332" s="5" t="str">
        <f t="shared" si="122"/>
        <v>Wednesday</v>
      </c>
      <c r="Q1332" s="5">
        <f t="shared" si="123"/>
        <v>9</v>
      </c>
      <c r="R1332" s="28">
        <f t="shared" si="124"/>
        <v>0.86821705426356588</v>
      </c>
      <c r="S1332" s="29">
        <f t="shared" si="125"/>
        <v>86.821705426356587</v>
      </c>
      <c r="T1332" s="5" t="str">
        <f>IF(Delivery_Data[[#This Row],[Delays (min)]]&gt;0,"No","Yes")</f>
        <v>No</v>
      </c>
    </row>
    <row r="1333" spans="1:20" ht="15.75" customHeight="1" x14ac:dyDescent="0.3">
      <c r="A1333" s="4">
        <v>2332</v>
      </c>
      <c r="B1333" s="5" t="s">
        <v>1432</v>
      </c>
      <c r="C1333" s="6">
        <v>45175.459027777775</v>
      </c>
      <c r="D1333" s="5" t="s">
        <v>14</v>
      </c>
      <c r="E1333" s="5" t="s">
        <v>115</v>
      </c>
      <c r="F1333" s="5" t="s">
        <v>16</v>
      </c>
      <c r="G1333" s="5" t="s">
        <v>17</v>
      </c>
      <c r="H1333" s="5">
        <v>213</v>
      </c>
      <c r="I1333" s="5">
        <v>18</v>
      </c>
      <c r="J1333" s="5" t="s">
        <v>18</v>
      </c>
      <c r="K1333" s="5" t="s">
        <v>35</v>
      </c>
      <c r="L1333" s="5" t="s">
        <v>20</v>
      </c>
      <c r="M1333" s="7" t="s">
        <v>41</v>
      </c>
      <c r="N1333" s="26">
        <f t="shared" si="120"/>
        <v>0</v>
      </c>
      <c r="O1333" s="42">
        <f t="shared" si="121"/>
        <v>45175</v>
      </c>
      <c r="P1333" s="5" t="str">
        <f t="shared" si="122"/>
        <v>Wednesday</v>
      </c>
      <c r="Q1333" s="5">
        <f t="shared" si="123"/>
        <v>11</v>
      </c>
      <c r="R1333" s="28">
        <f t="shared" si="124"/>
        <v>0.92207792207792205</v>
      </c>
      <c r="S1333" s="29">
        <f t="shared" si="125"/>
        <v>92.20779220779221</v>
      </c>
      <c r="T1333" s="5" t="str">
        <f>IF(Delivery_Data[[#This Row],[Delays (min)]]&gt;0,"No","Yes")</f>
        <v>No</v>
      </c>
    </row>
    <row r="1334" spans="1:20" ht="15.75" customHeight="1" x14ac:dyDescent="0.3">
      <c r="A1334" s="4">
        <v>2333</v>
      </c>
      <c r="B1334" s="5" t="s">
        <v>1433</v>
      </c>
      <c r="C1334" s="6">
        <v>45171.595833333333</v>
      </c>
      <c r="D1334" s="5" t="s">
        <v>43</v>
      </c>
      <c r="E1334" s="5" t="s">
        <v>200</v>
      </c>
      <c r="F1334" s="5" t="s">
        <v>16</v>
      </c>
      <c r="G1334" s="5" t="s">
        <v>31</v>
      </c>
      <c r="H1334" s="5">
        <v>160</v>
      </c>
      <c r="I1334" s="5">
        <v>11</v>
      </c>
      <c r="J1334" s="5" t="s">
        <v>26</v>
      </c>
      <c r="K1334" s="5" t="s">
        <v>19</v>
      </c>
      <c r="L1334" s="5" t="s">
        <v>40</v>
      </c>
      <c r="M1334" s="7" t="s">
        <v>21</v>
      </c>
      <c r="N1334" s="26">
        <f t="shared" si="120"/>
        <v>1</v>
      </c>
      <c r="O1334" s="42">
        <f t="shared" si="121"/>
        <v>45171</v>
      </c>
      <c r="P1334" s="5" t="str">
        <f t="shared" si="122"/>
        <v>Saturday</v>
      </c>
      <c r="Q1334" s="5">
        <f t="shared" si="123"/>
        <v>14</v>
      </c>
      <c r="R1334" s="28">
        <f t="shared" si="124"/>
        <v>0.93567251461988299</v>
      </c>
      <c r="S1334" s="29">
        <f t="shared" si="125"/>
        <v>93.567251461988292</v>
      </c>
      <c r="T1334" s="5" t="str">
        <f>IF(Delivery_Data[[#This Row],[Delays (min)]]&gt;0,"No","Yes")</f>
        <v>No</v>
      </c>
    </row>
    <row r="1335" spans="1:20" ht="15.75" customHeight="1" x14ac:dyDescent="0.3">
      <c r="A1335" s="4">
        <v>2334</v>
      </c>
      <c r="B1335" s="5" t="s">
        <v>1434</v>
      </c>
      <c r="C1335" s="6">
        <v>45173.677777777775</v>
      </c>
      <c r="D1335" s="5" t="s">
        <v>43</v>
      </c>
      <c r="E1335" s="5" t="s">
        <v>202</v>
      </c>
      <c r="F1335" s="5" t="s">
        <v>38</v>
      </c>
      <c r="G1335" s="5" t="s">
        <v>17</v>
      </c>
      <c r="H1335" s="5">
        <v>73</v>
      </c>
      <c r="I1335" s="5">
        <v>11</v>
      </c>
      <c r="J1335" s="5" t="s">
        <v>32</v>
      </c>
      <c r="K1335" s="5" t="s">
        <v>45</v>
      </c>
      <c r="L1335" s="5" t="s">
        <v>28</v>
      </c>
      <c r="M1335" s="7" t="s">
        <v>46</v>
      </c>
      <c r="N1335" s="26">
        <f t="shared" si="120"/>
        <v>-1</v>
      </c>
      <c r="O1335" s="42">
        <f t="shared" si="121"/>
        <v>45173</v>
      </c>
      <c r="P1335" s="5" t="str">
        <f t="shared" si="122"/>
        <v>Monday</v>
      </c>
      <c r="Q1335" s="5">
        <f t="shared" si="123"/>
        <v>16</v>
      </c>
      <c r="R1335" s="28">
        <f t="shared" si="124"/>
        <v>0.86904761904761907</v>
      </c>
      <c r="S1335" s="29">
        <f t="shared" si="125"/>
        <v>86.904761904761912</v>
      </c>
      <c r="T1335" s="5" t="str">
        <f>IF(Delivery_Data[[#This Row],[Delays (min)]]&gt;0,"No","Yes")</f>
        <v>No</v>
      </c>
    </row>
    <row r="1336" spans="1:20" ht="15.75" customHeight="1" x14ac:dyDescent="0.3">
      <c r="A1336" s="4">
        <v>2335</v>
      </c>
      <c r="B1336" s="5" t="s">
        <v>1435</v>
      </c>
      <c r="C1336" s="6">
        <v>45174.648611111108</v>
      </c>
      <c r="D1336" s="5" t="s">
        <v>14</v>
      </c>
      <c r="E1336" s="5" t="s">
        <v>177</v>
      </c>
      <c r="F1336" s="5" t="s">
        <v>38</v>
      </c>
      <c r="G1336" s="5" t="s">
        <v>39</v>
      </c>
      <c r="H1336" s="5">
        <v>74</v>
      </c>
      <c r="I1336" s="5">
        <v>6</v>
      </c>
      <c r="J1336" s="5" t="s">
        <v>18</v>
      </c>
      <c r="K1336" s="5" t="s">
        <v>27</v>
      </c>
      <c r="L1336" s="5" t="s">
        <v>20</v>
      </c>
      <c r="M1336" s="7" t="s">
        <v>46</v>
      </c>
      <c r="N1336" s="26">
        <f t="shared" si="120"/>
        <v>0</v>
      </c>
      <c r="O1336" s="42">
        <f t="shared" si="121"/>
        <v>45174</v>
      </c>
      <c r="P1336" s="5" t="str">
        <f t="shared" si="122"/>
        <v>Tuesday</v>
      </c>
      <c r="Q1336" s="5">
        <f t="shared" si="123"/>
        <v>15</v>
      </c>
      <c r="R1336" s="28">
        <f t="shared" si="124"/>
        <v>0.92500000000000004</v>
      </c>
      <c r="S1336" s="29">
        <f t="shared" si="125"/>
        <v>92.5</v>
      </c>
      <c r="T1336" s="5" t="str">
        <f>IF(Delivery_Data[[#This Row],[Delays (min)]]&gt;0,"No","Yes")</f>
        <v>No</v>
      </c>
    </row>
    <row r="1337" spans="1:20" ht="15.75" customHeight="1" x14ac:dyDescent="0.3">
      <c r="A1337" s="4">
        <v>2336</v>
      </c>
      <c r="B1337" s="5" t="s">
        <v>1436</v>
      </c>
      <c r="C1337" s="6">
        <v>45170.602777777778</v>
      </c>
      <c r="D1337" s="5" t="s">
        <v>43</v>
      </c>
      <c r="E1337" s="5" t="s">
        <v>44</v>
      </c>
      <c r="F1337" s="5" t="s">
        <v>24</v>
      </c>
      <c r="G1337" s="5" t="s">
        <v>31</v>
      </c>
      <c r="H1337" s="5">
        <v>122</v>
      </c>
      <c r="I1337" s="5">
        <v>1</v>
      </c>
      <c r="J1337" s="5" t="s">
        <v>26</v>
      </c>
      <c r="K1337" s="5" t="s">
        <v>35</v>
      </c>
      <c r="L1337" s="5" t="s">
        <v>40</v>
      </c>
      <c r="M1337" s="7" t="s">
        <v>21</v>
      </c>
      <c r="N1337" s="26">
        <f t="shared" si="120"/>
        <v>1</v>
      </c>
      <c r="O1337" s="42">
        <f t="shared" si="121"/>
        <v>45170</v>
      </c>
      <c r="P1337" s="5" t="str">
        <f t="shared" si="122"/>
        <v>Friday</v>
      </c>
      <c r="Q1337" s="5">
        <f t="shared" si="123"/>
        <v>14</v>
      </c>
      <c r="R1337" s="28">
        <f t="shared" si="124"/>
        <v>0.99186991869918695</v>
      </c>
      <c r="S1337" s="29">
        <f t="shared" si="125"/>
        <v>99.1869918699187</v>
      </c>
      <c r="T1337" s="5" t="str">
        <f>IF(Delivery_Data[[#This Row],[Delays (min)]]&gt;0,"No","Yes")</f>
        <v>No</v>
      </c>
    </row>
    <row r="1338" spans="1:20" ht="15.75" customHeight="1" x14ac:dyDescent="0.3">
      <c r="A1338" s="4">
        <v>2337</v>
      </c>
      <c r="B1338" s="5" t="s">
        <v>1437</v>
      </c>
      <c r="C1338" s="6">
        <v>45177.7</v>
      </c>
      <c r="D1338" s="5" t="s">
        <v>14</v>
      </c>
      <c r="E1338" s="5" t="s">
        <v>109</v>
      </c>
      <c r="F1338" s="5" t="s">
        <v>16</v>
      </c>
      <c r="G1338" s="5" t="s">
        <v>56</v>
      </c>
      <c r="H1338" s="5">
        <v>78</v>
      </c>
      <c r="I1338" s="5">
        <v>23</v>
      </c>
      <c r="J1338" s="5" t="s">
        <v>18</v>
      </c>
      <c r="K1338" s="5" t="s">
        <v>27</v>
      </c>
      <c r="L1338" s="5" t="s">
        <v>40</v>
      </c>
      <c r="M1338" s="7" t="s">
        <v>21</v>
      </c>
      <c r="N1338" s="26">
        <f t="shared" si="120"/>
        <v>0</v>
      </c>
      <c r="O1338" s="42">
        <f t="shared" si="121"/>
        <v>45177</v>
      </c>
      <c r="P1338" s="5" t="str">
        <f t="shared" si="122"/>
        <v>Friday</v>
      </c>
      <c r="Q1338" s="5">
        <f t="shared" si="123"/>
        <v>16</v>
      </c>
      <c r="R1338" s="28">
        <f t="shared" si="124"/>
        <v>0.7722772277227723</v>
      </c>
      <c r="S1338" s="29">
        <f t="shared" si="125"/>
        <v>77.227722772277232</v>
      </c>
      <c r="T1338" s="5" t="str">
        <f>IF(Delivery_Data[[#This Row],[Delays (min)]]&gt;0,"No","Yes")</f>
        <v>No</v>
      </c>
    </row>
    <row r="1339" spans="1:20" ht="15.75" customHeight="1" x14ac:dyDescent="0.3">
      <c r="A1339" s="4">
        <v>2338</v>
      </c>
      <c r="B1339" s="5" t="s">
        <v>1438</v>
      </c>
      <c r="C1339" s="6">
        <v>45171.361805555556</v>
      </c>
      <c r="D1339" s="5" t="s">
        <v>14</v>
      </c>
      <c r="E1339" s="5" t="s">
        <v>48</v>
      </c>
      <c r="F1339" s="5" t="s">
        <v>16</v>
      </c>
      <c r="G1339" s="5" t="s">
        <v>39</v>
      </c>
      <c r="H1339" s="5">
        <v>218</v>
      </c>
      <c r="I1339" s="5">
        <v>4</v>
      </c>
      <c r="J1339" s="5" t="s">
        <v>18</v>
      </c>
      <c r="K1339" s="5" t="s">
        <v>19</v>
      </c>
      <c r="L1339" s="5" t="s">
        <v>20</v>
      </c>
      <c r="M1339" s="7" t="s">
        <v>21</v>
      </c>
      <c r="N1339" s="26">
        <f t="shared" si="120"/>
        <v>0</v>
      </c>
      <c r="O1339" s="42">
        <f t="shared" si="121"/>
        <v>45171</v>
      </c>
      <c r="P1339" s="5" t="str">
        <f t="shared" si="122"/>
        <v>Saturday</v>
      </c>
      <c r="Q1339" s="5">
        <f t="shared" si="123"/>
        <v>8</v>
      </c>
      <c r="R1339" s="28">
        <f t="shared" si="124"/>
        <v>0.98198198198198194</v>
      </c>
      <c r="S1339" s="29">
        <f t="shared" si="125"/>
        <v>98.198198198198199</v>
      </c>
      <c r="T1339" s="5" t="str">
        <f>IF(Delivery_Data[[#This Row],[Delays (min)]]&gt;0,"No","Yes")</f>
        <v>No</v>
      </c>
    </row>
    <row r="1340" spans="1:20" ht="15.75" customHeight="1" x14ac:dyDescent="0.3">
      <c r="A1340" s="4">
        <v>2339</v>
      </c>
      <c r="B1340" s="5" t="s">
        <v>1439</v>
      </c>
      <c r="C1340" s="6">
        <v>45172.6875</v>
      </c>
      <c r="D1340" s="5" t="s">
        <v>43</v>
      </c>
      <c r="E1340" s="5" t="s">
        <v>374</v>
      </c>
      <c r="F1340" s="5" t="s">
        <v>16</v>
      </c>
      <c r="G1340" s="5" t="s">
        <v>25</v>
      </c>
      <c r="H1340" s="5">
        <v>145</v>
      </c>
      <c r="I1340" s="5">
        <v>19</v>
      </c>
      <c r="J1340" s="5" t="s">
        <v>32</v>
      </c>
      <c r="K1340" s="5" t="s">
        <v>19</v>
      </c>
      <c r="L1340" s="5" t="s">
        <v>28</v>
      </c>
      <c r="M1340" s="7" t="s">
        <v>41</v>
      </c>
      <c r="N1340" s="26">
        <f t="shared" si="120"/>
        <v>-1</v>
      </c>
      <c r="O1340" s="42">
        <f t="shared" si="121"/>
        <v>45172</v>
      </c>
      <c r="P1340" s="5" t="str">
        <f t="shared" si="122"/>
        <v>Sunday</v>
      </c>
      <c r="Q1340" s="5">
        <f t="shared" si="123"/>
        <v>16</v>
      </c>
      <c r="R1340" s="28">
        <f t="shared" si="124"/>
        <v>0.88414634146341464</v>
      </c>
      <c r="S1340" s="29">
        <f t="shared" si="125"/>
        <v>88.41463414634147</v>
      </c>
      <c r="T1340" s="5" t="str">
        <f>IF(Delivery_Data[[#This Row],[Delays (min)]]&gt;0,"No","Yes")</f>
        <v>No</v>
      </c>
    </row>
    <row r="1341" spans="1:20" ht="15.75" customHeight="1" x14ac:dyDescent="0.3">
      <c r="A1341" s="4">
        <v>2340</v>
      </c>
      <c r="B1341" s="5" t="s">
        <v>1440</v>
      </c>
      <c r="C1341" s="6">
        <v>45170.62222222222</v>
      </c>
      <c r="D1341" s="5" t="s">
        <v>14</v>
      </c>
      <c r="E1341" s="5" t="s">
        <v>128</v>
      </c>
      <c r="F1341" s="5" t="s">
        <v>16</v>
      </c>
      <c r="G1341" s="5" t="s">
        <v>39</v>
      </c>
      <c r="H1341" s="5">
        <v>191</v>
      </c>
      <c r="I1341" s="5">
        <v>18</v>
      </c>
      <c r="J1341" s="5" t="s">
        <v>26</v>
      </c>
      <c r="K1341" s="5" t="s">
        <v>45</v>
      </c>
      <c r="L1341" s="5" t="s">
        <v>40</v>
      </c>
      <c r="M1341" s="7" t="s">
        <v>21</v>
      </c>
      <c r="N1341" s="26">
        <f t="shared" si="120"/>
        <v>1</v>
      </c>
      <c r="O1341" s="42">
        <f t="shared" si="121"/>
        <v>45170</v>
      </c>
      <c r="P1341" s="5" t="str">
        <f t="shared" si="122"/>
        <v>Friday</v>
      </c>
      <c r="Q1341" s="5">
        <f t="shared" si="123"/>
        <v>14</v>
      </c>
      <c r="R1341" s="28">
        <f t="shared" si="124"/>
        <v>0.9138755980861244</v>
      </c>
      <c r="S1341" s="29">
        <f t="shared" si="125"/>
        <v>91.387559808612437</v>
      </c>
      <c r="T1341" s="5" t="str">
        <f>IF(Delivery_Data[[#This Row],[Delays (min)]]&gt;0,"No","Yes")</f>
        <v>No</v>
      </c>
    </row>
    <row r="1342" spans="1:20" ht="15.75" customHeight="1" x14ac:dyDescent="0.3">
      <c r="A1342" s="4">
        <v>2341</v>
      </c>
      <c r="B1342" s="5" t="s">
        <v>1441</v>
      </c>
      <c r="C1342" s="6">
        <v>45173.338194444441</v>
      </c>
      <c r="D1342" s="5" t="s">
        <v>43</v>
      </c>
      <c r="E1342" s="5" t="s">
        <v>197</v>
      </c>
      <c r="F1342" s="5" t="s">
        <v>16</v>
      </c>
      <c r="G1342" s="5" t="s">
        <v>56</v>
      </c>
      <c r="H1342" s="5">
        <v>150</v>
      </c>
      <c r="I1342" s="5">
        <v>9</v>
      </c>
      <c r="J1342" s="5" t="s">
        <v>18</v>
      </c>
      <c r="K1342" s="5" t="s">
        <v>35</v>
      </c>
      <c r="L1342" s="5" t="s">
        <v>20</v>
      </c>
      <c r="M1342" s="7" t="s">
        <v>46</v>
      </c>
      <c r="N1342" s="26">
        <f t="shared" si="120"/>
        <v>0</v>
      </c>
      <c r="O1342" s="42">
        <f t="shared" si="121"/>
        <v>45173</v>
      </c>
      <c r="P1342" s="5" t="str">
        <f t="shared" si="122"/>
        <v>Monday</v>
      </c>
      <c r="Q1342" s="5">
        <f t="shared" si="123"/>
        <v>8</v>
      </c>
      <c r="R1342" s="28">
        <f t="shared" si="124"/>
        <v>0.94339622641509435</v>
      </c>
      <c r="S1342" s="29">
        <f t="shared" si="125"/>
        <v>94.339622641509436</v>
      </c>
      <c r="T1342" s="5" t="str">
        <f>IF(Delivery_Data[[#This Row],[Delays (min)]]&gt;0,"No","Yes")</f>
        <v>No</v>
      </c>
    </row>
    <row r="1343" spans="1:20" ht="15.75" customHeight="1" x14ac:dyDescent="0.3">
      <c r="A1343" s="4">
        <v>2342</v>
      </c>
      <c r="B1343" s="5" t="s">
        <v>1442</v>
      </c>
      <c r="C1343" s="6">
        <v>45171.599305555559</v>
      </c>
      <c r="D1343" s="5" t="s">
        <v>43</v>
      </c>
      <c r="E1343" s="5" t="s">
        <v>160</v>
      </c>
      <c r="F1343" s="5" t="s">
        <v>38</v>
      </c>
      <c r="G1343" s="5" t="s">
        <v>39</v>
      </c>
      <c r="H1343" s="5">
        <v>148</v>
      </c>
      <c r="I1343" s="5">
        <v>17</v>
      </c>
      <c r="J1343" s="5" t="s">
        <v>32</v>
      </c>
      <c r="K1343" s="5" t="s">
        <v>35</v>
      </c>
      <c r="L1343" s="5" t="s">
        <v>20</v>
      </c>
      <c r="M1343" s="7" t="s">
        <v>21</v>
      </c>
      <c r="N1343" s="26">
        <f t="shared" si="120"/>
        <v>-1</v>
      </c>
      <c r="O1343" s="42">
        <f t="shared" si="121"/>
        <v>45171</v>
      </c>
      <c r="P1343" s="5" t="str">
        <f t="shared" si="122"/>
        <v>Saturday</v>
      </c>
      <c r="Q1343" s="5">
        <f t="shared" si="123"/>
        <v>14</v>
      </c>
      <c r="R1343" s="28">
        <f t="shared" si="124"/>
        <v>0.89696969696969697</v>
      </c>
      <c r="S1343" s="29">
        <f t="shared" si="125"/>
        <v>89.696969696969703</v>
      </c>
      <c r="T1343" s="5" t="str">
        <f>IF(Delivery_Data[[#This Row],[Delays (min)]]&gt;0,"No","Yes")</f>
        <v>No</v>
      </c>
    </row>
    <row r="1344" spans="1:20" ht="15.75" customHeight="1" x14ac:dyDescent="0.3">
      <c r="A1344" s="4">
        <v>2343</v>
      </c>
      <c r="B1344" s="5" t="s">
        <v>1443</v>
      </c>
      <c r="C1344" s="6">
        <v>45174.343055555553</v>
      </c>
      <c r="D1344" s="5" t="s">
        <v>43</v>
      </c>
      <c r="E1344" s="5" t="s">
        <v>140</v>
      </c>
      <c r="F1344" s="5" t="s">
        <v>24</v>
      </c>
      <c r="G1344" s="5" t="s">
        <v>31</v>
      </c>
      <c r="H1344" s="5">
        <v>125</v>
      </c>
      <c r="I1344" s="5">
        <v>22</v>
      </c>
      <c r="J1344" s="5" t="s">
        <v>26</v>
      </c>
      <c r="K1344" s="5" t="s">
        <v>27</v>
      </c>
      <c r="L1344" s="5" t="s">
        <v>40</v>
      </c>
      <c r="M1344" s="7" t="s">
        <v>21</v>
      </c>
      <c r="N1344" s="26">
        <f t="shared" si="120"/>
        <v>1</v>
      </c>
      <c r="O1344" s="42">
        <f t="shared" si="121"/>
        <v>45174</v>
      </c>
      <c r="P1344" s="5" t="str">
        <f t="shared" si="122"/>
        <v>Tuesday</v>
      </c>
      <c r="Q1344" s="5">
        <f t="shared" si="123"/>
        <v>8</v>
      </c>
      <c r="R1344" s="28">
        <f t="shared" si="124"/>
        <v>0.85034013605442171</v>
      </c>
      <c r="S1344" s="29">
        <f t="shared" si="125"/>
        <v>85.034013605442169</v>
      </c>
      <c r="T1344" s="5" t="str">
        <f>IF(Delivery_Data[[#This Row],[Delays (min)]]&gt;0,"No","Yes")</f>
        <v>No</v>
      </c>
    </row>
    <row r="1345" spans="1:20" ht="15.75" customHeight="1" x14ac:dyDescent="0.3">
      <c r="A1345" s="4">
        <v>2344</v>
      </c>
      <c r="B1345" s="5" t="s">
        <v>1444</v>
      </c>
      <c r="C1345" s="6">
        <v>45174.513194444444</v>
      </c>
      <c r="D1345" s="5" t="s">
        <v>14</v>
      </c>
      <c r="E1345" s="5" t="s">
        <v>115</v>
      </c>
      <c r="F1345" s="5" t="s">
        <v>24</v>
      </c>
      <c r="G1345" s="5" t="s">
        <v>39</v>
      </c>
      <c r="H1345" s="5">
        <v>144</v>
      </c>
      <c r="I1345" s="5">
        <v>7</v>
      </c>
      <c r="J1345" s="5" t="s">
        <v>18</v>
      </c>
      <c r="K1345" s="5" t="s">
        <v>45</v>
      </c>
      <c r="L1345" s="5" t="s">
        <v>28</v>
      </c>
      <c r="M1345" s="7" t="s">
        <v>46</v>
      </c>
      <c r="N1345" s="26">
        <f t="shared" si="120"/>
        <v>0</v>
      </c>
      <c r="O1345" s="42">
        <f t="shared" si="121"/>
        <v>45174</v>
      </c>
      <c r="P1345" s="5" t="str">
        <f t="shared" si="122"/>
        <v>Tuesday</v>
      </c>
      <c r="Q1345" s="5">
        <f t="shared" si="123"/>
        <v>12</v>
      </c>
      <c r="R1345" s="28">
        <f t="shared" si="124"/>
        <v>0.95364238410596025</v>
      </c>
      <c r="S1345" s="29">
        <f t="shared" si="125"/>
        <v>95.36423841059603</v>
      </c>
      <c r="T1345" s="5" t="str">
        <f>IF(Delivery_Data[[#This Row],[Delays (min)]]&gt;0,"No","Yes")</f>
        <v>No</v>
      </c>
    </row>
    <row r="1346" spans="1:20" ht="15.75" customHeight="1" x14ac:dyDescent="0.3">
      <c r="A1346" s="4">
        <v>2345</v>
      </c>
      <c r="B1346" s="5" t="s">
        <v>1445</v>
      </c>
      <c r="C1346" s="6">
        <v>45170.443055555559</v>
      </c>
      <c r="D1346" s="5" t="s">
        <v>14</v>
      </c>
      <c r="E1346" s="5" t="s">
        <v>166</v>
      </c>
      <c r="F1346" s="5" t="s">
        <v>38</v>
      </c>
      <c r="G1346" s="5" t="s">
        <v>25</v>
      </c>
      <c r="H1346" s="5">
        <v>229</v>
      </c>
      <c r="I1346" s="5">
        <v>9</v>
      </c>
      <c r="J1346" s="5" t="s">
        <v>18</v>
      </c>
      <c r="K1346" s="5" t="s">
        <v>45</v>
      </c>
      <c r="L1346" s="5" t="s">
        <v>20</v>
      </c>
      <c r="M1346" s="7" t="s">
        <v>46</v>
      </c>
      <c r="N1346" s="26">
        <f t="shared" ref="N1346:N1409" si="126">IF(J1346="Positive",1,IF(J1346="Neutral",0,IF(J1346="Negative",-1,"")))</f>
        <v>0</v>
      </c>
      <c r="O1346" s="42">
        <f t="shared" ref="O1346:O1409" si="127">INT(C1346)</f>
        <v>45170</v>
      </c>
      <c r="P1346" s="5" t="str">
        <f t="shared" ref="P1346:P1409" si="128">TEXT(C1346,"dddd")</f>
        <v>Friday</v>
      </c>
      <c r="Q1346" s="5">
        <f t="shared" ref="Q1346:Q1409" si="129">HOUR(C1346)</f>
        <v>10</v>
      </c>
      <c r="R1346" s="28">
        <f t="shared" ref="R1346:R1409" si="130">H1346/(H1346+I1346)</f>
        <v>0.96218487394957986</v>
      </c>
      <c r="S1346" s="29">
        <f t="shared" si="125"/>
        <v>96.21848739495799</v>
      </c>
      <c r="T1346" s="5" t="str">
        <f>IF(Delivery_Data[[#This Row],[Delays (min)]]&gt;0,"No","Yes")</f>
        <v>No</v>
      </c>
    </row>
    <row r="1347" spans="1:20" ht="15.75" customHeight="1" x14ac:dyDescent="0.3">
      <c r="A1347" s="4">
        <v>2346</v>
      </c>
      <c r="B1347" s="5" t="s">
        <v>1446</v>
      </c>
      <c r="C1347" s="6">
        <v>45174.604166666664</v>
      </c>
      <c r="D1347" s="5" t="s">
        <v>43</v>
      </c>
      <c r="E1347" s="5" t="s">
        <v>261</v>
      </c>
      <c r="F1347" s="5" t="s">
        <v>38</v>
      </c>
      <c r="G1347" s="5" t="s">
        <v>56</v>
      </c>
      <c r="H1347" s="5">
        <v>133</v>
      </c>
      <c r="I1347" s="5">
        <v>22</v>
      </c>
      <c r="J1347" s="5" t="s">
        <v>26</v>
      </c>
      <c r="K1347" s="5" t="s">
        <v>49</v>
      </c>
      <c r="L1347" s="5" t="s">
        <v>40</v>
      </c>
      <c r="M1347" s="7" t="s">
        <v>21</v>
      </c>
      <c r="N1347" s="26">
        <f t="shared" si="126"/>
        <v>1</v>
      </c>
      <c r="O1347" s="42">
        <f t="shared" si="127"/>
        <v>45174</v>
      </c>
      <c r="P1347" s="5" t="str">
        <f t="shared" si="128"/>
        <v>Tuesday</v>
      </c>
      <c r="Q1347" s="5">
        <f t="shared" si="129"/>
        <v>14</v>
      </c>
      <c r="R1347" s="28">
        <f t="shared" si="130"/>
        <v>0.85806451612903223</v>
      </c>
      <c r="S1347" s="29">
        <f t="shared" ref="S1347:S1410" si="131">IF(H1347+I1347=0,0,(H1347/(H1347+I1347))*100) + (IFERROR(--J1347,0)*10)</f>
        <v>85.806451612903217</v>
      </c>
      <c r="T1347" s="5" t="str">
        <f>IF(Delivery_Data[[#This Row],[Delays (min)]]&gt;0,"No","Yes")</f>
        <v>No</v>
      </c>
    </row>
    <row r="1348" spans="1:20" ht="15.75" customHeight="1" x14ac:dyDescent="0.3">
      <c r="A1348" s="4">
        <v>2347</v>
      </c>
      <c r="B1348" s="5" t="s">
        <v>1447</v>
      </c>
      <c r="C1348" s="6">
        <v>45176.560416666667</v>
      </c>
      <c r="D1348" s="5" t="s">
        <v>14</v>
      </c>
      <c r="E1348" s="5" t="s">
        <v>62</v>
      </c>
      <c r="F1348" s="5" t="s">
        <v>24</v>
      </c>
      <c r="G1348" s="5" t="s">
        <v>39</v>
      </c>
      <c r="H1348" s="5">
        <v>102</v>
      </c>
      <c r="I1348" s="5">
        <v>23</v>
      </c>
      <c r="J1348" s="5" t="s">
        <v>26</v>
      </c>
      <c r="K1348" s="5" t="s">
        <v>45</v>
      </c>
      <c r="L1348" s="5" t="s">
        <v>28</v>
      </c>
      <c r="M1348" s="7" t="s">
        <v>46</v>
      </c>
      <c r="N1348" s="26">
        <f t="shared" si="126"/>
        <v>1</v>
      </c>
      <c r="O1348" s="42">
        <f t="shared" si="127"/>
        <v>45176</v>
      </c>
      <c r="P1348" s="5" t="str">
        <f t="shared" si="128"/>
        <v>Thursday</v>
      </c>
      <c r="Q1348" s="5">
        <f t="shared" si="129"/>
        <v>13</v>
      </c>
      <c r="R1348" s="28">
        <f t="shared" si="130"/>
        <v>0.81599999999999995</v>
      </c>
      <c r="S1348" s="29">
        <f t="shared" si="131"/>
        <v>81.599999999999994</v>
      </c>
      <c r="T1348" s="5" t="str">
        <f>IF(Delivery_Data[[#This Row],[Delays (min)]]&gt;0,"No","Yes")</f>
        <v>No</v>
      </c>
    </row>
    <row r="1349" spans="1:20" ht="15.75" customHeight="1" x14ac:dyDescent="0.3">
      <c r="A1349" s="4">
        <v>2348</v>
      </c>
      <c r="B1349" s="5" t="s">
        <v>1448</v>
      </c>
      <c r="C1349" s="6">
        <v>45174.548611111109</v>
      </c>
      <c r="D1349" s="5" t="s">
        <v>43</v>
      </c>
      <c r="E1349" s="5" t="s">
        <v>234</v>
      </c>
      <c r="F1349" s="5" t="s">
        <v>16</v>
      </c>
      <c r="G1349" s="5" t="s">
        <v>56</v>
      </c>
      <c r="H1349" s="5">
        <v>161</v>
      </c>
      <c r="I1349" s="5">
        <v>25</v>
      </c>
      <c r="J1349" s="5" t="s">
        <v>26</v>
      </c>
      <c r="K1349" s="5" t="s">
        <v>45</v>
      </c>
      <c r="L1349" s="5" t="s">
        <v>40</v>
      </c>
      <c r="M1349" s="7" t="s">
        <v>46</v>
      </c>
      <c r="N1349" s="26">
        <f t="shared" si="126"/>
        <v>1</v>
      </c>
      <c r="O1349" s="42">
        <f t="shared" si="127"/>
        <v>45174</v>
      </c>
      <c r="P1349" s="5" t="str">
        <f t="shared" si="128"/>
        <v>Tuesday</v>
      </c>
      <c r="Q1349" s="5">
        <f t="shared" si="129"/>
        <v>13</v>
      </c>
      <c r="R1349" s="28">
        <f t="shared" si="130"/>
        <v>0.86559139784946237</v>
      </c>
      <c r="S1349" s="29">
        <f t="shared" si="131"/>
        <v>86.55913978494624</v>
      </c>
      <c r="T1349" s="5" t="str">
        <f>IF(Delivery_Data[[#This Row],[Delays (min)]]&gt;0,"No","Yes")</f>
        <v>No</v>
      </c>
    </row>
    <row r="1350" spans="1:20" ht="15.75" customHeight="1" x14ac:dyDescent="0.3">
      <c r="A1350" s="4">
        <v>2349</v>
      </c>
      <c r="B1350" s="5" t="s">
        <v>1449</v>
      </c>
      <c r="C1350" s="6">
        <v>45172.35</v>
      </c>
      <c r="D1350" s="5" t="s">
        <v>14</v>
      </c>
      <c r="E1350" s="5" t="s">
        <v>60</v>
      </c>
      <c r="F1350" s="5" t="s">
        <v>16</v>
      </c>
      <c r="G1350" s="5" t="s">
        <v>25</v>
      </c>
      <c r="H1350" s="5">
        <v>61</v>
      </c>
      <c r="I1350" s="5">
        <v>27</v>
      </c>
      <c r="J1350" s="5" t="s">
        <v>26</v>
      </c>
      <c r="K1350" s="5" t="s">
        <v>45</v>
      </c>
      <c r="L1350" s="5" t="s">
        <v>20</v>
      </c>
      <c r="M1350" s="7" t="s">
        <v>41</v>
      </c>
      <c r="N1350" s="26">
        <f t="shared" si="126"/>
        <v>1</v>
      </c>
      <c r="O1350" s="42">
        <f t="shared" si="127"/>
        <v>45172</v>
      </c>
      <c r="P1350" s="5" t="str">
        <f t="shared" si="128"/>
        <v>Sunday</v>
      </c>
      <c r="Q1350" s="5">
        <f t="shared" si="129"/>
        <v>8</v>
      </c>
      <c r="R1350" s="28">
        <f t="shared" si="130"/>
        <v>0.69318181818181823</v>
      </c>
      <c r="S1350" s="29">
        <f t="shared" si="131"/>
        <v>69.318181818181827</v>
      </c>
      <c r="T1350" s="5" t="str">
        <f>IF(Delivery_Data[[#This Row],[Delays (min)]]&gt;0,"No","Yes")</f>
        <v>No</v>
      </c>
    </row>
    <row r="1351" spans="1:20" ht="15.75" customHeight="1" x14ac:dyDescent="0.3">
      <c r="A1351" s="4">
        <v>2350</v>
      </c>
      <c r="B1351" s="5" t="s">
        <v>1450</v>
      </c>
      <c r="C1351" s="6">
        <v>45175.421527777777</v>
      </c>
      <c r="D1351" s="5" t="s">
        <v>43</v>
      </c>
      <c r="E1351" s="5" t="s">
        <v>95</v>
      </c>
      <c r="F1351" s="5" t="s">
        <v>24</v>
      </c>
      <c r="G1351" s="5" t="s">
        <v>56</v>
      </c>
      <c r="H1351" s="5">
        <v>107</v>
      </c>
      <c r="I1351" s="5">
        <v>15</v>
      </c>
      <c r="J1351" s="5" t="s">
        <v>18</v>
      </c>
      <c r="K1351" s="5" t="s">
        <v>45</v>
      </c>
      <c r="L1351" s="5" t="s">
        <v>28</v>
      </c>
      <c r="M1351" s="7" t="s">
        <v>46</v>
      </c>
      <c r="N1351" s="26">
        <f t="shared" si="126"/>
        <v>0</v>
      </c>
      <c r="O1351" s="42">
        <f t="shared" si="127"/>
        <v>45175</v>
      </c>
      <c r="P1351" s="5" t="str">
        <f t="shared" si="128"/>
        <v>Wednesday</v>
      </c>
      <c r="Q1351" s="5">
        <f t="shared" si="129"/>
        <v>10</v>
      </c>
      <c r="R1351" s="28">
        <f t="shared" si="130"/>
        <v>0.87704918032786883</v>
      </c>
      <c r="S1351" s="29">
        <f t="shared" si="131"/>
        <v>87.704918032786878</v>
      </c>
      <c r="T1351" s="5" t="str">
        <f>IF(Delivery_Data[[#This Row],[Delays (min)]]&gt;0,"No","Yes")</f>
        <v>No</v>
      </c>
    </row>
    <row r="1352" spans="1:20" ht="15.75" customHeight="1" x14ac:dyDescent="0.3">
      <c r="A1352" s="4">
        <v>2351</v>
      </c>
      <c r="B1352" s="5" t="s">
        <v>1451</v>
      </c>
      <c r="C1352" s="6">
        <v>45176.568749999999</v>
      </c>
      <c r="D1352" s="5" t="s">
        <v>14</v>
      </c>
      <c r="E1352" s="5" t="s">
        <v>220</v>
      </c>
      <c r="F1352" s="5" t="s">
        <v>24</v>
      </c>
      <c r="G1352" s="5" t="s">
        <v>31</v>
      </c>
      <c r="H1352" s="5">
        <v>207</v>
      </c>
      <c r="I1352" s="5">
        <v>28</v>
      </c>
      <c r="J1352" s="5" t="s">
        <v>18</v>
      </c>
      <c r="K1352" s="5" t="s">
        <v>49</v>
      </c>
      <c r="L1352" s="5" t="s">
        <v>40</v>
      </c>
      <c r="M1352" s="7" t="s">
        <v>21</v>
      </c>
      <c r="N1352" s="26">
        <f t="shared" si="126"/>
        <v>0</v>
      </c>
      <c r="O1352" s="42">
        <f t="shared" si="127"/>
        <v>45176</v>
      </c>
      <c r="P1352" s="5" t="str">
        <f t="shared" si="128"/>
        <v>Thursday</v>
      </c>
      <c r="Q1352" s="5">
        <f t="shared" si="129"/>
        <v>13</v>
      </c>
      <c r="R1352" s="28">
        <f t="shared" si="130"/>
        <v>0.88085106382978728</v>
      </c>
      <c r="S1352" s="29">
        <f t="shared" si="131"/>
        <v>88.085106382978722</v>
      </c>
      <c r="T1352" s="5" t="str">
        <f>IF(Delivery_Data[[#This Row],[Delays (min)]]&gt;0,"No","Yes")</f>
        <v>No</v>
      </c>
    </row>
    <row r="1353" spans="1:20" ht="15.75" customHeight="1" x14ac:dyDescent="0.3">
      <c r="A1353" s="4">
        <v>2352</v>
      </c>
      <c r="B1353" s="5" t="s">
        <v>1452</v>
      </c>
      <c r="C1353" s="6">
        <v>45175.630555555559</v>
      </c>
      <c r="D1353" s="5" t="s">
        <v>43</v>
      </c>
      <c r="E1353" s="5" t="s">
        <v>200</v>
      </c>
      <c r="F1353" s="5" t="s">
        <v>16</v>
      </c>
      <c r="G1353" s="5" t="s">
        <v>17</v>
      </c>
      <c r="H1353" s="5">
        <v>65</v>
      </c>
      <c r="I1353" s="5">
        <v>13</v>
      </c>
      <c r="J1353" s="5" t="s">
        <v>18</v>
      </c>
      <c r="K1353" s="5" t="s">
        <v>19</v>
      </c>
      <c r="L1353" s="5" t="s">
        <v>40</v>
      </c>
      <c r="M1353" s="7" t="s">
        <v>41</v>
      </c>
      <c r="N1353" s="26">
        <f t="shared" si="126"/>
        <v>0</v>
      </c>
      <c r="O1353" s="42">
        <f t="shared" si="127"/>
        <v>45175</v>
      </c>
      <c r="P1353" s="5" t="str">
        <f t="shared" si="128"/>
        <v>Wednesday</v>
      </c>
      <c r="Q1353" s="5">
        <f t="shared" si="129"/>
        <v>15</v>
      </c>
      <c r="R1353" s="28">
        <f t="shared" si="130"/>
        <v>0.83333333333333337</v>
      </c>
      <c r="S1353" s="29">
        <f t="shared" si="131"/>
        <v>83.333333333333343</v>
      </c>
      <c r="T1353" s="5" t="str">
        <f>IF(Delivery_Data[[#This Row],[Delays (min)]]&gt;0,"No","Yes")</f>
        <v>No</v>
      </c>
    </row>
    <row r="1354" spans="1:20" ht="15.75" customHeight="1" x14ac:dyDescent="0.3">
      <c r="A1354" s="4">
        <v>2353</v>
      </c>
      <c r="B1354" s="5" t="s">
        <v>1453</v>
      </c>
      <c r="C1354" s="6">
        <v>45172.617361111108</v>
      </c>
      <c r="D1354" s="5" t="s">
        <v>43</v>
      </c>
      <c r="E1354" s="5" t="s">
        <v>154</v>
      </c>
      <c r="F1354" s="5" t="s">
        <v>16</v>
      </c>
      <c r="G1354" s="5" t="s">
        <v>39</v>
      </c>
      <c r="H1354" s="5">
        <v>162</v>
      </c>
      <c r="I1354" s="5">
        <v>2</v>
      </c>
      <c r="J1354" s="5" t="s">
        <v>32</v>
      </c>
      <c r="K1354" s="5" t="s">
        <v>19</v>
      </c>
      <c r="L1354" s="5" t="s">
        <v>40</v>
      </c>
      <c r="M1354" s="7" t="s">
        <v>46</v>
      </c>
      <c r="N1354" s="26">
        <f t="shared" si="126"/>
        <v>-1</v>
      </c>
      <c r="O1354" s="42">
        <f t="shared" si="127"/>
        <v>45172</v>
      </c>
      <c r="P1354" s="5" t="str">
        <f t="shared" si="128"/>
        <v>Sunday</v>
      </c>
      <c r="Q1354" s="5">
        <f t="shared" si="129"/>
        <v>14</v>
      </c>
      <c r="R1354" s="28">
        <f t="shared" si="130"/>
        <v>0.98780487804878048</v>
      </c>
      <c r="S1354" s="29">
        <f t="shared" si="131"/>
        <v>98.780487804878049</v>
      </c>
      <c r="T1354" s="5" t="str">
        <f>IF(Delivery_Data[[#This Row],[Delays (min)]]&gt;0,"No","Yes")</f>
        <v>No</v>
      </c>
    </row>
    <row r="1355" spans="1:20" ht="15.75" customHeight="1" x14ac:dyDescent="0.3">
      <c r="A1355" s="4">
        <v>2354</v>
      </c>
      <c r="B1355" s="5" t="s">
        <v>1454</v>
      </c>
      <c r="C1355" s="6">
        <v>45172.45416666667</v>
      </c>
      <c r="D1355" s="5" t="s">
        <v>14</v>
      </c>
      <c r="E1355" s="5" t="s">
        <v>126</v>
      </c>
      <c r="F1355" s="5" t="s">
        <v>16</v>
      </c>
      <c r="G1355" s="5" t="s">
        <v>31</v>
      </c>
      <c r="H1355" s="5">
        <v>99</v>
      </c>
      <c r="I1355" s="5">
        <v>7</v>
      </c>
      <c r="J1355" s="5" t="s">
        <v>32</v>
      </c>
      <c r="K1355" s="5" t="s">
        <v>19</v>
      </c>
      <c r="L1355" s="5" t="s">
        <v>20</v>
      </c>
      <c r="M1355" s="7" t="s">
        <v>41</v>
      </c>
      <c r="N1355" s="26">
        <f t="shared" si="126"/>
        <v>-1</v>
      </c>
      <c r="O1355" s="42">
        <f t="shared" si="127"/>
        <v>45172</v>
      </c>
      <c r="P1355" s="5" t="str">
        <f t="shared" si="128"/>
        <v>Sunday</v>
      </c>
      <c r="Q1355" s="5">
        <f t="shared" si="129"/>
        <v>10</v>
      </c>
      <c r="R1355" s="28">
        <f t="shared" si="130"/>
        <v>0.93396226415094341</v>
      </c>
      <c r="S1355" s="29">
        <f t="shared" si="131"/>
        <v>93.396226415094347</v>
      </c>
      <c r="T1355" s="5" t="str">
        <f>IF(Delivery_Data[[#This Row],[Delays (min)]]&gt;0,"No","Yes")</f>
        <v>No</v>
      </c>
    </row>
    <row r="1356" spans="1:20" ht="15.75" customHeight="1" x14ac:dyDescent="0.3">
      <c r="A1356" s="4">
        <v>2355</v>
      </c>
      <c r="B1356" s="5" t="s">
        <v>1455</v>
      </c>
      <c r="C1356" s="6">
        <v>45170.401388888888</v>
      </c>
      <c r="D1356" s="5" t="s">
        <v>43</v>
      </c>
      <c r="E1356" s="5" t="s">
        <v>34</v>
      </c>
      <c r="F1356" s="5" t="s">
        <v>38</v>
      </c>
      <c r="G1356" s="5" t="s">
        <v>25</v>
      </c>
      <c r="H1356" s="5">
        <v>141</v>
      </c>
      <c r="I1356" s="5">
        <v>2</v>
      </c>
      <c r="J1356" s="5" t="s">
        <v>18</v>
      </c>
      <c r="K1356" s="5" t="s">
        <v>45</v>
      </c>
      <c r="L1356" s="5" t="s">
        <v>20</v>
      </c>
      <c r="M1356" s="7" t="s">
        <v>21</v>
      </c>
      <c r="N1356" s="26">
        <f t="shared" si="126"/>
        <v>0</v>
      </c>
      <c r="O1356" s="42">
        <f t="shared" si="127"/>
        <v>45170</v>
      </c>
      <c r="P1356" s="5" t="str">
        <f t="shared" si="128"/>
        <v>Friday</v>
      </c>
      <c r="Q1356" s="5">
        <f t="shared" si="129"/>
        <v>9</v>
      </c>
      <c r="R1356" s="28">
        <f t="shared" si="130"/>
        <v>0.98601398601398604</v>
      </c>
      <c r="S1356" s="29">
        <f t="shared" si="131"/>
        <v>98.6013986013986</v>
      </c>
      <c r="T1356" s="5" t="str">
        <f>IF(Delivery_Data[[#This Row],[Delays (min)]]&gt;0,"No","Yes")</f>
        <v>No</v>
      </c>
    </row>
    <row r="1357" spans="1:20" ht="15.75" customHeight="1" x14ac:dyDescent="0.3">
      <c r="A1357" s="4">
        <v>2356</v>
      </c>
      <c r="B1357" s="5" t="s">
        <v>1456</v>
      </c>
      <c r="C1357" s="6">
        <v>45173.552083333336</v>
      </c>
      <c r="D1357" s="5" t="s">
        <v>14</v>
      </c>
      <c r="E1357" s="5" t="s">
        <v>48</v>
      </c>
      <c r="F1357" s="5" t="s">
        <v>16</v>
      </c>
      <c r="G1357" s="5" t="s">
        <v>25</v>
      </c>
      <c r="H1357" s="5">
        <v>180</v>
      </c>
      <c r="I1357" s="5">
        <v>11</v>
      </c>
      <c r="J1357" s="5" t="s">
        <v>32</v>
      </c>
      <c r="K1357" s="5" t="s">
        <v>27</v>
      </c>
      <c r="L1357" s="5" t="s">
        <v>40</v>
      </c>
      <c r="M1357" s="7" t="s">
        <v>21</v>
      </c>
      <c r="N1357" s="26">
        <f t="shared" si="126"/>
        <v>-1</v>
      </c>
      <c r="O1357" s="42">
        <f t="shared" si="127"/>
        <v>45173</v>
      </c>
      <c r="P1357" s="5" t="str">
        <f t="shared" si="128"/>
        <v>Monday</v>
      </c>
      <c r="Q1357" s="5">
        <f t="shared" si="129"/>
        <v>13</v>
      </c>
      <c r="R1357" s="28">
        <f t="shared" si="130"/>
        <v>0.94240837696335078</v>
      </c>
      <c r="S1357" s="29">
        <f t="shared" si="131"/>
        <v>94.240837696335078</v>
      </c>
      <c r="T1357" s="5" t="str">
        <f>IF(Delivery_Data[[#This Row],[Delays (min)]]&gt;0,"No","Yes")</f>
        <v>No</v>
      </c>
    </row>
    <row r="1358" spans="1:20" ht="15.75" customHeight="1" x14ac:dyDescent="0.3">
      <c r="A1358" s="4">
        <v>2357</v>
      </c>
      <c r="B1358" s="5" t="s">
        <v>1457</v>
      </c>
      <c r="C1358" s="6">
        <v>45170.519444444442</v>
      </c>
      <c r="D1358" s="5" t="s">
        <v>43</v>
      </c>
      <c r="E1358" s="5" t="s">
        <v>83</v>
      </c>
      <c r="F1358" s="5" t="s">
        <v>16</v>
      </c>
      <c r="G1358" s="5" t="s">
        <v>25</v>
      </c>
      <c r="H1358" s="5">
        <v>134</v>
      </c>
      <c r="I1358" s="5">
        <v>17</v>
      </c>
      <c r="J1358" s="5" t="s">
        <v>26</v>
      </c>
      <c r="K1358" s="5" t="s">
        <v>45</v>
      </c>
      <c r="L1358" s="5" t="s">
        <v>20</v>
      </c>
      <c r="M1358" s="7" t="s">
        <v>41</v>
      </c>
      <c r="N1358" s="26">
        <f t="shared" si="126"/>
        <v>1</v>
      </c>
      <c r="O1358" s="42">
        <f t="shared" si="127"/>
        <v>45170</v>
      </c>
      <c r="P1358" s="5" t="str">
        <f t="shared" si="128"/>
        <v>Friday</v>
      </c>
      <c r="Q1358" s="5">
        <f t="shared" si="129"/>
        <v>12</v>
      </c>
      <c r="R1358" s="28">
        <f t="shared" si="130"/>
        <v>0.88741721854304634</v>
      </c>
      <c r="S1358" s="29">
        <f t="shared" si="131"/>
        <v>88.741721854304629</v>
      </c>
      <c r="T1358" s="5" t="str">
        <f>IF(Delivery_Data[[#This Row],[Delays (min)]]&gt;0,"No","Yes")</f>
        <v>No</v>
      </c>
    </row>
    <row r="1359" spans="1:20" ht="15.75" customHeight="1" x14ac:dyDescent="0.3">
      <c r="A1359" s="4">
        <v>2358</v>
      </c>
      <c r="B1359" s="5" t="s">
        <v>1458</v>
      </c>
      <c r="C1359" s="6">
        <v>45174.521527777775</v>
      </c>
      <c r="D1359" s="5" t="s">
        <v>14</v>
      </c>
      <c r="E1359" s="5" t="s">
        <v>281</v>
      </c>
      <c r="F1359" s="5" t="s">
        <v>38</v>
      </c>
      <c r="G1359" s="5" t="s">
        <v>31</v>
      </c>
      <c r="H1359" s="5">
        <v>133</v>
      </c>
      <c r="I1359" s="5">
        <v>17</v>
      </c>
      <c r="J1359" s="5" t="s">
        <v>26</v>
      </c>
      <c r="K1359" s="5" t="s">
        <v>35</v>
      </c>
      <c r="L1359" s="5" t="s">
        <v>40</v>
      </c>
      <c r="M1359" s="7" t="s">
        <v>41</v>
      </c>
      <c r="N1359" s="26">
        <f t="shared" si="126"/>
        <v>1</v>
      </c>
      <c r="O1359" s="42">
        <f t="shared" si="127"/>
        <v>45174</v>
      </c>
      <c r="P1359" s="5" t="str">
        <f t="shared" si="128"/>
        <v>Tuesday</v>
      </c>
      <c r="Q1359" s="5">
        <f t="shared" si="129"/>
        <v>12</v>
      </c>
      <c r="R1359" s="28">
        <f t="shared" si="130"/>
        <v>0.88666666666666671</v>
      </c>
      <c r="S1359" s="29">
        <f t="shared" si="131"/>
        <v>88.666666666666671</v>
      </c>
      <c r="T1359" s="5" t="str">
        <f>IF(Delivery_Data[[#This Row],[Delays (min)]]&gt;0,"No","Yes")</f>
        <v>No</v>
      </c>
    </row>
    <row r="1360" spans="1:20" ht="15.75" customHeight="1" x14ac:dyDescent="0.3">
      <c r="A1360" s="4">
        <v>2359</v>
      </c>
      <c r="B1360" s="5" t="s">
        <v>1459</v>
      </c>
      <c r="C1360" s="6">
        <v>45176.664583333331</v>
      </c>
      <c r="D1360" s="5" t="s">
        <v>14</v>
      </c>
      <c r="E1360" s="5" t="s">
        <v>177</v>
      </c>
      <c r="F1360" s="5" t="s">
        <v>38</v>
      </c>
      <c r="G1360" s="5" t="s">
        <v>31</v>
      </c>
      <c r="H1360" s="5">
        <v>103</v>
      </c>
      <c r="I1360" s="5">
        <v>15</v>
      </c>
      <c r="J1360" s="5" t="s">
        <v>26</v>
      </c>
      <c r="K1360" s="5" t="s">
        <v>27</v>
      </c>
      <c r="L1360" s="5" t="s">
        <v>40</v>
      </c>
      <c r="M1360" s="7" t="s">
        <v>46</v>
      </c>
      <c r="N1360" s="26">
        <f t="shared" si="126"/>
        <v>1</v>
      </c>
      <c r="O1360" s="42">
        <f t="shared" si="127"/>
        <v>45176</v>
      </c>
      <c r="P1360" s="5" t="str">
        <f t="shared" si="128"/>
        <v>Thursday</v>
      </c>
      <c r="Q1360" s="5">
        <f t="shared" si="129"/>
        <v>15</v>
      </c>
      <c r="R1360" s="28">
        <f t="shared" si="130"/>
        <v>0.8728813559322034</v>
      </c>
      <c r="S1360" s="29">
        <f t="shared" si="131"/>
        <v>87.288135593220346</v>
      </c>
      <c r="T1360" s="5" t="str">
        <f>IF(Delivery_Data[[#This Row],[Delays (min)]]&gt;0,"No","Yes")</f>
        <v>No</v>
      </c>
    </row>
    <row r="1361" spans="1:20" ht="15.75" customHeight="1" x14ac:dyDescent="0.3">
      <c r="A1361" s="4">
        <v>2360</v>
      </c>
      <c r="B1361" s="5" t="s">
        <v>1460</v>
      </c>
      <c r="C1361" s="6">
        <v>45174.523611111108</v>
      </c>
      <c r="D1361" s="5" t="s">
        <v>43</v>
      </c>
      <c r="E1361" s="5" t="s">
        <v>101</v>
      </c>
      <c r="F1361" s="5" t="s">
        <v>24</v>
      </c>
      <c r="G1361" s="5" t="s">
        <v>31</v>
      </c>
      <c r="H1361" s="5">
        <v>209</v>
      </c>
      <c r="I1361" s="5">
        <v>19</v>
      </c>
      <c r="J1361" s="5" t="s">
        <v>32</v>
      </c>
      <c r="K1361" s="5" t="s">
        <v>27</v>
      </c>
      <c r="L1361" s="5" t="s">
        <v>20</v>
      </c>
      <c r="M1361" s="7" t="s">
        <v>41</v>
      </c>
      <c r="N1361" s="26">
        <f t="shared" si="126"/>
        <v>-1</v>
      </c>
      <c r="O1361" s="42">
        <f t="shared" si="127"/>
        <v>45174</v>
      </c>
      <c r="P1361" s="5" t="str">
        <f t="shared" si="128"/>
        <v>Tuesday</v>
      </c>
      <c r="Q1361" s="5">
        <f t="shared" si="129"/>
        <v>12</v>
      </c>
      <c r="R1361" s="28">
        <f t="shared" si="130"/>
        <v>0.91666666666666663</v>
      </c>
      <c r="S1361" s="29">
        <f t="shared" si="131"/>
        <v>91.666666666666657</v>
      </c>
      <c r="T1361" s="5" t="str">
        <f>IF(Delivery_Data[[#This Row],[Delays (min)]]&gt;0,"No","Yes")</f>
        <v>No</v>
      </c>
    </row>
    <row r="1362" spans="1:20" ht="15.75" customHeight="1" x14ac:dyDescent="0.3">
      <c r="A1362" s="4">
        <v>2361</v>
      </c>
      <c r="B1362" s="5" t="s">
        <v>1461</v>
      </c>
      <c r="C1362" s="6">
        <v>45173.557638888888</v>
      </c>
      <c r="D1362" s="5" t="s">
        <v>14</v>
      </c>
      <c r="E1362" s="5" t="s">
        <v>285</v>
      </c>
      <c r="F1362" s="5" t="s">
        <v>16</v>
      </c>
      <c r="G1362" s="5" t="s">
        <v>56</v>
      </c>
      <c r="H1362" s="5">
        <v>168</v>
      </c>
      <c r="I1362" s="5">
        <v>12</v>
      </c>
      <c r="J1362" s="5" t="s">
        <v>18</v>
      </c>
      <c r="K1362" s="5" t="s">
        <v>49</v>
      </c>
      <c r="L1362" s="5" t="s">
        <v>28</v>
      </c>
      <c r="M1362" s="7" t="s">
        <v>46</v>
      </c>
      <c r="N1362" s="26">
        <f t="shared" si="126"/>
        <v>0</v>
      </c>
      <c r="O1362" s="42">
        <f t="shared" si="127"/>
        <v>45173</v>
      </c>
      <c r="P1362" s="5" t="str">
        <f t="shared" si="128"/>
        <v>Monday</v>
      </c>
      <c r="Q1362" s="5">
        <f t="shared" si="129"/>
        <v>13</v>
      </c>
      <c r="R1362" s="28">
        <f t="shared" si="130"/>
        <v>0.93333333333333335</v>
      </c>
      <c r="S1362" s="29">
        <f t="shared" si="131"/>
        <v>93.333333333333329</v>
      </c>
      <c r="T1362" s="5" t="str">
        <f>IF(Delivery_Data[[#This Row],[Delays (min)]]&gt;0,"No","Yes")</f>
        <v>No</v>
      </c>
    </row>
    <row r="1363" spans="1:20" ht="15.75" customHeight="1" x14ac:dyDescent="0.3">
      <c r="A1363" s="4">
        <v>2362</v>
      </c>
      <c r="B1363" s="5" t="s">
        <v>1426</v>
      </c>
      <c r="C1363" s="6">
        <v>45172.597222222219</v>
      </c>
      <c r="D1363" s="5" t="s">
        <v>14</v>
      </c>
      <c r="E1363" s="5" t="s">
        <v>126</v>
      </c>
      <c r="F1363" s="5" t="s">
        <v>24</v>
      </c>
      <c r="G1363" s="5" t="s">
        <v>56</v>
      </c>
      <c r="H1363" s="5">
        <v>195</v>
      </c>
      <c r="I1363" s="5">
        <v>23</v>
      </c>
      <c r="J1363" s="5" t="s">
        <v>26</v>
      </c>
      <c r="K1363" s="5" t="s">
        <v>19</v>
      </c>
      <c r="L1363" s="5" t="s">
        <v>40</v>
      </c>
      <c r="M1363" s="7" t="s">
        <v>41</v>
      </c>
      <c r="N1363" s="26">
        <f t="shared" si="126"/>
        <v>1</v>
      </c>
      <c r="O1363" s="42">
        <f t="shared" si="127"/>
        <v>45172</v>
      </c>
      <c r="P1363" s="5" t="str">
        <f t="shared" si="128"/>
        <v>Sunday</v>
      </c>
      <c r="Q1363" s="5">
        <f t="shared" si="129"/>
        <v>14</v>
      </c>
      <c r="R1363" s="28">
        <f t="shared" si="130"/>
        <v>0.89449541284403666</v>
      </c>
      <c r="S1363" s="29">
        <f t="shared" si="131"/>
        <v>89.449541284403665</v>
      </c>
      <c r="T1363" s="5" t="str">
        <f>IF(Delivery_Data[[#This Row],[Delays (min)]]&gt;0,"No","Yes")</f>
        <v>No</v>
      </c>
    </row>
    <row r="1364" spans="1:20" ht="15.75" customHeight="1" x14ac:dyDescent="0.3">
      <c r="A1364" s="4">
        <v>2363</v>
      </c>
      <c r="B1364" s="5" t="s">
        <v>1462</v>
      </c>
      <c r="C1364" s="6">
        <v>45173.412499999999</v>
      </c>
      <c r="D1364" s="5" t="s">
        <v>43</v>
      </c>
      <c r="E1364" s="5" t="s">
        <v>162</v>
      </c>
      <c r="F1364" s="5" t="s">
        <v>24</v>
      </c>
      <c r="G1364" s="5" t="s">
        <v>25</v>
      </c>
      <c r="H1364" s="5">
        <v>123</v>
      </c>
      <c r="I1364" s="5">
        <v>25</v>
      </c>
      <c r="J1364" s="5" t="s">
        <v>18</v>
      </c>
      <c r="K1364" s="5" t="s">
        <v>49</v>
      </c>
      <c r="L1364" s="5" t="s">
        <v>20</v>
      </c>
      <c r="M1364" s="7" t="s">
        <v>41</v>
      </c>
      <c r="N1364" s="26">
        <f t="shared" si="126"/>
        <v>0</v>
      </c>
      <c r="O1364" s="42">
        <f t="shared" si="127"/>
        <v>45173</v>
      </c>
      <c r="P1364" s="5" t="str">
        <f t="shared" si="128"/>
        <v>Monday</v>
      </c>
      <c r="Q1364" s="5">
        <f t="shared" si="129"/>
        <v>9</v>
      </c>
      <c r="R1364" s="28">
        <f t="shared" si="130"/>
        <v>0.83108108108108103</v>
      </c>
      <c r="S1364" s="29">
        <f t="shared" si="131"/>
        <v>83.108108108108098</v>
      </c>
      <c r="T1364" s="5" t="str">
        <f>IF(Delivery_Data[[#This Row],[Delays (min)]]&gt;0,"No","Yes")</f>
        <v>No</v>
      </c>
    </row>
    <row r="1365" spans="1:20" ht="15.75" customHeight="1" x14ac:dyDescent="0.3">
      <c r="A1365" s="4">
        <v>2364</v>
      </c>
      <c r="B1365" s="5" t="s">
        <v>1463</v>
      </c>
      <c r="C1365" s="6">
        <v>45175.676388888889</v>
      </c>
      <c r="D1365" s="5" t="s">
        <v>43</v>
      </c>
      <c r="E1365" s="5" t="s">
        <v>164</v>
      </c>
      <c r="F1365" s="5" t="s">
        <v>16</v>
      </c>
      <c r="G1365" s="5" t="s">
        <v>31</v>
      </c>
      <c r="H1365" s="5">
        <v>202</v>
      </c>
      <c r="I1365" s="5">
        <v>6</v>
      </c>
      <c r="J1365" s="5" t="s">
        <v>32</v>
      </c>
      <c r="K1365" s="5" t="s">
        <v>49</v>
      </c>
      <c r="L1365" s="5" t="s">
        <v>40</v>
      </c>
      <c r="M1365" s="7" t="s">
        <v>21</v>
      </c>
      <c r="N1365" s="26">
        <f t="shared" si="126"/>
        <v>-1</v>
      </c>
      <c r="O1365" s="42">
        <f t="shared" si="127"/>
        <v>45175</v>
      </c>
      <c r="P1365" s="5" t="str">
        <f t="shared" si="128"/>
        <v>Wednesday</v>
      </c>
      <c r="Q1365" s="5">
        <f t="shared" si="129"/>
        <v>16</v>
      </c>
      <c r="R1365" s="28">
        <f t="shared" si="130"/>
        <v>0.97115384615384615</v>
      </c>
      <c r="S1365" s="29">
        <f t="shared" si="131"/>
        <v>97.115384615384613</v>
      </c>
      <c r="T1365" s="5" t="str">
        <f>IF(Delivery_Data[[#This Row],[Delays (min)]]&gt;0,"No","Yes")</f>
        <v>No</v>
      </c>
    </row>
    <row r="1366" spans="1:20" ht="15.75" customHeight="1" x14ac:dyDescent="0.3">
      <c r="A1366" s="4">
        <v>2365</v>
      </c>
      <c r="B1366" s="5" t="s">
        <v>784</v>
      </c>
      <c r="C1366" s="6">
        <v>45171.354861111111</v>
      </c>
      <c r="D1366" s="5" t="s">
        <v>14</v>
      </c>
      <c r="E1366" s="5" t="s">
        <v>113</v>
      </c>
      <c r="F1366" s="5" t="s">
        <v>24</v>
      </c>
      <c r="G1366" s="5" t="s">
        <v>39</v>
      </c>
      <c r="H1366" s="5">
        <v>128</v>
      </c>
      <c r="I1366" s="5">
        <v>18</v>
      </c>
      <c r="J1366" s="5" t="s">
        <v>32</v>
      </c>
      <c r="K1366" s="5" t="s">
        <v>49</v>
      </c>
      <c r="L1366" s="5" t="s">
        <v>20</v>
      </c>
      <c r="M1366" s="7" t="s">
        <v>21</v>
      </c>
      <c r="N1366" s="26">
        <f t="shared" si="126"/>
        <v>-1</v>
      </c>
      <c r="O1366" s="42">
        <f t="shared" si="127"/>
        <v>45171</v>
      </c>
      <c r="P1366" s="5" t="str">
        <f t="shared" si="128"/>
        <v>Saturday</v>
      </c>
      <c r="Q1366" s="5">
        <f t="shared" si="129"/>
        <v>8</v>
      </c>
      <c r="R1366" s="28">
        <f t="shared" si="130"/>
        <v>0.87671232876712324</v>
      </c>
      <c r="S1366" s="29">
        <f t="shared" si="131"/>
        <v>87.671232876712324</v>
      </c>
      <c r="T1366" s="5" t="str">
        <f>IF(Delivery_Data[[#This Row],[Delays (min)]]&gt;0,"No","Yes")</f>
        <v>No</v>
      </c>
    </row>
    <row r="1367" spans="1:20" ht="15.75" customHeight="1" x14ac:dyDescent="0.3">
      <c r="A1367" s="4">
        <v>2366</v>
      </c>
      <c r="B1367" s="5" t="s">
        <v>1464</v>
      </c>
      <c r="C1367" s="6">
        <v>45175.429166666669</v>
      </c>
      <c r="D1367" s="5" t="s">
        <v>43</v>
      </c>
      <c r="E1367" s="5" t="s">
        <v>200</v>
      </c>
      <c r="F1367" s="5" t="s">
        <v>38</v>
      </c>
      <c r="G1367" s="5" t="s">
        <v>25</v>
      </c>
      <c r="H1367" s="5">
        <v>134</v>
      </c>
      <c r="I1367" s="5">
        <v>22</v>
      </c>
      <c r="J1367" s="5" t="s">
        <v>18</v>
      </c>
      <c r="K1367" s="5" t="s">
        <v>27</v>
      </c>
      <c r="L1367" s="5" t="s">
        <v>28</v>
      </c>
      <c r="M1367" s="7" t="s">
        <v>21</v>
      </c>
      <c r="N1367" s="26">
        <f t="shared" si="126"/>
        <v>0</v>
      </c>
      <c r="O1367" s="42">
        <f t="shared" si="127"/>
        <v>45175</v>
      </c>
      <c r="P1367" s="5" t="str">
        <f t="shared" si="128"/>
        <v>Wednesday</v>
      </c>
      <c r="Q1367" s="5">
        <f t="shared" si="129"/>
        <v>10</v>
      </c>
      <c r="R1367" s="28">
        <f t="shared" si="130"/>
        <v>0.85897435897435892</v>
      </c>
      <c r="S1367" s="29">
        <f t="shared" si="131"/>
        <v>85.897435897435898</v>
      </c>
      <c r="T1367" s="5" t="str">
        <f>IF(Delivery_Data[[#This Row],[Delays (min)]]&gt;0,"No","Yes")</f>
        <v>No</v>
      </c>
    </row>
    <row r="1368" spans="1:20" ht="15.75" customHeight="1" x14ac:dyDescent="0.3">
      <c r="A1368" s="4">
        <v>2367</v>
      </c>
      <c r="B1368" s="5" t="s">
        <v>1465</v>
      </c>
      <c r="C1368" s="6">
        <v>45171.550694444442</v>
      </c>
      <c r="D1368" s="5" t="s">
        <v>43</v>
      </c>
      <c r="E1368" s="5" t="s">
        <v>193</v>
      </c>
      <c r="F1368" s="5" t="s">
        <v>24</v>
      </c>
      <c r="G1368" s="5" t="s">
        <v>56</v>
      </c>
      <c r="H1368" s="5">
        <v>152</v>
      </c>
      <c r="I1368" s="5">
        <v>22</v>
      </c>
      <c r="J1368" s="5" t="s">
        <v>26</v>
      </c>
      <c r="K1368" s="5" t="s">
        <v>35</v>
      </c>
      <c r="L1368" s="5" t="s">
        <v>40</v>
      </c>
      <c r="M1368" s="7" t="s">
        <v>41</v>
      </c>
      <c r="N1368" s="26">
        <f t="shared" si="126"/>
        <v>1</v>
      </c>
      <c r="O1368" s="42">
        <f t="shared" si="127"/>
        <v>45171</v>
      </c>
      <c r="P1368" s="5" t="str">
        <f t="shared" si="128"/>
        <v>Saturday</v>
      </c>
      <c r="Q1368" s="5">
        <f t="shared" si="129"/>
        <v>13</v>
      </c>
      <c r="R1368" s="28">
        <f t="shared" si="130"/>
        <v>0.87356321839080464</v>
      </c>
      <c r="S1368" s="29">
        <f t="shared" si="131"/>
        <v>87.356321839080465</v>
      </c>
      <c r="T1368" s="5" t="str">
        <f>IF(Delivery_Data[[#This Row],[Delays (min)]]&gt;0,"No","Yes")</f>
        <v>No</v>
      </c>
    </row>
    <row r="1369" spans="1:20" ht="15.75" customHeight="1" x14ac:dyDescent="0.3">
      <c r="A1369" s="4">
        <v>2368</v>
      </c>
      <c r="B1369" s="5" t="s">
        <v>1466</v>
      </c>
      <c r="C1369" s="6">
        <v>45170.447222222225</v>
      </c>
      <c r="D1369" s="5" t="s">
        <v>43</v>
      </c>
      <c r="E1369" s="5" t="s">
        <v>177</v>
      </c>
      <c r="F1369" s="5" t="s">
        <v>38</v>
      </c>
      <c r="G1369" s="5" t="s">
        <v>31</v>
      </c>
      <c r="H1369" s="5">
        <v>225</v>
      </c>
      <c r="I1369" s="5">
        <v>19</v>
      </c>
      <c r="J1369" s="5" t="s">
        <v>32</v>
      </c>
      <c r="K1369" s="5" t="s">
        <v>27</v>
      </c>
      <c r="L1369" s="5" t="s">
        <v>28</v>
      </c>
      <c r="M1369" s="7" t="s">
        <v>21</v>
      </c>
      <c r="N1369" s="26">
        <f t="shared" si="126"/>
        <v>-1</v>
      </c>
      <c r="O1369" s="42">
        <f t="shared" si="127"/>
        <v>45170</v>
      </c>
      <c r="P1369" s="5" t="str">
        <f t="shared" si="128"/>
        <v>Friday</v>
      </c>
      <c r="Q1369" s="5">
        <f t="shared" si="129"/>
        <v>10</v>
      </c>
      <c r="R1369" s="28">
        <f t="shared" si="130"/>
        <v>0.92213114754098358</v>
      </c>
      <c r="S1369" s="29">
        <f t="shared" si="131"/>
        <v>92.213114754098356</v>
      </c>
      <c r="T1369" s="5" t="str">
        <f>IF(Delivery_Data[[#This Row],[Delays (min)]]&gt;0,"No","Yes")</f>
        <v>No</v>
      </c>
    </row>
    <row r="1370" spans="1:20" ht="15.75" customHeight="1" x14ac:dyDescent="0.3">
      <c r="A1370" s="4">
        <v>2369</v>
      </c>
      <c r="B1370" s="5" t="s">
        <v>1467</v>
      </c>
      <c r="C1370" s="6">
        <v>45173.365972222222</v>
      </c>
      <c r="D1370" s="5" t="s">
        <v>43</v>
      </c>
      <c r="E1370" s="5" t="s">
        <v>197</v>
      </c>
      <c r="F1370" s="5" t="s">
        <v>16</v>
      </c>
      <c r="G1370" s="5" t="s">
        <v>25</v>
      </c>
      <c r="H1370" s="5">
        <v>207</v>
      </c>
      <c r="I1370" s="5">
        <v>2</v>
      </c>
      <c r="J1370" s="5" t="s">
        <v>26</v>
      </c>
      <c r="K1370" s="5" t="s">
        <v>45</v>
      </c>
      <c r="L1370" s="5" t="s">
        <v>28</v>
      </c>
      <c r="M1370" s="7" t="s">
        <v>46</v>
      </c>
      <c r="N1370" s="26">
        <f t="shared" si="126"/>
        <v>1</v>
      </c>
      <c r="O1370" s="42">
        <f t="shared" si="127"/>
        <v>45173</v>
      </c>
      <c r="P1370" s="5" t="str">
        <f t="shared" si="128"/>
        <v>Monday</v>
      </c>
      <c r="Q1370" s="5">
        <f t="shared" si="129"/>
        <v>8</v>
      </c>
      <c r="R1370" s="28">
        <f t="shared" si="130"/>
        <v>0.99043062200956933</v>
      </c>
      <c r="S1370" s="29">
        <f t="shared" si="131"/>
        <v>99.043062200956939</v>
      </c>
      <c r="T1370" s="5" t="str">
        <f>IF(Delivery_Data[[#This Row],[Delays (min)]]&gt;0,"No","Yes")</f>
        <v>No</v>
      </c>
    </row>
    <row r="1371" spans="1:20" ht="15.75" customHeight="1" x14ac:dyDescent="0.3">
      <c r="A1371" s="4">
        <v>2370</v>
      </c>
      <c r="B1371" s="5" t="s">
        <v>1468</v>
      </c>
      <c r="C1371" s="6">
        <v>45172.588888888888</v>
      </c>
      <c r="D1371" s="5" t="s">
        <v>43</v>
      </c>
      <c r="E1371" s="5" t="s">
        <v>285</v>
      </c>
      <c r="F1371" s="5" t="s">
        <v>38</v>
      </c>
      <c r="G1371" s="5" t="s">
        <v>17</v>
      </c>
      <c r="H1371" s="5">
        <v>230</v>
      </c>
      <c r="I1371" s="5">
        <v>12</v>
      </c>
      <c r="J1371" s="5" t="s">
        <v>32</v>
      </c>
      <c r="K1371" s="5" t="s">
        <v>19</v>
      </c>
      <c r="L1371" s="5" t="s">
        <v>20</v>
      </c>
      <c r="M1371" s="7" t="s">
        <v>46</v>
      </c>
      <c r="N1371" s="26">
        <f t="shared" si="126"/>
        <v>-1</v>
      </c>
      <c r="O1371" s="42">
        <f t="shared" si="127"/>
        <v>45172</v>
      </c>
      <c r="P1371" s="5" t="str">
        <f t="shared" si="128"/>
        <v>Sunday</v>
      </c>
      <c r="Q1371" s="5">
        <f t="shared" si="129"/>
        <v>14</v>
      </c>
      <c r="R1371" s="28">
        <f t="shared" si="130"/>
        <v>0.95041322314049592</v>
      </c>
      <c r="S1371" s="29">
        <f t="shared" si="131"/>
        <v>95.041322314049594</v>
      </c>
      <c r="T1371" s="5" t="str">
        <f>IF(Delivery_Data[[#This Row],[Delays (min)]]&gt;0,"No","Yes")</f>
        <v>No</v>
      </c>
    </row>
    <row r="1372" spans="1:20" ht="15.75" customHeight="1" x14ac:dyDescent="0.3">
      <c r="A1372" s="4">
        <v>2371</v>
      </c>
      <c r="B1372" s="5" t="s">
        <v>1469</v>
      </c>
      <c r="C1372" s="6">
        <v>45171.415972222225</v>
      </c>
      <c r="D1372" s="5" t="s">
        <v>14</v>
      </c>
      <c r="E1372" s="5" t="s">
        <v>60</v>
      </c>
      <c r="F1372" s="5" t="s">
        <v>16</v>
      </c>
      <c r="G1372" s="5" t="s">
        <v>56</v>
      </c>
      <c r="H1372" s="5">
        <v>107</v>
      </c>
      <c r="I1372" s="5">
        <v>24</v>
      </c>
      <c r="J1372" s="5" t="s">
        <v>32</v>
      </c>
      <c r="K1372" s="5" t="s">
        <v>49</v>
      </c>
      <c r="L1372" s="5" t="s">
        <v>20</v>
      </c>
      <c r="M1372" s="7" t="s">
        <v>41</v>
      </c>
      <c r="N1372" s="26">
        <f t="shared" si="126"/>
        <v>-1</v>
      </c>
      <c r="O1372" s="42">
        <f t="shared" si="127"/>
        <v>45171</v>
      </c>
      <c r="P1372" s="5" t="str">
        <f t="shared" si="128"/>
        <v>Saturday</v>
      </c>
      <c r="Q1372" s="5">
        <f t="shared" si="129"/>
        <v>9</v>
      </c>
      <c r="R1372" s="28">
        <f t="shared" si="130"/>
        <v>0.81679389312977102</v>
      </c>
      <c r="S1372" s="29">
        <f t="shared" si="131"/>
        <v>81.679389312977108</v>
      </c>
      <c r="T1372" s="5" t="str">
        <f>IF(Delivery_Data[[#This Row],[Delays (min)]]&gt;0,"No","Yes")</f>
        <v>No</v>
      </c>
    </row>
    <row r="1373" spans="1:20" ht="15.75" customHeight="1" x14ac:dyDescent="0.3">
      <c r="A1373" s="4">
        <v>2372</v>
      </c>
      <c r="B1373" s="5" t="s">
        <v>1470</v>
      </c>
      <c r="C1373" s="6">
        <v>45172.635416666664</v>
      </c>
      <c r="D1373" s="5" t="s">
        <v>43</v>
      </c>
      <c r="E1373" s="5" t="s">
        <v>441</v>
      </c>
      <c r="F1373" s="5" t="s">
        <v>16</v>
      </c>
      <c r="G1373" s="5" t="s">
        <v>25</v>
      </c>
      <c r="H1373" s="5">
        <v>210</v>
      </c>
      <c r="I1373" s="5">
        <v>21</v>
      </c>
      <c r="J1373" s="5" t="s">
        <v>26</v>
      </c>
      <c r="K1373" s="5" t="s">
        <v>45</v>
      </c>
      <c r="L1373" s="5" t="s">
        <v>20</v>
      </c>
      <c r="M1373" s="7" t="s">
        <v>21</v>
      </c>
      <c r="N1373" s="26">
        <f t="shared" si="126"/>
        <v>1</v>
      </c>
      <c r="O1373" s="42">
        <f t="shared" si="127"/>
        <v>45172</v>
      </c>
      <c r="P1373" s="5" t="str">
        <f t="shared" si="128"/>
        <v>Sunday</v>
      </c>
      <c r="Q1373" s="5">
        <f t="shared" si="129"/>
        <v>15</v>
      </c>
      <c r="R1373" s="28">
        <f t="shared" si="130"/>
        <v>0.90909090909090906</v>
      </c>
      <c r="S1373" s="29">
        <f t="shared" si="131"/>
        <v>90.909090909090907</v>
      </c>
      <c r="T1373" s="5" t="str">
        <f>IF(Delivery_Data[[#This Row],[Delays (min)]]&gt;0,"No","Yes")</f>
        <v>No</v>
      </c>
    </row>
    <row r="1374" spans="1:20" ht="15.75" customHeight="1" x14ac:dyDescent="0.3">
      <c r="A1374" s="4">
        <v>2373</v>
      </c>
      <c r="B1374" s="5" t="s">
        <v>1471</v>
      </c>
      <c r="C1374" s="6">
        <v>45172.646527777775</v>
      </c>
      <c r="D1374" s="5" t="s">
        <v>43</v>
      </c>
      <c r="E1374" s="5" t="s">
        <v>109</v>
      </c>
      <c r="F1374" s="5" t="s">
        <v>24</v>
      </c>
      <c r="G1374" s="5" t="s">
        <v>56</v>
      </c>
      <c r="H1374" s="5">
        <v>207</v>
      </c>
      <c r="I1374" s="5">
        <v>22</v>
      </c>
      <c r="J1374" s="5" t="s">
        <v>18</v>
      </c>
      <c r="K1374" s="5" t="s">
        <v>35</v>
      </c>
      <c r="L1374" s="5" t="s">
        <v>40</v>
      </c>
      <c r="M1374" s="7" t="s">
        <v>21</v>
      </c>
      <c r="N1374" s="26">
        <f t="shared" si="126"/>
        <v>0</v>
      </c>
      <c r="O1374" s="42">
        <f t="shared" si="127"/>
        <v>45172</v>
      </c>
      <c r="P1374" s="5" t="str">
        <f t="shared" si="128"/>
        <v>Sunday</v>
      </c>
      <c r="Q1374" s="5">
        <f t="shared" si="129"/>
        <v>15</v>
      </c>
      <c r="R1374" s="28">
        <f t="shared" si="130"/>
        <v>0.90393013100436681</v>
      </c>
      <c r="S1374" s="29">
        <f t="shared" si="131"/>
        <v>90.393013100436676</v>
      </c>
      <c r="T1374" s="5" t="str">
        <f>IF(Delivery_Data[[#This Row],[Delays (min)]]&gt;0,"No","Yes")</f>
        <v>No</v>
      </c>
    </row>
    <row r="1375" spans="1:20" ht="15.75" customHeight="1" x14ac:dyDescent="0.3">
      <c r="A1375" s="4">
        <v>2374</v>
      </c>
      <c r="B1375" s="5" t="s">
        <v>1472</v>
      </c>
      <c r="C1375" s="6">
        <v>45174.617361111108</v>
      </c>
      <c r="D1375" s="5" t="s">
        <v>43</v>
      </c>
      <c r="E1375" s="5" t="s">
        <v>374</v>
      </c>
      <c r="F1375" s="5" t="s">
        <v>16</v>
      </c>
      <c r="G1375" s="5" t="s">
        <v>39</v>
      </c>
      <c r="H1375" s="5">
        <v>167</v>
      </c>
      <c r="I1375" s="5">
        <v>7</v>
      </c>
      <c r="J1375" s="5" t="s">
        <v>18</v>
      </c>
      <c r="K1375" s="5" t="s">
        <v>45</v>
      </c>
      <c r="L1375" s="5" t="s">
        <v>28</v>
      </c>
      <c r="M1375" s="7" t="s">
        <v>41</v>
      </c>
      <c r="N1375" s="26">
        <f t="shared" si="126"/>
        <v>0</v>
      </c>
      <c r="O1375" s="42">
        <f t="shared" si="127"/>
        <v>45174</v>
      </c>
      <c r="P1375" s="5" t="str">
        <f t="shared" si="128"/>
        <v>Tuesday</v>
      </c>
      <c r="Q1375" s="5">
        <f t="shared" si="129"/>
        <v>14</v>
      </c>
      <c r="R1375" s="28">
        <f t="shared" si="130"/>
        <v>0.95977011494252873</v>
      </c>
      <c r="S1375" s="29">
        <f t="shared" si="131"/>
        <v>95.977011494252878</v>
      </c>
      <c r="T1375" s="5" t="str">
        <f>IF(Delivery_Data[[#This Row],[Delays (min)]]&gt;0,"No","Yes")</f>
        <v>No</v>
      </c>
    </row>
    <row r="1376" spans="1:20" ht="15.75" customHeight="1" x14ac:dyDescent="0.3">
      <c r="A1376" s="4">
        <v>2375</v>
      </c>
      <c r="B1376" s="5" t="s">
        <v>1473</v>
      </c>
      <c r="C1376" s="6">
        <v>45173.695138888892</v>
      </c>
      <c r="D1376" s="5" t="s">
        <v>14</v>
      </c>
      <c r="E1376" s="5" t="s">
        <v>53</v>
      </c>
      <c r="F1376" s="5" t="s">
        <v>38</v>
      </c>
      <c r="G1376" s="5" t="s">
        <v>17</v>
      </c>
      <c r="H1376" s="5">
        <v>176</v>
      </c>
      <c r="I1376" s="5">
        <v>15</v>
      </c>
      <c r="J1376" s="5" t="s">
        <v>32</v>
      </c>
      <c r="K1376" s="5" t="s">
        <v>19</v>
      </c>
      <c r="L1376" s="5" t="s">
        <v>28</v>
      </c>
      <c r="M1376" s="7" t="s">
        <v>41</v>
      </c>
      <c r="N1376" s="26">
        <f t="shared" si="126"/>
        <v>-1</v>
      </c>
      <c r="O1376" s="42">
        <f t="shared" si="127"/>
        <v>45173</v>
      </c>
      <c r="P1376" s="5" t="str">
        <f t="shared" si="128"/>
        <v>Monday</v>
      </c>
      <c r="Q1376" s="5">
        <f t="shared" si="129"/>
        <v>16</v>
      </c>
      <c r="R1376" s="28">
        <f t="shared" si="130"/>
        <v>0.92146596858638741</v>
      </c>
      <c r="S1376" s="29">
        <f t="shared" si="131"/>
        <v>92.146596858638745</v>
      </c>
      <c r="T1376" s="5" t="str">
        <f>IF(Delivery_Data[[#This Row],[Delays (min)]]&gt;0,"No","Yes")</f>
        <v>No</v>
      </c>
    </row>
    <row r="1377" spans="1:20" ht="15.75" customHeight="1" x14ac:dyDescent="0.3">
      <c r="A1377" s="4">
        <v>2376</v>
      </c>
      <c r="B1377" s="5" t="s">
        <v>1474</v>
      </c>
      <c r="C1377" s="6">
        <v>45175.565972222219</v>
      </c>
      <c r="D1377" s="5" t="s">
        <v>14</v>
      </c>
      <c r="E1377" s="5" t="s">
        <v>97</v>
      </c>
      <c r="F1377" s="5" t="s">
        <v>16</v>
      </c>
      <c r="G1377" s="5" t="s">
        <v>17</v>
      </c>
      <c r="H1377" s="5">
        <v>229</v>
      </c>
      <c r="I1377" s="5">
        <v>2</v>
      </c>
      <c r="J1377" s="5" t="s">
        <v>32</v>
      </c>
      <c r="K1377" s="5" t="s">
        <v>27</v>
      </c>
      <c r="L1377" s="5" t="s">
        <v>20</v>
      </c>
      <c r="M1377" s="7" t="s">
        <v>21</v>
      </c>
      <c r="N1377" s="26">
        <f t="shared" si="126"/>
        <v>-1</v>
      </c>
      <c r="O1377" s="42">
        <f t="shared" si="127"/>
        <v>45175</v>
      </c>
      <c r="P1377" s="5" t="str">
        <f t="shared" si="128"/>
        <v>Wednesday</v>
      </c>
      <c r="Q1377" s="5">
        <f t="shared" si="129"/>
        <v>13</v>
      </c>
      <c r="R1377" s="28">
        <f t="shared" si="130"/>
        <v>0.9913419913419913</v>
      </c>
      <c r="S1377" s="29">
        <f t="shared" si="131"/>
        <v>99.134199134199136</v>
      </c>
      <c r="T1377" s="5" t="str">
        <f>IF(Delivery_Data[[#This Row],[Delays (min)]]&gt;0,"No","Yes")</f>
        <v>No</v>
      </c>
    </row>
    <row r="1378" spans="1:20" ht="15.75" customHeight="1" x14ac:dyDescent="0.3">
      <c r="A1378" s="4">
        <v>2377</v>
      </c>
      <c r="B1378" s="5" t="s">
        <v>1475</v>
      </c>
      <c r="C1378" s="6">
        <v>45175.565972222219</v>
      </c>
      <c r="D1378" s="5" t="s">
        <v>43</v>
      </c>
      <c r="E1378" s="5" t="s">
        <v>111</v>
      </c>
      <c r="F1378" s="5" t="s">
        <v>24</v>
      </c>
      <c r="G1378" s="5" t="s">
        <v>17</v>
      </c>
      <c r="H1378" s="5">
        <v>197</v>
      </c>
      <c r="I1378" s="5">
        <v>20</v>
      </c>
      <c r="J1378" s="5" t="s">
        <v>26</v>
      </c>
      <c r="K1378" s="5" t="s">
        <v>45</v>
      </c>
      <c r="L1378" s="5" t="s">
        <v>20</v>
      </c>
      <c r="M1378" s="7" t="s">
        <v>41</v>
      </c>
      <c r="N1378" s="26">
        <f t="shared" si="126"/>
        <v>1</v>
      </c>
      <c r="O1378" s="42">
        <f t="shared" si="127"/>
        <v>45175</v>
      </c>
      <c r="P1378" s="5" t="str">
        <f t="shared" si="128"/>
        <v>Wednesday</v>
      </c>
      <c r="Q1378" s="5">
        <f t="shared" si="129"/>
        <v>13</v>
      </c>
      <c r="R1378" s="28">
        <f t="shared" si="130"/>
        <v>0.90783410138248843</v>
      </c>
      <c r="S1378" s="29">
        <f t="shared" si="131"/>
        <v>90.78341013824884</v>
      </c>
      <c r="T1378" s="5" t="str">
        <f>IF(Delivery_Data[[#This Row],[Delays (min)]]&gt;0,"No","Yes")</f>
        <v>No</v>
      </c>
    </row>
    <row r="1379" spans="1:20" ht="15.75" customHeight="1" x14ac:dyDescent="0.3">
      <c r="A1379" s="4">
        <v>2378</v>
      </c>
      <c r="B1379" s="5" t="s">
        <v>1476</v>
      </c>
      <c r="C1379" s="6">
        <v>45174.424305555556</v>
      </c>
      <c r="D1379" s="5" t="s">
        <v>14</v>
      </c>
      <c r="E1379" s="5" t="s">
        <v>200</v>
      </c>
      <c r="F1379" s="5" t="s">
        <v>16</v>
      </c>
      <c r="G1379" s="5" t="s">
        <v>25</v>
      </c>
      <c r="H1379" s="5">
        <v>237</v>
      </c>
      <c r="I1379" s="5">
        <v>9</v>
      </c>
      <c r="J1379" s="5" t="s">
        <v>32</v>
      </c>
      <c r="K1379" s="5" t="s">
        <v>45</v>
      </c>
      <c r="L1379" s="5" t="s">
        <v>40</v>
      </c>
      <c r="M1379" s="7" t="s">
        <v>21</v>
      </c>
      <c r="N1379" s="26">
        <f t="shared" si="126"/>
        <v>-1</v>
      </c>
      <c r="O1379" s="42">
        <f t="shared" si="127"/>
        <v>45174</v>
      </c>
      <c r="P1379" s="5" t="str">
        <f t="shared" si="128"/>
        <v>Tuesday</v>
      </c>
      <c r="Q1379" s="5">
        <f t="shared" si="129"/>
        <v>10</v>
      </c>
      <c r="R1379" s="28">
        <f t="shared" si="130"/>
        <v>0.96341463414634143</v>
      </c>
      <c r="S1379" s="29">
        <f t="shared" si="131"/>
        <v>96.341463414634148</v>
      </c>
      <c r="T1379" s="5" t="str">
        <f>IF(Delivery_Data[[#This Row],[Delays (min)]]&gt;0,"No","Yes")</f>
        <v>No</v>
      </c>
    </row>
    <row r="1380" spans="1:20" ht="15.75" customHeight="1" x14ac:dyDescent="0.3">
      <c r="A1380" s="4">
        <v>2379</v>
      </c>
      <c r="B1380" s="5" t="s">
        <v>1477</v>
      </c>
      <c r="C1380" s="6">
        <v>45175.446527777778</v>
      </c>
      <c r="D1380" s="5" t="s">
        <v>14</v>
      </c>
      <c r="E1380" s="5" t="s">
        <v>120</v>
      </c>
      <c r="F1380" s="5" t="s">
        <v>38</v>
      </c>
      <c r="G1380" s="5" t="s">
        <v>17</v>
      </c>
      <c r="H1380" s="5">
        <v>227</v>
      </c>
      <c r="I1380" s="5">
        <v>25</v>
      </c>
      <c r="J1380" s="5" t="s">
        <v>32</v>
      </c>
      <c r="K1380" s="5" t="s">
        <v>35</v>
      </c>
      <c r="L1380" s="5" t="s">
        <v>20</v>
      </c>
      <c r="M1380" s="7" t="s">
        <v>21</v>
      </c>
      <c r="N1380" s="26">
        <f t="shared" si="126"/>
        <v>-1</v>
      </c>
      <c r="O1380" s="42">
        <f t="shared" si="127"/>
        <v>45175</v>
      </c>
      <c r="P1380" s="5" t="str">
        <f t="shared" si="128"/>
        <v>Wednesday</v>
      </c>
      <c r="Q1380" s="5">
        <f t="shared" si="129"/>
        <v>10</v>
      </c>
      <c r="R1380" s="28">
        <f t="shared" si="130"/>
        <v>0.90079365079365081</v>
      </c>
      <c r="S1380" s="29">
        <f t="shared" si="131"/>
        <v>90.079365079365076</v>
      </c>
      <c r="T1380" s="5" t="str">
        <f>IF(Delivery_Data[[#This Row],[Delays (min)]]&gt;0,"No","Yes")</f>
        <v>No</v>
      </c>
    </row>
    <row r="1381" spans="1:20" ht="15.75" customHeight="1" x14ac:dyDescent="0.3">
      <c r="A1381" s="4">
        <v>2380</v>
      </c>
      <c r="B1381" s="5" t="s">
        <v>1478</v>
      </c>
      <c r="C1381" s="6">
        <v>45175.447916666664</v>
      </c>
      <c r="D1381" s="5" t="s">
        <v>43</v>
      </c>
      <c r="E1381" s="5" t="s">
        <v>37</v>
      </c>
      <c r="F1381" s="5" t="s">
        <v>24</v>
      </c>
      <c r="G1381" s="5" t="s">
        <v>56</v>
      </c>
      <c r="H1381" s="5">
        <v>117</v>
      </c>
      <c r="I1381" s="5">
        <v>2</v>
      </c>
      <c r="J1381" s="5" t="s">
        <v>32</v>
      </c>
      <c r="K1381" s="5" t="s">
        <v>35</v>
      </c>
      <c r="L1381" s="5" t="s">
        <v>40</v>
      </c>
      <c r="M1381" s="7" t="s">
        <v>21</v>
      </c>
      <c r="N1381" s="26">
        <f t="shared" si="126"/>
        <v>-1</v>
      </c>
      <c r="O1381" s="42">
        <f t="shared" si="127"/>
        <v>45175</v>
      </c>
      <c r="P1381" s="5" t="str">
        <f t="shared" si="128"/>
        <v>Wednesday</v>
      </c>
      <c r="Q1381" s="5">
        <f t="shared" si="129"/>
        <v>10</v>
      </c>
      <c r="R1381" s="28">
        <f t="shared" si="130"/>
        <v>0.98319327731092432</v>
      </c>
      <c r="S1381" s="29">
        <f t="shared" si="131"/>
        <v>98.319327731092429</v>
      </c>
      <c r="T1381" s="5" t="str">
        <f>IF(Delivery_Data[[#This Row],[Delays (min)]]&gt;0,"No","Yes")</f>
        <v>No</v>
      </c>
    </row>
    <row r="1382" spans="1:20" ht="15.75" customHeight="1" x14ac:dyDescent="0.3">
      <c r="A1382" s="4">
        <v>2381</v>
      </c>
      <c r="B1382" s="5" t="s">
        <v>1479</v>
      </c>
      <c r="C1382" s="6">
        <v>45171.392361111109</v>
      </c>
      <c r="D1382" s="5" t="s">
        <v>14</v>
      </c>
      <c r="E1382" s="5" t="s">
        <v>93</v>
      </c>
      <c r="F1382" s="5" t="s">
        <v>38</v>
      </c>
      <c r="G1382" s="5" t="s">
        <v>17</v>
      </c>
      <c r="H1382" s="5">
        <v>145</v>
      </c>
      <c r="I1382" s="5">
        <v>11</v>
      </c>
      <c r="J1382" s="5" t="s">
        <v>18</v>
      </c>
      <c r="K1382" s="5" t="s">
        <v>19</v>
      </c>
      <c r="L1382" s="5" t="s">
        <v>28</v>
      </c>
      <c r="M1382" s="7" t="s">
        <v>41</v>
      </c>
      <c r="N1382" s="26">
        <f t="shared" si="126"/>
        <v>0</v>
      </c>
      <c r="O1382" s="42">
        <f t="shared" si="127"/>
        <v>45171</v>
      </c>
      <c r="P1382" s="5" t="str">
        <f t="shared" si="128"/>
        <v>Saturday</v>
      </c>
      <c r="Q1382" s="5">
        <f t="shared" si="129"/>
        <v>9</v>
      </c>
      <c r="R1382" s="28">
        <f t="shared" si="130"/>
        <v>0.92948717948717952</v>
      </c>
      <c r="S1382" s="29">
        <f t="shared" si="131"/>
        <v>92.948717948717956</v>
      </c>
      <c r="T1382" s="5" t="str">
        <f>IF(Delivery_Data[[#This Row],[Delays (min)]]&gt;0,"No","Yes")</f>
        <v>No</v>
      </c>
    </row>
    <row r="1383" spans="1:20" ht="15.75" customHeight="1" x14ac:dyDescent="0.3">
      <c r="A1383" s="4">
        <v>2382</v>
      </c>
      <c r="B1383" s="5" t="s">
        <v>1480</v>
      </c>
      <c r="C1383" s="6">
        <v>45177.680555555555</v>
      </c>
      <c r="D1383" s="5" t="s">
        <v>43</v>
      </c>
      <c r="E1383" s="5" t="s">
        <v>30</v>
      </c>
      <c r="F1383" s="5" t="s">
        <v>16</v>
      </c>
      <c r="G1383" s="5" t="s">
        <v>31</v>
      </c>
      <c r="H1383" s="5">
        <v>136</v>
      </c>
      <c r="I1383" s="5">
        <v>12</v>
      </c>
      <c r="J1383" s="5" t="s">
        <v>32</v>
      </c>
      <c r="K1383" s="5" t="s">
        <v>27</v>
      </c>
      <c r="L1383" s="5" t="s">
        <v>20</v>
      </c>
      <c r="M1383" s="7" t="s">
        <v>46</v>
      </c>
      <c r="N1383" s="26">
        <f t="shared" si="126"/>
        <v>-1</v>
      </c>
      <c r="O1383" s="42">
        <f t="shared" si="127"/>
        <v>45177</v>
      </c>
      <c r="P1383" s="5" t="str">
        <f t="shared" si="128"/>
        <v>Friday</v>
      </c>
      <c r="Q1383" s="5">
        <f t="shared" si="129"/>
        <v>16</v>
      </c>
      <c r="R1383" s="28">
        <f t="shared" si="130"/>
        <v>0.91891891891891897</v>
      </c>
      <c r="S1383" s="29">
        <f t="shared" si="131"/>
        <v>91.891891891891902</v>
      </c>
      <c r="T1383" s="5" t="str">
        <f>IF(Delivery_Data[[#This Row],[Delays (min)]]&gt;0,"No","Yes")</f>
        <v>No</v>
      </c>
    </row>
    <row r="1384" spans="1:20" ht="15.75" customHeight="1" x14ac:dyDescent="0.3">
      <c r="A1384" s="4">
        <v>2383</v>
      </c>
      <c r="B1384" s="5" t="s">
        <v>1481</v>
      </c>
      <c r="C1384" s="6">
        <v>45171.568749999999</v>
      </c>
      <c r="D1384" s="5" t="s">
        <v>14</v>
      </c>
      <c r="E1384" s="5" t="s">
        <v>162</v>
      </c>
      <c r="F1384" s="5" t="s">
        <v>24</v>
      </c>
      <c r="G1384" s="5" t="s">
        <v>56</v>
      </c>
      <c r="H1384" s="5">
        <v>228</v>
      </c>
      <c r="I1384" s="5">
        <v>20</v>
      </c>
      <c r="J1384" s="5" t="s">
        <v>26</v>
      </c>
      <c r="K1384" s="5" t="s">
        <v>45</v>
      </c>
      <c r="L1384" s="5" t="s">
        <v>28</v>
      </c>
      <c r="M1384" s="7" t="s">
        <v>46</v>
      </c>
      <c r="N1384" s="26">
        <f t="shared" si="126"/>
        <v>1</v>
      </c>
      <c r="O1384" s="42">
        <f t="shared" si="127"/>
        <v>45171</v>
      </c>
      <c r="P1384" s="5" t="str">
        <f t="shared" si="128"/>
        <v>Saturday</v>
      </c>
      <c r="Q1384" s="5">
        <f t="shared" si="129"/>
        <v>13</v>
      </c>
      <c r="R1384" s="28">
        <f t="shared" si="130"/>
        <v>0.91935483870967738</v>
      </c>
      <c r="S1384" s="29">
        <f t="shared" si="131"/>
        <v>91.935483870967744</v>
      </c>
      <c r="T1384" s="5" t="str">
        <f>IF(Delivery_Data[[#This Row],[Delays (min)]]&gt;0,"No","Yes")</f>
        <v>No</v>
      </c>
    </row>
    <row r="1385" spans="1:20" ht="15.75" customHeight="1" x14ac:dyDescent="0.3">
      <c r="A1385" s="4">
        <v>2384</v>
      </c>
      <c r="B1385" s="5" t="s">
        <v>1482</v>
      </c>
      <c r="C1385" s="6">
        <v>45170.62777777778</v>
      </c>
      <c r="D1385" s="5" t="s">
        <v>14</v>
      </c>
      <c r="E1385" s="5" t="s">
        <v>272</v>
      </c>
      <c r="F1385" s="5" t="s">
        <v>38</v>
      </c>
      <c r="G1385" s="5" t="s">
        <v>56</v>
      </c>
      <c r="H1385" s="5">
        <v>206</v>
      </c>
      <c r="I1385" s="5">
        <v>13</v>
      </c>
      <c r="J1385" s="5" t="s">
        <v>18</v>
      </c>
      <c r="K1385" s="5" t="s">
        <v>19</v>
      </c>
      <c r="L1385" s="5" t="s">
        <v>40</v>
      </c>
      <c r="M1385" s="7" t="s">
        <v>21</v>
      </c>
      <c r="N1385" s="26">
        <f t="shared" si="126"/>
        <v>0</v>
      </c>
      <c r="O1385" s="42">
        <f t="shared" si="127"/>
        <v>45170</v>
      </c>
      <c r="P1385" s="5" t="str">
        <f t="shared" si="128"/>
        <v>Friday</v>
      </c>
      <c r="Q1385" s="5">
        <f t="shared" si="129"/>
        <v>15</v>
      </c>
      <c r="R1385" s="28">
        <f t="shared" si="130"/>
        <v>0.94063926940639264</v>
      </c>
      <c r="S1385" s="29">
        <f t="shared" si="131"/>
        <v>94.063926940639263</v>
      </c>
      <c r="T1385" s="5" t="str">
        <f>IF(Delivery_Data[[#This Row],[Delays (min)]]&gt;0,"No","Yes")</f>
        <v>No</v>
      </c>
    </row>
    <row r="1386" spans="1:20" ht="15.75" customHeight="1" x14ac:dyDescent="0.3">
      <c r="A1386" s="4">
        <v>2385</v>
      </c>
      <c r="B1386" s="5" t="s">
        <v>1483</v>
      </c>
      <c r="C1386" s="6">
        <v>45170.581944444442</v>
      </c>
      <c r="D1386" s="5" t="s">
        <v>43</v>
      </c>
      <c r="E1386" s="5" t="s">
        <v>240</v>
      </c>
      <c r="F1386" s="5" t="s">
        <v>38</v>
      </c>
      <c r="G1386" s="5" t="s">
        <v>31</v>
      </c>
      <c r="H1386" s="5">
        <v>114</v>
      </c>
      <c r="I1386" s="5">
        <v>8</v>
      </c>
      <c r="J1386" s="5" t="s">
        <v>32</v>
      </c>
      <c r="K1386" s="5" t="s">
        <v>27</v>
      </c>
      <c r="L1386" s="5" t="s">
        <v>40</v>
      </c>
      <c r="M1386" s="7" t="s">
        <v>41</v>
      </c>
      <c r="N1386" s="26">
        <f t="shared" si="126"/>
        <v>-1</v>
      </c>
      <c r="O1386" s="42">
        <f t="shared" si="127"/>
        <v>45170</v>
      </c>
      <c r="P1386" s="5" t="str">
        <f t="shared" si="128"/>
        <v>Friday</v>
      </c>
      <c r="Q1386" s="5">
        <f t="shared" si="129"/>
        <v>13</v>
      </c>
      <c r="R1386" s="28">
        <f t="shared" si="130"/>
        <v>0.93442622950819676</v>
      </c>
      <c r="S1386" s="29">
        <f t="shared" si="131"/>
        <v>93.442622950819683</v>
      </c>
      <c r="T1386" s="5" t="str">
        <f>IF(Delivery_Data[[#This Row],[Delays (min)]]&gt;0,"No","Yes")</f>
        <v>No</v>
      </c>
    </row>
    <row r="1387" spans="1:20" ht="15.75" customHeight="1" x14ac:dyDescent="0.3">
      <c r="A1387" s="4">
        <v>2386</v>
      </c>
      <c r="B1387" s="5" t="s">
        <v>1484</v>
      </c>
      <c r="C1387" s="6">
        <v>45170.70416666667</v>
      </c>
      <c r="D1387" s="5" t="s">
        <v>43</v>
      </c>
      <c r="E1387" s="5" t="s">
        <v>169</v>
      </c>
      <c r="F1387" s="5" t="s">
        <v>38</v>
      </c>
      <c r="G1387" s="5" t="s">
        <v>25</v>
      </c>
      <c r="H1387" s="5">
        <v>72</v>
      </c>
      <c r="I1387" s="5">
        <v>25</v>
      </c>
      <c r="J1387" s="5" t="s">
        <v>18</v>
      </c>
      <c r="K1387" s="5" t="s">
        <v>27</v>
      </c>
      <c r="L1387" s="5" t="s">
        <v>40</v>
      </c>
      <c r="M1387" s="7" t="s">
        <v>21</v>
      </c>
      <c r="N1387" s="26">
        <f t="shared" si="126"/>
        <v>0</v>
      </c>
      <c r="O1387" s="42">
        <f t="shared" si="127"/>
        <v>45170</v>
      </c>
      <c r="P1387" s="5" t="str">
        <f t="shared" si="128"/>
        <v>Friday</v>
      </c>
      <c r="Q1387" s="5">
        <f t="shared" si="129"/>
        <v>16</v>
      </c>
      <c r="R1387" s="28">
        <f t="shared" si="130"/>
        <v>0.74226804123711343</v>
      </c>
      <c r="S1387" s="29">
        <f t="shared" si="131"/>
        <v>74.226804123711347</v>
      </c>
      <c r="T1387" s="5" t="str">
        <f>IF(Delivery_Data[[#This Row],[Delays (min)]]&gt;0,"No","Yes")</f>
        <v>No</v>
      </c>
    </row>
    <row r="1388" spans="1:20" ht="15.75" customHeight="1" x14ac:dyDescent="0.3">
      <c r="A1388" s="4">
        <v>2387</v>
      </c>
      <c r="B1388" s="5" t="s">
        <v>1485</v>
      </c>
      <c r="C1388" s="6">
        <v>45171.554861111108</v>
      </c>
      <c r="D1388" s="5" t="s">
        <v>43</v>
      </c>
      <c r="E1388" s="5" t="s">
        <v>374</v>
      </c>
      <c r="F1388" s="5" t="s">
        <v>24</v>
      </c>
      <c r="G1388" s="5" t="s">
        <v>56</v>
      </c>
      <c r="H1388" s="5">
        <v>151</v>
      </c>
      <c r="I1388" s="5">
        <v>8</v>
      </c>
      <c r="J1388" s="5" t="s">
        <v>18</v>
      </c>
      <c r="K1388" s="5" t="s">
        <v>27</v>
      </c>
      <c r="L1388" s="5" t="s">
        <v>20</v>
      </c>
      <c r="M1388" s="7" t="s">
        <v>41</v>
      </c>
      <c r="N1388" s="26">
        <f t="shared" si="126"/>
        <v>0</v>
      </c>
      <c r="O1388" s="42">
        <f t="shared" si="127"/>
        <v>45171</v>
      </c>
      <c r="P1388" s="5" t="str">
        <f t="shared" si="128"/>
        <v>Saturday</v>
      </c>
      <c r="Q1388" s="5">
        <f t="shared" si="129"/>
        <v>13</v>
      </c>
      <c r="R1388" s="28">
        <f t="shared" si="130"/>
        <v>0.94968553459119498</v>
      </c>
      <c r="S1388" s="29">
        <f t="shared" si="131"/>
        <v>94.968553459119505</v>
      </c>
      <c r="T1388" s="5" t="str">
        <f>IF(Delivery_Data[[#This Row],[Delays (min)]]&gt;0,"No","Yes")</f>
        <v>No</v>
      </c>
    </row>
    <row r="1389" spans="1:20" ht="15.75" customHeight="1" x14ac:dyDescent="0.3">
      <c r="A1389" s="4">
        <v>2388</v>
      </c>
      <c r="B1389" s="5" t="s">
        <v>1486</v>
      </c>
      <c r="C1389" s="6">
        <v>45177.519444444442</v>
      </c>
      <c r="D1389" s="5" t="s">
        <v>14</v>
      </c>
      <c r="E1389" s="5" t="s">
        <v>64</v>
      </c>
      <c r="F1389" s="5" t="s">
        <v>38</v>
      </c>
      <c r="G1389" s="5" t="s">
        <v>39</v>
      </c>
      <c r="H1389" s="5">
        <v>201</v>
      </c>
      <c r="I1389" s="5">
        <v>15</v>
      </c>
      <c r="J1389" s="5" t="s">
        <v>18</v>
      </c>
      <c r="K1389" s="5" t="s">
        <v>19</v>
      </c>
      <c r="L1389" s="5" t="s">
        <v>28</v>
      </c>
      <c r="M1389" s="7" t="s">
        <v>21</v>
      </c>
      <c r="N1389" s="26">
        <f t="shared" si="126"/>
        <v>0</v>
      </c>
      <c r="O1389" s="42">
        <f t="shared" si="127"/>
        <v>45177</v>
      </c>
      <c r="P1389" s="5" t="str">
        <f t="shared" si="128"/>
        <v>Friday</v>
      </c>
      <c r="Q1389" s="5">
        <f t="shared" si="129"/>
        <v>12</v>
      </c>
      <c r="R1389" s="28">
        <f t="shared" si="130"/>
        <v>0.93055555555555558</v>
      </c>
      <c r="S1389" s="29">
        <f t="shared" si="131"/>
        <v>93.055555555555557</v>
      </c>
      <c r="T1389" s="5" t="str">
        <f>IF(Delivery_Data[[#This Row],[Delays (min)]]&gt;0,"No","Yes")</f>
        <v>No</v>
      </c>
    </row>
    <row r="1390" spans="1:20" ht="15.75" customHeight="1" x14ac:dyDescent="0.3">
      <c r="A1390" s="4">
        <v>2389</v>
      </c>
      <c r="B1390" s="5" t="s">
        <v>1487</v>
      </c>
      <c r="C1390" s="6">
        <v>45177.511805555558</v>
      </c>
      <c r="D1390" s="5" t="s">
        <v>43</v>
      </c>
      <c r="E1390" s="5" t="s">
        <v>64</v>
      </c>
      <c r="F1390" s="5" t="s">
        <v>38</v>
      </c>
      <c r="G1390" s="5" t="s">
        <v>56</v>
      </c>
      <c r="H1390" s="5">
        <v>97</v>
      </c>
      <c r="I1390" s="5">
        <v>20</v>
      </c>
      <c r="J1390" s="5" t="s">
        <v>18</v>
      </c>
      <c r="K1390" s="5" t="s">
        <v>19</v>
      </c>
      <c r="L1390" s="5" t="s">
        <v>40</v>
      </c>
      <c r="M1390" s="7" t="s">
        <v>46</v>
      </c>
      <c r="N1390" s="26">
        <f t="shared" si="126"/>
        <v>0</v>
      </c>
      <c r="O1390" s="42">
        <f t="shared" si="127"/>
        <v>45177</v>
      </c>
      <c r="P1390" s="5" t="str">
        <f t="shared" si="128"/>
        <v>Friday</v>
      </c>
      <c r="Q1390" s="5">
        <f t="shared" si="129"/>
        <v>12</v>
      </c>
      <c r="R1390" s="28">
        <f t="shared" si="130"/>
        <v>0.82905982905982911</v>
      </c>
      <c r="S1390" s="29">
        <f t="shared" si="131"/>
        <v>82.90598290598291</v>
      </c>
      <c r="T1390" s="5" t="str">
        <f>IF(Delivery_Data[[#This Row],[Delays (min)]]&gt;0,"No","Yes")</f>
        <v>No</v>
      </c>
    </row>
    <row r="1391" spans="1:20" ht="15.75" customHeight="1" x14ac:dyDescent="0.3">
      <c r="A1391" s="4">
        <v>2390</v>
      </c>
      <c r="B1391" s="5" t="s">
        <v>1488</v>
      </c>
      <c r="C1391" s="6">
        <v>45175.491666666669</v>
      </c>
      <c r="D1391" s="5" t="s">
        <v>43</v>
      </c>
      <c r="E1391" s="5" t="s">
        <v>410</v>
      </c>
      <c r="F1391" s="5" t="s">
        <v>16</v>
      </c>
      <c r="G1391" s="5" t="s">
        <v>39</v>
      </c>
      <c r="H1391" s="5">
        <v>166</v>
      </c>
      <c r="I1391" s="5">
        <v>1</v>
      </c>
      <c r="J1391" s="5" t="s">
        <v>18</v>
      </c>
      <c r="K1391" s="5" t="s">
        <v>27</v>
      </c>
      <c r="L1391" s="5" t="s">
        <v>20</v>
      </c>
      <c r="M1391" s="7" t="s">
        <v>21</v>
      </c>
      <c r="N1391" s="26">
        <f t="shared" si="126"/>
        <v>0</v>
      </c>
      <c r="O1391" s="42">
        <f t="shared" si="127"/>
        <v>45175</v>
      </c>
      <c r="P1391" s="5" t="str">
        <f t="shared" si="128"/>
        <v>Wednesday</v>
      </c>
      <c r="Q1391" s="5">
        <f t="shared" si="129"/>
        <v>11</v>
      </c>
      <c r="R1391" s="28">
        <f t="shared" si="130"/>
        <v>0.99401197604790414</v>
      </c>
      <c r="S1391" s="29">
        <f t="shared" si="131"/>
        <v>99.401197604790411</v>
      </c>
      <c r="T1391" s="5" t="str">
        <f>IF(Delivery_Data[[#This Row],[Delays (min)]]&gt;0,"No","Yes")</f>
        <v>No</v>
      </c>
    </row>
    <row r="1392" spans="1:20" ht="15.75" customHeight="1" x14ac:dyDescent="0.3">
      <c r="A1392" s="4">
        <v>2391</v>
      </c>
      <c r="B1392" s="5" t="s">
        <v>1445</v>
      </c>
      <c r="C1392" s="6">
        <v>45172.473611111112</v>
      </c>
      <c r="D1392" s="5" t="s">
        <v>43</v>
      </c>
      <c r="E1392" s="5" t="s">
        <v>200</v>
      </c>
      <c r="F1392" s="5" t="s">
        <v>38</v>
      </c>
      <c r="G1392" s="5" t="s">
        <v>39</v>
      </c>
      <c r="H1392" s="5">
        <v>99</v>
      </c>
      <c r="I1392" s="5">
        <v>15</v>
      </c>
      <c r="J1392" s="5" t="s">
        <v>26</v>
      </c>
      <c r="K1392" s="5" t="s">
        <v>45</v>
      </c>
      <c r="L1392" s="5" t="s">
        <v>28</v>
      </c>
      <c r="M1392" s="7" t="s">
        <v>21</v>
      </c>
      <c r="N1392" s="26">
        <f t="shared" si="126"/>
        <v>1</v>
      </c>
      <c r="O1392" s="42">
        <f t="shared" si="127"/>
        <v>45172</v>
      </c>
      <c r="P1392" s="5" t="str">
        <f t="shared" si="128"/>
        <v>Sunday</v>
      </c>
      <c r="Q1392" s="5">
        <f t="shared" si="129"/>
        <v>11</v>
      </c>
      <c r="R1392" s="28">
        <f t="shared" si="130"/>
        <v>0.86842105263157898</v>
      </c>
      <c r="S1392" s="29">
        <f t="shared" si="131"/>
        <v>86.842105263157904</v>
      </c>
      <c r="T1392" s="5" t="str">
        <f>IF(Delivery_Data[[#This Row],[Delays (min)]]&gt;0,"No","Yes")</f>
        <v>No</v>
      </c>
    </row>
    <row r="1393" spans="1:20" ht="15.75" customHeight="1" x14ac:dyDescent="0.3">
      <c r="A1393" s="4">
        <v>2392</v>
      </c>
      <c r="B1393" s="5" t="s">
        <v>1489</v>
      </c>
      <c r="C1393" s="6">
        <v>45174.519444444442</v>
      </c>
      <c r="D1393" s="5" t="s">
        <v>43</v>
      </c>
      <c r="E1393" s="5" t="s">
        <v>370</v>
      </c>
      <c r="F1393" s="5" t="s">
        <v>38</v>
      </c>
      <c r="G1393" s="5" t="s">
        <v>39</v>
      </c>
      <c r="H1393" s="5">
        <v>133</v>
      </c>
      <c r="I1393" s="5">
        <v>3</v>
      </c>
      <c r="J1393" s="5" t="s">
        <v>18</v>
      </c>
      <c r="K1393" s="5" t="s">
        <v>27</v>
      </c>
      <c r="L1393" s="5" t="s">
        <v>20</v>
      </c>
      <c r="M1393" s="7" t="s">
        <v>41</v>
      </c>
      <c r="N1393" s="26">
        <f t="shared" si="126"/>
        <v>0</v>
      </c>
      <c r="O1393" s="42">
        <f t="shared" si="127"/>
        <v>45174</v>
      </c>
      <c r="P1393" s="5" t="str">
        <f t="shared" si="128"/>
        <v>Tuesday</v>
      </c>
      <c r="Q1393" s="5">
        <f t="shared" si="129"/>
        <v>12</v>
      </c>
      <c r="R1393" s="28">
        <f t="shared" si="130"/>
        <v>0.9779411764705882</v>
      </c>
      <c r="S1393" s="29">
        <f t="shared" si="131"/>
        <v>97.794117647058826</v>
      </c>
      <c r="T1393" s="5" t="str">
        <f>IF(Delivery_Data[[#This Row],[Delays (min)]]&gt;0,"No","Yes")</f>
        <v>No</v>
      </c>
    </row>
    <row r="1394" spans="1:20" ht="15.75" customHeight="1" x14ac:dyDescent="0.3">
      <c r="A1394" s="4">
        <v>2393</v>
      </c>
      <c r="B1394" s="5" t="s">
        <v>1490</v>
      </c>
      <c r="C1394" s="6">
        <v>45177.411805555559</v>
      </c>
      <c r="D1394" s="5" t="s">
        <v>43</v>
      </c>
      <c r="E1394" s="5" t="s">
        <v>113</v>
      </c>
      <c r="F1394" s="5" t="s">
        <v>16</v>
      </c>
      <c r="G1394" s="5" t="s">
        <v>31</v>
      </c>
      <c r="H1394" s="5">
        <v>81</v>
      </c>
      <c r="I1394" s="5">
        <v>20</v>
      </c>
      <c r="J1394" s="5" t="s">
        <v>32</v>
      </c>
      <c r="K1394" s="5" t="s">
        <v>35</v>
      </c>
      <c r="L1394" s="5" t="s">
        <v>20</v>
      </c>
      <c r="M1394" s="7" t="s">
        <v>46</v>
      </c>
      <c r="N1394" s="26">
        <f t="shared" si="126"/>
        <v>-1</v>
      </c>
      <c r="O1394" s="42">
        <f t="shared" si="127"/>
        <v>45177</v>
      </c>
      <c r="P1394" s="5" t="str">
        <f t="shared" si="128"/>
        <v>Friday</v>
      </c>
      <c r="Q1394" s="5">
        <f t="shared" si="129"/>
        <v>9</v>
      </c>
      <c r="R1394" s="28">
        <f t="shared" si="130"/>
        <v>0.80198019801980203</v>
      </c>
      <c r="S1394" s="29">
        <f t="shared" si="131"/>
        <v>80.198019801980209</v>
      </c>
      <c r="T1394" s="5" t="str">
        <f>IF(Delivery_Data[[#This Row],[Delays (min)]]&gt;0,"No","Yes")</f>
        <v>No</v>
      </c>
    </row>
    <row r="1395" spans="1:20" ht="15.75" customHeight="1" x14ac:dyDescent="0.3">
      <c r="A1395" s="4">
        <v>2394</v>
      </c>
      <c r="B1395" s="5" t="s">
        <v>1491</v>
      </c>
      <c r="C1395" s="6">
        <v>45174.390277777777</v>
      </c>
      <c r="D1395" s="5" t="s">
        <v>14</v>
      </c>
      <c r="E1395" s="5" t="s">
        <v>48</v>
      </c>
      <c r="F1395" s="5" t="s">
        <v>24</v>
      </c>
      <c r="G1395" s="5" t="s">
        <v>39</v>
      </c>
      <c r="H1395" s="5">
        <v>119</v>
      </c>
      <c r="I1395" s="5">
        <v>3</v>
      </c>
      <c r="J1395" s="5" t="s">
        <v>26</v>
      </c>
      <c r="K1395" s="5" t="s">
        <v>19</v>
      </c>
      <c r="L1395" s="5" t="s">
        <v>40</v>
      </c>
      <c r="M1395" s="7" t="s">
        <v>21</v>
      </c>
      <c r="N1395" s="26">
        <f t="shared" si="126"/>
        <v>1</v>
      </c>
      <c r="O1395" s="42">
        <f t="shared" si="127"/>
        <v>45174</v>
      </c>
      <c r="P1395" s="5" t="str">
        <f t="shared" si="128"/>
        <v>Tuesday</v>
      </c>
      <c r="Q1395" s="5">
        <f t="shared" si="129"/>
        <v>9</v>
      </c>
      <c r="R1395" s="28">
        <f t="shared" si="130"/>
        <v>0.97540983606557374</v>
      </c>
      <c r="S1395" s="29">
        <f t="shared" si="131"/>
        <v>97.540983606557376</v>
      </c>
      <c r="T1395" s="5" t="str">
        <f>IF(Delivery_Data[[#This Row],[Delays (min)]]&gt;0,"No","Yes")</f>
        <v>No</v>
      </c>
    </row>
    <row r="1396" spans="1:20" ht="15.75" customHeight="1" x14ac:dyDescent="0.3">
      <c r="A1396" s="4">
        <v>2395</v>
      </c>
      <c r="B1396" s="5" t="s">
        <v>1492</v>
      </c>
      <c r="C1396" s="6">
        <v>45174.633333333331</v>
      </c>
      <c r="D1396" s="5" t="s">
        <v>14</v>
      </c>
      <c r="E1396" s="5" t="s">
        <v>202</v>
      </c>
      <c r="F1396" s="5" t="s">
        <v>38</v>
      </c>
      <c r="G1396" s="5" t="s">
        <v>17</v>
      </c>
      <c r="H1396" s="5">
        <v>157</v>
      </c>
      <c r="I1396" s="5">
        <v>9</v>
      </c>
      <c r="J1396" s="5" t="s">
        <v>26</v>
      </c>
      <c r="K1396" s="5" t="s">
        <v>27</v>
      </c>
      <c r="L1396" s="5" t="s">
        <v>28</v>
      </c>
      <c r="M1396" s="7" t="s">
        <v>46</v>
      </c>
      <c r="N1396" s="26">
        <f t="shared" si="126"/>
        <v>1</v>
      </c>
      <c r="O1396" s="42">
        <f t="shared" si="127"/>
        <v>45174</v>
      </c>
      <c r="P1396" s="5" t="str">
        <f t="shared" si="128"/>
        <v>Tuesday</v>
      </c>
      <c r="Q1396" s="5">
        <f t="shared" si="129"/>
        <v>15</v>
      </c>
      <c r="R1396" s="28">
        <f t="shared" si="130"/>
        <v>0.94578313253012047</v>
      </c>
      <c r="S1396" s="29">
        <f t="shared" si="131"/>
        <v>94.578313253012041</v>
      </c>
      <c r="T1396" s="5" t="str">
        <f>IF(Delivery_Data[[#This Row],[Delays (min)]]&gt;0,"No","Yes")</f>
        <v>No</v>
      </c>
    </row>
    <row r="1397" spans="1:20" ht="15.75" customHeight="1" x14ac:dyDescent="0.3">
      <c r="A1397" s="4">
        <v>2396</v>
      </c>
      <c r="B1397" s="5" t="s">
        <v>1493</v>
      </c>
      <c r="C1397" s="6">
        <v>45173.537499999999</v>
      </c>
      <c r="D1397" s="5" t="s">
        <v>43</v>
      </c>
      <c r="E1397" s="5" t="s">
        <v>140</v>
      </c>
      <c r="F1397" s="5" t="s">
        <v>24</v>
      </c>
      <c r="G1397" s="5" t="s">
        <v>17</v>
      </c>
      <c r="H1397" s="5">
        <v>75</v>
      </c>
      <c r="I1397" s="5">
        <v>4</v>
      </c>
      <c r="J1397" s="5" t="s">
        <v>32</v>
      </c>
      <c r="K1397" s="5" t="s">
        <v>45</v>
      </c>
      <c r="L1397" s="5" t="s">
        <v>20</v>
      </c>
      <c r="M1397" s="7" t="s">
        <v>21</v>
      </c>
      <c r="N1397" s="26">
        <f t="shared" si="126"/>
        <v>-1</v>
      </c>
      <c r="O1397" s="42">
        <f t="shared" si="127"/>
        <v>45173</v>
      </c>
      <c r="P1397" s="5" t="str">
        <f t="shared" si="128"/>
        <v>Monday</v>
      </c>
      <c r="Q1397" s="5">
        <f t="shared" si="129"/>
        <v>12</v>
      </c>
      <c r="R1397" s="28">
        <f t="shared" si="130"/>
        <v>0.94936708860759489</v>
      </c>
      <c r="S1397" s="29">
        <f t="shared" si="131"/>
        <v>94.936708860759495</v>
      </c>
      <c r="T1397" s="5" t="str">
        <f>IF(Delivery_Data[[#This Row],[Delays (min)]]&gt;0,"No","Yes")</f>
        <v>No</v>
      </c>
    </row>
    <row r="1398" spans="1:20" ht="15.75" customHeight="1" x14ac:dyDescent="0.3">
      <c r="A1398" s="4">
        <v>2397</v>
      </c>
      <c r="B1398" s="5" t="s">
        <v>1494</v>
      </c>
      <c r="C1398" s="6">
        <v>45173.347916666666</v>
      </c>
      <c r="D1398" s="5" t="s">
        <v>14</v>
      </c>
      <c r="E1398" s="5" t="s">
        <v>48</v>
      </c>
      <c r="F1398" s="5" t="s">
        <v>16</v>
      </c>
      <c r="G1398" s="5" t="s">
        <v>25</v>
      </c>
      <c r="H1398" s="5">
        <v>101</v>
      </c>
      <c r="I1398" s="5">
        <v>5</v>
      </c>
      <c r="J1398" s="5" t="s">
        <v>32</v>
      </c>
      <c r="K1398" s="5" t="s">
        <v>35</v>
      </c>
      <c r="L1398" s="5" t="s">
        <v>20</v>
      </c>
      <c r="M1398" s="7" t="s">
        <v>46</v>
      </c>
      <c r="N1398" s="26">
        <f t="shared" si="126"/>
        <v>-1</v>
      </c>
      <c r="O1398" s="42">
        <f t="shared" si="127"/>
        <v>45173</v>
      </c>
      <c r="P1398" s="5" t="str">
        <f t="shared" si="128"/>
        <v>Monday</v>
      </c>
      <c r="Q1398" s="5">
        <f t="shared" si="129"/>
        <v>8</v>
      </c>
      <c r="R1398" s="28">
        <f t="shared" si="130"/>
        <v>0.95283018867924529</v>
      </c>
      <c r="S1398" s="29">
        <f t="shared" si="131"/>
        <v>95.283018867924525</v>
      </c>
      <c r="T1398" s="5" t="str">
        <f>IF(Delivery_Data[[#This Row],[Delays (min)]]&gt;0,"No","Yes")</f>
        <v>No</v>
      </c>
    </row>
    <row r="1399" spans="1:20" ht="15.75" customHeight="1" x14ac:dyDescent="0.3">
      <c r="A1399" s="4">
        <v>2398</v>
      </c>
      <c r="B1399" s="5" t="s">
        <v>1495</v>
      </c>
      <c r="C1399" s="6">
        <v>45170.647222222222</v>
      </c>
      <c r="D1399" s="5" t="s">
        <v>43</v>
      </c>
      <c r="E1399" s="5" t="s">
        <v>93</v>
      </c>
      <c r="F1399" s="5" t="s">
        <v>16</v>
      </c>
      <c r="G1399" s="5" t="s">
        <v>39</v>
      </c>
      <c r="H1399" s="5">
        <v>77</v>
      </c>
      <c r="I1399" s="5">
        <v>27</v>
      </c>
      <c r="J1399" s="5" t="s">
        <v>26</v>
      </c>
      <c r="K1399" s="5" t="s">
        <v>19</v>
      </c>
      <c r="L1399" s="5" t="s">
        <v>20</v>
      </c>
      <c r="M1399" s="7" t="s">
        <v>41</v>
      </c>
      <c r="N1399" s="26">
        <f t="shared" si="126"/>
        <v>1</v>
      </c>
      <c r="O1399" s="42">
        <f t="shared" si="127"/>
        <v>45170</v>
      </c>
      <c r="P1399" s="5" t="str">
        <f t="shared" si="128"/>
        <v>Friday</v>
      </c>
      <c r="Q1399" s="5">
        <f t="shared" si="129"/>
        <v>15</v>
      </c>
      <c r="R1399" s="28">
        <f t="shared" si="130"/>
        <v>0.74038461538461542</v>
      </c>
      <c r="S1399" s="29">
        <f t="shared" si="131"/>
        <v>74.038461538461547</v>
      </c>
      <c r="T1399" s="5" t="str">
        <f>IF(Delivery_Data[[#This Row],[Delays (min)]]&gt;0,"No","Yes")</f>
        <v>No</v>
      </c>
    </row>
    <row r="1400" spans="1:20" ht="15.75" customHeight="1" x14ac:dyDescent="0.3">
      <c r="A1400" s="4">
        <v>2399</v>
      </c>
      <c r="B1400" s="5" t="s">
        <v>1496</v>
      </c>
      <c r="C1400" s="6">
        <v>45171.466666666667</v>
      </c>
      <c r="D1400" s="5" t="s">
        <v>43</v>
      </c>
      <c r="E1400" s="5" t="s">
        <v>93</v>
      </c>
      <c r="F1400" s="5" t="s">
        <v>16</v>
      </c>
      <c r="G1400" s="5" t="s">
        <v>31</v>
      </c>
      <c r="H1400" s="5">
        <v>178</v>
      </c>
      <c r="I1400" s="5">
        <v>6</v>
      </c>
      <c r="J1400" s="5" t="s">
        <v>32</v>
      </c>
      <c r="K1400" s="5" t="s">
        <v>19</v>
      </c>
      <c r="L1400" s="5" t="s">
        <v>20</v>
      </c>
      <c r="M1400" s="7" t="s">
        <v>21</v>
      </c>
      <c r="N1400" s="26">
        <f t="shared" si="126"/>
        <v>-1</v>
      </c>
      <c r="O1400" s="42">
        <f t="shared" si="127"/>
        <v>45171</v>
      </c>
      <c r="P1400" s="5" t="str">
        <f t="shared" si="128"/>
        <v>Saturday</v>
      </c>
      <c r="Q1400" s="5">
        <f t="shared" si="129"/>
        <v>11</v>
      </c>
      <c r="R1400" s="28">
        <f t="shared" si="130"/>
        <v>0.96739130434782605</v>
      </c>
      <c r="S1400" s="29">
        <f t="shared" si="131"/>
        <v>96.739130434782609</v>
      </c>
      <c r="T1400" s="5" t="str">
        <f>IF(Delivery_Data[[#This Row],[Delays (min)]]&gt;0,"No","Yes")</f>
        <v>No</v>
      </c>
    </row>
    <row r="1401" spans="1:20" ht="15.75" customHeight="1" x14ac:dyDescent="0.3">
      <c r="A1401" s="4">
        <v>2400</v>
      </c>
      <c r="B1401" s="5" t="s">
        <v>1497</v>
      </c>
      <c r="C1401" s="6">
        <v>45176.675694444442</v>
      </c>
      <c r="D1401" s="5" t="s">
        <v>14</v>
      </c>
      <c r="E1401" s="5" t="s">
        <v>135</v>
      </c>
      <c r="F1401" s="5" t="s">
        <v>38</v>
      </c>
      <c r="G1401" s="5" t="s">
        <v>31</v>
      </c>
      <c r="H1401" s="5">
        <v>218</v>
      </c>
      <c r="I1401" s="5">
        <v>8</v>
      </c>
      <c r="J1401" s="5" t="s">
        <v>26</v>
      </c>
      <c r="K1401" s="5" t="s">
        <v>27</v>
      </c>
      <c r="L1401" s="5" t="s">
        <v>20</v>
      </c>
      <c r="M1401" s="7" t="s">
        <v>46</v>
      </c>
      <c r="N1401" s="26">
        <f t="shared" si="126"/>
        <v>1</v>
      </c>
      <c r="O1401" s="42">
        <f t="shared" si="127"/>
        <v>45176</v>
      </c>
      <c r="P1401" s="5" t="str">
        <f t="shared" si="128"/>
        <v>Thursday</v>
      </c>
      <c r="Q1401" s="5">
        <f t="shared" si="129"/>
        <v>16</v>
      </c>
      <c r="R1401" s="28">
        <f t="shared" si="130"/>
        <v>0.96460176991150437</v>
      </c>
      <c r="S1401" s="29">
        <f t="shared" si="131"/>
        <v>96.460176991150433</v>
      </c>
      <c r="T1401" s="5" t="str">
        <f>IF(Delivery_Data[[#This Row],[Delays (min)]]&gt;0,"No","Yes")</f>
        <v>No</v>
      </c>
    </row>
    <row r="1402" spans="1:20" ht="15.75" customHeight="1" x14ac:dyDescent="0.3">
      <c r="A1402" s="4">
        <v>2401</v>
      </c>
      <c r="B1402" s="5" t="s">
        <v>1498</v>
      </c>
      <c r="C1402" s="6">
        <v>45171.413194444445</v>
      </c>
      <c r="D1402" s="5" t="s">
        <v>43</v>
      </c>
      <c r="E1402" s="5" t="s">
        <v>85</v>
      </c>
      <c r="F1402" s="5" t="s">
        <v>38</v>
      </c>
      <c r="G1402" s="5" t="s">
        <v>25</v>
      </c>
      <c r="H1402" s="5">
        <v>124</v>
      </c>
      <c r="I1402" s="5">
        <v>27</v>
      </c>
      <c r="J1402" s="5" t="s">
        <v>32</v>
      </c>
      <c r="K1402" s="5" t="s">
        <v>49</v>
      </c>
      <c r="L1402" s="5" t="s">
        <v>20</v>
      </c>
      <c r="M1402" s="7" t="s">
        <v>21</v>
      </c>
      <c r="N1402" s="26">
        <f t="shared" si="126"/>
        <v>-1</v>
      </c>
      <c r="O1402" s="42">
        <f t="shared" si="127"/>
        <v>45171</v>
      </c>
      <c r="P1402" s="5" t="str">
        <f t="shared" si="128"/>
        <v>Saturday</v>
      </c>
      <c r="Q1402" s="5">
        <f t="shared" si="129"/>
        <v>9</v>
      </c>
      <c r="R1402" s="28">
        <f t="shared" si="130"/>
        <v>0.82119205298013243</v>
      </c>
      <c r="S1402" s="29">
        <f t="shared" si="131"/>
        <v>82.119205298013242</v>
      </c>
      <c r="T1402" s="5" t="str">
        <f>IF(Delivery_Data[[#This Row],[Delays (min)]]&gt;0,"No","Yes")</f>
        <v>No</v>
      </c>
    </row>
    <row r="1403" spans="1:20" ht="15.75" customHeight="1" x14ac:dyDescent="0.3">
      <c r="A1403" s="4">
        <v>2402</v>
      </c>
      <c r="B1403" s="5" t="s">
        <v>1499</v>
      </c>
      <c r="C1403" s="6">
        <v>45172.46875</v>
      </c>
      <c r="D1403" s="5" t="s">
        <v>43</v>
      </c>
      <c r="E1403" s="5" t="s">
        <v>267</v>
      </c>
      <c r="F1403" s="5" t="s">
        <v>38</v>
      </c>
      <c r="G1403" s="5" t="s">
        <v>31</v>
      </c>
      <c r="H1403" s="5">
        <v>149</v>
      </c>
      <c r="I1403" s="5">
        <v>18</v>
      </c>
      <c r="J1403" s="5" t="s">
        <v>32</v>
      </c>
      <c r="K1403" s="5" t="s">
        <v>45</v>
      </c>
      <c r="L1403" s="5" t="s">
        <v>28</v>
      </c>
      <c r="M1403" s="7" t="s">
        <v>46</v>
      </c>
      <c r="N1403" s="26">
        <f t="shared" si="126"/>
        <v>-1</v>
      </c>
      <c r="O1403" s="42">
        <f t="shared" si="127"/>
        <v>45172</v>
      </c>
      <c r="P1403" s="5" t="str">
        <f t="shared" si="128"/>
        <v>Sunday</v>
      </c>
      <c r="Q1403" s="5">
        <f t="shared" si="129"/>
        <v>11</v>
      </c>
      <c r="R1403" s="28">
        <f t="shared" si="130"/>
        <v>0.89221556886227549</v>
      </c>
      <c r="S1403" s="29">
        <f t="shared" si="131"/>
        <v>89.221556886227546</v>
      </c>
      <c r="T1403" s="5" t="str">
        <f>IF(Delivery_Data[[#This Row],[Delays (min)]]&gt;0,"No","Yes")</f>
        <v>No</v>
      </c>
    </row>
    <row r="1404" spans="1:20" ht="15.75" customHeight="1" x14ac:dyDescent="0.3">
      <c r="A1404" s="4">
        <v>2403</v>
      </c>
      <c r="B1404" s="5" t="s">
        <v>1500</v>
      </c>
      <c r="C1404" s="6">
        <v>45170.624305555553</v>
      </c>
      <c r="D1404" s="5" t="s">
        <v>14</v>
      </c>
      <c r="E1404" s="5" t="s">
        <v>76</v>
      </c>
      <c r="F1404" s="5" t="s">
        <v>38</v>
      </c>
      <c r="G1404" s="5" t="s">
        <v>17</v>
      </c>
      <c r="H1404" s="5">
        <v>130</v>
      </c>
      <c r="I1404" s="5">
        <v>6</v>
      </c>
      <c r="J1404" s="5" t="s">
        <v>18</v>
      </c>
      <c r="K1404" s="5" t="s">
        <v>27</v>
      </c>
      <c r="L1404" s="5" t="s">
        <v>28</v>
      </c>
      <c r="M1404" s="7" t="s">
        <v>41</v>
      </c>
      <c r="N1404" s="26">
        <f t="shared" si="126"/>
        <v>0</v>
      </c>
      <c r="O1404" s="42">
        <f t="shared" si="127"/>
        <v>45170</v>
      </c>
      <c r="P1404" s="5" t="str">
        <f t="shared" si="128"/>
        <v>Friday</v>
      </c>
      <c r="Q1404" s="5">
        <f t="shared" si="129"/>
        <v>14</v>
      </c>
      <c r="R1404" s="28">
        <f t="shared" si="130"/>
        <v>0.95588235294117652</v>
      </c>
      <c r="S1404" s="29">
        <f t="shared" si="131"/>
        <v>95.588235294117652</v>
      </c>
      <c r="T1404" s="5" t="str">
        <f>IF(Delivery_Data[[#This Row],[Delays (min)]]&gt;0,"No","Yes")</f>
        <v>No</v>
      </c>
    </row>
    <row r="1405" spans="1:20" ht="15.75" customHeight="1" x14ac:dyDescent="0.3">
      <c r="A1405" s="4">
        <v>2404</v>
      </c>
      <c r="B1405" s="5" t="s">
        <v>1501</v>
      </c>
      <c r="C1405" s="6">
        <v>45172.6875</v>
      </c>
      <c r="D1405" s="5" t="s">
        <v>14</v>
      </c>
      <c r="E1405" s="5" t="s">
        <v>263</v>
      </c>
      <c r="F1405" s="5" t="s">
        <v>16</v>
      </c>
      <c r="G1405" s="5" t="s">
        <v>31</v>
      </c>
      <c r="H1405" s="5">
        <v>187</v>
      </c>
      <c r="I1405" s="5">
        <v>6</v>
      </c>
      <c r="J1405" s="5" t="s">
        <v>26</v>
      </c>
      <c r="K1405" s="5" t="s">
        <v>35</v>
      </c>
      <c r="L1405" s="5" t="s">
        <v>28</v>
      </c>
      <c r="M1405" s="7" t="s">
        <v>46</v>
      </c>
      <c r="N1405" s="26">
        <f t="shared" si="126"/>
        <v>1</v>
      </c>
      <c r="O1405" s="42">
        <f t="shared" si="127"/>
        <v>45172</v>
      </c>
      <c r="P1405" s="5" t="str">
        <f t="shared" si="128"/>
        <v>Sunday</v>
      </c>
      <c r="Q1405" s="5">
        <f t="shared" si="129"/>
        <v>16</v>
      </c>
      <c r="R1405" s="28">
        <f t="shared" si="130"/>
        <v>0.9689119170984456</v>
      </c>
      <c r="S1405" s="29">
        <f t="shared" si="131"/>
        <v>96.891191709844563</v>
      </c>
      <c r="T1405" s="5" t="str">
        <f>IF(Delivery_Data[[#This Row],[Delays (min)]]&gt;0,"No","Yes")</f>
        <v>No</v>
      </c>
    </row>
    <row r="1406" spans="1:20" ht="15.75" customHeight="1" x14ac:dyDescent="0.3">
      <c r="A1406" s="4">
        <v>2405</v>
      </c>
      <c r="B1406" s="5" t="s">
        <v>1502</v>
      </c>
      <c r="C1406" s="6">
        <v>45175.669444444444</v>
      </c>
      <c r="D1406" s="5" t="s">
        <v>14</v>
      </c>
      <c r="E1406" s="5" t="s">
        <v>87</v>
      </c>
      <c r="F1406" s="5" t="s">
        <v>16</v>
      </c>
      <c r="G1406" s="5" t="s">
        <v>56</v>
      </c>
      <c r="H1406" s="5">
        <v>238</v>
      </c>
      <c r="I1406" s="5">
        <v>16</v>
      </c>
      <c r="J1406" s="5" t="s">
        <v>32</v>
      </c>
      <c r="K1406" s="5" t="s">
        <v>49</v>
      </c>
      <c r="L1406" s="5" t="s">
        <v>28</v>
      </c>
      <c r="M1406" s="7" t="s">
        <v>46</v>
      </c>
      <c r="N1406" s="26">
        <f t="shared" si="126"/>
        <v>-1</v>
      </c>
      <c r="O1406" s="42">
        <f t="shared" si="127"/>
        <v>45175</v>
      </c>
      <c r="P1406" s="5" t="str">
        <f t="shared" si="128"/>
        <v>Wednesday</v>
      </c>
      <c r="Q1406" s="5">
        <f t="shared" si="129"/>
        <v>16</v>
      </c>
      <c r="R1406" s="28">
        <f t="shared" si="130"/>
        <v>0.93700787401574803</v>
      </c>
      <c r="S1406" s="29">
        <f t="shared" si="131"/>
        <v>93.7007874015748</v>
      </c>
      <c r="T1406" s="5" t="str">
        <f>IF(Delivery_Data[[#This Row],[Delays (min)]]&gt;0,"No","Yes")</f>
        <v>No</v>
      </c>
    </row>
    <row r="1407" spans="1:20" ht="15.75" customHeight="1" x14ac:dyDescent="0.3">
      <c r="A1407" s="4">
        <v>2406</v>
      </c>
      <c r="B1407" s="5" t="s">
        <v>1503</v>
      </c>
      <c r="C1407" s="6">
        <v>45177.4375</v>
      </c>
      <c r="D1407" s="5" t="s">
        <v>14</v>
      </c>
      <c r="E1407" s="5" t="s">
        <v>23</v>
      </c>
      <c r="F1407" s="5" t="s">
        <v>16</v>
      </c>
      <c r="G1407" s="5" t="s">
        <v>56</v>
      </c>
      <c r="H1407" s="5">
        <v>212</v>
      </c>
      <c r="I1407" s="5">
        <v>0</v>
      </c>
      <c r="J1407" s="5" t="s">
        <v>32</v>
      </c>
      <c r="K1407" s="5" t="s">
        <v>19</v>
      </c>
      <c r="L1407" s="5" t="s">
        <v>28</v>
      </c>
      <c r="M1407" s="7" t="s">
        <v>46</v>
      </c>
      <c r="N1407" s="26">
        <f t="shared" si="126"/>
        <v>-1</v>
      </c>
      <c r="O1407" s="42">
        <f t="shared" si="127"/>
        <v>45177</v>
      </c>
      <c r="P1407" s="5" t="str">
        <f t="shared" si="128"/>
        <v>Friday</v>
      </c>
      <c r="Q1407" s="5">
        <f t="shared" si="129"/>
        <v>10</v>
      </c>
      <c r="R1407" s="28">
        <f t="shared" si="130"/>
        <v>1</v>
      </c>
      <c r="S1407" s="29">
        <f t="shared" si="131"/>
        <v>100</v>
      </c>
      <c r="T1407" s="5" t="str">
        <f>IF(Delivery_Data[[#This Row],[Delays (min)]]&gt;0,"No","Yes")</f>
        <v>Yes</v>
      </c>
    </row>
    <row r="1408" spans="1:20" ht="15.75" customHeight="1" x14ac:dyDescent="0.3">
      <c r="A1408" s="4">
        <v>2407</v>
      </c>
      <c r="B1408" s="5" t="s">
        <v>1504</v>
      </c>
      <c r="C1408" s="6">
        <v>45174.458333333336</v>
      </c>
      <c r="D1408" s="5" t="s">
        <v>14</v>
      </c>
      <c r="E1408" s="5" t="s">
        <v>15</v>
      </c>
      <c r="F1408" s="5" t="s">
        <v>16</v>
      </c>
      <c r="G1408" s="5" t="s">
        <v>39</v>
      </c>
      <c r="H1408" s="5">
        <v>177</v>
      </c>
      <c r="I1408" s="5">
        <v>3</v>
      </c>
      <c r="J1408" s="5" t="s">
        <v>32</v>
      </c>
      <c r="K1408" s="5" t="s">
        <v>49</v>
      </c>
      <c r="L1408" s="5" t="s">
        <v>28</v>
      </c>
      <c r="M1408" s="7" t="s">
        <v>21</v>
      </c>
      <c r="N1408" s="26">
        <f t="shared" si="126"/>
        <v>-1</v>
      </c>
      <c r="O1408" s="42">
        <f t="shared" si="127"/>
        <v>45174</v>
      </c>
      <c r="P1408" s="5" t="str">
        <f t="shared" si="128"/>
        <v>Tuesday</v>
      </c>
      <c r="Q1408" s="5">
        <f t="shared" si="129"/>
        <v>11</v>
      </c>
      <c r="R1408" s="28">
        <f t="shared" si="130"/>
        <v>0.98333333333333328</v>
      </c>
      <c r="S1408" s="29">
        <f t="shared" si="131"/>
        <v>98.333333333333329</v>
      </c>
      <c r="T1408" s="5" t="str">
        <f>IF(Delivery_Data[[#This Row],[Delays (min)]]&gt;0,"No","Yes")</f>
        <v>No</v>
      </c>
    </row>
    <row r="1409" spans="1:20" ht="15.75" customHeight="1" x14ac:dyDescent="0.3">
      <c r="A1409" s="4">
        <v>2408</v>
      </c>
      <c r="B1409" s="5" t="s">
        <v>1505</v>
      </c>
      <c r="C1409" s="6">
        <v>45172.685416666667</v>
      </c>
      <c r="D1409" s="5" t="s">
        <v>14</v>
      </c>
      <c r="E1409" s="5" t="s">
        <v>99</v>
      </c>
      <c r="F1409" s="5" t="s">
        <v>16</v>
      </c>
      <c r="G1409" s="5" t="s">
        <v>25</v>
      </c>
      <c r="H1409" s="5">
        <v>175</v>
      </c>
      <c r="I1409" s="5">
        <v>13</v>
      </c>
      <c r="J1409" s="5" t="s">
        <v>26</v>
      </c>
      <c r="K1409" s="5" t="s">
        <v>35</v>
      </c>
      <c r="L1409" s="5" t="s">
        <v>20</v>
      </c>
      <c r="M1409" s="7" t="s">
        <v>41</v>
      </c>
      <c r="N1409" s="26">
        <f t="shared" si="126"/>
        <v>1</v>
      </c>
      <c r="O1409" s="42">
        <f t="shared" si="127"/>
        <v>45172</v>
      </c>
      <c r="P1409" s="5" t="str">
        <f t="shared" si="128"/>
        <v>Sunday</v>
      </c>
      <c r="Q1409" s="5">
        <f t="shared" si="129"/>
        <v>16</v>
      </c>
      <c r="R1409" s="28">
        <f t="shared" si="130"/>
        <v>0.93085106382978722</v>
      </c>
      <c r="S1409" s="29">
        <f t="shared" si="131"/>
        <v>93.085106382978722</v>
      </c>
      <c r="T1409" s="5" t="str">
        <f>IF(Delivery_Data[[#This Row],[Delays (min)]]&gt;0,"No","Yes")</f>
        <v>No</v>
      </c>
    </row>
    <row r="1410" spans="1:20" ht="15.75" customHeight="1" x14ac:dyDescent="0.3">
      <c r="A1410" s="4">
        <v>2409</v>
      </c>
      <c r="B1410" s="5" t="s">
        <v>1506</v>
      </c>
      <c r="C1410" s="6">
        <v>45171.571527777778</v>
      </c>
      <c r="D1410" s="5" t="s">
        <v>43</v>
      </c>
      <c r="E1410" s="5" t="s">
        <v>333</v>
      </c>
      <c r="F1410" s="5" t="s">
        <v>16</v>
      </c>
      <c r="G1410" s="5" t="s">
        <v>25</v>
      </c>
      <c r="H1410" s="5">
        <v>195</v>
      </c>
      <c r="I1410" s="5">
        <v>21</v>
      </c>
      <c r="J1410" s="5" t="s">
        <v>26</v>
      </c>
      <c r="K1410" s="5" t="s">
        <v>35</v>
      </c>
      <c r="L1410" s="5" t="s">
        <v>28</v>
      </c>
      <c r="M1410" s="7" t="s">
        <v>21</v>
      </c>
      <c r="N1410" s="26">
        <f t="shared" ref="N1410:N1473" si="132">IF(J1410="Positive",1,IF(J1410="Neutral",0,IF(J1410="Negative",-1,"")))</f>
        <v>1</v>
      </c>
      <c r="O1410" s="42">
        <f t="shared" ref="O1410:O1473" si="133">INT(C1410)</f>
        <v>45171</v>
      </c>
      <c r="P1410" s="5" t="str">
        <f t="shared" ref="P1410:P1473" si="134">TEXT(C1410,"dddd")</f>
        <v>Saturday</v>
      </c>
      <c r="Q1410" s="5">
        <f t="shared" ref="Q1410:Q1473" si="135">HOUR(C1410)</f>
        <v>13</v>
      </c>
      <c r="R1410" s="28">
        <f t="shared" ref="R1410:R1473" si="136">H1410/(H1410+I1410)</f>
        <v>0.90277777777777779</v>
      </c>
      <c r="S1410" s="29">
        <f t="shared" si="131"/>
        <v>90.277777777777786</v>
      </c>
      <c r="T1410" s="5" t="str">
        <f>IF(Delivery_Data[[#This Row],[Delays (min)]]&gt;0,"No","Yes")</f>
        <v>No</v>
      </c>
    </row>
    <row r="1411" spans="1:20" ht="15.75" customHeight="1" x14ac:dyDescent="0.3">
      <c r="A1411" s="4">
        <v>2410</v>
      </c>
      <c r="B1411" s="5" t="s">
        <v>1507</v>
      </c>
      <c r="C1411" s="6">
        <v>45171.549305555556</v>
      </c>
      <c r="D1411" s="5" t="s">
        <v>43</v>
      </c>
      <c r="E1411" s="5" t="s">
        <v>197</v>
      </c>
      <c r="F1411" s="5" t="s">
        <v>16</v>
      </c>
      <c r="G1411" s="5" t="s">
        <v>31</v>
      </c>
      <c r="H1411" s="5">
        <v>156</v>
      </c>
      <c r="I1411" s="5">
        <v>16</v>
      </c>
      <c r="J1411" s="5" t="s">
        <v>18</v>
      </c>
      <c r="K1411" s="5" t="s">
        <v>45</v>
      </c>
      <c r="L1411" s="5" t="s">
        <v>40</v>
      </c>
      <c r="M1411" s="7" t="s">
        <v>21</v>
      </c>
      <c r="N1411" s="26">
        <f t="shared" si="132"/>
        <v>0</v>
      </c>
      <c r="O1411" s="42">
        <f t="shared" si="133"/>
        <v>45171</v>
      </c>
      <c r="P1411" s="5" t="str">
        <f t="shared" si="134"/>
        <v>Saturday</v>
      </c>
      <c r="Q1411" s="5">
        <f t="shared" si="135"/>
        <v>13</v>
      </c>
      <c r="R1411" s="28">
        <f t="shared" si="136"/>
        <v>0.90697674418604646</v>
      </c>
      <c r="S1411" s="29">
        <f t="shared" ref="S1411:S1474" si="137">IF(H1411+I1411=0,0,(H1411/(H1411+I1411))*100) + (IFERROR(--J1411,0)*10)</f>
        <v>90.697674418604649</v>
      </c>
      <c r="T1411" s="5" t="str">
        <f>IF(Delivery_Data[[#This Row],[Delays (min)]]&gt;0,"No","Yes")</f>
        <v>No</v>
      </c>
    </row>
    <row r="1412" spans="1:20" ht="15.75" customHeight="1" x14ac:dyDescent="0.3">
      <c r="A1412" s="4">
        <v>2411</v>
      </c>
      <c r="B1412" s="5" t="s">
        <v>1508</v>
      </c>
      <c r="C1412" s="6">
        <v>45174.655555555553</v>
      </c>
      <c r="D1412" s="5" t="s">
        <v>43</v>
      </c>
      <c r="E1412" s="5" t="s">
        <v>93</v>
      </c>
      <c r="F1412" s="5" t="s">
        <v>16</v>
      </c>
      <c r="G1412" s="5" t="s">
        <v>31</v>
      </c>
      <c r="H1412" s="5">
        <v>195</v>
      </c>
      <c r="I1412" s="5">
        <v>0</v>
      </c>
      <c r="J1412" s="5" t="s">
        <v>32</v>
      </c>
      <c r="K1412" s="5" t="s">
        <v>49</v>
      </c>
      <c r="L1412" s="5" t="s">
        <v>20</v>
      </c>
      <c r="M1412" s="7" t="s">
        <v>21</v>
      </c>
      <c r="N1412" s="26">
        <f t="shared" si="132"/>
        <v>-1</v>
      </c>
      <c r="O1412" s="42">
        <f t="shared" si="133"/>
        <v>45174</v>
      </c>
      <c r="P1412" s="5" t="str">
        <f t="shared" si="134"/>
        <v>Tuesday</v>
      </c>
      <c r="Q1412" s="5">
        <f t="shared" si="135"/>
        <v>15</v>
      </c>
      <c r="R1412" s="28">
        <f t="shared" si="136"/>
        <v>1</v>
      </c>
      <c r="S1412" s="29">
        <f t="shared" si="137"/>
        <v>100</v>
      </c>
      <c r="T1412" s="5" t="str">
        <f>IF(Delivery_Data[[#This Row],[Delays (min)]]&gt;0,"No","Yes")</f>
        <v>Yes</v>
      </c>
    </row>
    <row r="1413" spans="1:20" ht="15.75" customHeight="1" x14ac:dyDescent="0.3">
      <c r="A1413" s="4">
        <v>2412</v>
      </c>
      <c r="B1413" s="5" t="s">
        <v>1509</v>
      </c>
      <c r="C1413" s="6">
        <v>45173.597222222219</v>
      </c>
      <c r="D1413" s="5" t="s">
        <v>43</v>
      </c>
      <c r="E1413" s="5" t="s">
        <v>115</v>
      </c>
      <c r="F1413" s="5" t="s">
        <v>24</v>
      </c>
      <c r="G1413" s="5" t="s">
        <v>39</v>
      </c>
      <c r="H1413" s="5">
        <v>104</v>
      </c>
      <c r="I1413" s="5">
        <v>20</v>
      </c>
      <c r="J1413" s="5" t="s">
        <v>26</v>
      </c>
      <c r="K1413" s="5" t="s">
        <v>35</v>
      </c>
      <c r="L1413" s="5" t="s">
        <v>40</v>
      </c>
      <c r="M1413" s="7" t="s">
        <v>21</v>
      </c>
      <c r="N1413" s="26">
        <f t="shared" si="132"/>
        <v>1</v>
      </c>
      <c r="O1413" s="42">
        <f t="shared" si="133"/>
        <v>45173</v>
      </c>
      <c r="P1413" s="5" t="str">
        <f t="shared" si="134"/>
        <v>Monday</v>
      </c>
      <c r="Q1413" s="5">
        <f t="shared" si="135"/>
        <v>14</v>
      </c>
      <c r="R1413" s="28">
        <f t="shared" si="136"/>
        <v>0.83870967741935487</v>
      </c>
      <c r="S1413" s="29">
        <f t="shared" si="137"/>
        <v>83.870967741935488</v>
      </c>
      <c r="T1413" s="5" t="str">
        <f>IF(Delivery_Data[[#This Row],[Delays (min)]]&gt;0,"No","Yes")</f>
        <v>No</v>
      </c>
    </row>
    <row r="1414" spans="1:20" ht="15.75" customHeight="1" x14ac:dyDescent="0.3">
      <c r="A1414" s="4">
        <v>2413</v>
      </c>
      <c r="B1414" s="5" t="s">
        <v>1510</v>
      </c>
      <c r="C1414" s="6">
        <v>45173.573611111111</v>
      </c>
      <c r="D1414" s="5" t="s">
        <v>43</v>
      </c>
      <c r="E1414" s="5" t="s">
        <v>441</v>
      </c>
      <c r="F1414" s="5" t="s">
        <v>24</v>
      </c>
      <c r="G1414" s="5" t="s">
        <v>25</v>
      </c>
      <c r="H1414" s="5">
        <v>68</v>
      </c>
      <c r="I1414" s="5">
        <v>16</v>
      </c>
      <c r="J1414" s="5" t="s">
        <v>32</v>
      </c>
      <c r="K1414" s="5" t="s">
        <v>49</v>
      </c>
      <c r="L1414" s="5" t="s">
        <v>20</v>
      </c>
      <c r="M1414" s="7" t="s">
        <v>21</v>
      </c>
      <c r="N1414" s="26">
        <f t="shared" si="132"/>
        <v>-1</v>
      </c>
      <c r="O1414" s="42">
        <f t="shared" si="133"/>
        <v>45173</v>
      </c>
      <c r="P1414" s="5" t="str">
        <f t="shared" si="134"/>
        <v>Monday</v>
      </c>
      <c r="Q1414" s="5">
        <f t="shared" si="135"/>
        <v>13</v>
      </c>
      <c r="R1414" s="28">
        <f t="shared" si="136"/>
        <v>0.80952380952380953</v>
      </c>
      <c r="S1414" s="29">
        <f t="shared" si="137"/>
        <v>80.952380952380949</v>
      </c>
      <c r="T1414" s="5" t="str">
        <f>IF(Delivery_Data[[#This Row],[Delays (min)]]&gt;0,"No","Yes")</f>
        <v>No</v>
      </c>
    </row>
    <row r="1415" spans="1:20" ht="15.75" customHeight="1" x14ac:dyDescent="0.3">
      <c r="A1415" s="4">
        <v>2414</v>
      </c>
      <c r="B1415" s="5" t="s">
        <v>1511</v>
      </c>
      <c r="C1415" s="6">
        <v>45170.660416666666</v>
      </c>
      <c r="D1415" s="5" t="s">
        <v>14</v>
      </c>
      <c r="E1415" s="5" t="s">
        <v>240</v>
      </c>
      <c r="F1415" s="5" t="s">
        <v>16</v>
      </c>
      <c r="G1415" s="5" t="s">
        <v>17</v>
      </c>
      <c r="H1415" s="5">
        <v>126</v>
      </c>
      <c r="I1415" s="5">
        <v>12</v>
      </c>
      <c r="J1415" s="5" t="s">
        <v>26</v>
      </c>
      <c r="K1415" s="5" t="s">
        <v>45</v>
      </c>
      <c r="L1415" s="5" t="s">
        <v>28</v>
      </c>
      <c r="M1415" s="7" t="s">
        <v>21</v>
      </c>
      <c r="N1415" s="26">
        <f t="shared" si="132"/>
        <v>1</v>
      </c>
      <c r="O1415" s="42">
        <f t="shared" si="133"/>
        <v>45170</v>
      </c>
      <c r="P1415" s="5" t="str">
        <f t="shared" si="134"/>
        <v>Friday</v>
      </c>
      <c r="Q1415" s="5">
        <f t="shared" si="135"/>
        <v>15</v>
      </c>
      <c r="R1415" s="28">
        <f t="shared" si="136"/>
        <v>0.91304347826086951</v>
      </c>
      <c r="S1415" s="29">
        <f t="shared" si="137"/>
        <v>91.304347826086953</v>
      </c>
      <c r="T1415" s="5" t="str">
        <f>IF(Delivery_Data[[#This Row],[Delays (min)]]&gt;0,"No","Yes")</f>
        <v>No</v>
      </c>
    </row>
    <row r="1416" spans="1:20" ht="15.75" customHeight="1" x14ac:dyDescent="0.3">
      <c r="A1416" s="4">
        <v>2415</v>
      </c>
      <c r="B1416" s="5" t="s">
        <v>1512</v>
      </c>
      <c r="C1416" s="6">
        <v>45171.397222222222</v>
      </c>
      <c r="D1416" s="5" t="s">
        <v>43</v>
      </c>
      <c r="E1416" s="5" t="s">
        <v>109</v>
      </c>
      <c r="F1416" s="5" t="s">
        <v>16</v>
      </c>
      <c r="G1416" s="5" t="s">
        <v>25</v>
      </c>
      <c r="H1416" s="5">
        <v>198</v>
      </c>
      <c r="I1416" s="5">
        <v>20</v>
      </c>
      <c r="J1416" s="5" t="s">
        <v>18</v>
      </c>
      <c r="K1416" s="5" t="s">
        <v>35</v>
      </c>
      <c r="L1416" s="5" t="s">
        <v>20</v>
      </c>
      <c r="M1416" s="7" t="s">
        <v>41</v>
      </c>
      <c r="N1416" s="26">
        <f t="shared" si="132"/>
        <v>0</v>
      </c>
      <c r="O1416" s="42">
        <f t="shared" si="133"/>
        <v>45171</v>
      </c>
      <c r="P1416" s="5" t="str">
        <f t="shared" si="134"/>
        <v>Saturday</v>
      </c>
      <c r="Q1416" s="5">
        <f t="shared" si="135"/>
        <v>9</v>
      </c>
      <c r="R1416" s="28">
        <f t="shared" si="136"/>
        <v>0.90825688073394495</v>
      </c>
      <c r="S1416" s="29">
        <f t="shared" si="137"/>
        <v>90.825688073394488</v>
      </c>
      <c r="T1416" s="5" t="str">
        <f>IF(Delivery_Data[[#This Row],[Delays (min)]]&gt;0,"No","Yes")</f>
        <v>No</v>
      </c>
    </row>
    <row r="1417" spans="1:20" ht="15.75" customHeight="1" x14ac:dyDescent="0.3">
      <c r="A1417" s="4">
        <v>2416</v>
      </c>
      <c r="B1417" s="5" t="s">
        <v>1513</v>
      </c>
      <c r="C1417" s="6">
        <v>45177.560416666667</v>
      </c>
      <c r="D1417" s="5" t="s">
        <v>14</v>
      </c>
      <c r="E1417" s="5" t="s">
        <v>158</v>
      </c>
      <c r="F1417" s="5" t="s">
        <v>16</v>
      </c>
      <c r="G1417" s="5" t="s">
        <v>31</v>
      </c>
      <c r="H1417" s="5">
        <v>150</v>
      </c>
      <c r="I1417" s="5">
        <v>14</v>
      </c>
      <c r="J1417" s="5" t="s">
        <v>32</v>
      </c>
      <c r="K1417" s="5" t="s">
        <v>45</v>
      </c>
      <c r="L1417" s="5" t="s">
        <v>40</v>
      </c>
      <c r="M1417" s="7" t="s">
        <v>21</v>
      </c>
      <c r="N1417" s="26">
        <f t="shared" si="132"/>
        <v>-1</v>
      </c>
      <c r="O1417" s="42">
        <f t="shared" si="133"/>
        <v>45177</v>
      </c>
      <c r="P1417" s="5" t="str">
        <f t="shared" si="134"/>
        <v>Friday</v>
      </c>
      <c r="Q1417" s="5">
        <f t="shared" si="135"/>
        <v>13</v>
      </c>
      <c r="R1417" s="28">
        <f t="shared" si="136"/>
        <v>0.91463414634146345</v>
      </c>
      <c r="S1417" s="29">
        <f t="shared" si="137"/>
        <v>91.463414634146346</v>
      </c>
      <c r="T1417" s="5" t="str">
        <f>IF(Delivery_Data[[#This Row],[Delays (min)]]&gt;0,"No","Yes")</f>
        <v>No</v>
      </c>
    </row>
    <row r="1418" spans="1:20" ht="15.75" customHeight="1" x14ac:dyDescent="0.3">
      <c r="A1418" s="4">
        <v>2417</v>
      </c>
      <c r="B1418" s="5" t="s">
        <v>1514</v>
      </c>
      <c r="C1418" s="6">
        <v>45174.470833333333</v>
      </c>
      <c r="D1418" s="5" t="s">
        <v>14</v>
      </c>
      <c r="E1418" s="5" t="s">
        <v>51</v>
      </c>
      <c r="F1418" s="5" t="s">
        <v>24</v>
      </c>
      <c r="G1418" s="5" t="s">
        <v>25</v>
      </c>
      <c r="H1418" s="5">
        <v>230</v>
      </c>
      <c r="I1418" s="5">
        <v>9</v>
      </c>
      <c r="J1418" s="5" t="s">
        <v>26</v>
      </c>
      <c r="K1418" s="5" t="s">
        <v>27</v>
      </c>
      <c r="L1418" s="5" t="s">
        <v>20</v>
      </c>
      <c r="M1418" s="7" t="s">
        <v>21</v>
      </c>
      <c r="N1418" s="26">
        <f t="shared" si="132"/>
        <v>1</v>
      </c>
      <c r="O1418" s="42">
        <f t="shared" si="133"/>
        <v>45174</v>
      </c>
      <c r="P1418" s="5" t="str">
        <f t="shared" si="134"/>
        <v>Tuesday</v>
      </c>
      <c r="Q1418" s="5">
        <f t="shared" si="135"/>
        <v>11</v>
      </c>
      <c r="R1418" s="28">
        <f t="shared" si="136"/>
        <v>0.96234309623430958</v>
      </c>
      <c r="S1418" s="29">
        <f t="shared" si="137"/>
        <v>96.23430962343096</v>
      </c>
      <c r="T1418" s="5" t="str">
        <f>IF(Delivery_Data[[#This Row],[Delays (min)]]&gt;0,"No","Yes")</f>
        <v>No</v>
      </c>
    </row>
    <row r="1419" spans="1:20" ht="15.75" customHeight="1" x14ac:dyDescent="0.3">
      <c r="A1419" s="4">
        <v>2418</v>
      </c>
      <c r="B1419" s="5" t="s">
        <v>911</v>
      </c>
      <c r="C1419" s="6">
        <v>45171.604861111111</v>
      </c>
      <c r="D1419" s="5" t="s">
        <v>43</v>
      </c>
      <c r="E1419" s="5" t="s">
        <v>355</v>
      </c>
      <c r="F1419" s="5" t="s">
        <v>16</v>
      </c>
      <c r="G1419" s="5" t="s">
        <v>17</v>
      </c>
      <c r="H1419" s="5">
        <v>115</v>
      </c>
      <c r="I1419" s="5">
        <v>12</v>
      </c>
      <c r="J1419" s="5" t="s">
        <v>18</v>
      </c>
      <c r="K1419" s="5" t="s">
        <v>27</v>
      </c>
      <c r="L1419" s="5" t="s">
        <v>20</v>
      </c>
      <c r="M1419" s="7" t="s">
        <v>21</v>
      </c>
      <c r="N1419" s="26">
        <f t="shared" si="132"/>
        <v>0</v>
      </c>
      <c r="O1419" s="42">
        <f t="shared" si="133"/>
        <v>45171</v>
      </c>
      <c r="P1419" s="5" t="str">
        <f t="shared" si="134"/>
        <v>Saturday</v>
      </c>
      <c r="Q1419" s="5">
        <f t="shared" si="135"/>
        <v>14</v>
      </c>
      <c r="R1419" s="28">
        <f t="shared" si="136"/>
        <v>0.90551181102362199</v>
      </c>
      <c r="S1419" s="29">
        <f t="shared" si="137"/>
        <v>90.551181102362193</v>
      </c>
      <c r="T1419" s="5" t="str">
        <f>IF(Delivery_Data[[#This Row],[Delays (min)]]&gt;0,"No","Yes")</f>
        <v>No</v>
      </c>
    </row>
    <row r="1420" spans="1:20" ht="15.75" customHeight="1" x14ac:dyDescent="0.3">
      <c r="A1420" s="4">
        <v>2419</v>
      </c>
      <c r="B1420" s="5" t="s">
        <v>1116</v>
      </c>
      <c r="C1420" s="6">
        <v>45176.644444444442</v>
      </c>
      <c r="D1420" s="5" t="s">
        <v>14</v>
      </c>
      <c r="E1420" s="5" t="s">
        <v>103</v>
      </c>
      <c r="F1420" s="5" t="s">
        <v>38</v>
      </c>
      <c r="G1420" s="5" t="s">
        <v>39</v>
      </c>
      <c r="H1420" s="5">
        <v>108</v>
      </c>
      <c r="I1420" s="5">
        <v>9</v>
      </c>
      <c r="J1420" s="5" t="s">
        <v>18</v>
      </c>
      <c r="K1420" s="5" t="s">
        <v>49</v>
      </c>
      <c r="L1420" s="5" t="s">
        <v>40</v>
      </c>
      <c r="M1420" s="7" t="s">
        <v>21</v>
      </c>
      <c r="N1420" s="26">
        <f t="shared" si="132"/>
        <v>0</v>
      </c>
      <c r="O1420" s="42">
        <f t="shared" si="133"/>
        <v>45176</v>
      </c>
      <c r="P1420" s="5" t="str">
        <f t="shared" si="134"/>
        <v>Thursday</v>
      </c>
      <c r="Q1420" s="5">
        <f t="shared" si="135"/>
        <v>15</v>
      </c>
      <c r="R1420" s="28">
        <f t="shared" si="136"/>
        <v>0.92307692307692313</v>
      </c>
      <c r="S1420" s="29">
        <f t="shared" si="137"/>
        <v>92.307692307692307</v>
      </c>
      <c r="T1420" s="5" t="str">
        <f>IF(Delivery_Data[[#This Row],[Delays (min)]]&gt;0,"No","Yes")</f>
        <v>No</v>
      </c>
    </row>
    <row r="1421" spans="1:20" ht="15.75" customHeight="1" x14ac:dyDescent="0.3">
      <c r="A1421" s="4">
        <v>2420</v>
      </c>
      <c r="B1421" s="5" t="s">
        <v>1515</v>
      </c>
      <c r="C1421" s="6">
        <v>45176.442361111112</v>
      </c>
      <c r="D1421" s="5" t="s">
        <v>43</v>
      </c>
      <c r="E1421" s="5" t="s">
        <v>231</v>
      </c>
      <c r="F1421" s="5" t="s">
        <v>24</v>
      </c>
      <c r="G1421" s="5" t="s">
        <v>25</v>
      </c>
      <c r="H1421" s="5">
        <v>65</v>
      </c>
      <c r="I1421" s="5">
        <v>7</v>
      </c>
      <c r="J1421" s="5" t="s">
        <v>32</v>
      </c>
      <c r="K1421" s="5" t="s">
        <v>27</v>
      </c>
      <c r="L1421" s="5" t="s">
        <v>20</v>
      </c>
      <c r="M1421" s="7" t="s">
        <v>21</v>
      </c>
      <c r="N1421" s="26">
        <f t="shared" si="132"/>
        <v>-1</v>
      </c>
      <c r="O1421" s="42">
        <f t="shared" si="133"/>
        <v>45176</v>
      </c>
      <c r="P1421" s="5" t="str">
        <f t="shared" si="134"/>
        <v>Thursday</v>
      </c>
      <c r="Q1421" s="5">
        <f t="shared" si="135"/>
        <v>10</v>
      </c>
      <c r="R1421" s="28">
        <f t="shared" si="136"/>
        <v>0.90277777777777779</v>
      </c>
      <c r="S1421" s="29">
        <f t="shared" si="137"/>
        <v>90.277777777777786</v>
      </c>
      <c r="T1421" s="5" t="str">
        <f>IF(Delivery_Data[[#This Row],[Delays (min)]]&gt;0,"No","Yes")</f>
        <v>No</v>
      </c>
    </row>
    <row r="1422" spans="1:20" ht="15.75" customHeight="1" x14ac:dyDescent="0.3">
      <c r="A1422" s="4">
        <v>2421</v>
      </c>
      <c r="B1422" s="5" t="s">
        <v>1516</v>
      </c>
      <c r="C1422" s="6">
        <v>45173.388194444444</v>
      </c>
      <c r="D1422" s="5" t="s">
        <v>43</v>
      </c>
      <c r="E1422" s="5" t="s">
        <v>158</v>
      </c>
      <c r="F1422" s="5" t="s">
        <v>38</v>
      </c>
      <c r="G1422" s="5" t="s">
        <v>31</v>
      </c>
      <c r="H1422" s="5">
        <v>115</v>
      </c>
      <c r="I1422" s="5">
        <v>17</v>
      </c>
      <c r="J1422" s="5" t="s">
        <v>26</v>
      </c>
      <c r="K1422" s="5" t="s">
        <v>35</v>
      </c>
      <c r="L1422" s="5" t="s">
        <v>40</v>
      </c>
      <c r="M1422" s="7" t="s">
        <v>46</v>
      </c>
      <c r="N1422" s="26">
        <f t="shared" si="132"/>
        <v>1</v>
      </c>
      <c r="O1422" s="42">
        <f t="shared" si="133"/>
        <v>45173</v>
      </c>
      <c r="P1422" s="5" t="str">
        <f t="shared" si="134"/>
        <v>Monday</v>
      </c>
      <c r="Q1422" s="5">
        <f t="shared" si="135"/>
        <v>9</v>
      </c>
      <c r="R1422" s="28">
        <f t="shared" si="136"/>
        <v>0.87121212121212122</v>
      </c>
      <c r="S1422" s="29">
        <f t="shared" si="137"/>
        <v>87.121212121212125</v>
      </c>
      <c r="T1422" s="5" t="str">
        <f>IF(Delivery_Data[[#This Row],[Delays (min)]]&gt;0,"No","Yes")</f>
        <v>No</v>
      </c>
    </row>
    <row r="1423" spans="1:20" ht="15.75" customHeight="1" x14ac:dyDescent="0.3">
      <c r="A1423" s="4">
        <v>2422</v>
      </c>
      <c r="B1423" s="5" t="s">
        <v>1517</v>
      </c>
      <c r="C1423" s="6">
        <v>45176.494444444441</v>
      </c>
      <c r="D1423" s="5" t="s">
        <v>14</v>
      </c>
      <c r="E1423" s="5" t="s">
        <v>162</v>
      </c>
      <c r="F1423" s="5" t="s">
        <v>38</v>
      </c>
      <c r="G1423" s="5" t="s">
        <v>56</v>
      </c>
      <c r="H1423" s="5">
        <v>97</v>
      </c>
      <c r="I1423" s="5">
        <v>0</v>
      </c>
      <c r="J1423" s="5" t="s">
        <v>18</v>
      </c>
      <c r="K1423" s="5" t="s">
        <v>19</v>
      </c>
      <c r="L1423" s="5" t="s">
        <v>40</v>
      </c>
      <c r="M1423" s="7" t="s">
        <v>46</v>
      </c>
      <c r="N1423" s="26">
        <f t="shared" si="132"/>
        <v>0</v>
      </c>
      <c r="O1423" s="42">
        <f t="shared" si="133"/>
        <v>45176</v>
      </c>
      <c r="P1423" s="5" t="str">
        <f t="shared" si="134"/>
        <v>Thursday</v>
      </c>
      <c r="Q1423" s="5">
        <f t="shared" si="135"/>
        <v>11</v>
      </c>
      <c r="R1423" s="28">
        <f t="shared" si="136"/>
        <v>1</v>
      </c>
      <c r="S1423" s="29">
        <f t="shared" si="137"/>
        <v>100</v>
      </c>
      <c r="T1423" s="5" t="str">
        <f>IF(Delivery_Data[[#This Row],[Delays (min)]]&gt;0,"No","Yes")</f>
        <v>Yes</v>
      </c>
    </row>
    <row r="1424" spans="1:20" ht="15.75" customHeight="1" x14ac:dyDescent="0.3">
      <c r="A1424" s="4">
        <v>2423</v>
      </c>
      <c r="B1424" s="5" t="s">
        <v>1518</v>
      </c>
      <c r="C1424" s="6">
        <v>45174.442361111112</v>
      </c>
      <c r="D1424" s="5" t="s">
        <v>14</v>
      </c>
      <c r="E1424" s="5" t="s">
        <v>355</v>
      </c>
      <c r="F1424" s="5" t="s">
        <v>24</v>
      </c>
      <c r="G1424" s="5" t="s">
        <v>56</v>
      </c>
      <c r="H1424" s="5">
        <v>80</v>
      </c>
      <c r="I1424" s="5">
        <v>22</v>
      </c>
      <c r="J1424" s="5" t="s">
        <v>26</v>
      </c>
      <c r="K1424" s="5" t="s">
        <v>35</v>
      </c>
      <c r="L1424" s="5" t="s">
        <v>28</v>
      </c>
      <c r="M1424" s="7" t="s">
        <v>41</v>
      </c>
      <c r="N1424" s="26">
        <f t="shared" si="132"/>
        <v>1</v>
      </c>
      <c r="O1424" s="42">
        <f t="shared" si="133"/>
        <v>45174</v>
      </c>
      <c r="P1424" s="5" t="str">
        <f t="shared" si="134"/>
        <v>Tuesday</v>
      </c>
      <c r="Q1424" s="5">
        <f t="shared" si="135"/>
        <v>10</v>
      </c>
      <c r="R1424" s="28">
        <f t="shared" si="136"/>
        <v>0.78431372549019607</v>
      </c>
      <c r="S1424" s="29">
        <f t="shared" si="137"/>
        <v>78.431372549019613</v>
      </c>
      <c r="T1424" s="5" t="str">
        <f>IF(Delivery_Data[[#This Row],[Delays (min)]]&gt;0,"No","Yes")</f>
        <v>No</v>
      </c>
    </row>
    <row r="1425" spans="1:20" ht="15.75" customHeight="1" x14ac:dyDescent="0.3">
      <c r="A1425" s="4">
        <v>2424</v>
      </c>
      <c r="B1425" s="5" t="s">
        <v>1519</v>
      </c>
      <c r="C1425" s="6">
        <v>45176.611111111109</v>
      </c>
      <c r="D1425" s="5" t="s">
        <v>14</v>
      </c>
      <c r="E1425" s="5" t="s">
        <v>120</v>
      </c>
      <c r="F1425" s="5" t="s">
        <v>38</v>
      </c>
      <c r="G1425" s="5" t="s">
        <v>17</v>
      </c>
      <c r="H1425" s="5">
        <v>231</v>
      </c>
      <c r="I1425" s="5">
        <v>24</v>
      </c>
      <c r="J1425" s="5" t="s">
        <v>18</v>
      </c>
      <c r="K1425" s="5" t="s">
        <v>19</v>
      </c>
      <c r="L1425" s="5" t="s">
        <v>40</v>
      </c>
      <c r="M1425" s="7" t="s">
        <v>41</v>
      </c>
      <c r="N1425" s="26">
        <f t="shared" si="132"/>
        <v>0</v>
      </c>
      <c r="O1425" s="42">
        <f t="shared" si="133"/>
        <v>45176</v>
      </c>
      <c r="P1425" s="5" t="str">
        <f t="shared" si="134"/>
        <v>Thursday</v>
      </c>
      <c r="Q1425" s="5">
        <f t="shared" si="135"/>
        <v>14</v>
      </c>
      <c r="R1425" s="28">
        <f t="shared" si="136"/>
        <v>0.90588235294117647</v>
      </c>
      <c r="S1425" s="29">
        <f t="shared" si="137"/>
        <v>90.588235294117652</v>
      </c>
      <c r="T1425" s="5" t="str">
        <f>IF(Delivery_Data[[#This Row],[Delays (min)]]&gt;0,"No","Yes")</f>
        <v>No</v>
      </c>
    </row>
    <row r="1426" spans="1:20" ht="15.75" customHeight="1" x14ac:dyDescent="0.3">
      <c r="A1426" s="4">
        <v>2425</v>
      </c>
      <c r="B1426" s="5" t="s">
        <v>1520</v>
      </c>
      <c r="C1426" s="6">
        <v>45175.539583333331</v>
      </c>
      <c r="D1426" s="5" t="s">
        <v>43</v>
      </c>
      <c r="E1426" s="5" t="s">
        <v>245</v>
      </c>
      <c r="F1426" s="5" t="s">
        <v>24</v>
      </c>
      <c r="G1426" s="5" t="s">
        <v>17</v>
      </c>
      <c r="H1426" s="5">
        <v>99</v>
      </c>
      <c r="I1426" s="5">
        <v>17</v>
      </c>
      <c r="J1426" s="5" t="s">
        <v>18</v>
      </c>
      <c r="K1426" s="5" t="s">
        <v>45</v>
      </c>
      <c r="L1426" s="5" t="s">
        <v>40</v>
      </c>
      <c r="M1426" s="7" t="s">
        <v>41</v>
      </c>
      <c r="N1426" s="26">
        <f t="shared" si="132"/>
        <v>0</v>
      </c>
      <c r="O1426" s="42">
        <f t="shared" si="133"/>
        <v>45175</v>
      </c>
      <c r="P1426" s="5" t="str">
        <f t="shared" si="134"/>
        <v>Wednesday</v>
      </c>
      <c r="Q1426" s="5">
        <f t="shared" si="135"/>
        <v>12</v>
      </c>
      <c r="R1426" s="28">
        <f t="shared" si="136"/>
        <v>0.85344827586206895</v>
      </c>
      <c r="S1426" s="29">
        <f t="shared" si="137"/>
        <v>85.34482758620689</v>
      </c>
      <c r="T1426" s="5" t="str">
        <f>IF(Delivery_Data[[#This Row],[Delays (min)]]&gt;0,"No","Yes")</f>
        <v>No</v>
      </c>
    </row>
    <row r="1427" spans="1:20" ht="15.75" customHeight="1" x14ac:dyDescent="0.3">
      <c r="A1427" s="4">
        <v>2426</v>
      </c>
      <c r="B1427" s="5" t="s">
        <v>1521</v>
      </c>
      <c r="C1427" s="6">
        <v>45170.36041666667</v>
      </c>
      <c r="D1427" s="5" t="s">
        <v>43</v>
      </c>
      <c r="E1427" s="5" t="s">
        <v>333</v>
      </c>
      <c r="F1427" s="5" t="s">
        <v>16</v>
      </c>
      <c r="G1427" s="5" t="s">
        <v>39</v>
      </c>
      <c r="H1427" s="5">
        <v>194</v>
      </c>
      <c r="I1427" s="5">
        <v>23</v>
      </c>
      <c r="J1427" s="5" t="s">
        <v>26</v>
      </c>
      <c r="K1427" s="5" t="s">
        <v>35</v>
      </c>
      <c r="L1427" s="5" t="s">
        <v>40</v>
      </c>
      <c r="M1427" s="7" t="s">
        <v>46</v>
      </c>
      <c r="N1427" s="26">
        <f t="shared" si="132"/>
        <v>1</v>
      </c>
      <c r="O1427" s="42">
        <f t="shared" si="133"/>
        <v>45170</v>
      </c>
      <c r="P1427" s="5" t="str">
        <f t="shared" si="134"/>
        <v>Friday</v>
      </c>
      <c r="Q1427" s="5">
        <f t="shared" si="135"/>
        <v>8</v>
      </c>
      <c r="R1427" s="28">
        <f t="shared" si="136"/>
        <v>0.89400921658986177</v>
      </c>
      <c r="S1427" s="29">
        <f t="shared" si="137"/>
        <v>89.400921658986178</v>
      </c>
      <c r="T1427" s="5" t="str">
        <f>IF(Delivery_Data[[#This Row],[Delays (min)]]&gt;0,"No","Yes")</f>
        <v>No</v>
      </c>
    </row>
    <row r="1428" spans="1:20" ht="15.75" customHeight="1" x14ac:dyDescent="0.3">
      <c r="A1428" s="4">
        <v>2427</v>
      </c>
      <c r="B1428" s="5" t="s">
        <v>1522</v>
      </c>
      <c r="C1428" s="6">
        <v>45170.338194444441</v>
      </c>
      <c r="D1428" s="5" t="s">
        <v>14</v>
      </c>
      <c r="E1428" s="5" t="s">
        <v>130</v>
      </c>
      <c r="F1428" s="5" t="s">
        <v>16</v>
      </c>
      <c r="G1428" s="5" t="s">
        <v>25</v>
      </c>
      <c r="H1428" s="5">
        <v>166</v>
      </c>
      <c r="I1428" s="5">
        <v>26</v>
      </c>
      <c r="J1428" s="5" t="s">
        <v>18</v>
      </c>
      <c r="K1428" s="5" t="s">
        <v>35</v>
      </c>
      <c r="L1428" s="5" t="s">
        <v>20</v>
      </c>
      <c r="M1428" s="7" t="s">
        <v>41</v>
      </c>
      <c r="N1428" s="26">
        <f t="shared" si="132"/>
        <v>0</v>
      </c>
      <c r="O1428" s="42">
        <f t="shared" si="133"/>
        <v>45170</v>
      </c>
      <c r="P1428" s="5" t="str">
        <f t="shared" si="134"/>
        <v>Friday</v>
      </c>
      <c r="Q1428" s="5">
        <f t="shared" si="135"/>
        <v>8</v>
      </c>
      <c r="R1428" s="28">
        <f t="shared" si="136"/>
        <v>0.86458333333333337</v>
      </c>
      <c r="S1428" s="29">
        <f t="shared" si="137"/>
        <v>86.458333333333343</v>
      </c>
      <c r="T1428" s="5" t="str">
        <f>IF(Delivery_Data[[#This Row],[Delays (min)]]&gt;0,"No","Yes")</f>
        <v>No</v>
      </c>
    </row>
    <row r="1429" spans="1:20" ht="15.75" customHeight="1" x14ac:dyDescent="0.3">
      <c r="A1429" s="4">
        <v>2428</v>
      </c>
      <c r="B1429" s="5" t="s">
        <v>1523</v>
      </c>
      <c r="C1429" s="6">
        <v>45175.693055555559</v>
      </c>
      <c r="D1429" s="5" t="s">
        <v>43</v>
      </c>
      <c r="E1429" s="5" t="s">
        <v>285</v>
      </c>
      <c r="F1429" s="5" t="s">
        <v>38</v>
      </c>
      <c r="G1429" s="5" t="s">
        <v>39</v>
      </c>
      <c r="H1429" s="5">
        <v>109</v>
      </c>
      <c r="I1429" s="5">
        <v>27</v>
      </c>
      <c r="J1429" s="5" t="s">
        <v>18</v>
      </c>
      <c r="K1429" s="5" t="s">
        <v>19</v>
      </c>
      <c r="L1429" s="5" t="s">
        <v>28</v>
      </c>
      <c r="M1429" s="7" t="s">
        <v>46</v>
      </c>
      <c r="N1429" s="26">
        <f t="shared" si="132"/>
        <v>0</v>
      </c>
      <c r="O1429" s="42">
        <f t="shared" si="133"/>
        <v>45175</v>
      </c>
      <c r="P1429" s="5" t="str">
        <f t="shared" si="134"/>
        <v>Wednesday</v>
      </c>
      <c r="Q1429" s="5">
        <f t="shared" si="135"/>
        <v>16</v>
      </c>
      <c r="R1429" s="28">
        <f t="shared" si="136"/>
        <v>0.80147058823529416</v>
      </c>
      <c r="S1429" s="29">
        <f t="shared" si="137"/>
        <v>80.14705882352942</v>
      </c>
      <c r="T1429" s="5" t="str">
        <f>IF(Delivery_Data[[#This Row],[Delays (min)]]&gt;0,"No","Yes")</f>
        <v>No</v>
      </c>
    </row>
    <row r="1430" spans="1:20" ht="15.75" customHeight="1" x14ac:dyDescent="0.3">
      <c r="A1430" s="4">
        <v>2429</v>
      </c>
      <c r="B1430" s="5" t="s">
        <v>1524</v>
      </c>
      <c r="C1430" s="6">
        <v>45170.634722222225</v>
      </c>
      <c r="D1430" s="5" t="s">
        <v>43</v>
      </c>
      <c r="E1430" s="5" t="s">
        <v>128</v>
      </c>
      <c r="F1430" s="5" t="s">
        <v>38</v>
      </c>
      <c r="G1430" s="5" t="s">
        <v>39</v>
      </c>
      <c r="H1430" s="5">
        <v>63</v>
      </c>
      <c r="I1430" s="5">
        <v>17</v>
      </c>
      <c r="J1430" s="5" t="s">
        <v>18</v>
      </c>
      <c r="K1430" s="5" t="s">
        <v>45</v>
      </c>
      <c r="L1430" s="5" t="s">
        <v>28</v>
      </c>
      <c r="M1430" s="7" t="s">
        <v>21</v>
      </c>
      <c r="N1430" s="26">
        <f t="shared" si="132"/>
        <v>0</v>
      </c>
      <c r="O1430" s="42">
        <f t="shared" si="133"/>
        <v>45170</v>
      </c>
      <c r="P1430" s="5" t="str">
        <f t="shared" si="134"/>
        <v>Friday</v>
      </c>
      <c r="Q1430" s="5">
        <f t="shared" si="135"/>
        <v>15</v>
      </c>
      <c r="R1430" s="28">
        <f t="shared" si="136"/>
        <v>0.78749999999999998</v>
      </c>
      <c r="S1430" s="29">
        <f t="shared" si="137"/>
        <v>78.75</v>
      </c>
      <c r="T1430" s="5" t="str">
        <f>IF(Delivery_Data[[#This Row],[Delays (min)]]&gt;0,"No","Yes")</f>
        <v>No</v>
      </c>
    </row>
    <row r="1431" spans="1:20" ht="15.75" customHeight="1" x14ac:dyDescent="0.3">
      <c r="A1431" s="4">
        <v>2430</v>
      </c>
      <c r="B1431" s="5" t="s">
        <v>1525</v>
      </c>
      <c r="C1431" s="6">
        <v>45173.706250000003</v>
      </c>
      <c r="D1431" s="5" t="s">
        <v>43</v>
      </c>
      <c r="E1431" s="5" t="s">
        <v>166</v>
      </c>
      <c r="F1431" s="5" t="s">
        <v>38</v>
      </c>
      <c r="G1431" s="5" t="s">
        <v>31</v>
      </c>
      <c r="H1431" s="5">
        <v>149</v>
      </c>
      <c r="I1431" s="5">
        <v>28</v>
      </c>
      <c r="J1431" s="5" t="s">
        <v>18</v>
      </c>
      <c r="K1431" s="5" t="s">
        <v>49</v>
      </c>
      <c r="L1431" s="5" t="s">
        <v>28</v>
      </c>
      <c r="M1431" s="7" t="s">
        <v>46</v>
      </c>
      <c r="N1431" s="26">
        <f t="shared" si="132"/>
        <v>0</v>
      </c>
      <c r="O1431" s="42">
        <f t="shared" si="133"/>
        <v>45173</v>
      </c>
      <c r="P1431" s="5" t="str">
        <f t="shared" si="134"/>
        <v>Monday</v>
      </c>
      <c r="Q1431" s="5">
        <f t="shared" si="135"/>
        <v>16</v>
      </c>
      <c r="R1431" s="28">
        <f t="shared" si="136"/>
        <v>0.84180790960451979</v>
      </c>
      <c r="S1431" s="29">
        <f t="shared" si="137"/>
        <v>84.180790960451972</v>
      </c>
      <c r="T1431" s="5" t="str">
        <f>IF(Delivery_Data[[#This Row],[Delays (min)]]&gt;0,"No","Yes")</f>
        <v>No</v>
      </c>
    </row>
    <row r="1432" spans="1:20" ht="15.75" customHeight="1" x14ac:dyDescent="0.3">
      <c r="A1432" s="4">
        <v>2431</v>
      </c>
      <c r="B1432" s="5" t="s">
        <v>1526</v>
      </c>
      <c r="C1432" s="6">
        <v>45171.548611111109</v>
      </c>
      <c r="D1432" s="5" t="s">
        <v>43</v>
      </c>
      <c r="E1432" s="5" t="s">
        <v>249</v>
      </c>
      <c r="F1432" s="5" t="s">
        <v>16</v>
      </c>
      <c r="G1432" s="5" t="s">
        <v>56</v>
      </c>
      <c r="H1432" s="5">
        <v>137</v>
      </c>
      <c r="I1432" s="5">
        <v>8</v>
      </c>
      <c r="J1432" s="5" t="s">
        <v>32</v>
      </c>
      <c r="K1432" s="5" t="s">
        <v>49</v>
      </c>
      <c r="L1432" s="5" t="s">
        <v>20</v>
      </c>
      <c r="M1432" s="7" t="s">
        <v>46</v>
      </c>
      <c r="N1432" s="26">
        <f t="shared" si="132"/>
        <v>-1</v>
      </c>
      <c r="O1432" s="42">
        <f t="shared" si="133"/>
        <v>45171</v>
      </c>
      <c r="P1432" s="5" t="str">
        <f t="shared" si="134"/>
        <v>Saturday</v>
      </c>
      <c r="Q1432" s="5">
        <f t="shared" si="135"/>
        <v>13</v>
      </c>
      <c r="R1432" s="28">
        <f t="shared" si="136"/>
        <v>0.94482758620689655</v>
      </c>
      <c r="S1432" s="29">
        <f t="shared" si="137"/>
        <v>94.482758620689651</v>
      </c>
      <c r="T1432" s="5" t="str">
        <f>IF(Delivery_Data[[#This Row],[Delays (min)]]&gt;0,"No","Yes")</f>
        <v>No</v>
      </c>
    </row>
    <row r="1433" spans="1:20" ht="15.75" customHeight="1" x14ac:dyDescent="0.3">
      <c r="A1433" s="4">
        <v>2432</v>
      </c>
      <c r="B1433" s="5" t="s">
        <v>1527</v>
      </c>
      <c r="C1433" s="6">
        <v>45176.398611111108</v>
      </c>
      <c r="D1433" s="5" t="s">
        <v>14</v>
      </c>
      <c r="E1433" s="5" t="s">
        <v>162</v>
      </c>
      <c r="F1433" s="5" t="s">
        <v>24</v>
      </c>
      <c r="G1433" s="5" t="s">
        <v>39</v>
      </c>
      <c r="H1433" s="5">
        <v>151</v>
      </c>
      <c r="I1433" s="5">
        <v>3</v>
      </c>
      <c r="J1433" s="5" t="s">
        <v>18</v>
      </c>
      <c r="K1433" s="5" t="s">
        <v>35</v>
      </c>
      <c r="L1433" s="5" t="s">
        <v>28</v>
      </c>
      <c r="M1433" s="7" t="s">
        <v>41</v>
      </c>
      <c r="N1433" s="26">
        <f t="shared" si="132"/>
        <v>0</v>
      </c>
      <c r="O1433" s="42">
        <f t="shared" si="133"/>
        <v>45176</v>
      </c>
      <c r="P1433" s="5" t="str">
        <f t="shared" si="134"/>
        <v>Thursday</v>
      </c>
      <c r="Q1433" s="5">
        <f t="shared" si="135"/>
        <v>9</v>
      </c>
      <c r="R1433" s="28">
        <f t="shared" si="136"/>
        <v>0.98051948051948057</v>
      </c>
      <c r="S1433" s="29">
        <f t="shared" si="137"/>
        <v>98.05194805194806</v>
      </c>
      <c r="T1433" s="5" t="str">
        <f>IF(Delivery_Data[[#This Row],[Delays (min)]]&gt;0,"No","Yes")</f>
        <v>No</v>
      </c>
    </row>
    <row r="1434" spans="1:20" ht="15.75" customHeight="1" x14ac:dyDescent="0.3">
      <c r="A1434" s="4">
        <v>2433</v>
      </c>
      <c r="B1434" s="5" t="s">
        <v>1528</v>
      </c>
      <c r="C1434" s="6">
        <v>45174.679166666669</v>
      </c>
      <c r="D1434" s="5" t="s">
        <v>14</v>
      </c>
      <c r="E1434" s="5" t="s">
        <v>156</v>
      </c>
      <c r="F1434" s="5" t="s">
        <v>38</v>
      </c>
      <c r="G1434" s="5" t="s">
        <v>25</v>
      </c>
      <c r="H1434" s="5">
        <v>195</v>
      </c>
      <c r="I1434" s="5">
        <v>25</v>
      </c>
      <c r="J1434" s="5" t="s">
        <v>26</v>
      </c>
      <c r="K1434" s="5" t="s">
        <v>27</v>
      </c>
      <c r="L1434" s="5" t="s">
        <v>28</v>
      </c>
      <c r="M1434" s="7" t="s">
        <v>41</v>
      </c>
      <c r="N1434" s="26">
        <f t="shared" si="132"/>
        <v>1</v>
      </c>
      <c r="O1434" s="42">
        <f t="shared" si="133"/>
        <v>45174</v>
      </c>
      <c r="P1434" s="5" t="str">
        <f t="shared" si="134"/>
        <v>Tuesday</v>
      </c>
      <c r="Q1434" s="5">
        <f t="shared" si="135"/>
        <v>16</v>
      </c>
      <c r="R1434" s="28">
        <f t="shared" si="136"/>
        <v>0.88636363636363635</v>
      </c>
      <c r="S1434" s="29">
        <f t="shared" si="137"/>
        <v>88.63636363636364</v>
      </c>
      <c r="T1434" s="5" t="str">
        <f>IF(Delivery_Data[[#This Row],[Delays (min)]]&gt;0,"No","Yes")</f>
        <v>No</v>
      </c>
    </row>
    <row r="1435" spans="1:20" ht="15.75" customHeight="1" x14ac:dyDescent="0.3">
      <c r="A1435" s="4">
        <v>2434</v>
      </c>
      <c r="B1435" s="5" t="s">
        <v>1529</v>
      </c>
      <c r="C1435" s="6">
        <v>45174.445138888892</v>
      </c>
      <c r="D1435" s="5" t="s">
        <v>14</v>
      </c>
      <c r="E1435" s="5" t="s">
        <v>169</v>
      </c>
      <c r="F1435" s="5" t="s">
        <v>16</v>
      </c>
      <c r="G1435" s="5" t="s">
        <v>17</v>
      </c>
      <c r="H1435" s="5">
        <v>171</v>
      </c>
      <c r="I1435" s="5">
        <v>12</v>
      </c>
      <c r="J1435" s="5" t="s">
        <v>32</v>
      </c>
      <c r="K1435" s="5" t="s">
        <v>45</v>
      </c>
      <c r="L1435" s="5" t="s">
        <v>28</v>
      </c>
      <c r="M1435" s="7" t="s">
        <v>41</v>
      </c>
      <c r="N1435" s="26">
        <f t="shared" si="132"/>
        <v>-1</v>
      </c>
      <c r="O1435" s="42">
        <f t="shared" si="133"/>
        <v>45174</v>
      </c>
      <c r="P1435" s="5" t="str">
        <f t="shared" si="134"/>
        <v>Tuesday</v>
      </c>
      <c r="Q1435" s="5">
        <f t="shared" si="135"/>
        <v>10</v>
      </c>
      <c r="R1435" s="28">
        <f t="shared" si="136"/>
        <v>0.93442622950819676</v>
      </c>
      <c r="S1435" s="29">
        <f t="shared" si="137"/>
        <v>93.442622950819683</v>
      </c>
      <c r="T1435" s="5" t="str">
        <f>IF(Delivery_Data[[#This Row],[Delays (min)]]&gt;0,"No","Yes")</f>
        <v>No</v>
      </c>
    </row>
    <row r="1436" spans="1:20" ht="15.75" customHeight="1" x14ac:dyDescent="0.3">
      <c r="A1436" s="4">
        <v>2435</v>
      </c>
      <c r="B1436" s="5" t="s">
        <v>1530</v>
      </c>
      <c r="C1436" s="6">
        <v>45174.595138888886</v>
      </c>
      <c r="D1436" s="5" t="s">
        <v>14</v>
      </c>
      <c r="E1436" s="5" t="s">
        <v>243</v>
      </c>
      <c r="F1436" s="5" t="s">
        <v>38</v>
      </c>
      <c r="G1436" s="5" t="s">
        <v>25</v>
      </c>
      <c r="H1436" s="5">
        <v>107</v>
      </c>
      <c r="I1436" s="5">
        <v>11</v>
      </c>
      <c r="J1436" s="5" t="s">
        <v>26</v>
      </c>
      <c r="K1436" s="5" t="s">
        <v>49</v>
      </c>
      <c r="L1436" s="5" t="s">
        <v>20</v>
      </c>
      <c r="M1436" s="7" t="s">
        <v>21</v>
      </c>
      <c r="N1436" s="26">
        <f t="shared" si="132"/>
        <v>1</v>
      </c>
      <c r="O1436" s="42">
        <f t="shared" si="133"/>
        <v>45174</v>
      </c>
      <c r="P1436" s="5" t="str">
        <f t="shared" si="134"/>
        <v>Tuesday</v>
      </c>
      <c r="Q1436" s="5">
        <f t="shared" si="135"/>
        <v>14</v>
      </c>
      <c r="R1436" s="28">
        <f t="shared" si="136"/>
        <v>0.90677966101694918</v>
      </c>
      <c r="S1436" s="29">
        <f t="shared" si="137"/>
        <v>90.677966101694921</v>
      </c>
      <c r="T1436" s="5" t="str">
        <f>IF(Delivery_Data[[#This Row],[Delays (min)]]&gt;0,"No","Yes")</f>
        <v>No</v>
      </c>
    </row>
    <row r="1437" spans="1:20" ht="15.75" customHeight="1" x14ac:dyDescent="0.3">
      <c r="A1437" s="4">
        <v>2436</v>
      </c>
      <c r="B1437" s="5" t="s">
        <v>1531</v>
      </c>
      <c r="C1437" s="6">
        <v>45175.650694444441</v>
      </c>
      <c r="D1437" s="5" t="s">
        <v>43</v>
      </c>
      <c r="E1437" s="5" t="s">
        <v>301</v>
      </c>
      <c r="F1437" s="5" t="s">
        <v>16</v>
      </c>
      <c r="G1437" s="5" t="s">
        <v>17</v>
      </c>
      <c r="H1437" s="5">
        <v>185</v>
      </c>
      <c r="I1437" s="5">
        <v>7</v>
      </c>
      <c r="J1437" s="5" t="s">
        <v>18</v>
      </c>
      <c r="K1437" s="5" t="s">
        <v>35</v>
      </c>
      <c r="L1437" s="5" t="s">
        <v>28</v>
      </c>
      <c r="M1437" s="7" t="s">
        <v>21</v>
      </c>
      <c r="N1437" s="26">
        <f t="shared" si="132"/>
        <v>0</v>
      </c>
      <c r="O1437" s="42">
        <f t="shared" si="133"/>
        <v>45175</v>
      </c>
      <c r="P1437" s="5" t="str">
        <f t="shared" si="134"/>
        <v>Wednesday</v>
      </c>
      <c r="Q1437" s="5">
        <f t="shared" si="135"/>
        <v>15</v>
      </c>
      <c r="R1437" s="28">
        <f t="shared" si="136"/>
        <v>0.96354166666666663</v>
      </c>
      <c r="S1437" s="29">
        <f t="shared" si="137"/>
        <v>96.354166666666657</v>
      </c>
      <c r="T1437" s="5" t="str">
        <f>IF(Delivery_Data[[#This Row],[Delays (min)]]&gt;0,"No","Yes")</f>
        <v>No</v>
      </c>
    </row>
    <row r="1438" spans="1:20" ht="15.75" customHeight="1" x14ac:dyDescent="0.3">
      <c r="A1438" s="4">
        <v>2437</v>
      </c>
      <c r="B1438" s="5" t="s">
        <v>1532</v>
      </c>
      <c r="C1438" s="6">
        <v>45175.631944444445</v>
      </c>
      <c r="D1438" s="5" t="s">
        <v>14</v>
      </c>
      <c r="E1438" s="5" t="s">
        <v>263</v>
      </c>
      <c r="F1438" s="5" t="s">
        <v>16</v>
      </c>
      <c r="G1438" s="5" t="s">
        <v>39</v>
      </c>
      <c r="H1438" s="5">
        <v>101</v>
      </c>
      <c r="I1438" s="5">
        <v>17</v>
      </c>
      <c r="J1438" s="5" t="s">
        <v>18</v>
      </c>
      <c r="K1438" s="5" t="s">
        <v>19</v>
      </c>
      <c r="L1438" s="5" t="s">
        <v>20</v>
      </c>
      <c r="M1438" s="7" t="s">
        <v>46</v>
      </c>
      <c r="N1438" s="26">
        <f t="shared" si="132"/>
        <v>0</v>
      </c>
      <c r="O1438" s="42">
        <f t="shared" si="133"/>
        <v>45175</v>
      </c>
      <c r="P1438" s="5" t="str">
        <f t="shared" si="134"/>
        <v>Wednesday</v>
      </c>
      <c r="Q1438" s="5">
        <f t="shared" si="135"/>
        <v>15</v>
      </c>
      <c r="R1438" s="28">
        <f t="shared" si="136"/>
        <v>0.85593220338983056</v>
      </c>
      <c r="S1438" s="29">
        <f t="shared" si="137"/>
        <v>85.593220338983059</v>
      </c>
      <c r="T1438" s="5" t="str">
        <f>IF(Delivery_Data[[#This Row],[Delays (min)]]&gt;0,"No","Yes")</f>
        <v>No</v>
      </c>
    </row>
    <row r="1439" spans="1:20" ht="15.75" customHeight="1" x14ac:dyDescent="0.3">
      <c r="A1439" s="4">
        <v>2438</v>
      </c>
      <c r="B1439" s="5" t="s">
        <v>1533</v>
      </c>
      <c r="C1439" s="6">
        <v>45175.63958333333</v>
      </c>
      <c r="D1439" s="5" t="s">
        <v>14</v>
      </c>
      <c r="E1439" s="5" t="s">
        <v>64</v>
      </c>
      <c r="F1439" s="5" t="s">
        <v>24</v>
      </c>
      <c r="G1439" s="5" t="s">
        <v>17</v>
      </c>
      <c r="H1439" s="5">
        <v>72</v>
      </c>
      <c r="I1439" s="5">
        <v>17</v>
      </c>
      <c r="J1439" s="5" t="s">
        <v>26</v>
      </c>
      <c r="K1439" s="5" t="s">
        <v>35</v>
      </c>
      <c r="L1439" s="5" t="s">
        <v>28</v>
      </c>
      <c r="M1439" s="7" t="s">
        <v>46</v>
      </c>
      <c r="N1439" s="26">
        <f t="shared" si="132"/>
        <v>1</v>
      </c>
      <c r="O1439" s="42">
        <f t="shared" si="133"/>
        <v>45175</v>
      </c>
      <c r="P1439" s="5" t="str">
        <f t="shared" si="134"/>
        <v>Wednesday</v>
      </c>
      <c r="Q1439" s="5">
        <f t="shared" si="135"/>
        <v>15</v>
      </c>
      <c r="R1439" s="28">
        <f t="shared" si="136"/>
        <v>0.8089887640449438</v>
      </c>
      <c r="S1439" s="29">
        <f t="shared" si="137"/>
        <v>80.898876404494374</v>
      </c>
      <c r="T1439" s="5" t="str">
        <f>IF(Delivery_Data[[#This Row],[Delays (min)]]&gt;0,"No","Yes")</f>
        <v>No</v>
      </c>
    </row>
    <row r="1440" spans="1:20" ht="15.75" customHeight="1" x14ac:dyDescent="0.3">
      <c r="A1440" s="4">
        <v>2439</v>
      </c>
      <c r="B1440" s="5" t="s">
        <v>1534</v>
      </c>
      <c r="C1440" s="6">
        <v>45171.672222222223</v>
      </c>
      <c r="D1440" s="5" t="s">
        <v>14</v>
      </c>
      <c r="E1440" s="5" t="s">
        <v>83</v>
      </c>
      <c r="F1440" s="5" t="s">
        <v>24</v>
      </c>
      <c r="G1440" s="5" t="s">
        <v>25</v>
      </c>
      <c r="H1440" s="5">
        <v>217</v>
      </c>
      <c r="I1440" s="5">
        <v>4</v>
      </c>
      <c r="J1440" s="5" t="s">
        <v>18</v>
      </c>
      <c r="K1440" s="5" t="s">
        <v>19</v>
      </c>
      <c r="L1440" s="5" t="s">
        <v>28</v>
      </c>
      <c r="M1440" s="7" t="s">
        <v>21</v>
      </c>
      <c r="N1440" s="26">
        <f t="shared" si="132"/>
        <v>0</v>
      </c>
      <c r="O1440" s="42">
        <f t="shared" si="133"/>
        <v>45171</v>
      </c>
      <c r="P1440" s="5" t="str">
        <f t="shared" si="134"/>
        <v>Saturday</v>
      </c>
      <c r="Q1440" s="5">
        <f t="shared" si="135"/>
        <v>16</v>
      </c>
      <c r="R1440" s="28">
        <f t="shared" si="136"/>
        <v>0.98190045248868774</v>
      </c>
      <c r="S1440" s="29">
        <f t="shared" si="137"/>
        <v>98.19004524886877</v>
      </c>
      <c r="T1440" s="5" t="str">
        <f>IF(Delivery_Data[[#This Row],[Delays (min)]]&gt;0,"No","Yes")</f>
        <v>No</v>
      </c>
    </row>
    <row r="1441" spans="1:20" ht="15.75" customHeight="1" x14ac:dyDescent="0.3">
      <c r="A1441" s="4">
        <v>2440</v>
      </c>
      <c r="B1441" s="5" t="s">
        <v>1535</v>
      </c>
      <c r="C1441" s="6">
        <v>45172.34097222222</v>
      </c>
      <c r="D1441" s="5" t="s">
        <v>43</v>
      </c>
      <c r="E1441" s="5" t="s">
        <v>106</v>
      </c>
      <c r="F1441" s="5" t="s">
        <v>24</v>
      </c>
      <c r="G1441" s="5" t="s">
        <v>39</v>
      </c>
      <c r="H1441" s="5">
        <v>233</v>
      </c>
      <c r="I1441" s="5">
        <v>18</v>
      </c>
      <c r="J1441" s="5" t="s">
        <v>26</v>
      </c>
      <c r="K1441" s="5" t="s">
        <v>45</v>
      </c>
      <c r="L1441" s="5" t="s">
        <v>20</v>
      </c>
      <c r="M1441" s="7" t="s">
        <v>41</v>
      </c>
      <c r="N1441" s="26">
        <f t="shared" si="132"/>
        <v>1</v>
      </c>
      <c r="O1441" s="42">
        <f t="shared" si="133"/>
        <v>45172</v>
      </c>
      <c r="P1441" s="5" t="str">
        <f t="shared" si="134"/>
        <v>Sunday</v>
      </c>
      <c r="Q1441" s="5">
        <f t="shared" si="135"/>
        <v>8</v>
      </c>
      <c r="R1441" s="28">
        <f t="shared" si="136"/>
        <v>0.92828685258964139</v>
      </c>
      <c r="S1441" s="29">
        <f t="shared" si="137"/>
        <v>92.828685258964143</v>
      </c>
      <c r="T1441" s="5" t="str">
        <f>IF(Delivery_Data[[#This Row],[Delays (min)]]&gt;0,"No","Yes")</f>
        <v>No</v>
      </c>
    </row>
    <row r="1442" spans="1:20" ht="15.75" customHeight="1" x14ac:dyDescent="0.3">
      <c r="A1442" s="4">
        <v>2441</v>
      </c>
      <c r="B1442" s="5" t="s">
        <v>1536</v>
      </c>
      <c r="C1442" s="6">
        <v>45177.394444444442</v>
      </c>
      <c r="D1442" s="5" t="s">
        <v>14</v>
      </c>
      <c r="E1442" s="5" t="s">
        <v>197</v>
      </c>
      <c r="F1442" s="5" t="s">
        <v>38</v>
      </c>
      <c r="G1442" s="5" t="s">
        <v>39</v>
      </c>
      <c r="H1442" s="5">
        <v>90</v>
      </c>
      <c r="I1442" s="5">
        <v>10</v>
      </c>
      <c r="J1442" s="5" t="s">
        <v>26</v>
      </c>
      <c r="K1442" s="5" t="s">
        <v>49</v>
      </c>
      <c r="L1442" s="5" t="s">
        <v>28</v>
      </c>
      <c r="M1442" s="7" t="s">
        <v>21</v>
      </c>
      <c r="N1442" s="26">
        <f t="shared" si="132"/>
        <v>1</v>
      </c>
      <c r="O1442" s="42">
        <f t="shared" si="133"/>
        <v>45177</v>
      </c>
      <c r="P1442" s="5" t="str">
        <f t="shared" si="134"/>
        <v>Friday</v>
      </c>
      <c r="Q1442" s="5">
        <f t="shared" si="135"/>
        <v>9</v>
      </c>
      <c r="R1442" s="28">
        <f t="shared" si="136"/>
        <v>0.9</v>
      </c>
      <c r="S1442" s="29">
        <f t="shared" si="137"/>
        <v>90</v>
      </c>
      <c r="T1442" s="5" t="str">
        <f>IF(Delivery_Data[[#This Row],[Delays (min)]]&gt;0,"No","Yes")</f>
        <v>No</v>
      </c>
    </row>
    <row r="1443" spans="1:20" ht="15.75" customHeight="1" x14ac:dyDescent="0.3">
      <c r="A1443" s="4">
        <v>2442</v>
      </c>
      <c r="B1443" s="5" t="s">
        <v>1537</v>
      </c>
      <c r="C1443" s="6">
        <v>45171.693055555559</v>
      </c>
      <c r="D1443" s="5" t="s">
        <v>43</v>
      </c>
      <c r="E1443" s="5" t="s">
        <v>95</v>
      </c>
      <c r="F1443" s="5" t="s">
        <v>16</v>
      </c>
      <c r="G1443" s="5" t="s">
        <v>17</v>
      </c>
      <c r="H1443" s="5">
        <v>79</v>
      </c>
      <c r="I1443" s="5">
        <v>6</v>
      </c>
      <c r="J1443" s="5" t="s">
        <v>32</v>
      </c>
      <c r="K1443" s="5" t="s">
        <v>35</v>
      </c>
      <c r="L1443" s="5" t="s">
        <v>40</v>
      </c>
      <c r="M1443" s="7" t="s">
        <v>21</v>
      </c>
      <c r="N1443" s="26">
        <f t="shared" si="132"/>
        <v>-1</v>
      </c>
      <c r="O1443" s="42">
        <f t="shared" si="133"/>
        <v>45171</v>
      </c>
      <c r="P1443" s="5" t="str">
        <f t="shared" si="134"/>
        <v>Saturday</v>
      </c>
      <c r="Q1443" s="5">
        <f t="shared" si="135"/>
        <v>16</v>
      </c>
      <c r="R1443" s="28">
        <f t="shared" si="136"/>
        <v>0.92941176470588238</v>
      </c>
      <c r="S1443" s="29">
        <f t="shared" si="137"/>
        <v>92.941176470588232</v>
      </c>
      <c r="T1443" s="5" t="str">
        <f>IF(Delivery_Data[[#This Row],[Delays (min)]]&gt;0,"No","Yes")</f>
        <v>No</v>
      </c>
    </row>
    <row r="1444" spans="1:20" ht="15.75" customHeight="1" x14ac:dyDescent="0.3">
      <c r="A1444" s="4">
        <v>2443</v>
      </c>
      <c r="B1444" s="5" t="s">
        <v>1538</v>
      </c>
      <c r="C1444" s="6">
        <v>45173.429861111108</v>
      </c>
      <c r="D1444" s="5" t="s">
        <v>43</v>
      </c>
      <c r="E1444" s="5" t="s">
        <v>78</v>
      </c>
      <c r="F1444" s="5" t="s">
        <v>16</v>
      </c>
      <c r="G1444" s="5" t="s">
        <v>25</v>
      </c>
      <c r="H1444" s="5">
        <v>80</v>
      </c>
      <c r="I1444" s="5">
        <v>7</v>
      </c>
      <c r="J1444" s="5" t="s">
        <v>18</v>
      </c>
      <c r="K1444" s="5" t="s">
        <v>35</v>
      </c>
      <c r="L1444" s="5" t="s">
        <v>20</v>
      </c>
      <c r="M1444" s="7" t="s">
        <v>21</v>
      </c>
      <c r="N1444" s="26">
        <f t="shared" si="132"/>
        <v>0</v>
      </c>
      <c r="O1444" s="42">
        <f t="shared" si="133"/>
        <v>45173</v>
      </c>
      <c r="P1444" s="5" t="str">
        <f t="shared" si="134"/>
        <v>Monday</v>
      </c>
      <c r="Q1444" s="5">
        <f t="shared" si="135"/>
        <v>10</v>
      </c>
      <c r="R1444" s="28">
        <f t="shared" si="136"/>
        <v>0.91954022988505746</v>
      </c>
      <c r="S1444" s="29">
        <f t="shared" si="137"/>
        <v>91.954022988505741</v>
      </c>
      <c r="T1444" s="5" t="str">
        <f>IF(Delivery_Data[[#This Row],[Delays (min)]]&gt;0,"No","Yes")</f>
        <v>No</v>
      </c>
    </row>
    <row r="1445" spans="1:20" ht="15.75" customHeight="1" x14ac:dyDescent="0.3">
      <c r="A1445" s="4">
        <v>2444</v>
      </c>
      <c r="B1445" s="5" t="s">
        <v>219</v>
      </c>
      <c r="C1445" s="6">
        <v>45171.664583333331</v>
      </c>
      <c r="D1445" s="5" t="s">
        <v>43</v>
      </c>
      <c r="E1445" s="5" t="s">
        <v>15</v>
      </c>
      <c r="F1445" s="5" t="s">
        <v>16</v>
      </c>
      <c r="G1445" s="5" t="s">
        <v>25</v>
      </c>
      <c r="H1445" s="5">
        <v>133</v>
      </c>
      <c r="I1445" s="5">
        <v>15</v>
      </c>
      <c r="J1445" s="5" t="s">
        <v>18</v>
      </c>
      <c r="K1445" s="5" t="s">
        <v>35</v>
      </c>
      <c r="L1445" s="5" t="s">
        <v>40</v>
      </c>
      <c r="M1445" s="7" t="s">
        <v>41</v>
      </c>
      <c r="N1445" s="26">
        <f t="shared" si="132"/>
        <v>0</v>
      </c>
      <c r="O1445" s="42">
        <f t="shared" si="133"/>
        <v>45171</v>
      </c>
      <c r="P1445" s="5" t="str">
        <f t="shared" si="134"/>
        <v>Saturday</v>
      </c>
      <c r="Q1445" s="5">
        <f t="shared" si="135"/>
        <v>15</v>
      </c>
      <c r="R1445" s="28">
        <f t="shared" si="136"/>
        <v>0.89864864864864868</v>
      </c>
      <c r="S1445" s="29">
        <f t="shared" si="137"/>
        <v>89.86486486486487</v>
      </c>
      <c r="T1445" s="5" t="str">
        <f>IF(Delivery_Data[[#This Row],[Delays (min)]]&gt;0,"No","Yes")</f>
        <v>No</v>
      </c>
    </row>
    <row r="1446" spans="1:20" ht="15.75" customHeight="1" x14ac:dyDescent="0.3">
      <c r="A1446" s="4">
        <v>2445</v>
      </c>
      <c r="B1446" s="5" t="s">
        <v>1539</v>
      </c>
      <c r="C1446" s="6">
        <v>45175.625</v>
      </c>
      <c r="D1446" s="5" t="s">
        <v>43</v>
      </c>
      <c r="E1446" s="5" t="s">
        <v>120</v>
      </c>
      <c r="F1446" s="5" t="s">
        <v>24</v>
      </c>
      <c r="G1446" s="5" t="s">
        <v>39</v>
      </c>
      <c r="H1446" s="5">
        <v>62</v>
      </c>
      <c r="I1446" s="5">
        <v>28</v>
      </c>
      <c r="J1446" s="5" t="s">
        <v>26</v>
      </c>
      <c r="K1446" s="5" t="s">
        <v>45</v>
      </c>
      <c r="L1446" s="5" t="s">
        <v>20</v>
      </c>
      <c r="M1446" s="7" t="s">
        <v>46</v>
      </c>
      <c r="N1446" s="26">
        <f t="shared" si="132"/>
        <v>1</v>
      </c>
      <c r="O1446" s="42">
        <f t="shared" si="133"/>
        <v>45175</v>
      </c>
      <c r="P1446" s="5" t="str">
        <f t="shared" si="134"/>
        <v>Wednesday</v>
      </c>
      <c r="Q1446" s="5">
        <f t="shared" si="135"/>
        <v>15</v>
      </c>
      <c r="R1446" s="28">
        <f t="shared" si="136"/>
        <v>0.68888888888888888</v>
      </c>
      <c r="S1446" s="29">
        <f t="shared" si="137"/>
        <v>68.888888888888886</v>
      </c>
      <c r="T1446" s="5" t="str">
        <f>IF(Delivery_Data[[#This Row],[Delays (min)]]&gt;0,"No","Yes")</f>
        <v>No</v>
      </c>
    </row>
    <row r="1447" spans="1:20" ht="15.75" customHeight="1" x14ac:dyDescent="0.3">
      <c r="A1447" s="4">
        <v>2446</v>
      </c>
      <c r="B1447" s="5" t="s">
        <v>1540</v>
      </c>
      <c r="C1447" s="6">
        <v>45174.679861111108</v>
      </c>
      <c r="D1447" s="5" t="s">
        <v>43</v>
      </c>
      <c r="E1447" s="5" t="s">
        <v>301</v>
      </c>
      <c r="F1447" s="5" t="s">
        <v>16</v>
      </c>
      <c r="G1447" s="5" t="s">
        <v>31</v>
      </c>
      <c r="H1447" s="5">
        <v>215</v>
      </c>
      <c r="I1447" s="5">
        <v>23</v>
      </c>
      <c r="J1447" s="5" t="s">
        <v>26</v>
      </c>
      <c r="K1447" s="5" t="s">
        <v>45</v>
      </c>
      <c r="L1447" s="5" t="s">
        <v>40</v>
      </c>
      <c r="M1447" s="7" t="s">
        <v>21</v>
      </c>
      <c r="N1447" s="26">
        <f t="shared" si="132"/>
        <v>1</v>
      </c>
      <c r="O1447" s="42">
        <f t="shared" si="133"/>
        <v>45174</v>
      </c>
      <c r="P1447" s="5" t="str">
        <f t="shared" si="134"/>
        <v>Tuesday</v>
      </c>
      <c r="Q1447" s="5">
        <f t="shared" si="135"/>
        <v>16</v>
      </c>
      <c r="R1447" s="28">
        <f t="shared" si="136"/>
        <v>0.90336134453781514</v>
      </c>
      <c r="S1447" s="29">
        <f t="shared" si="137"/>
        <v>90.336134453781511</v>
      </c>
      <c r="T1447" s="5" t="str">
        <f>IF(Delivery_Data[[#This Row],[Delays (min)]]&gt;0,"No","Yes")</f>
        <v>No</v>
      </c>
    </row>
    <row r="1448" spans="1:20" ht="15.75" customHeight="1" x14ac:dyDescent="0.3">
      <c r="A1448" s="4">
        <v>2447</v>
      </c>
      <c r="B1448" s="5" t="s">
        <v>1541</v>
      </c>
      <c r="C1448" s="6">
        <v>45171.57708333333</v>
      </c>
      <c r="D1448" s="5" t="s">
        <v>14</v>
      </c>
      <c r="E1448" s="5" t="s">
        <v>240</v>
      </c>
      <c r="F1448" s="5" t="s">
        <v>24</v>
      </c>
      <c r="G1448" s="5" t="s">
        <v>39</v>
      </c>
      <c r="H1448" s="5">
        <v>228</v>
      </c>
      <c r="I1448" s="5">
        <v>19</v>
      </c>
      <c r="J1448" s="5" t="s">
        <v>32</v>
      </c>
      <c r="K1448" s="5" t="s">
        <v>45</v>
      </c>
      <c r="L1448" s="5" t="s">
        <v>40</v>
      </c>
      <c r="M1448" s="7" t="s">
        <v>41</v>
      </c>
      <c r="N1448" s="26">
        <f t="shared" si="132"/>
        <v>-1</v>
      </c>
      <c r="O1448" s="42">
        <f t="shared" si="133"/>
        <v>45171</v>
      </c>
      <c r="P1448" s="5" t="str">
        <f t="shared" si="134"/>
        <v>Saturday</v>
      </c>
      <c r="Q1448" s="5">
        <f t="shared" si="135"/>
        <v>13</v>
      </c>
      <c r="R1448" s="28">
        <f t="shared" si="136"/>
        <v>0.92307692307692313</v>
      </c>
      <c r="S1448" s="29">
        <f t="shared" si="137"/>
        <v>92.307692307692307</v>
      </c>
      <c r="T1448" s="5" t="str">
        <f>IF(Delivery_Data[[#This Row],[Delays (min)]]&gt;0,"No","Yes")</f>
        <v>No</v>
      </c>
    </row>
    <row r="1449" spans="1:20" ht="15.75" customHeight="1" x14ac:dyDescent="0.3">
      <c r="A1449" s="4">
        <v>2448</v>
      </c>
      <c r="B1449" s="5" t="s">
        <v>1193</v>
      </c>
      <c r="C1449" s="6">
        <v>45173.534722222219</v>
      </c>
      <c r="D1449" s="5" t="s">
        <v>43</v>
      </c>
      <c r="E1449" s="5" t="s">
        <v>403</v>
      </c>
      <c r="F1449" s="5" t="s">
        <v>16</v>
      </c>
      <c r="G1449" s="5" t="s">
        <v>39</v>
      </c>
      <c r="H1449" s="5">
        <v>232</v>
      </c>
      <c r="I1449" s="5">
        <v>5</v>
      </c>
      <c r="J1449" s="5" t="s">
        <v>18</v>
      </c>
      <c r="K1449" s="5" t="s">
        <v>45</v>
      </c>
      <c r="L1449" s="5" t="s">
        <v>20</v>
      </c>
      <c r="M1449" s="7" t="s">
        <v>46</v>
      </c>
      <c r="N1449" s="26">
        <f t="shared" si="132"/>
        <v>0</v>
      </c>
      <c r="O1449" s="42">
        <f t="shared" si="133"/>
        <v>45173</v>
      </c>
      <c r="P1449" s="5" t="str">
        <f t="shared" si="134"/>
        <v>Monday</v>
      </c>
      <c r="Q1449" s="5">
        <f t="shared" si="135"/>
        <v>12</v>
      </c>
      <c r="R1449" s="28">
        <f t="shared" si="136"/>
        <v>0.97890295358649793</v>
      </c>
      <c r="S1449" s="29">
        <f t="shared" si="137"/>
        <v>97.890295358649794</v>
      </c>
      <c r="T1449" s="5" t="str">
        <f>IF(Delivery_Data[[#This Row],[Delays (min)]]&gt;0,"No","Yes")</f>
        <v>No</v>
      </c>
    </row>
    <row r="1450" spans="1:20" ht="15.75" customHeight="1" x14ac:dyDescent="0.3">
      <c r="A1450" s="4">
        <v>2449</v>
      </c>
      <c r="B1450" s="5" t="s">
        <v>1542</v>
      </c>
      <c r="C1450" s="6">
        <v>45172.604861111111</v>
      </c>
      <c r="D1450" s="5" t="s">
        <v>14</v>
      </c>
      <c r="E1450" s="5" t="s">
        <v>30</v>
      </c>
      <c r="F1450" s="5" t="s">
        <v>38</v>
      </c>
      <c r="G1450" s="5" t="s">
        <v>17</v>
      </c>
      <c r="H1450" s="5">
        <v>73</v>
      </c>
      <c r="I1450" s="5">
        <v>5</v>
      </c>
      <c r="J1450" s="5" t="s">
        <v>26</v>
      </c>
      <c r="K1450" s="5" t="s">
        <v>49</v>
      </c>
      <c r="L1450" s="5" t="s">
        <v>40</v>
      </c>
      <c r="M1450" s="7" t="s">
        <v>46</v>
      </c>
      <c r="N1450" s="26">
        <f t="shared" si="132"/>
        <v>1</v>
      </c>
      <c r="O1450" s="42">
        <f t="shared" si="133"/>
        <v>45172</v>
      </c>
      <c r="P1450" s="5" t="str">
        <f t="shared" si="134"/>
        <v>Sunday</v>
      </c>
      <c r="Q1450" s="5">
        <f t="shared" si="135"/>
        <v>14</v>
      </c>
      <c r="R1450" s="28">
        <f t="shared" si="136"/>
        <v>0.9358974358974359</v>
      </c>
      <c r="S1450" s="29">
        <f t="shared" si="137"/>
        <v>93.589743589743591</v>
      </c>
      <c r="T1450" s="5" t="str">
        <f>IF(Delivery_Data[[#This Row],[Delays (min)]]&gt;0,"No","Yes")</f>
        <v>No</v>
      </c>
    </row>
    <row r="1451" spans="1:20" ht="15.75" customHeight="1" x14ac:dyDescent="0.3">
      <c r="A1451" s="4">
        <v>2450</v>
      </c>
      <c r="B1451" s="5" t="s">
        <v>1543</v>
      </c>
      <c r="C1451" s="6">
        <v>45171.684027777781</v>
      </c>
      <c r="D1451" s="5" t="s">
        <v>43</v>
      </c>
      <c r="E1451" s="5" t="s">
        <v>193</v>
      </c>
      <c r="F1451" s="5" t="s">
        <v>16</v>
      </c>
      <c r="G1451" s="5" t="s">
        <v>31</v>
      </c>
      <c r="H1451" s="5">
        <v>199</v>
      </c>
      <c r="I1451" s="5">
        <v>5</v>
      </c>
      <c r="J1451" s="5" t="s">
        <v>26</v>
      </c>
      <c r="K1451" s="5" t="s">
        <v>35</v>
      </c>
      <c r="L1451" s="5" t="s">
        <v>20</v>
      </c>
      <c r="M1451" s="7" t="s">
        <v>46</v>
      </c>
      <c r="N1451" s="26">
        <f t="shared" si="132"/>
        <v>1</v>
      </c>
      <c r="O1451" s="42">
        <f t="shared" si="133"/>
        <v>45171</v>
      </c>
      <c r="P1451" s="5" t="str">
        <f t="shared" si="134"/>
        <v>Saturday</v>
      </c>
      <c r="Q1451" s="5">
        <f t="shared" si="135"/>
        <v>16</v>
      </c>
      <c r="R1451" s="28">
        <f t="shared" si="136"/>
        <v>0.97549019607843135</v>
      </c>
      <c r="S1451" s="29">
        <f t="shared" si="137"/>
        <v>97.549019607843135</v>
      </c>
      <c r="T1451" s="5" t="str">
        <f>IF(Delivery_Data[[#This Row],[Delays (min)]]&gt;0,"No","Yes")</f>
        <v>No</v>
      </c>
    </row>
    <row r="1452" spans="1:20" ht="15.75" customHeight="1" x14ac:dyDescent="0.3">
      <c r="A1452" s="4">
        <v>2451</v>
      </c>
      <c r="B1452" s="5" t="s">
        <v>1544</v>
      </c>
      <c r="C1452" s="6">
        <v>45173.382638888892</v>
      </c>
      <c r="D1452" s="5" t="s">
        <v>43</v>
      </c>
      <c r="E1452" s="5" t="s">
        <v>66</v>
      </c>
      <c r="F1452" s="5" t="s">
        <v>24</v>
      </c>
      <c r="G1452" s="5" t="s">
        <v>39</v>
      </c>
      <c r="H1452" s="5">
        <v>236</v>
      </c>
      <c r="I1452" s="5">
        <v>25</v>
      </c>
      <c r="J1452" s="5" t="s">
        <v>26</v>
      </c>
      <c r="K1452" s="5" t="s">
        <v>19</v>
      </c>
      <c r="L1452" s="5" t="s">
        <v>28</v>
      </c>
      <c r="M1452" s="7" t="s">
        <v>46</v>
      </c>
      <c r="N1452" s="26">
        <f t="shared" si="132"/>
        <v>1</v>
      </c>
      <c r="O1452" s="42">
        <f t="shared" si="133"/>
        <v>45173</v>
      </c>
      <c r="P1452" s="5" t="str">
        <f t="shared" si="134"/>
        <v>Monday</v>
      </c>
      <c r="Q1452" s="5">
        <f t="shared" si="135"/>
        <v>9</v>
      </c>
      <c r="R1452" s="28">
        <f t="shared" si="136"/>
        <v>0.90421455938697315</v>
      </c>
      <c r="S1452" s="29">
        <f t="shared" si="137"/>
        <v>90.421455938697321</v>
      </c>
      <c r="T1452" s="5" t="str">
        <f>IF(Delivery_Data[[#This Row],[Delays (min)]]&gt;0,"No","Yes")</f>
        <v>No</v>
      </c>
    </row>
    <row r="1453" spans="1:20" ht="15.75" customHeight="1" x14ac:dyDescent="0.3">
      <c r="A1453" s="4">
        <v>2452</v>
      </c>
      <c r="B1453" s="5" t="s">
        <v>1545</v>
      </c>
      <c r="C1453" s="6">
        <v>45175.342361111114</v>
      </c>
      <c r="D1453" s="5" t="s">
        <v>43</v>
      </c>
      <c r="E1453" s="5" t="s">
        <v>101</v>
      </c>
      <c r="F1453" s="5" t="s">
        <v>16</v>
      </c>
      <c r="G1453" s="5" t="s">
        <v>56</v>
      </c>
      <c r="H1453" s="5">
        <v>204</v>
      </c>
      <c r="I1453" s="5">
        <v>24</v>
      </c>
      <c r="J1453" s="5" t="s">
        <v>18</v>
      </c>
      <c r="K1453" s="5" t="s">
        <v>19</v>
      </c>
      <c r="L1453" s="5" t="s">
        <v>40</v>
      </c>
      <c r="M1453" s="7" t="s">
        <v>21</v>
      </c>
      <c r="N1453" s="26">
        <f t="shared" si="132"/>
        <v>0</v>
      </c>
      <c r="O1453" s="42">
        <f t="shared" si="133"/>
        <v>45175</v>
      </c>
      <c r="P1453" s="5" t="str">
        <f t="shared" si="134"/>
        <v>Wednesday</v>
      </c>
      <c r="Q1453" s="5">
        <f t="shared" si="135"/>
        <v>8</v>
      </c>
      <c r="R1453" s="28">
        <f t="shared" si="136"/>
        <v>0.89473684210526316</v>
      </c>
      <c r="S1453" s="29">
        <f t="shared" si="137"/>
        <v>89.473684210526315</v>
      </c>
      <c r="T1453" s="5" t="str">
        <f>IF(Delivery_Data[[#This Row],[Delays (min)]]&gt;0,"No","Yes")</f>
        <v>No</v>
      </c>
    </row>
    <row r="1454" spans="1:20" ht="15.75" customHeight="1" x14ac:dyDescent="0.3">
      <c r="A1454" s="4">
        <v>2453</v>
      </c>
      <c r="B1454" s="5" t="s">
        <v>1546</v>
      </c>
      <c r="C1454" s="6">
        <v>45171.620833333334</v>
      </c>
      <c r="D1454" s="5" t="s">
        <v>43</v>
      </c>
      <c r="E1454" s="5" t="s">
        <v>109</v>
      </c>
      <c r="F1454" s="5" t="s">
        <v>38</v>
      </c>
      <c r="G1454" s="5" t="s">
        <v>17</v>
      </c>
      <c r="H1454" s="5">
        <v>77</v>
      </c>
      <c r="I1454" s="5">
        <v>12</v>
      </c>
      <c r="J1454" s="5" t="s">
        <v>32</v>
      </c>
      <c r="K1454" s="5" t="s">
        <v>35</v>
      </c>
      <c r="L1454" s="5" t="s">
        <v>28</v>
      </c>
      <c r="M1454" s="7" t="s">
        <v>21</v>
      </c>
      <c r="N1454" s="26">
        <f t="shared" si="132"/>
        <v>-1</v>
      </c>
      <c r="O1454" s="42">
        <f t="shared" si="133"/>
        <v>45171</v>
      </c>
      <c r="P1454" s="5" t="str">
        <f t="shared" si="134"/>
        <v>Saturday</v>
      </c>
      <c r="Q1454" s="5">
        <f t="shared" si="135"/>
        <v>14</v>
      </c>
      <c r="R1454" s="28">
        <f t="shared" si="136"/>
        <v>0.8651685393258427</v>
      </c>
      <c r="S1454" s="29">
        <f t="shared" si="137"/>
        <v>86.516853932584269</v>
      </c>
      <c r="T1454" s="5" t="str">
        <f>IF(Delivery_Data[[#This Row],[Delays (min)]]&gt;0,"No","Yes")</f>
        <v>No</v>
      </c>
    </row>
    <row r="1455" spans="1:20" ht="15.75" customHeight="1" x14ac:dyDescent="0.3">
      <c r="A1455" s="4">
        <v>2454</v>
      </c>
      <c r="B1455" s="5" t="s">
        <v>1547</v>
      </c>
      <c r="C1455" s="6">
        <v>45173.4</v>
      </c>
      <c r="D1455" s="5" t="s">
        <v>43</v>
      </c>
      <c r="E1455" s="5" t="s">
        <v>48</v>
      </c>
      <c r="F1455" s="5" t="s">
        <v>24</v>
      </c>
      <c r="G1455" s="5" t="s">
        <v>25</v>
      </c>
      <c r="H1455" s="5">
        <v>183</v>
      </c>
      <c r="I1455" s="5">
        <v>8</v>
      </c>
      <c r="J1455" s="5" t="s">
        <v>26</v>
      </c>
      <c r="K1455" s="5" t="s">
        <v>19</v>
      </c>
      <c r="L1455" s="5" t="s">
        <v>28</v>
      </c>
      <c r="M1455" s="7" t="s">
        <v>46</v>
      </c>
      <c r="N1455" s="26">
        <f t="shared" si="132"/>
        <v>1</v>
      </c>
      <c r="O1455" s="42">
        <f t="shared" si="133"/>
        <v>45173</v>
      </c>
      <c r="P1455" s="5" t="str">
        <f t="shared" si="134"/>
        <v>Monday</v>
      </c>
      <c r="Q1455" s="5">
        <f t="shared" si="135"/>
        <v>9</v>
      </c>
      <c r="R1455" s="28">
        <f t="shared" si="136"/>
        <v>0.95811518324607325</v>
      </c>
      <c r="S1455" s="29">
        <f t="shared" si="137"/>
        <v>95.81151832460732</v>
      </c>
      <c r="T1455" s="5" t="str">
        <f>IF(Delivery_Data[[#This Row],[Delays (min)]]&gt;0,"No","Yes")</f>
        <v>No</v>
      </c>
    </row>
    <row r="1456" spans="1:20" ht="15.75" customHeight="1" x14ac:dyDescent="0.3">
      <c r="A1456" s="4">
        <v>2455</v>
      </c>
      <c r="B1456" s="5" t="s">
        <v>1548</v>
      </c>
      <c r="C1456" s="6">
        <v>45171.661805555559</v>
      </c>
      <c r="D1456" s="5" t="s">
        <v>43</v>
      </c>
      <c r="E1456" s="5" t="s">
        <v>158</v>
      </c>
      <c r="F1456" s="5" t="s">
        <v>38</v>
      </c>
      <c r="G1456" s="5" t="s">
        <v>31</v>
      </c>
      <c r="H1456" s="5">
        <v>190</v>
      </c>
      <c r="I1456" s="5">
        <v>11</v>
      </c>
      <c r="J1456" s="5" t="s">
        <v>32</v>
      </c>
      <c r="K1456" s="5" t="s">
        <v>27</v>
      </c>
      <c r="L1456" s="5" t="s">
        <v>20</v>
      </c>
      <c r="M1456" s="7" t="s">
        <v>21</v>
      </c>
      <c r="N1456" s="26">
        <f t="shared" si="132"/>
        <v>-1</v>
      </c>
      <c r="O1456" s="42">
        <f t="shared" si="133"/>
        <v>45171</v>
      </c>
      <c r="P1456" s="5" t="str">
        <f t="shared" si="134"/>
        <v>Saturday</v>
      </c>
      <c r="Q1456" s="5">
        <f t="shared" si="135"/>
        <v>15</v>
      </c>
      <c r="R1456" s="28">
        <f t="shared" si="136"/>
        <v>0.94527363184079605</v>
      </c>
      <c r="S1456" s="29">
        <f t="shared" si="137"/>
        <v>94.527363184079604</v>
      </c>
      <c r="T1456" s="5" t="str">
        <f>IF(Delivery_Data[[#This Row],[Delays (min)]]&gt;0,"No","Yes")</f>
        <v>No</v>
      </c>
    </row>
    <row r="1457" spans="1:20" ht="15.75" customHeight="1" x14ac:dyDescent="0.3">
      <c r="A1457" s="4">
        <v>2456</v>
      </c>
      <c r="B1457" s="5" t="s">
        <v>1549</v>
      </c>
      <c r="C1457" s="6">
        <v>45175.540277777778</v>
      </c>
      <c r="D1457" s="5" t="s">
        <v>14</v>
      </c>
      <c r="E1457" s="5" t="s">
        <v>306</v>
      </c>
      <c r="F1457" s="5" t="s">
        <v>16</v>
      </c>
      <c r="G1457" s="5" t="s">
        <v>25</v>
      </c>
      <c r="H1457" s="5">
        <v>147</v>
      </c>
      <c r="I1457" s="5">
        <v>5</v>
      </c>
      <c r="J1457" s="5" t="s">
        <v>18</v>
      </c>
      <c r="K1457" s="5" t="s">
        <v>49</v>
      </c>
      <c r="L1457" s="5" t="s">
        <v>40</v>
      </c>
      <c r="M1457" s="7" t="s">
        <v>21</v>
      </c>
      <c r="N1457" s="26">
        <f t="shared" si="132"/>
        <v>0</v>
      </c>
      <c r="O1457" s="42">
        <f t="shared" si="133"/>
        <v>45175</v>
      </c>
      <c r="P1457" s="5" t="str">
        <f t="shared" si="134"/>
        <v>Wednesday</v>
      </c>
      <c r="Q1457" s="5">
        <f t="shared" si="135"/>
        <v>12</v>
      </c>
      <c r="R1457" s="28">
        <f t="shared" si="136"/>
        <v>0.96710526315789469</v>
      </c>
      <c r="S1457" s="29">
        <f t="shared" si="137"/>
        <v>96.710526315789465</v>
      </c>
      <c r="T1457" s="5" t="str">
        <f>IF(Delivery_Data[[#This Row],[Delays (min)]]&gt;0,"No","Yes")</f>
        <v>No</v>
      </c>
    </row>
    <row r="1458" spans="1:20" ht="15.75" customHeight="1" x14ac:dyDescent="0.3">
      <c r="A1458" s="4">
        <v>2457</v>
      </c>
      <c r="B1458" s="5" t="s">
        <v>1550</v>
      </c>
      <c r="C1458" s="6">
        <v>45170.37222222222</v>
      </c>
      <c r="D1458" s="5" t="s">
        <v>43</v>
      </c>
      <c r="E1458" s="5" t="s">
        <v>80</v>
      </c>
      <c r="F1458" s="5" t="s">
        <v>16</v>
      </c>
      <c r="G1458" s="5" t="s">
        <v>31</v>
      </c>
      <c r="H1458" s="5">
        <v>189</v>
      </c>
      <c r="I1458" s="5">
        <v>24</v>
      </c>
      <c r="J1458" s="5" t="s">
        <v>26</v>
      </c>
      <c r="K1458" s="5" t="s">
        <v>35</v>
      </c>
      <c r="L1458" s="5" t="s">
        <v>40</v>
      </c>
      <c r="M1458" s="7" t="s">
        <v>21</v>
      </c>
      <c r="N1458" s="26">
        <f t="shared" si="132"/>
        <v>1</v>
      </c>
      <c r="O1458" s="42">
        <f t="shared" si="133"/>
        <v>45170</v>
      </c>
      <c r="P1458" s="5" t="str">
        <f t="shared" si="134"/>
        <v>Friday</v>
      </c>
      <c r="Q1458" s="5">
        <f t="shared" si="135"/>
        <v>8</v>
      </c>
      <c r="R1458" s="28">
        <f t="shared" si="136"/>
        <v>0.88732394366197187</v>
      </c>
      <c r="S1458" s="29">
        <f t="shared" si="137"/>
        <v>88.732394366197184</v>
      </c>
      <c r="T1458" s="5" t="str">
        <f>IF(Delivery_Data[[#This Row],[Delays (min)]]&gt;0,"No","Yes")</f>
        <v>No</v>
      </c>
    </row>
    <row r="1459" spans="1:20" ht="15.75" customHeight="1" x14ac:dyDescent="0.3">
      <c r="A1459" s="4">
        <v>2458</v>
      </c>
      <c r="B1459" s="5" t="s">
        <v>1551</v>
      </c>
      <c r="C1459" s="6">
        <v>45171.453472222223</v>
      </c>
      <c r="D1459" s="5" t="s">
        <v>14</v>
      </c>
      <c r="E1459" s="5" t="s">
        <v>156</v>
      </c>
      <c r="F1459" s="5" t="s">
        <v>24</v>
      </c>
      <c r="G1459" s="5" t="s">
        <v>31</v>
      </c>
      <c r="H1459" s="5">
        <v>221</v>
      </c>
      <c r="I1459" s="5">
        <v>0</v>
      </c>
      <c r="J1459" s="5" t="s">
        <v>26</v>
      </c>
      <c r="K1459" s="5" t="s">
        <v>45</v>
      </c>
      <c r="L1459" s="5" t="s">
        <v>40</v>
      </c>
      <c r="M1459" s="7" t="s">
        <v>21</v>
      </c>
      <c r="N1459" s="26">
        <f t="shared" si="132"/>
        <v>1</v>
      </c>
      <c r="O1459" s="42">
        <f t="shared" si="133"/>
        <v>45171</v>
      </c>
      <c r="P1459" s="5" t="str">
        <f t="shared" si="134"/>
        <v>Saturday</v>
      </c>
      <c r="Q1459" s="5">
        <f t="shared" si="135"/>
        <v>10</v>
      </c>
      <c r="R1459" s="28">
        <f t="shared" si="136"/>
        <v>1</v>
      </c>
      <c r="S1459" s="29">
        <f t="shared" si="137"/>
        <v>100</v>
      </c>
      <c r="T1459" s="5" t="str">
        <f>IF(Delivery_Data[[#This Row],[Delays (min)]]&gt;0,"No","Yes")</f>
        <v>Yes</v>
      </c>
    </row>
    <row r="1460" spans="1:20" ht="15.75" customHeight="1" x14ac:dyDescent="0.3">
      <c r="A1460" s="4">
        <v>2459</v>
      </c>
      <c r="B1460" s="5" t="s">
        <v>1552</v>
      </c>
      <c r="C1460" s="6">
        <v>45170.645138888889</v>
      </c>
      <c r="D1460" s="5" t="s">
        <v>43</v>
      </c>
      <c r="E1460" s="5" t="s">
        <v>179</v>
      </c>
      <c r="F1460" s="5" t="s">
        <v>24</v>
      </c>
      <c r="G1460" s="5" t="s">
        <v>25</v>
      </c>
      <c r="H1460" s="5">
        <v>194</v>
      </c>
      <c r="I1460" s="5">
        <v>24</v>
      </c>
      <c r="J1460" s="5" t="s">
        <v>26</v>
      </c>
      <c r="K1460" s="5" t="s">
        <v>45</v>
      </c>
      <c r="L1460" s="5" t="s">
        <v>28</v>
      </c>
      <c r="M1460" s="7" t="s">
        <v>21</v>
      </c>
      <c r="N1460" s="26">
        <f t="shared" si="132"/>
        <v>1</v>
      </c>
      <c r="O1460" s="42">
        <f t="shared" si="133"/>
        <v>45170</v>
      </c>
      <c r="P1460" s="5" t="str">
        <f t="shared" si="134"/>
        <v>Friday</v>
      </c>
      <c r="Q1460" s="5">
        <f t="shared" si="135"/>
        <v>15</v>
      </c>
      <c r="R1460" s="28">
        <f t="shared" si="136"/>
        <v>0.88990825688073394</v>
      </c>
      <c r="S1460" s="29">
        <f t="shared" si="137"/>
        <v>88.9908256880734</v>
      </c>
      <c r="T1460" s="5" t="str">
        <f>IF(Delivery_Data[[#This Row],[Delays (min)]]&gt;0,"No","Yes")</f>
        <v>No</v>
      </c>
    </row>
    <row r="1461" spans="1:20" ht="15.75" customHeight="1" x14ac:dyDescent="0.3">
      <c r="A1461" s="4">
        <v>2460</v>
      </c>
      <c r="B1461" s="5" t="s">
        <v>1553</v>
      </c>
      <c r="C1461" s="6">
        <v>45172.555555555555</v>
      </c>
      <c r="D1461" s="5" t="s">
        <v>43</v>
      </c>
      <c r="E1461" s="5" t="s">
        <v>135</v>
      </c>
      <c r="F1461" s="5" t="s">
        <v>24</v>
      </c>
      <c r="G1461" s="5" t="s">
        <v>25</v>
      </c>
      <c r="H1461" s="5">
        <v>122</v>
      </c>
      <c r="I1461" s="5">
        <v>13</v>
      </c>
      <c r="J1461" s="5" t="s">
        <v>26</v>
      </c>
      <c r="K1461" s="5" t="s">
        <v>49</v>
      </c>
      <c r="L1461" s="5" t="s">
        <v>28</v>
      </c>
      <c r="M1461" s="7" t="s">
        <v>21</v>
      </c>
      <c r="N1461" s="26">
        <f t="shared" si="132"/>
        <v>1</v>
      </c>
      <c r="O1461" s="42">
        <f t="shared" si="133"/>
        <v>45172</v>
      </c>
      <c r="P1461" s="5" t="str">
        <f t="shared" si="134"/>
        <v>Sunday</v>
      </c>
      <c r="Q1461" s="5">
        <f t="shared" si="135"/>
        <v>13</v>
      </c>
      <c r="R1461" s="28">
        <f t="shared" si="136"/>
        <v>0.90370370370370368</v>
      </c>
      <c r="S1461" s="29">
        <f t="shared" si="137"/>
        <v>90.370370370370367</v>
      </c>
      <c r="T1461" s="5" t="str">
        <f>IF(Delivery_Data[[#This Row],[Delays (min)]]&gt;0,"No","Yes")</f>
        <v>No</v>
      </c>
    </row>
    <row r="1462" spans="1:20" ht="15.75" customHeight="1" x14ac:dyDescent="0.3">
      <c r="A1462" s="4">
        <v>2461</v>
      </c>
      <c r="B1462" s="5" t="s">
        <v>1554</v>
      </c>
      <c r="C1462" s="6">
        <v>45176.704861111109</v>
      </c>
      <c r="D1462" s="5" t="s">
        <v>43</v>
      </c>
      <c r="E1462" s="5" t="s">
        <v>281</v>
      </c>
      <c r="F1462" s="5" t="s">
        <v>16</v>
      </c>
      <c r="G1462" s="5" t="s">
        <v>39</v>
      </c>
      <c r="H1462" s="5">
        <v>136</v>
      </c>
      <c r="I1462" s="5">
        <v>18</v>
      </c>
      <c r="J1462" s="5" t="s">
        <v>18</v>
      </c>
      <c r="K1462" s="5" t="s">
        <v>35</v>
      </c>
      <c r="L1462" s="5" t="s">
        <v>20</v>
      </c>
      <c r="M1462" s="7" t="s">
        <v>41</v>
      </c>
      <c r="N1462" s="26">
        <f t="shared" si="132"/>
        <v>0</v>
      </c>
      <c r="O1462" s="42">
        <f t="shared" si="133"/>
        <v>45176</v>
      </c>
      <c r="P1462" s="5" t="str">
        <f t="shared" si="134"/>
        <v>Thursday</v>
      </c>
      <c r="Q1462" s="5">
        <f t="shared" si="135"/>
        <v>16</v>
      </c>
      <c r="R1462" s="28">
        <f t="shared" si="136"/>
        <v>0.88311688311688308</v>
      </c>
      <c r="S1462" s="29">
        <f t="shared" si="137"/>
        <v>88.311688311688314</v>
      </c>
      <c r="T1462" s="5" t="str">
        <f>IF(Delivery_Data[[#This Row],[Delays (min)]]&gt;0,"No","Yes")</f>
        <v>No</v>
      </c>
    </row>
    <row r="1463" spans="1:20" ht="15.75" customHeight="1" x14ac:dyDescent="0.3">
      <c r="A1463" s="4">
        <v>2462</v>
      </c>
      <c r="B1463" s="5" t="s">
        <v>1555</v>
      </c>
      <c r="C1463" s="6">
        <v>45173.609027777777</v>
      </c>
      <c r="D1463" s="5" t="s">
        <v>43</v>
      </c>
      <c r="E1463" s="5" t="s">
        <v>301</v>
      </c>
      <c r="F1463" s="5" t="s">
        <v>16</v>
      </c>
      <c r="G1463" s="5" t="s">
        <v>25</v>
      </c>
      <c r="H1463" s="5">
        <v>72</v>
      </c>
      <c r="I1463" s="5">
        <v>17</v>
      </c>
      <c r="J1463" s="5" t="s">
        <v>32</v>
      </c>
      <c r="K1463" s="5" t="s">
        <v>49</v>
      </c>
      <c r="L1463" s="5" t="s">
        <v>28</v>
      </c>
      <c r="M1463" s="7" t="s">
        <v>46</v>
      </c>
      <c r="N1463" s="26">
        <f t="shared" si="132"/>
        <v>-1</v>
      </c>
      <c r="O1463" s="42">
        <f t="shared" si="133"/>
        <v>45173</v>
      </c>
      <c r="P1463" s="5" t="str">
        <f t="shared" si="134"/>
        <v>Monday</v>
      </c>
      <c r="Q1463" s="5">
        <f t="shared" si="135"/>
        <v>14</v>
      </c>
      <c r="R1463" s="28">
        <f t="shared" si="136"/>
        <v>0.8089887640449438</v>
      </c>
      <c r="S1463" s="29">
        <f t="shared" si="137"/>
        <v>80.898876404494374</v>
      </c>
      <c r="T1463" s="5" t="str">
        <f>IF(Delivery_Data[[#This Row],[Delays (min)]]&gt;0,"No","Yes")</f>
        <v>No</v>
      </c>
    </row>
    <row r="1464" spans="1:20" ht="15.75" customHeight="1" x14ac:dyDescent="0.3">
      <c r="A1464" s="4">
        <v>2463</v>
      </c>
      <c r="B1464" s="5" t="s">
        <v>1556</v>
      </c>
      <c r="C1464" s="6">
        <v>45175.494444444441</v>
      </c>
      <c r="D1464" s="5" t="s">
        <v>43</v>
      </c>
      <c r="E1464" s="5" t="s">
        <v>122</v>
      </c>
      <c r="F1464" s="5" t="s">
        <v>16</v>
      </c>
      <c r="G1464" s="5" t="s">
        <v>17</v>
      </c>
      <c r="H1464" s="5">
        <v>189</v>
      </c>
      <c r="I1464" s="5">
        <v>27</v>
      </c>
      <c r="J1464" s="5" t="s">
        <v>18</v>
      </c>
      <c r="K1464" s="5" t="s">
        <v>45</v>
      </c>
      <c r="L1464" s="5" t="s">
        <v>40</v>
      </c>
      <c r="M1464" s="7" t="s">
        <v>21</v>
      </c>
      <c r="N1464" s="26">
        <f t="shared" si="132"/>
        <v>0</v>
      </c>
      <c r="O1464" s="42">
        <f t="shared" si="133"/>
        <v>45175</v>
      </c>
      <c r="P1464" s="5" t="str">
        <f t="shared" si="134"/>
        <v>Wednesday</v>
      </c>
      <c r="Q1464" s="5">
        <f t="shared" si="135"/>
        <v>11</v>
      </c>
      <c r="R1464" s="28">
        <f t="shared" si="136"/>
        <v>0.875</v>
      </c>
      <c r="S1464" s="29">
        <f t="shared" si="137"/>
        <v>87.5</v>
      </c>
      <c r="T1464" s="5" t="str">
        <f>IF(Delivery_Data[[#This Row],[Delays (min)]]&gt;0,"No","Yes")</f>
        <v>No</v>
      </c>
    </row>
    <row r="1465" spans="1:20" ht="15.75" customHeight="1" x14ac:dyDescent="0.3">
      <c r="A1465" s="4">
        <v>2464</v>
      </c>
      <c r="B1465" s="5" t="s">
        <v>1557</v>
      </c>
      <c r="C1465" s="6">
        <v>45175.402777777781</v>
      </c>
      <c r="D1465" s="5" t="s">
        <v>43</v>
      </c>
      <c r="E1465" s="5" t="s">
        <v>68</v>
      </c>
      <c r="F1465" s="5" t="s">
        <v>38</v>
      </c>
      <c r="G1465" s="5" t="s">
        <v>56</v>
      </c>
      <c r="H1465" s="5">
        <v>227</v>
      </c>
      <c r="I1465" s="5">
        <v>0</v>
      </c>
      <c r="J1465" s="5" t="s">
        <v>32</v>
      </c>
      <c r="K1465" s="5" t="s">
        <v>49</v>
      </c>
      <c r="L1465" s="5" t="s">
        <v>28</v>
      </c>
      <c r="M1465" s="7" t="s">
        <v>41</v>
      </c>
      <c r="N1465" s="26">
        <f t="shared" si="132"/>
        <v>-1</v>
      </c>
      <c r="O1465" s="42">
        <f t="shared" si="133"/>
        <v>45175</v>
      </c>
      <c r="P1465" s="5" t="str">
        <f t="shared" si="134"/>
        <v>Wednesday</v>
      </c>
      <c r="Q1465" s="5">
        <f t="shared" si="135"/>
        <v>9</v>
      </c>
      <c r="R1465" s="28">
        <f t="shared" si="136"/>
        <v>1</v>
      </c>
      <c r="S1465" s="29">
        <f t="shared" si="137"/>
        <v>100</v>
      </c>
      <c r="T1465" s="5" t="str">
        <f>IF(Delivery_Data[[#This Row],[Delays (min)]]&gt;0,"No","Yes")</f>
        <v>Yes</v>
      </c>
    </row>
    <row r="1466" spans="1:20" ht="15.75" customHeight="1" x14ac:dyDescent="0.3">
      <c r="A1466" s="4">
        <v>2465</v>
      </c>
      <c r="B1466" s="5" t="s">
        <v>1558</v>
      </c>
      <c r="C1466" s="6">
        <v>45170.69027777778</v>
      </c>
      <c r="D1466" s="5" t="s">
        <v>43</v>
      </c>
      <c r="E1466" s="5" t="s">
        <v>106</v>
      </c>
      <c r="F1466" s="5" t="s">
        <v>24</v>
      </c>
      <c r="G1466" s="5" t="s">
        <v>25</v>
      </c>
      <c r="H1466" s="5">
        <v>152</v>
      </c>
      <c r="I1466" s="5">
        <v>23</v>
      </c>
      <c r="J1466" s="5" t="s">
        <v>18</v>
      </c>
      <c r="K1466" s="5" t="s">
        <v>27</v>
      </c>
      <c r="L1466" s="5" t="s">
        <v>20</v>
      </c>
      <c r="M1466" s="7" t="s">
        <v>46</v>
      </c>
      <c r="N1466" s="26">
        <f t="shared" si="132"/>
        <v>0</v>
      </c>
      <c r="O1466" s="42">
        <f t="shared" si="133"/>
        <v>45170</v>
      </c>
      <c r="P1466" s="5" t="str">
        <f t="shared" si="134"/>
        <v>Friday</v>
      </c>
      <c r="Q1466" s="5">
        <f t="shared" si="135"/>
        <v>16</v>
      </c>
      <c r="R1466" s="28">
        <f t="shared" si="136"/>
        <v>0.86857142857142855</v>
      </c>
      <c r="S1466" s="29">
        <f t="shared" si="137"/>
        <v>86.857142857142861</v>
      </c>
      <c r="T1466" s="5" t="str">
        <f>IF(Delivery_Data[[#This Row],[Delays (min)]]&gt;0,"No","Yes")</f>
        <v>No</v>
      </c>
    </row>
    <row r="1467" spans="1:20" ht="15.75" customHeight="1" x14ac:dyDescent="0.3">
      <c r="A1467" s="4">
        <v>2466</v>
      </c>
      <c r="B1467" s="5" t="s">
        <v>1559</v>
      </c>
      <c r="C1467" s="6">
        <v>45170.657638888886</v>
      </c>
      <c r="D1467" s="5" t="s">
        <v>14</v>
      </c>
      <c r="E1467" s="5" t="s">
        <v>111</v>
      </c>
      <c r="F1467" s="5" t="s">
        <v>38</v>
      </c>
      <c r="G1467" s="5" t="s">
        <v>39</v>
      </c>
      <c r="H1467" s="5">
        <v>170</v>
      </c>
      <c r="I1467" s="5">
        <v>21</v>
      </c>
      <c r="J1467" s="5" t="s">
        <v>18</v>
      </c>
      <c r="K1467" s="5" t="s">
        <v>49</v>
      </c>
      <c r="L1467" s="5" t="s">
        <v>28</v>
      </c>
      <c r="M1467" s="7" t="s">
        <v>21</v>
      </c>
      <c r="N1467" s="26">
        <f t="shared" si="132"/>
        <v>0</v>
      </c>
      <c r="O1467" s="42">
        <f t="shared" si="133"/>
        <v>45170</v>
      </c>
      <c r="P1467" s="5" t="str">
        <f t="shared" si="134"/>
        <v>Friday</v>
      </c>
      <c r="Q1467" s="5">
        <f t="shared" si="135"/>
        <v>15</v>
      </c>
      <c r="R1467" s="28">
        <f t="shared" si="136"/>
        <v>0.89005235602094246</v>
      </c>
      <c r="S1467" s="29">
        <f t="shared" si="137"/>
        <v>89.005235602094245</v>
      </c>
      <c r="T1467" s="5" t="str">
        <f>IF(Delivery_Data[[#This Row],[Delays (min)]]&gt;0,"No","Yes")</f>
        <v>No</v>
      </c>
    </row>
    <row r="1468" spans="1:20" ht="15.75" customHeight="1" x14ac:dyDescent="0.3">
      <c r="A1468" s="4">
        <v>2467</v>
      </c>
      <c r="B1468" s="5" t="s">
        <v>1560</v>
      </c>
      <c r="C1468" s="6">
        <v>45172.55</v>
      </c>
      <c r="D1468" s="5" t="s">
        <v>14</v>
      </c>
      <c r="E1468" s="5" t="s">
        <v>281</v>
      </c>
      <c r="F1468" s="5" t="s">
        <v>16</v>
      </c>
      <c r="G1468" s="5" t="s">
        <v>39</v>
      </c>
      <c r="H1468" s="5">
        <v>162</v>
      </c>
      <c r="I1468" s="5">
        <v>16</v>
      </c>
      <c r="J1468" s="5" t="s">
        <v>32</v>
      </c>
      <c r="K1468" s="5" t="s">
        <v>19</v>
      </c>
      <c r="L1468" s="5" t="s">
        <v>20</v>
      </c>
      <c r="M1468" s="7" t="s">
        <v>21</v>
      </c>
      <c r="N1468" s="26">
        <f t="shared" si="132"/>
        <v>-1</v>
      </c>
      <c r="O1468" s="42">
        <f t="shared" si="133"/>
        <v>45172</v>
      </c>
      <c r="P1468" s="5" t="str">
        <f t="shared" si="134"/>
        <v>Sunday</v>
      </c>
      <c r="Q1468" s="5">
        <f t="shared" si="135"/>
        <v>13</v>
      </c>
      <c r="R1468" s="28">
        <f t="shared" si="136"/>
        <v>0.9101123595505618</v>
      </c>
      <c r="S1468" s="29">
        <f t="shared" si="137"/>
        <v>91.011235955056179</v>
      </c>
      <c r="T1468" s="5" t="str">
        <f>IF(Delivery_Data[[#This Row],[Delays (min)]]&gt;0,"No","Yes")</f>
        <v>No</v>
      </c>
    </row>
    <row r="1469" spans="1:20" ht="15.75" customHeight="1" x14ac:dyDescent="0.3">
      <c r="A1469" s="4">
        <v>2468</v>
      </c>
      <c r="B1469" s="5" t="s">
        <v>1561</v>
      </c>
      <c r="C1469" s="6">
        <v>45171.584027777775</v>
      </c>
      <c r="D1469" s="5" t="s">
        <v>43</v>
      </c>
      <c r="E1469" s="5" t="s">
        <v>44</v>
      </c>
      <c r="F1469" s="5" t="s">
        <v>38</v>
      </c>
      <c r="G1469" s="5" t="s">
        <v>39</v>
      </c>
      <c r="H1469" s="5">
        <v>144</v>
      </c>
      <c r="I1469" s="5">
        <v>0</v>
      </c>
      <c r="J1469" s="5" t="s">
        <v>32</v>
      </c>
      <c r="K1469" s="5" t="s">
        <v>19</v>
      </c>
      <c r="L1469" s="5" t="s">
        <v>20</v>
      </c>
      <c r="M1469" s="7" t="s">
        <v>46</v>
      </c>
      <c r="N1469" s="26">
        <f t="shared" si="132"/>
        <v>-1</v>
      </c>
      <c r="O1469" s="42">
        <f t="shared" si="133"/>
        <v>45171</v>
      </c>
      <c r="P1469" s="5" t="str">
        <f t="shared" si="134"/>
        <v>Saturday</v>
      </c>
      <c r="Q1469" s="5">
        <f t="shared" si="135"/>
        <v>14</v>
      </c>
      <c r="R1469" s="28">
        <f t="shared" si="136"/>
        <v>1</v>
      </c>
      <c r="S1469" s="29">
        <f t="shared" si="137"/>
        <v>100</v>
      </c>
      <c r="T1469" s="5" t="str">
        <f>IF(Delivery_Data[[#This Row],[Delays (min)]]&gt;0,"No","Yes")</f>
        <v>Yes</v>
      </c>
    </row>
    <row r="1470" spans="1:20" ht="15.75" customHeight="1" x14ac:dyDescent="0.3">
      <c r="A1470" s="4">
        <v>2469</v>
      </c>
      <c r="B1470" s="5" t="s">
        <v>1562</v>
      </c>
      <c r="C1470" s="6">
        <v>45173.4</v>
      </c>
      <c r="D1470" s="5" t="s">
        <v>43</v>
      </c>
      <c r="E1470" s="5" t="s">
        <v>140</v>
      </c>
      <c r="F1470" s="5" t="s">
        <v>16</v>
      </c>
      <c r="G1470" s="5" t="s">
        <v>25</v>
      </c>
      <c r="H1470" s="5">
        <v>130</v>
      </c>
      <c r="I1470" s="5">
        <v>24</v>
      </c>
      <c r="J1470" s="5" t="s">
        <v>18</v>
      </c>
      <c r="K1470" s="5" t="s">
        <v>27</v>
      </c>
      <c r="L1470" s="5" t="s">
        <v>28</v>
      </c>
      <c r="M1470" s="7" t="s">
        <v>46</v>
      </c>
      <c r="N1470" s="26">
        <f t="shared" si="132"/>
        <v>0</v>
      </c>
      <c r="O1470" s="42">
        <f t="shared" si="133"/>
        <v>45173</v>
      </c>
      <c r="P1470" s="5" t="str">
        <f t="shared" si="134"/>
        <v>Monday</v>
      </c>
      <c r="Q1470" s="5">
        <f t="shared" si="135"/>
        <v>9</v>
      </c>
      <c r="R1470" s="28">
        <f t="shared" si="136"/>
        <v>0.8441558441558441</v>
      </c>
      <c r="S1470" s="29">
        <f t="shared" si="137"/>
        <v>84.415584415584405</v>
      </c>
      <c r="T1470" s="5" t="str">
        <f>IF(Delivery_Data[[#This Row],[Delays (min)]]&gt;0,"No","Yes")</f>
        <v>No</v>
      </c>
    </row>
    <row r="1471" spans="1:20" ht="15.75" customHeight="1" x14ac:dyDescent="0.3">
      <c r="A1471" s="4">
        <v>2470</v>
      </c>
      <c r="B1471" s="5" t="s">
        <v>1563</v>
      </c>
      <c r="C1471" s="6">
        <v>45173.375</v>
      </c>
      <c r="D1471" s="5" t="s">
        <v>43</v>
      </c>
      <c r="E1471" s="5" t="s">
        <v>73</v>
      </c>
      <c r="F1471" s="5" t="s">
        <v>38</v>
      </c>
      <c r="G1471" s="5" t="s">
        <v>17</v>
      </c>
      <c r="H1471" s="5">
        <v>128</v>
      </c>
      <c r="I1471" s="5">
        <v>2</v>
      </c>
      <c r="J1471" s="5" t="s">
        <v>32</v>
      </c>
      <c r="K1471" s="5" t="s">
        <v>19</v>
      </c>
      <c r="L1471" s="5" t="s">
        <v>28</v>
      </c>
      <c r="M1471" s="7" t="s">
        <v>46</v>
      </c>
      <c r="N1471" s="26">
        <f t="shared" si="132"/>
        <v>-1</v>
      </c>
      <c r="O1471" s="42">
        <f t="shared" si="133"/>
        <v>45173</v>
      </c>
      <c r="P1471" s="5" t="str">
        <f t="shared" si="134"/>
        <v>Monday</v>
      </c>
      <c r="Q1471" s="5">
        <f t="shared" si="135"/>
        <v>9</v>
      </c>
      <c r="R1471" s="28">
        <f t="shared" si="136"/>
        <v>0.98461538461538467</v>
      </c>
      <c r="S1471" s="29">
        <f t="shared" si="137"/>
        <v>98.461538461538467</v>
      </c>
      <c r="T1471" s="5" t="str">
        <f>IF(Delivery_Data[[#This Row],[Delays (min)]]&gt;0,"No","Yes")</f>
        <v>No</v>
      </c>
    </row>
    <row r="1472" spans="1:20" ht="15.75" customHeight="1" x14ac:dyDescent="0.3">
      <c r="A1472" s="4">
        <v>2471</v>
      </c>
      <c r="B1472" s="5" t="s">
        <v>1564</v>
      </c>
      <c r="C1472" s="6">
        <v>45177.672222222223</v>
      </c>
      <c r="D1472" s="5" t="s">
        <v>43</v>
      </c>
      <c r="E1472" s="5" t="s">
        <v>126</v>
      </c>
      <c r="F1472" s="5" t="s">
        <v>38</v>
      </c>
      <c r="G1472" s="5" t="s">
        <v>39</v>
      </c>
      <c r="H1472" s="5">
        <v>75</v>
      </c>
      <c r="I1472" s="5">
        <v>15</v>
      </c>
      <c r="J1472" s="5" t="s">
        <v>26</v>
      </c>
      <c r="K1472" s="5" t="s">
        <v>27</v>
      </c>
      <c r="L1472" s="5" t="s">
        <v>20</v>
      </c>
      <c r="M1472" s="7" t="s">
        <v>21</v>
      </c>
      <c r="N1472" s="26">
        <f t="shared" si="132"/>
        <v>1</v>
      </c>
      <c r="O1472" s="42">
        <f t="shared" si="133"/>
        <v>45177</v>
      </c>
      <c r="P1472" s="5" t="str">
        <f t="shared" si="134"/>
        <v>Friday</v>
      </c>
      <c r="Q1472" s="5">
        <f t="shared" si="135"/>
        <v>16</v>
      </c>
      <c r="R1472" s="28">
        <f t="shared" si="136"/>
        <v>0.83333333333333337</v>
      </c>
      <c r="S1472" s="29">
        <f t="shared" si="137"/>
        <v>83.333333333333343</v>
      </c>
      <c r="T1472" s="5" t="str">
        <f>IF(Delivery_Data[[#This Row],[Delays (min)]]&gt;0,"No","Yes")</f>
        <v>No</v>
      </c>
    </row>
    <row r="1473" spans="1:20" ht="15.75" customHeight="1" x14ac:dyDescent="0.3">
      <c r="A1473" s="4">
        <v>2472</v>
      </c>
      <c r="B1473" s="5" t="s">
        <v>1565</v>
      </c>
      <c r="C1473" s="6">
        <v>45175.505555555559</v>
      </c>
      <c r="D1473" s="5" t="s">
        <v>14</v>
      </c>
      <c r="E1473" s="5" t="s">
        <v>132</v>
      </c>
      <c r="F1473" s="5" t="s">
        <v>16</v>
      </c>
      <c r="G1473" s="5" t="s">
        <v>25</v>
      </c>
      <c r="H1473" s="5">
        <v>169</v>
      </c>
      <c r="I1473" s="5">
        <v>26</v>
      </c>
      <c r="J1473" s="5" t="s">
        <v>18</v>
      </c>
      <c r="K1473" s="5" t="s">
        <v>35</v>
      </c>
      <c r="L1473" s="5" t="s">
        <v>20</v>
      </c>
      <c r="M1473" s="7" t="s">
        <v>41</v>
      </c>
      <c r="N1473" s="26">
        <f t="shared" si="132"/>
        <v>0</v>
      </c>
      <c r="O1473" s="42">
        <f t="shared" si="133"/>
        <v>45175</v>
      </c>
      <c r="P1473" s="5" t="str">
        <f t="shared" si="134"/>
        <v>Wednesday</v>
      </c>
      <c r="Q1473" s="5">
        <f t="shared" si="135"/>
        <v>12</v>
      </c>
      <c r="R1473" s="28">
        <f t="shared" si="136"/>
        <v>0.8666666666666667</v>
      </c>
      <c r="S1473" s="29">
        <f t="shared" si="137"/>
        <v>86.666666666666671</v>
      </c>
      <c r="T1473" s="5" t="str">
        <f>IF(Delivery_Data[[#This Row],[Delays (min)]]&gt;0,"No","Yes")</f>
        <v>No</v>
      </c>
    </row>
    <row r="1474" spans="1:20" ht="15.75" customHeight="1" x14ac:dyDescent="0.3">
      <c r="A1474" s="4">
        <v>2473</v>
      </c>
      <c r="B1474" s="5" t="s">
        <v>1566</v>
      </c>
      <c r="C1474" s="6">
        <v>45173.546527777777</v>
      </c>
      <c r="D1474" s="5" t="s">
        <v>43</v>
      </c>
      <c r="E1474" s="5" t="s">
        <v>281</v>
      </c>
      <c r="F1474" s="5" t="s">
        <v>16</v>
      </c>
      <c r="G1474" s="5" t="s">
        <v>56</v>
      </c>
      <c r="H1474" s="5">
        <v>228</v>
      </c>
      <c r="I1474" s="5">
        <v>19</v>
      </c>
      <c r="J1474" s="5" t="s">
        <v>26</v>
      </c>
      <c r="K1474" s="5" t="s">
        <v>27</v>
      </c>
      <c r="L1474" s="5" t="s">
        <v>28</v>
      </c>
      <c r="M1474" s="7" t="s">
        <v>21</v>
      </c>
      <c r="N1474" s="26">
        <f t="shared" ref="N1474:N1501" si="138">IF(J1474="Positive",1,IF(J1474="Neutral",0,IF(J1474="Negative",-1,"")))</f>
        <v>1</v>
      </c>
      <c r="O1474" s="42">
        <f t="shared" ref="O1474:O1501" si="139">INT(C1474)</f>
        <v>45173</v>
      </c>
      <c r="P1474" s="5" t="str">
        <f t="shared" ref="P1474:P1501" si="140">TEXT(C1474,"dddd")</f>
        <v>Monday</v>
      </c>
      <c r="Q1474" s="5">
        <f t="shared" ref="Q1474:Q1501" si="141">HOUR(C1474)</f>
        <v>13</v>
      </c>
      <c r="R1474" s="28">
        <f t="shared" ref="R1474:R1501" si="142">H1474/(H1474+I1474)</f>
        <v>0.92307692307692313</v>
      </c>
      <c r="S1474" s="29">
        <f t="shared" si="137"/>
        <v>92.307692307692307</v>
      </c>
      <c r="T1474" s="5" t="str">
        <f>IF(Delivery_Data[[#This Row],[Delays (min)]]&gt;0,"No","Yes")</f>
        <v>No</v>
      </c>
    </row>
    <row r="1475" spans="1:20" ht="15.75" customHeight="1" x14ac:dyDescent="0.3">
      <c r="A1475" s="4">
        <v>2474</v>
      </c>
      <c r="B1475" s="5" t="s">
        <v>1567</v>
      </c>
      <c r="C1475" s="6">
        <v>45170.584722222222</v>
      </c>
      <c r="D1475" s="5" t="s">
        <v>14</v>
      </c>
      <c r="E1475" s="5" t="s">
        <v>51</v>
      </c>
      <c r="F1475" s="5" t="s">
        <v>38</v>
      </c>
      <c r="G1475" s="5" t="s">
        <v>17</v>
      </c>
      <c r="H1475" s="5">
        <v>106</v>
      </c>
      <c r="I1475" s="5">
        <v>10</v>
      </c>
      <c r="J1475" s="5" t="s">
        <v>26</v>
      </c>
      <c r="K1475" s="5" t="s">
        <v>45</v>
      </c>
      <c r="L1475" s="5" t="s">
        <v>40</v>
      </c>
      <c r="M1475" s="7" t="s">
        <v>21</v>
      </c>
      <c r="N1475" s="26">
        <f t="shared" si="138"/>
        <v>1</v>
      </c>
      <c r="O1475" s="42">
        <f t="shared" si="139"/>
        <v>45170</v>
      </c>
      <c r="P1475" s="5" t="str">
        <f t="shared" si="140"/>
        <v>Friday</v>
      </c>
      <c r="Q1475" s="5">
        <f t="shared" si="141"/>
        <v>14</v>
      </c>
      <c r="R1475" s="28">
        <f t="shared" si="142"/>
        <v>0.91379310344827591</v>
      </c>
      <c r="S1475" s="29">
        <f t="shared" ref="S1475:S1501" si="143">IF(H1475+I1475=0,0,(H1475/(H1475+I1475))*100) + (IFERROR(--J1475,0)*10)</f>
        <v>91.379310344827587</v>
      </c>
      <c r="T1475" s="5" t="str">
        <f>IF(Delivery_Data[[#This Row],[Delays (min)]]&gt;0,"No","Yes")</f>
        <v>No</v>
      </c>
    </row>
    <row r="1476" spans="1:20" ht="15.75" customHeight="1" x14ac:dyDescent="0.3">
      <c r="A1476" s="4">
        <v>2475</v>
      </c>
      <c r="B1476" s="5" t="s">
        <v>1568</v>
      </c>
      <c r="C1476" s="6">
        <v>45171.680555555555</v>
      </c>
      <c r="D1476" s="5" t="s">
        <v>14</v>
      </c>
      <c r="E1476" s="5" t="s">
        <v>53</v>
      </c>
      <c r="F1476" s="5" t="s">
        <v>38</v>
      </c>
      <c r="G1476" s="5" t="s">
        <v>17</v>
      </c>
      <c r="H1476" s="5">
        <v>216</v>
      </c>
      <c r="I1476" s="5">
        <v>24</v>
      </c>
      <c r="J1476" s="5" t="s">
        <v>32</v>
      </c>
      <c r="K1476" s="5" t="s">
        <v>19</v>
      </c>
      <c r="L1476" s="5" t="s">
        <v>40</v>
      </c>
      <c r="M1476" s="7" t="s">
        <v>46</v>
      </c>
      <c r="N1476" s="26">
        <f t="shared" si="138"/>
        <v>-1</v>
      </c>
      <c r="O1476" s="42">
        <f t="shared" si="139"/>
        <v>45171</v>
      </c>
      <c r="P1476" s="5" t="str">
        <f t="shared" si="140"/>
        <v>Saturday</v>
      </c>
      <c r="Q1476" s="5">
        <f t="shared" si="141"/>
        <v>16</v>
      </c>
      <c r="R1476" s="28">
        <f t="shared" si="142"/>
        <v>0.9</v>
      </c>
      <c r="S1476" s="29">
        <f t="shared" si="143"/>
        <v>90</v>
      </c>
      <c r="T1476" s="5" t="str">
        <f>IF(Delivery_Data[[#This Row],[Delays (min)]]&gt;0,"No","Yes")</f>
        <v>No</v>
      </c>
    </row>
    <row r="1477" spans="1:20" ht="15.75" customHeight="1" x14ac:dyDescent="0.3">
      <c r="A1477" s="4">
        <v>2476</v>
      </c>
      <c r="B1477" s="5" t="s">
        <v>1569</v>
      </c>
      <c r="C1477" s="6">
        <v>45171.697916666664</v>
      </c>
      <c r="D1477" s="5" t="s">
        <v>43</v>
      </c>
      <c r="E1477" s="5" t="s">
        <v>80</v>
      </c>
      <c r="F1477" s="5" t="s">
        <v>16</v>
      </c>
      <c r="G1477" s="5" t="s">
        <v>56</v>
      </c>
      <c r="H1477" s="5">
        <v>197</v>
      </c>
      <c r="I1477" s="5">
        <v>15</v>
      </c>
      <c r="J1477" s="5" t="s">
        <v>32</v>
      </c>
      <c r="K1477" s="5" t="s">
        <v>19</v>
      </c>
      <c r="L1477" s="5" t="s">
        <v>28</v>
      </c>
      <c r="M1477" s="7" t="s">
        <v>46</v>
      </c>
      <c r="N1477" s="26">
        <f t="shared" si="138"/>
        <v>-1</v>
      </c>
      <c r="O1477" s="42">
        <f t="shared" si="139"/>
        <v>45171</v>
      </c>
      <c r="P1477" s="5" t="str">
        <f t="shared" si="140"/>
        <v>Saturday</v>
      </c>
      <c r="Q1477" s="5">
        <f t="shared" si="141"/>
        <v>16</v>
      </c>
      <c r="R1477" s="28">
        <f t="shared" si="142"/>
        <v>0.92924528301886788</v>
      </c>
      <c r="S1477" s="29">
        <f t="shared" si="143"/>
        <v>92.924528301886795</v>
      </c>
      <c r="T1477" s="5" t="str">
        <f>IF(Delivery_Data[[#This Row],[Delays (min)]]&gt;0,"No","Yes")</f>
        <v>No</v>
      </c>
    </row>
    <row r="1478" spans="1:20" ht="15.75" customHeight="1" x14ac:dyDescent="0.3">
      <c r="A1478" s="4">
        <v>2477</v>
      </c>
      <c r="B1478" s="5" t="s">
        <v>1570</v>
      </c>
      <c r="C1478" s="6">
        <v>45175.345833333333</v>
      </c>
      <c r="D1478" s="5" t="s">
        <v>43</v>
      </c>
      <c r="E1478" s="5" t="s">
        <v>99</v>
      </c>
      <c r="F1478" s="5" t="s">
        <v>24</v>
      </c>
      <c r="G1478" s="5" t="s">
        <v>56</v>
      </c>
      <c r="H1478" s="5">
        <v>235</v>
      </c>
      <c r="I1478" s="5">
        <v>13</v>
      </c>
      <c r="J1478" s="5" t="s">
        <v>32</v>
      </c>
      <c r="K1478" s="5" t="s">
        <v>49</v>
      </c>
      <c r="L1478" s="5" t="s">
        <v>40</v>
      </c>
      <c r="M1478" s="7" t="s">
        <v>46</v>
      </c>
      <c r="N1478" s="26">
        <f t="shared" si="138"/>
        <v>-1</v>
      </c>
      <c r="O1478" s="42">
        <f t="shared" si="139"/>
        <v>45175</v>
      </c>
      <c r="P1478" s="5" t="str">
        <f t="shared" si="140"/>
        <v>Wednesday</v>
      </c>
      <c r="Q1478" s="5">
        <f t="shared" si="141"/>
        <v>8</v>
      </c>
      <c r="R1478" s="28">
        <f t="shared" si="142"/>
        <v>0.94758064516129037</v>
      </c>
      <c r="S1478" s="29">
        <f t="shared" si="143"/>
        <v>94.758064516129039</v>
      </c>
      <c r="T1478" s="5" t="str">
        <f>IF(Delivery_Data[[#This Row],[Delays (min)]]&gt;0,"No","Yes")</f>
        <v>No</v>
      </c>
    </row>
    <row r="1479" spans="1:20" ht="15.75" customHeight="1" x14ac:dyDescent="0.3">
      <c r="A1479" s="4">
        <v>2478</v>
      </c>
      <c r="B1479" s="5" t="s">
        <v>1571</v>
      </c>
      <c r="C1479" s="6">
        <v>45172.37222222222</v>
      </c>
      <c r="D1479" s="5" t="s">
        <v>14</v>
      </c>
      <c r="E1479" s="5" t="s">
        <v>135</v>
      </c>
      <c r="F1479" s="5" t="s">
        <v>38</v>
      </c>
      <c r="G1479" s="5" t="s">
        <v>25</v>
      </c>
      <c r="H1479" s="5">
        <v>158</v>
      </c>
      <c r="I1479" s="5">
        <v>23</v>
      </c>
      <c r="J1479" s="5" t="s">
        <v>32</v>
      </c>
      <c r="K1479" s="5" t="s">
        <v>45</v>
      </c>
      <c r="L1479" s="5" t="s">
        <v>28</v>
      </c>
      <c r="M1479" s="7" t="s">
        <v>41</v>
      </c>
      <c r="N1479" s="26">
        <f t="shared" si="138"/>
        <v>-1</v>
      </c>
      <c r="O1479" s="42">
        <f t="shared" si="139"/>
        <v>45172</v>
      </c>
      <c r="P1479" s="5" t="str">
        <f t="shared" si="140"/>
        <v>Sunday</v>
      </c>
      <c r="Q1479" s="5">
        <f t="shared" si="141"/>
        <v>8</v>
      </c>
      <c r="R1479" s="28">
        <f t="shared" si="142"/>
        <v>0.8729281767955801</v>
      </c>
      <c r="S1479" s="29">
        <f t="shared" si="143"/>
        <v>87.292817679558013</v>
      </c>
      <c r="T1479" s="5" t="str">
        <f>IF(Delivery_Data[[#This Row],[Delays (min)]]&gt;0,"No","Yes")</f>
        <v>No</v>
      </c>
    </row>
    <row r="1480" spans="1:20" ht="15.75" customHeight="1" x14ac:dyDescent="0.3">
      <c r="A1480" s="4">
        <v>2479</v>
      </c>
      <c r="B1480" s="5" t="s">
        <v>1572</v>
      </c>
      <c r="C1480" s="6">
        <v>45177.509027777778</v>
      </c>
      <c r="D1480" s="5" t="s">
        <v>14</v>
      </c>
      <c r="E1480" s="5" t="s">
        <v>355</v>
      </c>
      <c r="F1480" s="5" t="s">
        <v>38</v>
      </c>
      <c r="G1480" s="5" t="s">
        <v>17</v>
      </c>
      <c r="H1480" s="5">
        <v>129</v>
      </c>
      <c r="I1480" s="5">
        <v>6</v>
      </c>
      <c r="J1480" s="5" t="s">
        <v>32</v>
      </c>
      <c r="K1480" s="5" t="s">
        <v>19</v>
      </c>
      <c r="L1480" s="5" t="s">
        <v>40</v>
      </c>
      <c r="M1480" s="7" t="s">
        <v>41</v>
      </c>
      <c r="N1480" s="26">
        <f t="shared" si="138"/>
        <v>-1</v>
      </c>
      <c r="O1480" s="42">
        <f t="shared" si="139"/>
        <v>45177</v>
      </c>
      <c r="P1480" s="5" t="str">
        <f t="shared" si="140"/>
        <v>Friday</v>
      </c>
      <c r="Q1480" s="5">
        <f t="shared" si="141"/>
        <v>12</v>
      </c>
      <c r="R1480" s="28">
        <f t="shared" si="142"/>
        <v>0.9555555555555556</v>
      </c>
      <c r="S1480" s="29">
        <f t="shared" si="143"/>
        <v>95.555555555555557</v>
      </c>
      <c r="T1480" s="5" t="str">
        <f>IF(Delivery_Data[[#This Row],[Delays (min)]]&gt;0,"No","Yes")</f>
        <v>No</v>
      </c>
    </row>
    <row r="1481" spans="1:20" ht="15.75" customHeight="1" x14ac:dyDescent="0.3">
      <c r="A1481" s="4">
        <v>2480</v>
      </c>
      <c r="B1481" s="5" t="s">
        <v>1573</v>
      </c>
      <c r="C1481" s="6">
        <v>45171.475694444445</v>
      </c>
      <c r="D1481" s="5" t="s">
        <v>14</v>
      </c>
      <c r="E1481" s="5" t="s">
        <v>76</v>
      </c>
      <c r="F1481" s="5" t="s">
        <v>24</v>
      </c>
      <c r="G1481" s="5" t="s">
        <v>25</v>
      </c>
      <c r="H1481" s="5">
        <v>155</v>
      </c>
      <c r="I1481" s="5">
        <v>9</v>
      </c>
      <c r="J1481" s="5" t="s">
        <v>32</v>
      </c>
      <c r="K1481" s="5" t="s">
        <v>19</v>
      </c>
      <c r="L1481" s="5" t="s">
        <v>40</v>
      </c>
      <c r="M1481" s="7" t="s">
        <v>21</v>
      </c>
      <c r="N1481" s="26">
        <f t="shared" si="138"/>
        <v>-1</v>
      </c>
      <c r="O1481" s="42">
        <f t="shared" si="139"/>
        <v>45171</v>
      </c>
      <c r="P1481" s="5" t="str">
        <f t="shared" si="140"/>
        <v>Saturday</v>
      </c>
      <c r="Q1481" s="5">
        <f t="shared" si="141"/>
        <v>11</v>
      </c>
      <c r="R1481" s="28">
        <f t="shared" si="142"/>
        <v>0.94512195121951215</v>
      </c>
      <c r="S1481" s="29">
        <f t="shared" si="143"/>
        <v>94.512195121951208</v>
      </c>
      <c r="T1481" s="5" t="str">
        <f>IF(Delivery_Data[[#This Row],[Delays (min)]]&gt;0,"No","Yes")</f>
        <v>No</v>
      </c>
    </row>
    <row r="1482" spans="1:20" ht="15.75" customHeight="1" x14ac:dyDescent="0.3">
      <c r="A1482" s="4">
        <v>2481</v>
      </c>
      <c r="B1482" s="5" t="s">
        <v>1574</v>
      </c>
      <c r="C1482" s="6">
        <v>45177.582638888889</v>
      </c>
      <c r="D1482" s="5" t="s">
        <v>43</v>
      </c>
      <c r="E1482" s="5" t="s">
        <v>78</v>
      </c>
      <c r="F1482" s="5" t="s">
        <v>24</v>
      </c>
      <c r="G1482" s="5" t="s">
        <v>56</v>
      </c>
      <c r="H1482" s="5">
        <v>224</v>
      </c>
      <c r="I1482" s="5">
        <v>14</v>
      </c>
      <c r="J1482" s="5" t="s">
        <v>18</v>
      </c>
      <c r="K1482" s="5" t="s">
        <v>45</v>
      </c>
      <c r="L1482" s="5" t="s">
        <v>20</v>
      </c>
      <c r="M1482" s="7" t="s">
        <v>46</v>
      </c>
      <c r="N1482" s="26">
        <f t="shared" si="138"/>
        <v>0</v>
      </c>
      <c r="O1482" s="42">
        <f t="shared" si="139"/>
        <v>45177</v>
      </c>
      <c r="P1482" s="5" t="str">
        <f t="shared" si="140"/>
        <v>Friday</v>
      </c>
      <c r="Q1482" s="5">
        <f t="shared" si="141"/>
        <v>13</v>
      </c>
      <c r="R1482" s="28">
        <f t="shared" si="142"/>
        <v>0.94117647058823528</v>
      </c>
      <c r="S1482" s="29">
        <f t="shared" si="143"/>
        <v>94.117647058823522</v>
      </c>
      <c r="T1482" s="5" t="str">
        <f>IF(Delivery_Data[[#This Row],[Delays (min)]]&gt;0,"No","Yes")</f>
        <v>No</v>
      </c>
    </row>
    <row r="1483" spans="1:20" ht="15.75" customHeight="1" x14ac:dyDescent="0.3">
      <c r="A1483" s="4">
        <v>2482</v>
      </c>
      <c r="B1483" s="5" t="s">
        <v>1575</v>
      </c>
      <c r="C1483" s="6">
        <v>45176.474999999999</v>
      </c>
      <c r="D1483" s="5" t="s">
        <v>14</v>
      </c>
      <c r="E1483" s="5" t="s">
        <v>99</v>
      </c>
      <c r="F1483" s="5" t="s">
        <v>38</v>
      </c>
      <c r="G1483" s="5" t="s">
        <v>17</v>
      </c>
      <c r="H1483" s="5">
        <v>176</v>
      </c>
      <c r="I1483" s="5">
        <v>12</v>
      </c>
      <c r="J1483" s="5" t="s">
        <v>32</v>
      </c>
      <c r="K1483" s="5" t="s">
        <v>27</v>
      </c>
      <c r="L1483" s="5" t="s">
        <v>40</v>
      </c>
      <c r="M1483" s="7" t="s">
        <v>41</v>
      </c>
      <c r="N1483" s="26">
        <f t="shared" si="138"/>
        <v>-1</v>
      </c>
      <c r="O1483" s="42">
        <f t="shared" si="139"/>
        <v>45176</v>
      </c>
      <c r="P1483" s="5" t="str">
        <f t="shared" si="140"/>
        <v>Thursday</v>
      </c>
      <c r="Q1483" s="5">
        <f t="shared" si="141"/>
        <v>11</v>
      </c>
      <c r="R1483" s="28">
        <f t="shared" si="142"/>
        <v>0.93617021276595747</v>
      </c>
      <c r="S1483" s="29">
        <f t="shared" si="143"/>
        <v>93.61702127659575</v>
      </c>
      <c r="T1483" s="5" t="str">
        <f>IF(Delivery_Data[[#This Row],[Delays (min)]]&gt;0,"No","Yes")</f>
        <v>No</v>
      </c>
    </row>
    <row r="1484" spans="1:20" ht="15.75" customHeight="1" x14ac:dyDescent="0.3">
      <c r="A1484" s="4">
        <v>2483</v>
      </c>
      <c r="B1484" s="5" t="s">
        <v>1576</v>
      </c>
      <c r="C1484" s="6">
        <v>45177.456944444442</v>
      </c>
      <c r="D1484" s="5" t="s">
        <v>43</v>
      </c>
      <c r="E1484" s="5" t="s">
        <v>60</v>
      </c>
      <c r="F1484" s="5" t="s">
        <v>38</v>
      </c>
      <c r="G1484" s="5" t="s">
        <v>31</v>
      </c>
      <c r="H1484" s="5">
        <v>122</v>
      </c>
      <c r="I1484" s="5">
        <v>7</v>
      </c>
      <c r="J1484" s="5" t="s">
        <v>32</v>
      </c>
      <c r="K1484" s="5" t="s">
        <v>49</v>
      </c>
      <c r="L1484" s="5" t="s">
        <v>28</v>
      </c>
      <c r="M1484" s="7" t="s">
        <v>46</v>
      </c>
      <c r="N1484" s="26">
        <f t="shared" si="138"/>
        <v>-1</v>
      </c>
      <c r="O1484" s="42">
        <f t="shared" si="139"/>
        <v>45177</v>
      </c>
      <c r="P1484" s="5" t="str">
        <f t="shared" si="140"/>
        <v>Friday</v>
      </c>
      <c r="Q1484" s="5">
        <f t="shared" si="141"/>
        <v>10</v>
      </c>
      <c r="R1484" s="28">
        <f t="shared" si="142"/>
        <v>0.94573643410852715</v>
      </c>
      <c r="S1484" s="29">
        <f t="shared" si="143"/>
        <v>94.573643410852711</v>
      </c>
      <c r="T1484" s="5" t="str">
        <f>IF(Delivery_Data[[#This Row],[Delays (min)]]&gt;0,"No","Yes")</f>
        <v>No</v>
      </c>
    </row>
    <row r="1485" spans="1:20" ht="15.75" customHeight="1" x14ac:dyDescent="0.3">
      <c r="A1485" s="4">
        <v>2484</v>
      </c>
      <c r="B1485" s="5" t="s">
        <v>1577</v>
      </c>
      <c r="C1485" s="6">
        <v>45175.384027777778</v>
      </c>
      <c r="D1485" s="5" t="s">
        <v>14</v>
      </c>
      <c r="E1485" s="5" t="s">
        <v>99</v>
      </c>
      <c r="F1485" s="5" t="s">
        <v>16</v>
      </c>
      <c r="G1485" s="5" t="s">
        <v>31</v>
      </c>
      <c r="H1485" s="5">
        <v>115</v>
      </c>
      <c r="I1485" s="5">
        <v>1</v>
      </c>
      <c r="J1485" s="5" t="s">
        <v>26</v>
      </c>
      <c r="K1485" s="5" t="s">
        <v>35</v>
      </c>
      <c r="L1485" s="5" t="s">
        <v>20</v>
      </c>
      <c r="M1485" s="7" t="s">
        <v>41</v>
      </c>
      <c r="N1485" s="26">
        <f t="shared" si="138"/>
        <v>1</v>
      </c>
      <c r="O1485" s="42">
        <f t="shared" si="139"/>
        <v>45175</v>
      </c>
      <c r="P1485" s="5" t="str">
        <f t="shared" si="140"/>
        <v>Wednesday</v>
      </c>
      <c r="Q1485" s="5">
        <f t="shared" si="141"/>
        <v>9</v>
      </c>
      <c r="R1485" s="28">
        <f t="shared" si="142"/>
        <v>0.99137931034482762</v>
      </c>
      <c r="S1485" s="29">
        <f t="shared" si="143"/>
        <v>99.137931034482762</v>
      </c>
      <c r="T1485" s="5" t="str">
        <f>IF(Delivery_Data[[#This Row],[Delays (min)]]&gt;0,"No","Yes")</f>
        <v>No</v>
      </c>
    </row>
    <row r="1486" spans="1:20" ht="15.75" customHeight="1" x14ac:dyDescent="0.3">
      <c r="A1486" s="4">
        <v>2485</v>
      </c>
      <c r="B1486" s="5" t="s">
        <v>1578</v>
      </c>
      <c r="C1486" s="6">
        <v>45176.698611111111</v>
      </c>
      <c r="D1486" s="5" t="s">
        <v>43</v>
      </c>
      <c r="E1486" s="5" t="s">
        <v>272</v>
      </c>
      <c r="F1486" s="5" t="s">
        <v>24</v>
      </c>
      <c r="G1486" s="5" t="s">
        <v>56</v>
      </c>
      <c r="H1486" s="5">
        <v>222</v>
      </c>
      <c r="I1486" s="5">
        <v>4</v>
      </c>
      <c r="J1486" s="5" t="s">
        <v>18</v>
      </c>
      <c r="K1486" s="5" t="s">
        <v>45</v>
      </c>
      <c r="L1486" s="5" t="s">
        <v>20</v>
      </c>
      <c r="M1486" s="7" t="s">
        <v>46</v>
      </c>
      <c r="N1486" s="26">
        <f t="shared" si="138"/>
        <v>0</v>
      </c>
      <c r="O1486" s="42">
        <f t="shared" si="139"/>
        <v>45176</v>
      </c>
      <c r="P1486" s="5" t="str">
        <f t="shared" si="140"/>
        <v>Thursday</v>
      </c>
      <c r="Q1486" s="5">
        <f t="shared" si="141"/>
        <v>16</v>
      </c>
      <c r="R1486" s="28">
        <f t="shared" si="142"/>
        <v>0.98230088495575218</v>
      </c>
      <c r="S1486" s="29">
        <f t="shared" si="143"/>
        <v>98.230088495575217</v>
      </c>
      <c r="T1486" s="5" t="str">
        <f>IF(Delivery_Data[[#This Row],[Delays (min)]]&gt;0,"No","Yes")</f>
        <v>No</v>
      </c>
    </row>
    <row r="1487" spans="1:20" ht="15.75" customHeight="1" x14ac:dyDescent="0.3">
      <c r="A1487" s="4">
        <v>2486</v>
      </c>
      <c r="B1487" s="5" t="s">
        <v>1579</v>
      </c>
      <c r="C1487" s="6">
        <v>45175.467361111114</v>
      </c>
      <c r="D1487" s="5" t="s">
        <v>43</v>
      </c>
      <c r="E1487" s="5" t="s">
        <v>234</v>
      </c>
      <c r="F1487" s="5" t="s">
        <v>24</v>
      </c>
      <c r="G1487" s="5" t="s">
        <v>25</v>
      </c>
      <c r="H1487" s="5">
        <v>159</v>
      </c>
      <c r="I1487" s="5">
        <v>6</v>
      </c>
      <c r="J1487" s="5" t="s">
        <v>32</v>
      </c>
      <c r="K1487" s="5" t="s">
        <v>35</v>
      </c>
      <c r="L1487" s="5" t="s">
        <v>20</v>
      </c>
      <c r="M1487" s="7" t="s">
        <v>21</v>
      </c>
      <c r="N1487" s="26">
        <f t="shared" si="138"/>
        <v>-1</v>
      </c>
      <c r="O1487" s="42">
        <f t="shared" si="139"/>
        <v>45175</v>
      </c>
      <c r="P1487" s="5" t="str">
        <f t="shared" si="140"/>
        <v>Wednesday</v>
      </c>
      <c r="Q1487" s="5">
        <f t="shared" si="141"/>
        <v>11</v>
      </c>
      <c r="R1487" s="28">
        <f t="shared" si="142"/>
        <v>0.96363636363636362</v>
      </c>
      <c r="S1487" s="29">
        <f t="shared" si="143"/>
        <v>96.36363636363636</v>
      </c>
      <c r="T1487" s="5" t="str">
        <f>IF(Delivery_Data[[#This Row],[Delays (min)]]&gt;0,"No","Yes")</f>
        <v>No</v>
      </c>
    </row>
    <row r="1488" spans="1:20" ht="15.75" customHeight="1" x14ac:dyDescent="0.3">
      <c r="A1488" s="4">
        <v>2487</v>
      </c>
      <c r="B1488" s="5" t="s">
        <v>1580</v>
      </c>
      <c r="C1488" s="6">
        <v>45170.493750000001</v>
      </c>
      <c r="D1488" s="5" t="s">
        <v>14</v>
      </c>
      <c r="E1488" s="5" t="s">
        <v>179</v>
      </c>
      <c r="F1488" s="5" t="s">
        <v>16</v>
      </c>
      <c r="G1488" s="5" t="s">
        <v>56</v>
      </c>
      <c r="H1488" s="5">
        <v>211</v>
      </c>
      <c r="I1488" s="5">
        <v>26</v>
      </c>
      <c r="J1488" s="5" t="s">
        <v>26</v>
      </c>
      <c r="K1488" s="5" t="s">
        <v>35</v>
      </c>
      <c r="L1488" s="5" t="s">
        <v>28</v>
      </c>
      <c r="M1488" s="7" t="s">
        <v>46</v>
      </c>
      <c r="N1488" s="26">
        <f t="shared" si="138"/>
        <v>1</v>
      </c>
      <c r="O1488" s="42">
        <f t="shared" si="139"/>
        <v>45170</v>
      </c>
      <c r="P1488" s="5" t="str">
        <f t="shared" si="140"/>
        <v>Friday</v>
      </c>
      <c r="Q1488" s="5">
        <f t="shared" si="141"/>
        <v>11</v>
      </c>
      <c r="R1488" s="28">
        <f t="shared" si="142"/>
        <v>0.89029535864978904</v>
      </c>
      <c r="S1488" s="29">
        <f t="shared" si="143"/>
        <v>89.029535864978897</v>
      </c>
      <c r="T1488" s="5" t="str">
        <f>IF(Delivery_Data[[#This Row],[Delays (min)]]&gt;0,"No","Yes")</f>
        <v>No</v>
      </c>
    </row>
    <row r="1489" spans="1:20" ht="15.75" customHeight="1" x14ac:dyDescent="0.3">
      <c r="A1489" s="4">
        <v>2488</v>
      </c>
      <c r="B1489" s="5" t="s">
        <v>1581</v>
      </c>
      <c r="C1489" s="6">
        <v>45175.361111111109</v>
      </c>
      <c r="D1489" s="5" t="s">
        <v>43</v>
      </c>
      <c r="E1489" s="5" t="s">
        <v>261</v>
      </c>
      <c r="F1489" s="5" t="s">
        <v>24</v>
      </c>
      <c r="G1489" s="5" t="s">
        <v>17</v>
      </c>
      <c r="H1489" s="5">
        <v>172</v>
      </c>
      <c r="I1489" s="5">
        <v>11</v>
      </c>
      <c r="J1489" s="5" t="s">
        <v>18</v>
      </c>
      <c r="K1489" s="5" t="s">
        <v>35</v>
      </c>
      <c r="L1489" s="5" t="s">
        <v>28</v>
      </c>
      <c r="M1489" s="7" t="s">
        <v>21</v>
      </c>
      <c r="N1489" s="26">
        <f t="shared" si="138"/>
        <v>0</v>
      </c>
      <c r="O1489" s="42">
        <f t="shared" si="139"/>
        <v>45175</v>
      </c>
      <c r="P1489" s="5" t="str">
        <f t="shared" si="140"/>
        <v>Wednesday</v>
      </c>
      <c r="Q1489" s="5">
        <f t="shared" si="141"/>
        <v>8</v>
      </c>
      <c r="R1489" s="28">
        <f t="shared" si="142"/>
        <v>0.93989071038251371</v>
      </c>
      <c r="S1489" s="29">
        <f t="shared" si="143"/>
        <v>93.989071038251367</v>
      </c>
      <c r="T1489" s="5" t="str">
        <f>IF(Delivery_Data[[#This Row],[Delays (min)]]&gt;0,"No","Yes")</f>
        <v>No</v>
      </c>
    </row>
    <row r="1490" spans="1:20" ht="15.75" customHeight="1" x14ac:dyDescent="0.3">
      <c r="A1490" s="4">
        <v>2489</v>
      </c>
      <c r="B1490" s="5" t="s">
        <v>438</v>
      </c>
      <c r="C1490" s="6">
        <v>45176.680555555555</v>
      </c>
      <c r="D1490" s="5" t="s">
        <v>14</v>
      </c>
      <c r="E1490" s="5" t="s">
        <v>44</v>
      </c>
      <c r="F1490" s="5" t="s">
        <v>24</v>
      </c>
      <c r="G1490" s="5" t="s">
        <v>39</v>
      </c>
      <c r="H1490" s="5">
        <v>92</v>
      </c>
      <c r="I1490" s="5">
        <v>29</v>
      </c>
      <c r="J1490" s="5" t="s">
        <v>26</v>
      </c>
      <c r="K1490" s="5" t="s">
        <v>19</v>
      </c>
      <c r="L1490" s="5" t="s">
        <v>40</v>
      </c>
      <c r="M1490" s="7" t="s">
        <v>41</v>
      </c>
      <c r="N1490" s="26">
        <f t="shared" si="138"/>
        <v>1</v>
      </c>
      <c r="O1490" s="42">
        <f t="shared" si="139"/>
        <v>45176</v>
      </c>
      <c r="P1490" s="5" t="str">
        <f t="shared" si="140"/>
        <v>Thursday</v>
      </c>
      <c r="Q1490" s="5">
        <f t="shared" si="141"/>
        <v>16</v>
      </c>
      <c r="R1490" s="28">
        <f t="shared" si="142"/>
        <v>0.76033057851239672</v>
      </c>
      <c r="S1490" s="29">
        <f t="shared" si="143"/>
        <v>76.033057851239676</v>
      </c>
      <c r="T1490" s="5" t="str">
        <f>IF(Delivery_Data[[#This Row],[Delays (min)]]&gt;0,"No","Yes")</f>
        <v>No</v>
      </c>
    </row>
    <row r="1491" spans="1:20" ht="15.75" customHeight="1" x14ac:dyDescent="0.3">
      <c r="A1491" s="4">
        <v>2490</v>
      </c>
      <c r="B1491" s="5" t="s">
        <v>1582</v>
      </c>
      <c r="C1491" s="6">
        <v>45174.390972222223</v>
      </c>
      <c r="D1491" s="5" t="s">
        <v>14</v>
      </c>
      <c r="E1491" s="5" t="s">
        <v>182</v>
      </c>
      <c r="F1491" s="5" t="s">
        <v>16</v>
      </c>
      <c r="G1491" s="5" t="s">
        <v>17</v>
      </c>
      <c r="H1491" s="5">
        <v>103</v>
      </c>
      <c r="I1491" s="5">
        <v>4</v>
      </c>
      <c r="J1491" s="5" t="s">
        <v>32</v>
      </c>
      <c r="K1491" s="5" t="s">
        <v>27</v>
      </c>
      <c r="L1491" s="5" t="s">
        <v>40</v>
      </c>
      <c r="M1491" s="7" t="s">
        <v>41</v>
      </c>
      <c r="N1491" s="26">
        <f t="shared" si="138"/>
        <v>-1</v>
      </c>
      <c r="O1491" s="42">
        <f t="shared" si="139"/>
        <v>45174</v>
      </c>
      <c r="P1491" s="5" t="str">
        <f t="shared" si="140"/>
        <v>Tuesday</v>
      </c>
      <c r="Q1491" s="5">
        <f t="shared" si="141"/>
        <v>9</v>
      </c>
      <c r="R1491" s="28">
        <f t="shared" si="142"/>
        <v>0.96261682242990654</v>
      </c>
      <c r="S1491" s="29">
        <f t="shared" si="143"/>
        <v>96.261682242990659</v>
      </c>
      <c r="T1491" s="5" t="str">
        <f>IF(Delivery_Data[[#This Row],[Delays (min)]]&gt;0,"No","Yes")</f>
        <v>No</v>
      </c>
    </row>
    <row r="1492" spans="1:20" ht="15.75" customHeight="1" x14ac:dyDescent="0.3">
      <c r="A1492" s="4">
        <v>2491</v>
      </c>
      <c r="B1492" s="5" t="s">
        <v>1583</v>
      </c>
      <c r="C1492" s="6">
        <v>45173.654166666667</v>
      </c>
      <c r="D1492" s="5" t="s">
        <v>14</v>
      </c>
      <c r="E1492" s="5" t="s">
        <v>126</v>
      </c>
      <c r="F1492" s="5" t="s">
        <v>38</v>
      </c>
      <c r="G1492" s="5" t="s">
        <v>17</v>
      </c>
      <c r="H1492" s="5">
        <v>119</v>
      </c>
      <c r="I1492" s="5">
        <v>17</v>
      </c>
      <c r="J1492" s="5" t="s">
        <v>26</v>
      </c>
      <c r="K1492" s="5" t="s">
        <v>27</v>
      </c>
      <c r="L1492" s="5" t="s">
        <v>28</v>
      </c>
      <c r="M1492" s="7" t="s">
        <v>21</v>
      </c>
      <c r="N1492" s="26">
        <f t="shared" si="138"/>
        <v>1</v>
      </c>
      <c r="O1492" s="42">
        <f t="shared" si="139"/>
        <v>45173</v>
      </c>
      <c r="P1492" s="5" t="str">
        <f t="shared" si="140"/>
        <v>Monday</v>
      </c>
      <c r="Q1492" s="5">
        <f t="shared" si="141"/>
        <v>15</v>
      </c>
      <c r="R1492" s="28">
        <f t="shared" si="142"/>
        <v>0.875</v>
      </c>
      <c r="S1492" s="29">
        <f t="shared" si="143"/>
        <v>87.5</v>
      </c>
      <c r="T1492" s="5" t="str">
        <f>IF(Delivery_Data[[#This Row],[Delays (min)]]&gt;0,"No","Yes")</f>
        <v>No</v>
      </c>
    </row>
    <row r="1493" spans="1:20" ht="15.75" customHeight="1" x14ac:dyDescent="0.3">
      <c r="A1493" s="4">
        <v>2492</v>
      </c>
      <c r="B1493" s="5" t="s">
        <v>1584</v>
      </c>
      <c r="C1493" s="6">
        <v>45175.40347222222</v>
      </c>
      <c r="D1493" s="5" t="s">
        <v>43</v>
      </c>
      <c r="E1493" s="5" t="s">
        <v>267</v>
      </c>
      <c r="F1493" s="5" t="s">
        <v>16</v>
      </c>
      <c r="G1493" s="5" t="s">
        <v>31</v>
      </c>
      <c r="H1493" s="5">
        <v>202</v>
      </c>
      <c r="I1493" s="5">
        <v>0</v>
      </c>
      <c r="J1493" s="5" t="s">
        <v>26</v>
      </c>
      <c r="K1493" s="5" t="s">
        <v>35</v>
      </c>
      <c r="L1493" s="5" t="s">
        <v>40</v>
      </c>
      <c r="M1493" s="7" t="s">
        <v>46</v>
      </c>
      <c r="N1493" s="26">
        <f t="shared" si="138"/>
        <v>1</v>
      </c>
      <c r="O1493" s="42">
        <f t="shared" si="139"/>
        <v>45175</v>
      </c>
      <c r="P1493" s="5" t="str">
        <f t="shared" si="140"/>
        <v>Wednesday</v>
      </c>
      <c r="Q1493" s="5">
        <f t="shared" si="141"/>
        <v>9</v>
      </c>
      <c r="R1493" s="28">
        <f t="shared" si="142"/>
        <v>1</v>
      </c>
      <c r="S1493" s="29">
        <f t="shared" si="143"/>
        <v>100</v>
      </c>
      <c r="T1493" s="5" t="str">
        <f>IF(Delivery_Data[[#This Row],[Delays (min)]]&gt;0,"No","Yes")</f>
        <v>Yes</v>
      </c>
    </row>
    <row r="1494" spans="1:20" ht="15.75" customHeight="1" x14ac:dyDescent="0.3">
      <c r="A1494" s="4">
        <v>2493</v>
      </c>
      <c r="B1494" s="5" t="s">
        <v>1585</v>
      </c>
      <c r="C1494" s="6">
        <v>45176.619444444441</v>
      </c>
      <c r="D1494" s="5" t="s">
        <v>43</v>
      </c>
      <c r="E1494" s="5" t="s">
        <v>187</v>
      </c>
      <c r="F1494" s="5" t="s">
        <v>38</v>
      </c>
      <c r="G1494" s="5" t="s">
        <v>39</v>
      </c>
      <c r="H1494" s="5">
        <v>104</v>
      </c>
      <c r="I1494" s="5">
        <v>2</v>
      </c>
      <c r="J1494" s="5" t="s">
        <v>26</v>
      </c>
      <c r="K1494" s="5" t="s">
        <v>49</v>
      </c>
      <c r="L1494" s="5" t="s">
        <v>40</v>
      </c>
      <c r="M1494" s="7" t="s">
        <v>21</v>
      </c>
      <c r="N1494" s="26">
        <f t="shared" si="138"/>
        <v>1</v>
      </c>
      <c r="O1494" s="42">
        <f t="shared" si="139"/>
        <v>45176</v>
      </c>
      <c r="P1494" s="5" t="str">
        <f t="shared" si="140"/>
        <v>Thursday</v>
      </c>
      <c r="Q1494" s="5">
        <f t="shared" si="141"/>
        <v>14</v>
      </c>
      <c r="R1494" s="28">
        <f t="shared" si="142"/>
        <v>0.98113207547169812</v>
      </c>
      <c r="S1494" s="29">
        <f t="shared" si="143"/>
        <v>98.113207547169807</v>
      </c>
      <c r="T1494" s="5" t="str">
        <f>IF(Delivery_Data[[#This Row],[Delays (min)]]&gt;0,"No","Yes")</f>
        <v>No</v>
      </c>
    </row>
    <row r="1495" spans="1:20" ht="15.75" customHeight="1" x14ac:dyDescent="0.3">
      <c r="A1495" s="4">
        <v>2494</v>
      </c>
      <c r="B1495" s="5" t="s">
        <v>81</v>
      </c>
      <c r="C1495" s="6">
        <v>45177.484027777777</v>
      </c>
      <c r="D1495" s="5" t="s">
        <v>14</v>
      </c>
      <c r="E1495" s="5" t="s">
        <v>304</v>
      </c>
      <c r="F1495" s="5" t="s">
        <v>24</v>
      </c>
      <c r="G1495" s="5" t="s">
        <v>25</v>
      </c>
      <c r="H1495" s="5">
        <v>71</v>
      </c>
      <c r="I1495" s="5">
        <v>3</v>
      </c>
      <c r="J1495" s="5" t="s">
        <v>18</v>
      </c>
      <c r="K1495" s="5" t="s">
        <v>49</v>
      </c>
      <c r="L1495" s="5" t="s">
        <v>40</v>
      </c>
      <c r="M1495" s="7" t="s">
        <v>46</v>
      </c>
      <c r="N1495" s="26">
        <f t="shared" si="138"/>
        <v>0</v>
      </c>
      <c r="O1495" s="42">
        <f t="shared" si="139"/>
        <v>45177</v>
      </c>
      <c r="P1495" s="5" t="str">
        <f t="shared" si="140"/>
        <v>Friday</v>
      </c>
      <c r="Q1495" s="5">
        <f t="shared" si="141"/>
        <v>11</v>
      </c>
      <c r="R1495" s="28">
        <f t="shared" si="142"/>
        <v>0.95945945945945943</v>
      </c>
      <c r="S1495" s="29">
        <f t="shared" si="143"/>
        <v>95.945945945945937</v>
      </c>
      <c r="T1495" s="5" t="str">
        <f>IF(Delivery_Data[[#This Row],[Delays (min)]]&gt;0,"No","Yes")</f>
        <v>No</v>
      </c>
    </row>
    <row r="1496" spans="1:20" ht="15.75" customHeight="1" x14ac:dyDescent="0.3">
      <c r="A1496" s="4">
        <v>2495</v>
      </c>
      <c r="B1496" s="5" t="s">
        <v>1545</v>
      </c>
      <c r="C1496" s="6">
        <v>45175.431944444441</v>
      </c>
      <c r="D1496" s="5" t="s">
        <v>14</v>
      </c>
      <c r="E1496" s="5" t="s">
        <v>130</v>
      </c>
      <c r="F1496" s="5" t="s">
        <v>16</v>
      </c>
      <c r="G1496" s="5" t="s">
        <v>31</v>
      </c>
      <c r="H1496" s="5">
        <v>226</v>
      </c>
      <c r="I1496" s="5">
        <v>8</v>
      </c>
      <c r="J1496" s="5" t="s">
        <v>26</v>
      </c>
      <c r="K1496" s="5" t="s">
        <v>49</v>
      </c>
      <c r="L1496" s="5" t="s">
        <v>28</v>
      </c>
      <c r="M1496" s="7" t="s">
        <v>21</v>
      </c>
      <c r="N1496" s="26">
        <f t="shared" si="138"/>
        <v>1</v>
      </c>
      <c r="O1496" s="42">
        <f t="shared" si="139"/>
        <v>45175</v>
      </c>
      <c r="P1496" s="5" t="str">
        <f t="shared" si="140"/>
        <v>Wednesday</v>
      </c>
      <c r="Q1496" s="5">
        <f t="shared" si="141"/>
        <v>10</v>
      </c>
      <c r="R1496" s="28">
        <f t="shared" si="142"/>
        <v>0.96581196581196582</v>
      </c>
      <c r="S1496" s="29">
        <f t="shared" si="143"/>
        <v>96.581196581196579</v>
      </c>
      <c r="T1496" s="5" t="str">
        <f>IF(Delivery_Data[[#This Row],[Delays (min)]]&gt;0,"No","Yes")</f>
        <v>No</v>
      </c>
    </row>
    <row r="1497" spans="1:20" ht="15.75" customHeight="1" x14ac:dyDescent="0.3">
      <c r="A1497" s="4">
        <v>2496</v>
      </c>
      <c r="B1497" s="5" t="s">
        <v>1586</v>
      </c>
      <c r="C1497" s="6">
        <v>45176.379166666666</v>
      </c>
      <c r="D1497" s="5" t="s">
        <v>43</v>
      </c>
      <c r="E1497" s="5" t="s">
        <v>156</v>
      </c>
      <c r="F1497" s="5" t="s">
        <v>24</v>
      </c>
      <c r="G1497" s="5" t="s">
        <v>17</v>
      </c>
      <c r="H1497" s="5">
        <v>213</v>
      </c>
      <c r="I1497" s="5">
        <v>18</v>
      </c>
      <c r="J1497" s="5" t="s">
        <v>26</v>
      </c>
      <c r="K1497" s="5" t="s">
        <v>19</v>
      </c>
      <c r="L1497" s="5" t="s">
        <v>40</v>
      </c>
      <c r="M1497" s="7" t="s">
        <v>41</v>
      </c>
      <c r="N1497" s="26">
        <f t="shared" si="138"/>
        <v>1</v>
      </c>
      <c r="O1497" s="42">
        <f t="shared" si="139"/>
        <v>45176</v>
      </c>
      <c r="P1497" s="5" t="str">
        <f t="shared" si="140"/>
        <v>Thursday</v>
      </c>
      <c r="Q1497" s="5">
        <f t="shared" si="141"/>
        <v>9</v>
      </c>
      <c r="R1497" s="28">
        <f t="shared" si="142"/>
        <v>0.92207792207792205</v>
      </c>
      <c r="S1497" s="29">
        <f t="shared" si="143"/>
        <v>92.20779220779221</v>
      </c>
      <c r="T1497" s="5" t="str">
        <f>IF(Delivery_Data[[#This Row],[Delays (min)]]&gt;0,"No","Yes")</f>
        <v>No</v>
      </c>
    </row>
    <row r="1498" spans="1:20" ht="15.75" customHeight="1" x14ac:dyDescent="0.3">
      <c r="A1498" s="4">
        <v>2497</v>
      </c>
      <c r="B1498" s="5" t="s">
        <v>1587</v>
      </c>
      <c r="C1498" s="6">
        <v>45176.510416666664</v>
      </c>
      <c r="D1498" s="5" t="s">
        <v>43</v>
      </c>
      <c r="E1498" s="5" t="s">
        <v>410</v>
      </c>
      <c r="F1498" s="5" t="s">
        <v>16</v>
      </c>
      <c r="G1498" s="5" t="s">
        <v>17</v>
      </c>
      <c r="H1498" s="5">
        <v>142</v>
      </c>
      <c r="I1498" s="5">
        <v>21</v>
      </c>
      <c r="J1498" s="5" t="s">
        <v>32</v>
      </c>
      <c r="K1498" s="5" t="s">
        <v>19</v>
      </c>
      <c r="L1498" s="5" t="s">
        <v>40</v>
      </c>
      <c r="M1498" s="7" t="s">
        <v>21</v>
      </c>
      <c r="N1498" s="26">
        <f t="shared" si="138"/>
        <v>-1</v>
      </c>
      <c r="O1498" s="42">
        <f t="shared" si="139"/>
        <v>45176</v>
      </c>
      <c r="P1498" s="5" t="str">
        <f t="shared" si="140"/>
        <v>Thursday</v>
      </c>
      <c r="Q1498" s="5">
        <f t="shared" si="141"/>
        <v>12</v>
      </c>
      <c r="R1498" s="28">
        <f t="shared" si="142"/>
        <v>0.87116564417177911</v>
      </c>
      <c r="S1498" s="29">
        <f t="shared" si="143"/>
        <v>87.116564417177912</v>
      </c>
      <c r="T1498" s="5" t="str">
        <f>IF(Delivery_Data[[#This Row],[Delays (min)]]&gt;0,"No","Yes")</f>
        <v>No</v>
      </c>
    </row>
    <row r="1499" spans="1:20" ht="15.75" customHeight="1" x14ac:dyDescent="0.3">
      <c r="A1499" s="4">
        <v>2498</v>
      </c>
      <c r="B1499" s="5" t="s">
        <v>1588</v>
      </c>
      <c r="C1499" s="6">
        <v>45172.362500000003</v>
      </c>
      <c r="D1499" s="5" t="s">
        <v>43</v>
      </c>
      <c r="E1499" s="5" t="s">
        <v>245</v>
      </c>
      <c r="F1499" s="5" t="s">
        <v>38</v>
      </c>
      <c r="G1499" s="5" t="s">
        <v>25</v>
      </c>
      <c r="H1499" s="5">
        <v>82</v>
      </c>
      <c r="I1499" s="5">
        <v>16</v>
      </c>
      <c r="J1499" s="5" t="s">
        <v>26</v>
      </c>
      <c r="K1499" s="5" t="s">
        <v>27</v>
      </c>
      <c r="L1499" s="5" t="s">
        <v>28</v>
      </c>
      <c r="M1499" s="7" t="s">
        <v>46</v>
      </c>
      <c r="N1499" s="26">
        <f t="shared" si="138"/>
        <v>1</v>
      </c>
      <c r="O1499" s="42">
        <f t="shared" si="139"/>
        <v>45172</v>
      </c>
      <c r="P1499" s="5" t="str">
        <f t="shared" si="140"/>
        <v>Sunday</v>
      </c>
      <c r="Q1499" s="5">
        <f t="shared" si="141"/>
        <v>8</v>
      </c>
      <c r="R1499" s="28">
        <f t="shared" si="142"/>
        <v>0.83673469387755106</v>
      </c>
      <c r="S1499" s="29">
        <f t="shared" si="143"/>
        <v>83.673469387755105</v>
      </c>
      <c r="T1499" s="5" t="str">
        <f>IF(Delivery_Data[[#This Row],[Delays (min)]]&gt;0,"No","Yes")</f>
        <v>No</v>
      </c>
    </row>
    <row r="1500" spans="1:20" ht="15.75" customHeight="1" x14ac:dyDescent="0.3">
      <c r="A1500" s="4">
        <v>2499</v>
      </c>
      <c r="B1500" s="5" t="s">
        <v>1589</v>
      </c>
      <c r="C1500" s="6">
        <v>45173.706944444442</v>
      </c>
      <c r="D1500" s="5" t="s">
        <v>43</v>
      </c>
      <c r="E1500" s="5" t="s">
        <v>197</v>
      </c>
      <c r="F1500" s="5" t="s">
        <v>24</v>
      </c>
      <c r="G1500" s="5" t="s">
        <v>56</v>
      </c>
      <c r="H1500" s="5">
        <v>141</v>
      </c>
      <c r="I1500" s="5">
        <v>7</v>
      </c>
      <c r="J1500" s="5" t="s">
        <v>32</v>
      </c>
      <c r="K1500" s="5" t="s">
        <v>19</v>
      </c>
      <c r="L1500" s="5" t="s">
        <v>28</v>
      </c>
      <c r="M1500" s="7" t="s">
        <v>46</v>
      </c>
      <c r="N1500" s="26">
        <f t="shared" si="138"/>
        <v>-1</v>
      </c>
      <c r="O1500" s="42">
        <f t="shared" si="139"/>
        <v>45173</v>
      </c>
      <c r="P1500" s="5" t="str">
        <f t="shared" si="140"/>
        <v>Monday</v>
      </c>
      <c r="Q1500" s="5">
        <f t="shared" si="141"/>
        <v>16</v>
      </c>
      <c r="R1500" s="28">
        <f t="shared" si="142"/>
        <v>0.95270270270270274</v>
      </c>
      <c r="S1500" s="29">
        <f t="shared" si="143"/>
        <v>95.270270270270274</v>
      </c>
      <c r="T1500" s="5" t="str">
        <f>IF(Delivery_Data[[#This Row],[Delays (min)]]&gt;0,"No","Yes")</f>
        <v>No</v>
      </c>
    </row>
    <row r="1501" spans="1:20" ht="15.75" customHeight="1" x14ac:dyDescent="0.3">
      <c r="A1501" s="8">
        <v>2500</v>
      </c>
      <c r="B1501" s="9" t="s">
        <v>1590</v>
      </c>
      <c r="C1501" s="10">
        <v>45172.646527777775</v>
      </c>
      <c r="D1501" s="9" t="s">
        <v>14</v>
      </c>
      <c r="E1501" s="9" t="s">
        <v>261</v>
      </c>
      <c r="F1501" s="9" t="s">
        <v>24</v>
      </c>
      <c r="G1501" s="9" t="s">
        <v>31</v>
      </c>
      <c r="H1501" s="9">
        <v>134</v>
      </c>
      <c r="I1501" s="9">
        <v>23</v>
      </c>
      <c r="J1501" s="9" t="s">
        <v>32</v>
      </c>
      <c r="K1501" s="9" t="s">
        <v>45</v>
      </c>
      <c r="L1501" s="9" t="s">
        <v>20</v>
      </c>
      <c r="M1501" s="11" t="s">
        <v>46</v>
      </c>
      <c r="N1501" s="27">
        <f t="shared" si="138"/>
        <v>-1</v>
      </c>
      <c r="O1501" s="43">
        <f t="shared" si="139"/>
        <v>45172</v>
      </c>
      <c r="P1501" s="9" t="str">
        <f t="shared" si="140"/>
        <v>Sunday</v>
      </c>
      <c r="Q1501" s="9">
        <f t="shared" si="141"/>
        <v>15</v>
      </c>
      <c r="R1501" s="32">
        <f t="shared" si="142"/>
        <v>0.85350318471337583</v>
      </c>
      <c r="S1501" s="33">
        <f t="shared" si="143"/>
        <v>85.350318471337587</v>
      </c>
      <c r="T1501" s="9" t="str">
        <f>IF(Delivery_Data[[#This Row],[Delays (min)]]&gt;0,"No","Yes")</f>
        <v>No</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92A58-92B1-46F0-B9ED-0AF39D2971CE}">
  <dimension ref="A1:E13"/>
  <sheetViews>
    <sheetView workbookViewId="0">
      <selection activeCell="D9" sqref="D9:E13"/>
    </sheetView>
  </sheetViews>
  <sheetFormatPr defaultRowHeight="14.4" x14ac:dyDescent="0.3"/>
  <cols>
    <col min="1" max="1" width="11" customWidth="1"/>
    <col min="3" max="3" width="10.5546875" customWidth="1"/>
    <col min="4" max="4" width="25.33203125" customWidth="1"/>
    <col min="5" max="5" width="25.44140625" customWidth="1"/>
  </cols>
  <sheetData>
    <row r="1" spans="1:5" x14ac:dyDescent="0.3">
      <c r="A1" t="s">
        <v>1630</v>
      </c>
      <c r="B1" t="s">
        <v>1631</v>
      </c>
      <c r="C1" t="s">
        <v>1632</v>
      </c>
      <c r="D1" t="s">
        <v>1633</v>
      </c>
      <c r="E1" t="s">
        <v>1634</v>
      </c>
    </row>
    <row r="2" spans="1:5" x14ac:dyDescent="0.3">
      <c r="A2" s="44">
        <v>45170</v>
      </c>
      <c r="B2" s="45">
        <v>147.81958762886597</v>
      </c>
    </row>
    <row r="3" spans="1:5" x14ac:dyDescent="0.3">
      <c r="A3" s="44">
        <v>45171</v>
      </c>
      <c r="B3" s="45">
        <v>155.77948717948718</v>
      </c>
    </row>
    <row r="4" spans="1:5" x14ac:dyDescent="0.3">
      <c r="A4" s="44">
        <v>45172</v>
      </c>
      <c r="B4" s="45">
        <v>147.55238095238096</v>
      </c>
    </row>
    <row r="5" spans="1:5" x14ac:dyDescent="0.3">
      <c r="A5" s="44">
        <v>45173</v>
      </c>
      <c r="B5" s="45">
        <v>154.27683615819208</v>
      </c>
    </row>
    <row r="6" spans="1:5" x14ac:dyDescent="0.3">
      <c r="A6" s="44">
        <v>45174</v>
      </c>
      <c r="B6" s="45">
        <v>149.17415730337078</v>
      </c>
    </row>
    <row r="7" spans="1:5" x14ac:dyDescent="0.3">
      <c r="A7" s="44">
        <v>45175</v>
      </c>
      <c r="B7" s="45">
        <v>152.23711340206185</v>
      </c>
    </row>
    <row r="8" spans="1:5" x14ac:dyDescent="0.3">
      <c r="A8" s="44">
        <v>45176</v>
      </c>
      <c r="B8" s="45">
        <v>152.05978260869566</v>
      </c>
    </row>
    <row r="9" spans="1:5" x14ac:dyDescent="0.3">
      <c r="A9" s="44">
        <v>45177</v>
      </c>
      <c r="B9" s="45">
        <v>156.20238095238096</v>
      </c>
      <c r="C9" s="45">
        <v>156.20238095238096</v>
      </c>
      <c r="D9" s="45">
        <v>156.20238095238096</v>
      </c>
      <c r="E9" s="45">
        <v>156.20238095238096</v>
      </c>
    </row>
    <row r="10" spans="1:5" x14ac:dyDescent="0.3">
      <c r="A10" s="44">
        <v>45178</v>
      </c>
      <c r="C10" s="45">
        <f>_xlfn.FORECAST.ETS(A10,$B$2:$B$9,$A$2:$A$9,1,1)</f>
        <v>150.2464665912876</v>
      </c>
      <c r="D10" s="45">
        <f>C10-_xlfn.FORECAST.ETS.CONFINT(A10,$B$2:$B$9,$A$2:$A$9,0.95,1,1)</f>
        <v>146.92160981712701</v>
      </c>
      <c r="E10" s="45">
        <f>C10+_xlfn.FORECAST.ETS.CONFINT(A10,$B$2:$B$9,$A$2:$A$9,0.95,1,1)</f>
        <v>153.57132336544819</v>
      </c>
    </row>
    <row r="11" spans="1:5" x14ac:dyDescent="0.3">
      <c r="A11" s="44">
        <v>45179</v>
      </c>
      <c r="C11" s="45">
        <f>_xlfn.FORECAST.ETS(A11,$B$2:$B$9,$A$2:$A$9,1,1)</f>
        <v>156.44005743115235</v>
      </c>
      <c r="D11" s="45">
        <f>C11-_xlfn.FORECAST.ETS.CONFINT(A11,$B$2:$B$9,$A$2:$A$9,0.95,1,1)</f>
        <v>153.11518569516994</v>
      </c>
      <c r="E11" s="45">
        <f>C11+_xlfn.FORECAST.ETS.CONFINT(A11,$B$2:$B$9,$A$2:$A$9,0.95,1,1)</f>
        <v>159.76492916713477</v>
      </c>
    </row>
    <row r="12" spans="1:5" x14ac:dyDescent="0.3">
      <c r="A12" s="44">
        <v>45180</v>
      </c>
      <c r="C12" s="45">
        <f>_xlfn.FORECAST.ETS(A12,$B$2:$B$9,$A$2:$A$9,1,1)</f>
        <v>150.78255226373125</v>
      </c>
      <c r="D12" s="45">
        <f>C12-_xlfn.FORECAST.ETS.CONFINT(A12,$B$2:$B$9,$A$2:$A$9,0.95,1,1)</f>
        <v>147.43013032326041</v>
      </c>
      <c r="E12" s="45">
        <f>C12+_xlfn.FORECAST.ETS.CONFINT(A12,$B$2:$B$9,$A$2:$A$9,0.95,1,1)</f>
        <v>154.13497420420208</v>
      </c>
    </row>
    <row r="13" spans="1:5" x14ac:dyDescent="0.3">
      <c r="A13" s="44">
        <v>45181</v>
      </c>
      <c r="C13" s="45">
        <f>_xlfn.FORECAST.ETS(A13,$B$2:$B$9,$A$2:$A$9,1,1)</f>
        <v>156.976143103596</v>
      </c>
      <c r="D13" s="45">
        <f>C13-_xlfn.FORECAST.ETS.CONFINT(A13,$B$2:$B$9,$A$2:$A$9,0.95,1,1)</f>
        <v>153.62367994440029</v>
      </c>
      <c r="E13" s="45">
        <f>C13+_xlfn.FORECAST.ETS.CONFINT(A13,$B$2:$B$9,$A$2:$A$9,0.95,1,1)</f>
        <v>160.32860626279171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5678A-0EC1-4A47-BB45-F48647C51692}">
  <dimension ref="A1:AA1501"/>
  <sheetViews>
    <sheetView topLeftCell="F1" workbookViewId="0">
      <selection activeCell="O11" sqref="O11"/>
    </sheetView>
  </sheetViews>
  <sheetFormatPr defaultColWidth="14.44140625" defaultRowHeight="14.4" x14ac:dyDescent="0.3"/>
  <cols>
    <col min="1" max="1" width="10.5546875" customWidth="1"/>
    <col min="2" max="2" width="18.109375" customWidth="1"/>
    <col min="3" max="3" width="18.5546875" customWidth="1"/>
    <col min="4" max="4" width="14.109375" customWidth="1"/>
    <col min="5" max="5" width="10.88671875" customWidth="1"/>
    <col min="6" max="6" width="13.88671875" customWidth="1"/>
    <col min="7" max="7" width="11.109375" customWidth="1"/>
    <col min="8" max="8" width="11" customWidth="1"/>
    <col min="9" max="9" width="10.109375" customWidth="1"/>
    <col min="10" max="10" width="13.33203125" customWidth="1"/>
    <col min="11" max="11" width="8.44140625" customWidth="1"/>
    <col min="12" max="12" width="10.44140625" customWidth="1"/>
    <col min="13" max="13" width="17.44140625" customWidth="1"/>
    <col min="14" max="14" width="12" customWidth="1"/>
    <col min="15" max="15" width="15.44140625" style="44" customWidth="1"/>
    <col min="16" max="16" width="15.44140625" customWidth="1"/>
    <col min="17" max="17" width="9.109375" customWidth="1"/>
    <col min="18" max="18" width="13.5546875" customWidth="1"/>
    <col min="19" max="19" width="13.6640625" customWidth="1"/>
    <col min="20" max="22" width="8.6640625" customWidth="1"/>
    <col min="23" max="23" width="15.44140625" style="44" customWidth="1"/>
    <col min="24" max="24" width="11" customWidth="1"/>
    <col min="25" max="25" width="8.6640625" customWidth="1"/>
    <col min="26" max="26" width="12.109375" customWidth="1"/>
  </cols>
  <sheetData>
    <row r="1" spans="1:27" s="37" customFormat="1" ht="53.25" customHeight="1" x14ac:dyDescent="0.3">
      <c r="A1" s="34" t="s">
        <v>0</v>
      </c>
      <c r="B1" s="35" t="s">
        <v>1</v>
      </c>
      <c r="C1" s="35" t="s">
        <v>2</v>
      </c>
      <c r="D1" s="35" t="s">
        <v>3</v>
      </c>
      <c r="E1" s="35" t="s">
        <v>4</v>
      </c>
      <c r="F1" s="35" t="s">
        <v>5</v>
      </c>
      <c r="G1" s="35" t="s">
        <v>6</v>
      </c>
      <c r="H1" s="35" t="s">
        <v>7</v>
      </c>
      <c r="I1" s="35" t="s">
        <v>8</v>
      </c>
      <c r="J1" s="35" t="s">
        <v>9</v>
      </c>
      <c r="K1" s="35" t="s">
        <v>10</v>
      </c>
      <c r="L1" s="35" t="s">
        <v>11</v>
      </c>
      <c r="M1" s="36" t="s">
        <v>12</v>
      </c>
      <c r="N1" s="35" t="s">
        <v>1612</v>
      </c>
      <c r="O1" s="40" t="s">
        <v>1613</v>
      </c>
      <c r="P1" s="35" t="s">
        <v>1614</v>
      </c>
      <c r="Q1" s="35" t="s">
        <v>1615</v>
      </c>
      <c r="R1" s="35" t="s">
        <v>1616</v>
      </c>
      <c r="S1" s="35" t="s">
        <v>1617</v>
      </c>
      <c r="T1" s="35" t="s">
        <v>1618</v>
      </c>
      <c r="W1" s="40" t="s">
        <v>1613</v>
      </c>
      <c r="X1" s="35" t="s">
        <v>7</v>
      </c>
      <c r="Z1" s="48" t="s">
        <v>1628</v>
      </c>
      <c r="AA1" s="48" t="s">
        <v>1629</v>
      </c>
    </row>
    <row r="2" spans="1:27" x14ac:dyDescent="0.3">
      <c r="A2" s="4">
        <v>1001</v>
      </c>
      <c r="B2" s="5" t="s">
        <v>13</v>
      </c>
      <c r="C2" s="6">
        <v>45173.564583333333</v>
      </c>
      <c r="D2" s="5" t="s">
        <v>14</v>
      </c>
      <c r="E2" s="5" t="s">
        <v>15</v>
      </c>
      <c r="F2" s="5" t="s">
        <v>16</v>
      </c>
      <c r="G2" s="5" t="s">
        <v>17</v>
      </c>
      <c r="H2" s="5">
        <v>92</v>
      </c>
      <c r="I2" s="5">
        <v>13</v>
      </c>
      <c r="J2" s="5" t="s">
        <v>18</v>
      </c>
      <c r="K2" s="5" t="s">
        <v>19</v>
      </c>
      <c r="L2" s="5" t="s">
        <v>20</v>
      </c>
      <c r="M2" s="7" t="s">
        <v>21</v>
      </c>
      <c r="N2" s="25">
        <f t="shared" ref="N2:N65" si="0">IF(J2="Positive",1,IF(J2="Neutral",0,IF(J2="Negative",-1,"")))</f>
        <v>0</v>
      </c>
      <c r="O2" s="41">
        <f t="shared" ref="O2:O65" si="1">INT(C2)</f>
        <v>45173</v>
      </c>
      <c r="P2" s="3" t="str">
        <f t="shared" ref="P2:P65" si="2">TEXT(C2,"dddd")</f>
        <v>Monday</v>
      </c>
      <c r="Q2" s="3">
        <f t="shared" ref="Q2:Q65" si="3">HOUR(C2)</f>
        <v>13</v>
      </c>
      <c r="R2" s="30">
        <f t="shared" ref="R2:R65" si="4">H2/(H2+I2)</f>
        <v>0.87619047619047619</v>
      </c>
      <c r="S2" s="31">
        <f>IF(H2+I2=0,0,(H2/(H2+I2))*100) + (IFERROR(--J2,0)*10)</f>
        <v>87.61904761904762</v>
      </c>
      <c r="T2" s="3" t="str">
        <f>IF(Delivery_Data3[[#This Row],[Delays (min)]]&gt;0,"No","Yes")</f>
        <v>No</v>
      </c>
      <c r="W2" s="41">
        <f>INT(C2)</f>
        <v>45173</v>
      </c>
      <c r="X2" s="5">
        <v>92</v>
      </c>
      <c r="Z2" s="49">
        <v>45181</v>
      </c>
      <c r="AA2" s="50">
        <f>_xlfn.FORECAST.ETS(Z2,X2:X1501,W2:W1501,1,1,1)</f>
        <v>156.976143103596</v>
      </c>
    </row>
    <row r="3" spans="1:27" x14ac:dyDescent="0.3">
      <c r="A3" s="4">
        <v>1002</v>
      </c>
      <c r="B3" s="5" t="s">
        <v>22</v>
      </c>
      <c r="C3" s="6">
        <v>45170.657638888886</v>
      </c>
      <c r="D3" s="5" t="s">
        <v>14</v>
      </c>
      <c r="E3" s="5" t="s">
        <v>23</v>
      </c>
      <c r="F3" s="5" t="s">
        <v>24</v>
      </c>
      <c r="G3" s="5" t="s">
        <v>25</v>
      </c>
      <c r="H3" s="5">
        <v>163</v>
      </c>
      <c r="I3" s="5">
        <v>19</v>
      </c>
      <c r="J3" s="5" t="s">
        <v>26</v>
      </c>
      <c r="K3" s="5" t="s">
        <v>27</v>
      </c>
      <c r="L3" s="5" t="s">
        <v>28</v>
      </c>
      <c r="M3" s="7" t="s">
        <v>21</v>
      </c>
      <c r="N3" s="26">
        <f t="shared" si="0"/>
        <v>1</v>
      </c>
      <c r="O3" s="42">
        <f t="shared" si="1"/>
        <v>45170</v>
      </c>
      <c r="P3" s="5" t="str">
        <f t="shared" si="2"/>
        <v>Friday</v>
      </c>
      <c r="Q3" s="5">
        <f t="shared" si="3"/>
        <v>15</v>
      </c>
      <c r="R3" s="28">
        <f t="shared" si="4"/>
        <v>0.89560439560439564</v>
      </c>
      <c r="S3" s="29">
        <f t="shared" ref="S3:S66" si="5">IF(H3+I3=0,0,(H3/(H3+I3))*100) + (IFERROR(--J3,0)*10)</f>
        <v>89.560439560439562</v>
      </c>
      <c r="T3" s="5" t="str">
        <f>IF(Delivery_Data3[[#This Row],[Delays (min)]]&gt;0,"No","Yes")</f>
        <v>No</v>
      </c>
      <c r="W3" s="41">
        <f t="shared" ref="W3:W66" si="6">INT(C3)</f>
        <v>45170</v>
      </c>
      <c r="X3" s="5">
        <v>163</v>
      </c>
    </row>
    <row r="4" spans="1:27" x14ac:dyDescent="0.3">
      <c r="A4" s="4">
        <v>1003</v>
      </c>
      <c r="B4" s="5" t="s">
        <v>29</v>
      </c>
      <c r="C4" s="6">
        <v>45170.680555555555</v>
      </c>
      <c r="D4" s="5" t="s">
        <v>14</v>
      </c>
      <c r="E4" s="5" t="s">
        <v>30</v>
      </c>
      <c r="F4" s="5" t="s">
        <v>24</v>
      </c>
      <c r="G4" s="5" t="s">
        <v>31</v>
      </c>
      <c r="H4" s="5">
        <v>192</v>
      </c>
      <c r="I4" s="5">
        <v>0</v>
      </c>
      <c r="J4" s="5" t="s">
        <v>32</v>
      </c>
      <c r="K4" s="5" t="s">
        <v>27</v>
      </c>
      <c r="L4" s="5" t="s">
        <v>20</v>
      </c>
      <c r="M4" s="7" t="s">
        <v>21</v>
      </c>
      <c r="N4" s="26">
        <f t="shared" si="0"/>
        <v>-1</v>
      </c>
      <c r="O4" s="42">
        <f t="shared" si="1"/>
        <v>45170</v>
      </c>
      <c r="P4" s="5" t="str">
        <f t="shared" si="2"/>
        <v>Friday</v>
      </c>
      <c r="Q4" s="5">
        <f t="shared" si="3"/>
        <v>16</v>
      </c>
      <c r="R4" s="28">
        <f t="shared" si="4"/>
        <v>1</v>
      </c>
      <c r="S4" s="29">
        <f t="shared" si="5"/>
        <v>100</v>
      </c>
      <c r="T4" s="5" t="str">
        <f>IF(Delivery_Data3[[#This Row],[Delays (min)]]&gt;0,"No","Yes")</f>
        <v>Yes</v>
      </c>
      <c r="W4" s="41">
        <f t="shared" si="6"/>
        <v>45170</v>
      </c>
      <c r="X4" s="5">
        <v>192</v>
      </c>
    </row>
    <row r="5" spans="1:27" x14ac:dyDescent="0.3">
      <c r="A5" s="4">
        <v>1004</v>
      </c>
      <c r="B5" s="5" t="s">
        <v>33</v>
      </c>
      <c r="C5" s="6">
        <v>45172.611805555556</v>
      </c>
      <c r="D5" s="5" t="s">
        <v>14</v>
      </c>
      <c r="E5" s="5" t="s">
        <v>34</v>
      </c>
      <c r="F5" s="5" t="s">
        <v>24</v>
      </c>
      <c r="G5" s="5" t="s">
        <v>25</v>
      </c>
      <c r="H5" s="5">
        <v>143</v>
      </c>
      <c r="I5" s="5">
        <v>17</v>
      </c>
      <c r="J5" s="5" t="s">
        <v>18</v>
      </c>
      <c r="K5" s="5" t="s">
        <v>35</v>
      </c>
      <c r="L5" s="5" t="s">
        <v>28</v>
      </c>
      <c r="M5" s="7" t="s">
        <v>21</v>
      </c>
      <c r="N5" s="26">
        <f t="shared" si="0"/>
        <v>0</v>
      </c>
      <c r="O5" s="42">
        <f t="shared" si="1"/>
        <v>45172</v>
      </c>
      <c r="P5" s="5" t="str">
        <f t="shared" si="2"/>
        <v>Sunday</v>
      </c>
      <c r="Q5" s="5">
        <f t="shared" si="3"/>
        <v>14</v>
      </c>
      <c r="R5" s="28">
        <f t="shared" si="4"/>
        <v>0.89375000000000004</v>
      </c>
      <c r="S5" s="29">
        <f t="shared" si="5"/>
        <v>89.375</v>
      </c>
      <c r="T5" s="5" t="str">
        <f>IF(Delivery_Data3[[#This Row],[Delays (min)]]&gt;0,"No","Yes")</f>
        <v>No</v>
      </c>
      <c r="W5" s="41">
        <f t="shared" si="6"/>
        <v>45172</v>
      </c>
      <c r="X5" s="5">
        <v>143</v>
      </c>
    </row>
    <row r="6" spans="1:27" x14ac:dyDescent="0.3">
      <c r="A6" s="4">
        <v>1005</v>
      </c>
      <c r="B6" s="5" t="s">
        <v>36</v>
      </c>
      <c r="C6" s="6">
        <v>45170.474305555559</v>
      </c>
      <c r="D6" s="5" t="s">
        <v>14</v>
      </c>
      <c r="E6" s="5" t="s">
        <v>37</v>
      </c>
      <c r="F6" s="5" t="s">
        <v>38</v>
      </c>
      <c r="G6" s="5" t="s">
        <v>39</v>
      </c>
      <c r="H6" s="5">
        <v>103</v>
      </c>
      <c r="I6" s="5">
        <v>17</v>
      </c>
      <c r="J6" s="5" t="s">
        <v>32</v>
      </c>
      <c r="K6" s="5" t="s">
        <v>19</v>
      </c>
      <c r="L6" s="5" t="s">
        <v>40</v>
      </c>
      <c r="M6" s="7" t="s">
        <v>41</v>
      </c>
      <c r="N6" s="26">
        <f t="shared" si="0"/>
        <v>-1</v>
      </c>
      <c r="O6" s="42">
        <f t="shared" si="1"/>
        <v>45170</v>
      </c>
      <c r="P6" s="5" t="str">
        <f t="shared" si="2"/>
        <v>Friday</v>
      </c>
      <c r="Q6" s="5">
        <f t="shared" si="3"/>
        <v>11</v>
      </c>
      <c r="R6" s="28">
        <f t="shared" si="4"/>
        <v>0.85833333333333328</v>
      </c>
      <c r="S6" s="29">
        <f t="shared" si="5"/>
        <v>85.833333333333329</v>
      </c>
      <c r="T6" s="5" t="str">
        <f>IF(Delivery_Data3[[#This Row],[Delays (min)]]&gt;0,"No","Yes")</f>
        <v>No</v>
      </c>
      <c r="W6" s="41">
        <f t="shared" si="6"/>
        <v>45170</v>
      </c>
      <c r="X6" s="5">
        <v>103</v>
      </c>
    </row>
    <row r="7" spans="1:27" x14ac:dyDescent="0.3">
      <c r="A7" s="4">
        <v>1006</v>
      </c>
      <c r="B7" s="5" t="s">
        <v>42</v>
      </c>
      <c r="C7" s="6">
        <v>45170.538888888892</v>
      </c>
      <c r="D7" s="5" t="s">
        <v>43</v>
      </c>
      <c r="E7" s="5" t="s">
        <v>44</v>
      </c>
      <c r="F7" s="5" t="s">
        <v>16</v>
      </c>
      <c r="G7" s="5" t="s">
        <v>17</v>
      </c>
      <c r="H7" s="5">
        <v>153</v>
      </c>
      <c r="I7" s="5">
        <v>22</v>
      </c>
      <c r="J7" s="5" t="s">
        <v>18</v>
      </c>
      <c r="K7" s="5" t="s">
        <v>45</v>
      </c>
      <c r="L7" s="5" t="s">
        <v>40</v>
      </c>
      <c r="M7" s="7" t="s">
        <v>46</v>
      </c>
      <c r="N7" s="26">
        <f t="shared" si="0"/>
        <v>0</v>
      </c>
      <c r="O7" s="42">
        <f t="shared" si="1"/>
        <v>45170</v>
      </c>
      <c r="P7" s="5" t="str">
        <f t="shared" si="2"/>
        <v>Friday</v>
      </c>
      <c r="Q7" s="5">
        <f t="shared" si="3"/>
        <v>12</v>
      </c>
      <c r="R7" s="28">
        <f t="shared" si="4"/>
        <v>0.87428571428571433</v>
      </c>
      <c r="S7" s="29">
        <f t="shared" si="5"/>
        <v>87.428571428571431</v>
      </c>
      <c r="T7" s="5" t="str">
        <f>IF(Delivery_Data3[[#This Row],[Delays (min)]]&gt;0,"No","Yes")</f>
        <v>No</v>
      </c>
      <c r="W7" s="41">
        <f t="shared" si="6"/>
        <v>45170</v>
      </c>
      <c r="X7" s="5">
        <v>153</v>
      </c>
    </row>
    <row r="8" spans="1:27" x14ac:dyDescent="0.3">
      <c r="A8" s="4">
        <v>1007</v>
      </c>
      <c r="B8" s="5" t="s">
        <v>47</v>
      </c>
      <c r="C8" s="6">
        <v>45176.574999999997</v>
      </c>
      <c r="D8" s="5" t="s">
        <v>43</v>
      </c>
      <c r="E8" s="5" t="s">
        <v>48</v>
      </c>
      <c r="F8" s="5" t="s">
        <v>24</v>
      </c>
      <c r="G8" s="5" t="s">
        <v>17</v>
      </c>
      <c r="H8" s="5">
        <v>161</v>
      </c>
      <c r="I8" s="5">
        <v>8</v>
      </c>
      <c r="J8" s="5" t="s">
        <v>26</v>
      </c>
      <c r="K8" s="5" t="s">
        <v>49</v>
      </c>
      <c r="L8" s="5" t="s">
        <v>40</v>
      </c>
      <c r="M8" s="7" t="s">
        <v>41</v>
      </c>
      <c r="N8" s="26">
        <f t="shared" si="0"/>
        <v>1</v>
      </c>
      <c r="O8" s="42">
        <f t="shared" si="1"/>
        <v>45176</v>
      </c>
      <c r="P8" s="5" t="str">
        <f t="shared" si="2"/>
        <v>Thursday</v>
      </c>
      <c r="Q8" s="5">
        <f t="shared" si="3"/>
        <v>13</v>
      </c>
      <c r="R8" s="28">
        <f t="shared" si="4"/>
        <v>0.9526627218934911</v>
      </c>
      <c r="S8" s="29">
        <f t="shared" si="5"/>
        <v>95.26627218934911</v>
      </c>
      <c r="T8" s="5" t="str">
        <f>IF(Delivery_Data3[[#This Row],[Delays (min)]]&gt;0,"No","Yes")</f>
        <v>No</v>
      </c>
      <c r="W8" s="41">
        <f t="shared" si="6"/>
        <v>45176</v>
      </c>
      <c r="X8" s="5">
        <v>161</v>
      </c>
    </row>
    <row r="9" spans="1:27" x14ac:dyDescent="0.3">
      <c r="A9" s="4">
        <v>1008</v>
      </c>
      <c r="B9" s="5" t="s">
        <v>50</v>
      </c>
      <c r="C9" s="6">
        <v>45175.615277777775</v>
      </c>
      <c r="D9" s="5" t="s">
        <v>43</v>
      </c>
      <c r="E9" s="5" t="s">
        <v>51</v>
      </c>
      <c r="F9" s="5" t="s">
        <v>24</v>
      </c>
      <c r="G9" s="5" t="s">
        <v>31</v>
      </c>
      <c r="H9" s="5">
        <v>96</v>
      </c>
      <c r="I9" s="5">
        <v>17</v>
      </c>
      <c r="J9" s="5" t="s">
        <v>26</v>
      </c>
      <c r="K9" s="5" t="s">
        <v>19</v>
      </c>
      <c r="L9" s="5" t="s">
        <v>20</v>
      </c>
      <c r="M9" s="7" t="s">
        <v>41</v>
      </c>
      <c r="N9" s="26">
        <f t="shared" si="0"/>
        <v>1</v>
      </c>
      <c r="O9" s="42">
        <f t="shared" si="1"/>
        <v>45175</v>
      </c>
      <c r="P9" s="5" t="str">
        <f t="shared" si="2"/>
        <v>Wednesday</v>
      </c>
      <c r="Q9" s="5">
        <f t="shared" si="3"/>
        <v>14</v>
      </c>
      <c r="R9" s="28">
        <f t="shared" si="4"/>
        <v>0.84955752212389379</v>
      </c>
      <c r="S9" s="29">
        <f t="shared" si="5"/>
        <v>84.955752212389385</v>
      </c>
      <c r="T9" s="5" t="str">
        <f>IF(Delivery_Data3[[#This Row],[Delays (min)]]&gt;0,"No","Yes")</f>
        <v>No</v>
      </c>
      <c r="W9" s="41">
        <f t="shared" si="6"/>
        <v>45175</v>
      </c>
      <c r="X9" s="5">
        <v>96</v>
      </c>
    </row>
    <row r="10" spans="1:27" x14ac:dyDescent="0.3">
      <c r="A10" s="4">
        <v>1009</v>
      </c>
      <c r="B10" s="5" t="s">
        <v>52</v>
      </c>
      <c r="C10" s="6">
        <v>45170.65</v>
      </c>
      <c r="D10" s="5" t="s">
        <v>43</v>
      </c>
      <c r="E10" s="5" t="s">
        <v>53</v>
      </c>
      <c r="F10" s="5" t="s">
        <v>38</v>
      </c>
      <c r="G10" s="5" t="s">
        <v>17</v>
      </c>
      <c r="H10" s="5">
        <v>135</v>
      </c>
      <c r="I10" s="5">
        <v>5</v>
      </c>
      <c r="J10" s="5" t="s">
        <v>26</v>
      </c>
      <c r="K10" s="5" t="s">
        <v>27</v>
      </c>
      <c r="L10" s="5" t="s">
        <v>40</v>
      </c>
      <c r="M10" s="7" t="s">
        <v>46</v>
      </c>
      <c r="N10" s="26">
        <f t="shared" si="0"/>
        <v>1</v>
      </c>
      <c r="O10" s="42">
        <f t="shared" si="1"/>
        <v>45170</v>
      </c>
      <c r="P10" s="5" t="str">
        <f t="shared" si="2"/>
        <v>Friday</v>
      </c>
      <c r="Q10" s="5">
        <f t="shared" si="3"/>
        <v>15</v>
      </c>
      <c r="R10" s="28">
        <f t="shared" si="4"/>
        <v>0.9642857142857143</v>
      </c>
      <c r="S10" s="29">
        <f t="shared" si="5"/>
        <v>96.428571428571431</v>
      </c>
      <c r="T10" s="5" t="str">
        <f>IF(Delivery_Data3[[#This Row],[Delays (min)]]&gt;0,"No","Yes")</f>
        <v>No</v>
      </c>
      <c r="W10" s="41">
        <f t="shared" si="6"/>
        <v>45170</v>
      </c>
      <c r="X10" s="5">
        <v>135</v>
      </c>
    </row>
    <row r="11" spans="1:27" x14ac:dyDescent="0.3">
      <c r="A11" s="4">
        <v>1010</v>
      </c>
      <c r="B11" s="5" t="s">
        <v>54</v>
      </c>
      <c r="C11" s="6">
        <v>45171.363194444442</v>
      </c>
      <c r="D11" s="5" t="s">
        <v>14</v>
      </c>
      <c r="E11" s="5" t="s">
        <v>55</v>
      </c>
      <c r="F11" s="5" t="s">
        <v>38</v>
      </c>
      <c r="G11" s="5" t="s">
        <v>56</v>
      </c>
      <c r="H11" s="5">
        <v>233</v>
      </c>
      <c r="I11" s="5">
        <v>19</v>
      </c>
      <c r="J11" s="5" t="s">
        <v>18</v>
      </c>
      <c r="K11" s="5" t="s">
        <v>27</v>
      </c>
      <c r="L11" s="5" t="s">
        <v>40</v>
      </c>
      <c r="M11" s="7" t="s">
        <v>46</v>
      </c>
      <c r="N11" s="26">
        <f t="shared" si="0"/>
        <v>0</v>
      </c>
      <c r="O11" s="42">
        <f t="shared" si="1"/>
        <v>45171</v>
      </c>
      <c r="P11" s="5" t="str">
        <f t="shared" si="2"/>
        <v>Saturday</v>
      </c>
      <c r="Q11" s="5">
        <f t="shared" si="3"/>
        <v>8</v>
      </c>
      <c r="R11" s="28">
        <f t="shared" si="4"/>
        <v>0.92460317460317465</v>
      </c>
      <c r="S11" s="29">
        <f t="shared" si="5"/>
        <v>92.460317460317469</v>
      </c>
      <c r="T11" s="5" t="str">
        <f>IF(Delivery_Data3[[#This Row],[Delays (min)]]&gt;0,"No","Yes")</f>
        <v>No</v>
      </c>
      <c r="W11" s="41">
        <f t="shared" si="6"/>
        <v>45171</v>
      </c>
      <c r="X11" s="5">
        <v>233</v>
      </c>
    </row>
    <row r="12" spans="1:27" x14ac:dyDescent="0.3">
      <c r="A12" s="4">
        <v>1011</v>
      </c>
      <c r="B12" s="5" t="s">
        <v>57</v>
      </c>
      <c r="C12" s="6">
        <v>45172.428472222222</v>
      </c>
      <c r="D12" s="5" t="s">
        <v>43</v>
      </c>
      <c r="E12" s="5" t="s">
        <v>58</v>
      </c>
      <c r="F12" s="5" t="s">
        <v>16</v>
      </c>
      <c r="G12" s="5" t="s">
        <v>56</v>
      </c>
      <c r="H12" s="5">
        <v>203</v>
      </c>
      <c r="I12" s="5">
        <v>24</v>
      </c>
      <c r="J12" s="5" t="s">
        <v>18</v>
      </c>
      <c r="K12" s="5" t="s">
        <v>45</v>
      </c>
      <c r="L12" s="5" t="s">
        <v>28</v>
      </c>
      <c r="M12" s="7" t="s">
        <v>21</v>
      </c>
      <c r="N12" s="26">
        <f t="shared" si="0"/>
        <v>0</v>
      </c>
      <c r="O12" s="42">
        <f t="shared" si="1"/>
        <v>45172</v>
      </c>
      <c r="P12" s="5" t="str">
        <f t="shared" si="2"/>
        <v>Sunday</v>
      </c>
      <c r="Q12" s="5">
        <f t="shared" si="3"/>
        <v>10</v>
      </c>
      <c r="R12" s="28">
        <f t="shared" si="4"/>
        <v>0.89427312775330392</v>
      </c>
      <c r="S12" s="29">
        <f t="shared" si="5"/>
        <v>89.427312775330392</v>
      </c>
      <c r="T12" s="5" t="str">
        <f>IF(Delivery_Data3[[#This Row],[Delays (min)]]&gt;0,"No","Yes")</f>
        <v>No</v>
      </c>
      <c r="W12" s="41">
        <f t="shared" si="6"/>
        <v>45172</v>
      </c>
      <c r="X12" s="5">
        <v>203</v>
      </c>
    </row>
    <row r="13" spans="1:27" x14ac:dyDescent="0.3">
      <c r="A13" s="4">
        <v>1012</v>
      </c>
      <c r="B13" s="5" t="s">
        <v>59</v>
      </c>
      <c r="C13" s="6">
        <v>45175.57916666667</v>
      </c>
      <c r="D13" s="5" t="s">
        <v>43</v>
      </c>
      <c r="E13" s="5" t="s">
        <v>60</v>
      </c>
      <c r="F13" s="5" t="s">
        <v>24</v>
      </c>
      <c r="G13" s="5" t="s">
        <v>25</v>
      </c>
      <c r="H13" s="5">
        <v>150</v>
      </c>
      <c r="I13" s="5">
        <v>18</v>
      </c>
      <c r="J13" s="5" t="s">
        <v>32</v>
      </c>
      <c r="K13" s="5" t="s">
        <v>27</v>
      </c>
      <c r="L13" s="5" t="s">
        <v>40</v>
      </c>
      <c r="M13" s="7" t="s">
        <v>46</v>
      </c>
      <c r="N13" s="26">
        <f t="shared" si="0"/>
        <v>-1</v>
      </c>
      <c r="O13" s="42">
        <f t="shared" si="1"/>
        <v>45175</v>
      </c>
      <c r="P13" s="5" t="str">
        <f t="shared" si="2"/>
        <v>Wednesday</v>
      </c>
      <c r="Q13" s="5">
        <f t="shared" si="3"/>
        <v>13</v>
      </c>
      <c r="R13" s="28">
        <f t="shared" si="4"/>
        <v>0.8928571428571429</v>
      </c>
      <c r="S13" s="29">
        <f t="shared" si="5"/>
        <v>89.285714285714292</v>
      </c>
      <c r="T13" s="5" t="str">
        <f>IF(Delivery_Data3[[#This Row],[Delays (min)]]&gt;0,"No","Yes")</f>
        <v>No</v>
      </c>
      <c r="W13" s="41">
        <f t="shared" si="6"/>
        <v>45175</v>
      </c>
      <c r="X13" s="5">
        <v>150</v>
      </c>
    </row>
    <row r="14" spans="1:27" x14ac:dyDescent="0.3">
      <c r="A14" s="4">
        <v>1013</v>
      </c>
      <c r="B14" s="5" t="s">
        <v>61</v>
      </c>
      <c r="C14" s="6">
        <v>45172.511111111111</v>
      </c>
      <c r="D14" s="5" t="s">
        <v>14</v>
      </c>
      <c r="E14" s="5" t="s">
        <v>62</v>
      </c>
      <c r="F14" s="5" t="s">
        <v>16</v>
      </c>
      <c r="G14" s="5" t="s">
        <v>39</v>
      </c>
      <c r="H14" s="5">
        <v>127</v>
      </c>
      <c r="I14" s="5">
        <v>17</v>
      </c>
      <c r="J14" s="5" t="s">
        <v>32</v>
      </c>
      <c r="K14" s="5" t="s">
        <v>49</v>
      </c>
      <c r="L14" s="5" t="s">
        <v>40</v>
      </c>
      <c r="M14" s="7" t="s">
        <v>41</v>
      </c>
      <c r="N14" s="26">
        <f t="shared" si="0"/>
        <v>-1</v>
      </c>
      <c r="O14" s="42">
        <f t="shared" si="1"/>
        <v>45172</v>
      </c>
      <c r="P14" s="5" t="str">
        <f t="shared" si="2"/>
        <v>Sunday</v>
      </c>
      <c r="Q14" s="5">
        <f t="shared" si="3"/>
        <v>12</v>
      </c>
      <c r="R14" s="28">
        <f t="shared" si="4"/>
        <v>0.88194444444444442</v>
      </c>
      <c r="S14" s="29">
        <f t="shared" si="5"/>
        <v>88.194444444444443</v>
      </c>
      <c r="T14" s="5" t="str">
        <f>IF(Delivery_Data3[[#This Row],[Delays (min)]]&gt;0,"No","Yes")</f>
        <v>No</v>
      </c>
      <c r="W14" s="41">
        <f t="shared" si="6"/>
        <v>45172</v>
      </c>
      <c r="X14" s="5">
        <v>127</v>
      </c>
    </row>
    <row r="15" spans="1:27" x14ac:dyDescent="0.3">
      <c r="A15" s="4">
        <v>1014</v>
      </c>
      <c r="B15" s="5" t="s">
        <v>63</v>
      </c>
      <c r="C15" s="6">
        <v>45177.684027777781</v>
      </c>
      <c r="D15" s="5" t="s">
        <v>14</v>
      </c>
      <c r="E15" s="5" t="s">
        <v>64</v>
      </c>
      <c r="F15" s="5" t="s">
        <v>24</v>
      </c>
      <c r="G15" s="5" t="s">
        <v>39</v>
      </c>
      <c r="H15" s="5">
        <v>66</v>
      </c>
      <c r="I15" s="5">
        <v>11</v>
      </c>
      <c r="J15" s="5" t="s">
        <v>18</v>
      </c>
      <c r="K15" s="5" t="s">
        <v>45</v>
      </c>
      <c r="L15" s="5" t="s">
        <v>40</v>
      </c>
      <c r="M15" s="7" t="s">
        <v>41</v>
      </c>
      <c r="N15" s="26">
        <f t="shared" si="0"/>
        <v>0</v>
      </c>
      <c r="O15" s="42">
        <f t="shared" si="1"/>
        <v>45177</v>
      </c>
      <c r="P15" s="5" t="str">
        <f t="shared" si="2"/>
        <v>Friday</v>
      </c>
      <c r="Q15" s="5">
        <f t="shared" si="3"/>
        <v>16</v>
      </c>
      <c r="R15" s="28">
        <f t="shared" si="4"/>
        <v>0.8571428571428571</v>
      </c>
      <c r="S15" s="29">
        <f t="shared" si="5"/>
        <v>85.714285714285708</v>
      </c>
      <c r="T15" s="5" t="str">
        <f>IF(Delivery_Data3[[#This Row],[Delays (min)]]&gt;0,"No","Yes")</f>
        <v>No</v>
      </c>
      <c r="W15" s="41">
        <f t="shared" si="6"/>
        <v>45177</v>
      </c>
      <c r="X15" s="5">
        <v>66</v>
      </c>
    </row>
    <row r="16" spans="1:27" x14ac:dyDescent="0.3">
      <c r="A16" s="4">
        <v>1015</v>
      </c>
      <c r="B16" s="5" t="s">
        <v>65</v>
      </c>
      <c r="C16" s="6">
        <v>45172.591666666667</v>
      </c>
      <c r="D16" s="5" t="s">
        <v>43</v>
      </c>
      <c r="E16" s="5" t="s">
        <v>66</v>
      </c>
      <c r="F16" s="5" t="s">
        <v>38</v>
      </c>
      <c r="G16" s="5" t="s">
        <v>56</v>
      </c>
      <c r="H16" s="5">
        <v>75</v>
      </c>
      <c r="I16" s="5">
        <v>26</v>
      </c>
      <c r="J16" s="5" t="s">
        <v>26</v>
      </c>
      <c r="K16" s="5" t="s">
        <v>49</v>
      </c>
      <c r="L16" s="5" t="s">
        <v>40</v>
      </c>
      <c r="M16" s="7" t="s">
        <v>46</v>
      </c>
      <c r="N16" s="26">
        <f t="shared" si="0"/>
        <v>1</v>
      </c>
      <c r="O16" s="42">
        <f t="shared" si="1"/>
        <v>45172</v>
      </c>
      <c r="P16" s="5" t="str">
        <f t="shared" si="2"/>
        <v>Sunday</v>
      </c>
      <c r="Q16" s="5">
        <f t="shared" si="3"/>
        <v>14</v>
      </c>
      <c r="R16" s="28">
        <f t="shared" si="4"/>
        <v>0.74257425742574257</v>
      </c>
      <c r="S16" s="29">
        <f t="shared" si="5"/>
        <v>74.257425742574256</v>
      </c>
      <c r="T16" s="5" t="str">
        <f>IF(Delivery_Data3[[#This Row],[Delays (min)]]&gt;0,"No","Yes")</f>
        <v>No</v>
      </c>
      <c r="W16" s="41">
        <f t="shared" si="6"/>
        <v>45172</v>
      </c>
      <c r="X16" s="5">
        <v>75</v>
      </c>
    </row>
    <row r="17" spans="1:24" x14ac:dyDescent="0.3">
      <c r="A17" s="4">
        <v>1016</v>
      </c>
      <c r="B17" s="5" t="s">
        <v>67</v>
      </c>
      <c r="C17" s="6">
        <v>45174.577777777777</v>
      </c>
      <c r="D17" s="5" t="s">
        <v>43</v>
      </c>
      <c r="E17" s="5" t="s">
        <v>68</v>
      </c>
      <c r="F17" s="5" t="s">
        <v>16</v>
      </c>
      <c r="G17" s="5" t="s">
        <v>39</v>
      </c>
      <c r="H17" s="5">
        <v>163</v>
      </c>
      <c r="I17" s="5">
        <v>6</v>
      </c>
      <c r="J17" s="5" t="s">
        <v>18</v>
      </c>
      <c r="K17" s="5" t="s">
        <v>45</v>
      </c>
      <c r="L17" s="5" t="s">
        <v>40</v>
      </c>
      <c r="M17" s="7" t="s">
        <v>46</v>
      </c>
      <c r="N17" s="26">
        <f t="shared" si="0"/>
        <v>0</v>
      </c>
      <c r="O17" s="42">
        <f t="shared" si="1"/>
        <v>45174</v>
      </c>
      <c r="P17" s="5" t="str">
        <f t="shared" si="2"/>
        <v>Tuesday</v>
      </c>
      <c r="Q17" s="5">
        <f t="shared" si="3"/>
        <v>13</v>
      </c>
      <c r="R17" s="28">
        <f t="shared" si="4"/>
        <v>0.96449704142011838</v>
      </c>
      <c r="S17" s="29">
        <f t="shared" si="5"/>
        <v>96.449704142011839</v>
      </c>
      <c r="T17" s="5" t="str">
        <f>IF(Delivery_Data3[[#This Row],[Delays (min)]]&gt;0,"No","Yes")</f>
        <v>No</v>
      </c>
      <c r="W17" s="41">
        <f t="shared" si="6"/>
        <v>45174</v>
      </c>
      <c r="X17" s="5">
        <v>163</v>
      </c>
    </row>
    <row r="18" spans="1:24" x14ac:dyDescent="0.3">
      <c r="A18" s="4">
        <v>1017</v>
      </c>
      <c r="B18" s="5" t="s">
        <v>69</v>
      </c>
      <c r="C18" s="6">
        <v>45173.444444444445</v>
      </c>
      <c r="D18" s="5" t="s">
        <v>43</v>
      </c>
      <c r="E18" s="5" t="s">
        <v>70</v>
      </c>
      <c r="F18" s="5" t="s">
        <v>16</v>
      </c>
      <c r="G18" s="5" t="s">
        <v>25</v>
      </c>
      <c r="H18" s="5">
        <v>174</v>
      </c>
      <c r="I18" s="5">
        <v>16</v>
      </c>
      <c r="J18" s="5" t="s">
        <v>26</v>
      </c>
      <c r="K18" s="5" t="s">
        <v>49</v>
      </c>
      <c r="L18" s="5" t="s">
        <v>28</v>
      </c>
      <c r="M18" s="7" t="s">
        <v>41</v>
      </c>
      <c r="N18" s="26">
        <f t="shared" si="0"/>
        <v>1</v>
      </c>
      <c r="O18" s="42">
        <f t="shared" si="1"/>
        <v>45173</v>
      </c>
      <c r="P18" s="5" t="str">
        <f t="shared" si="2"/>
        <v>Monday</v>
      </c>
      <c r="Q18" s="5">
        <f t="shared" si="3"/>
        <v>10</v>
      </c>
      <c r="R18" s="28">
        <f t="shared" si="4"/>
        <v>0.91578947368421049</v>
      </c>
      <c r="S18" s="29">
        <f t="shared" si="5"/>
        <v>91.578947368421055</v>
      </c>
      <c r="T18" s="5" t="str">
        <f>IF(Delivery_Data3[[#This Row],[Delays (min)]]&gt;0,"No","Yes")</f>
        <v>No</v>
      </c>
      <c r="W18" s="41">
        <f t="shared" si="6"/>
        <v>45173</v>
      </c>
      <c r="X18" s="5">
        <v>174</v>
      </c>
    </row>
    <row r="19" spans="1:24" x14ac:dyDescent="0.3">
      <c r="A19" s="4">
        <v>1018</v>
      </c>
      <c r="B19" s="5" t="s">
        <v>71</v>
      </c>
      <c r="C19" s="6">
        <v>45174.446527777778</v>
      </c>
      <c r="D19" s="5" t="s">
        <v>14</v>
      </c>
      <c r="E19" s="5" t="s">
        <v>53</v>
      </c>
      <c r="F19" s="5" t="s">
        <v>24</v>
      </c>
      <c r="G19" s="5" t="s">
        <v>39</v>
      </c>
      <c r="H19" s="5">
        <v>167</v>
      </c>
      <c r="I19" s="5">
        <v>1</v>
      </c>
      <c r="J19" s="5" t="s">
        <v>32</v>
      </c>
      <c r="K19" s="5" t="s">
        <v>19</v>
      </c>
      <c r="L19" s="5" t="s">
        <v>40</v>
      </c>
      <c r="M19" s="7" t="s">
        <v>21</v>
      </c>
      <c r="N19" s="26">
        <f t="shared" si="0"/>
        <v>-1</v>
      </c>
      <c r="O19" s="42">
        <f t="shared" si="1"/>
        <v>45174</v>
      </c>
      <c r="P19" s="5" t="str">
        <f t="shared" si="2"/>
        <v>Tuesday</v>
      </c>
      <c r="Q19" s="5">
        <f t="shared" si="3"/>
        <v>10</v>
      </c>
      <c r="R19" s="28">
        <f t="shared" si="4"/>
        <v>0.99404761904761907</v>
      </c>
      <c r="S19" s="29">
        <f t="shared" si="5"/>
        <v>99.404761904761912</v>
      </c>
      <c r="T19" s="5" t="str">
        <f>IF(Delivery_Data3[[#This Row],[Delays (min)]]&gt;0,"No","Yes")</f>
        <v>No</v>
      </c>
      <c r="W19" s="41">
        <f t="shared" si="6"/>
        <v>45174</v>
      </c>
      <c r="X19" s="5">
        <v>167</v>
      </c>
    </row>
    <row r="20" spans="1:24" x14ac:dyDescent="0.3">
      <c r="A20" s="4">
        <v>1019</v>
      </c>
      <c r="B20" s="5" t="s">
        <v>72</v>
      </c>
      <c r="C20" s="6">
        <v>45173.620138888888</v>
      </c>
      <c r="D20" s="5" t="s">
        <v>43</v>
      </c>
      <c r="E20" s="5" t="s">
        <v>73</v>
      </c>
      <c r="F20" s="5" t="s">
        <v>16</v>
      </c>
      <c r="G20" s="5" t="s">
        <v>25</v>
      </c>
      <c r="H20" s="5">
        <v>219</v>
      </c>
      <c r="I20" s="5">
        <v>13</v>
      </c>
      <c r="J20" s="5" t="s">
        <v>26</v>
      </c>
      <c r="K20" s="5" t="s">
        <v>27</v>
      </c>
      <c r="L20" s="5" t="s">
        <v>28</v>
      </c>
      <c r="M20" s="7" t="s">
        <v>41</v>
      </c>
      <c r="N20" s="26">
        <f t="shared" si="0"/>
        <v>1</v>
      </c>
      <c r="O20" s="42">
        <f t="shared" si="1"/>
        <v>45173</v>
      </c>
      <c r="P20" s="5" t="str">
        <f t="shared" si="2"/>
        <v>Monday</v>
      </c>
      <c r="Q20" s="5">
        <f t="shared" si="3"/>
        <v>14</v>
      </c>
      <c r="R20" s="28">
        <f t="shared" si="4"/>
        <v>0.94396551724137934</v>
      </c>
      <c r="S20" s="29">
        <f t="shared" si="5"/>
        <v>94.396551724137936</v>
      </c>
      <c r="T20" s="5" t="str">
        <f>IF(Delivery_Data3[[#This Row],[Delays (min)]]&gt;0,"No","Yes")</f>
        <v>No</v>
      </c>
      <c r="W20" s="41">
        <f t="shared" si="6"/>
        <v>45173</v>
      </c>
      <c r="X20" s="5">
        <v>219</v>
      </c>
    </row>
    <row r="21" spans="1:24" ht="15.75" customHeight="1" x14ac:dyDescent="0.3">
      <c r="A21" s="4">
        <v>1020</v>
      </c>
      <c r="B21" s="5" t="s">
        <v>74</v>
      </c>
      <c r="C21" s="6">
        <v>45171.481944444444</v>
      </c>
      <c r="D21" s="5" t="s">
        <v>43</v>
      </c>
      <c r="E21" s="5" t="s">
        <v>73</v>
      </c>
      <c r="F21" s="5" t="s">
        <v>16</v>
      </c>
      <c r="G21" s="5" t="s">
        <v>17</v>
      </c>
      <c r="H21" s="5">
        <v>213</v>
      </c>
      <c r="I21" s="5">
        <v>24</v>
      </c>
      <c r="J21" s="5" t="s">
        <v>18</v>
      </c>
      <c r="K21" s="5" t="s">
        <v>45</v>
      </c>
      <c r="L21" s="5" t="s">
        <v>28</v>
      </c>
      <c r="M21" s="7" t="s">
        <v>21</v>
      </c>
      <c r="N21" s="26">
        <f t="shared" si="0"/>
        <v>0</v>
      </c>
      <c r="O21" s="42">
        <f t="shared" si="1"/>
        <v>45171</v>
      </c>
      <c r="P21" s="5" t="str">
        <f t="shared" si="2"/>
        <v>Saturday</v>
      </c>
      <c r="Q21" s="5">
        <f t="shared" si="3"/>
        <v>11</v>
      </c>
      <c r="R21" s="28">
        <f t="shared" si="4"/>
        <v>0.89873417721518989</v>
      </c>
      <c r="S21" s="29">
        <f t="shared" si="5"/>
        <v>89.87341772151899</v>
      </c>
      <c r="T21" s="5" t="str">
        <f>IF(Delivery_Data3[[#This Row],[Delays (min)]]&gt;0,"No","Yes")</f>
        <v>No</v>
      </c>
      <c r="W21" s="41">
        <f t="shared" si="6"/>
        <v>45171</v>
      </c>
      <c r="X21" s="5">
        <v>213</v>
      </c>
    </row>
    <row r="22" spans="1:24" ht="15.75" customHeight="1" x14ac:dyDescent="0.3">
      <c r="A22" s="4">
        <v>1021</v>
      </c>
      <c r="B22" s="5" t="s">
        <v>75</v>
      </c>
      <c r="C22" s="6">
        <v>45172.559027777781</v>
      </c>
      <c r="D22" s="5" t="s">
        <v>43</v>
      </c>
      <c r="E22" s="5" t="s">
        <v>76</v>
      </c>
      <c r="F22" s="5" t="s">
        <v>16</v>
      </c>
      <c r="G22" s="5" t="s">
        <v>17</v>
      </c>
      <c r="H22" s="5">
        <v>94</v>
      </c>
      <c r="I22" s="5">
        <v>24</v>
      </c>
      <c r="J22" s="5" t="s">
        <v>32</v>
      </c>
      <c r="K22" s="5" t="s">
        <v>35</v>
      </c>
      <c r="L22" s="5" t="s">
        <v>40</v>
      </c>
      <c r="M22" s="7" t="s">
        <v>21</v>
      </c>
      <c r="N22" s="26">
        <f t="shared" si="0"/>
        <v>-1</v>
      </c>
      <c r="O22" s="42">
        <f t="shared" si="1"/>
        <v>45172</v>
      </c>
      <c r="P22" s="5" t="str">
        <f t="shared" si="2"/>
        <v>Sunday</v>
      </c>
      <c r="Q22" s="5">
        <f t="shared" si="3"/>
        <v>13</v>
      </c>
      <c r="R22" s="28">
        <f t="shared" si="4"/>
        <v>0.79661016949152541</v>
      </c>
      <c r="S22" s="29">
        <f t="shared" si="5"/>
        <v>79.66101694915254</v>
      </c>
      <c r="T22" s="5" t="str">
        <f>IF(Delivery_Data3[[#This Row],[Delays (min)]]&gt;0,"No","Yes")</f>
        <v>No</v>
      </c>
      <c r="W22" s="41">
        <f t="shared" si="6"/>
        <v>45172</v>
      </c>
      <c r="X22" s="5">
        <v>94</v>
      </c>
    </row>
    <row r="23" spans="1:24" ht="15.75" customHeight="1" x14ac:dyDescent="0.3">
      <c r="A23" s="4">
        <v>1022</v>
      </c>
      <c r="B23" s="5" t="s">
        <v>77</v>
      </c>
      <c r="C23" s="6">
        <v>45175.503472222219</v>
      </c>
      <c r="D23" s="5" t="s">
        <v>14</v>
      </c>
      <c r="E23" s="5" t="s">
        <v>78</v>
      </c>
      <c r="F23" s="5" t="s">
        <v>16</v>
      </c>
      <c r="G23" s="5" t="s">
        <v>56</v>
      </c>
      <c r="H23" s="5">
        <v>232</v>
      </c>
      <c r="I23" s="5">
        <v>21</v>
      </c>
      <c r="J23" s="5" t="s">
        <v>32</v>
      </c>
      <c r="K23" s="5" t="s">
        <v>49</v>
      </c>
      <c r="L23" s="5" t="s">
        <v>20</v>
      </c>
      <c r="M23" s="7" t="s">
        <v>41</v>
      </c>
      <c r="N23" s="26">
        <f t="shared" si="0"/>
        <v>-1</v>
      </c>
      <c r="O23" s="42">
        <f t="shared" si="1"/>
        <v>45175</v>
      </c>
      <c r="P23" s="5" t="str">
        <f t="shared" si="2"/>
        <v>Wednesday</v>
      </c>
      <c r="Q23" s="5">
        <f t="shared" si="3"/>
        <v>12</v>
      </c>
      <c r="R23" s="28">
        <f t="shared" si="4"/>
        <v>0.91699604743083007</v>
      </c>
      <c r="S23" s="29">
        <f t="shared" si="5"/>
        <v>91.699604743083</v>
      </c>
      <c r="T23" s="5" t="str">
        <f>IF(Delivery_Data3[[#This Row],[Delays (min)]]&gt;0,"No","Yes")</f>
        <v>No</v>
      </c>
      <c r="W23" s="41">
        <f t="shared" si="6"/>
        <v>45175</v>
      </c>
      <c r="X23" s="5">
        <v>232</v>
      </c>
    </row>
    <row r="24" spans="1:24" ht="15.75" customHeight="1" x14ac:dyDescent="0.3">
      <c r="A24" s="4">
        <v>1023</v>
      </c>
      <c r="B24" s="5" t="s">
        <v>79</v>
      </c>
      <c r="C24" s="6">
        <v>45175.44027777778</v>
      </c>
      <c r="D24" s="5" t="s">
        <v>14</v>
      </c>
      <c r="E24" s="5" t="s">
        <v>80</v>
      </c>
      <c r="F24" s="5" t="s">
        <v>24</v>
      </c>
      <c r="G24" s="5" t="s">
        <v>31</v>
      </c>
      <c r="H24" s="5">
        <v>151</v>
      </c>
      <c r="I24" s="5">
        <v>6</v>
      </c>
      <c r="J24" s="5" t="s">
        <v>18</v>
      </c>
      <c r="K24" s="5" t="s">
        <v>45</v>
      </c>
      <c r="L24" s="5" t="s">
        <v>28</v>
      </c>
      <c r="M24" s="7" t="s">
        <v>46</v>
      </c>
      <c r="N24" s="26">
        <f t="shared" si="0"/>
        <v>0</v>
      </c>
      <c r="O24" s="42">
        <f t="shared" si="1"/>
        <v>45175</v>
      </c>
      <c r="P24" s="5" t="str">
        <f t="shared" si="2"/>
        <v>Wednesday</v>
      </c>
      <c r="Q24" s="5">
        <f t="shared" si="3"/>
        <v>10</v>
      </c>
      <c r="R24" s="28">
        <f t="shared" si="4"/>
        <v>0.96178343949044587</v>
      </c>
      <c r="S24" s="29">
        <f t="shared" si="5"/>
        <v>96.178343949044589</v>
      </c>
      <c r="T24" s="5" t="str">
        <f>IF(Delivery_Data3[[#This Row],[Delays (min)]]&gt;0,"No","Yes")</f>
        <v>No</v>
      </c>
      <c r="W24" s="41">
        <f t="shared" si="6"/>
        <v>45175</v>
      </c>
      <c r="X24" s="5">
        <v>151</v>
      </c>
    </row>
    <row r="25" spans="1:24" ht="15.75" customHeight="1" x14ac:dyDescent="0.3">
      <c r="A25" s="4">
        <v>1024</v>
      </c>
      <c r="B25" s="5" t="s">
        <v>81</v>
      </c>
      <c r="C25" s="6">
        <v>45175.632638888892</v>
      </c>
      <c r="D25" s="5" t="s">
        <v>14</v>
      </c>
      <c r="E25" s="5" t="s">
        <v>55</v>
      </c>
      <c r="F25" s="5" t="s">
        <v>16</v>
      </c>
      <c r="G25" s="5" t="s">
        <v>56</v>
      </c>
      <c r="H25" s="5">
        <v>78</v>
      </c>
      <c r="I25" s="5">
        <v>29</v>
      </c>
      <c r="J25" s="5" t="s">
        <v>18</v>
      </c>
      <c r="K25" s="5" t="s">
        <v>27</v>
      </c>
      <c r="L25" s="5" t="s">
        <v>20</v>
      </c>
      <c r="M25" s="7" t="s">
        <v>21</v>
      </c>
      <c r="N25" s="26">
        <f t="shared" si="0"/>
        <v>0</v>
      </c>
      <c r="O25" s="42">
        <f t="shared" si="1"/>
        <v>45175</v>
      </c>
      <c r="P25" s="5" t="str">
        <f t="shared" si="2"/>
        <v>Wednesday</v>
      </c>
      <c r="Q25" s="5">
        <f t="shared" si="3"/>
        <v>15</v>
      </c>
      <c r="R25" s="28">
        <f t="shared" si="4"/>
        <v>0.7289719626168224</v>
      </c>
      <c r="S25" s="29">
        <f t="shared" si="5"/>
        <v>72.89719626168224</v>
      </c>
      <c r="T25" s="5" t="str">
        <f>IF(Delivery_Data3[[#This Row],[Delays (min)]]&gt;0,"No","Yes")</f>
        <v>No</v>
      </c>
      <c r="W25" s="41">
        <f t="shared" si="6"/>
        <v>45175</v>
      </c>
      <c r="X25" s="5">
        <v>78</v>
      </c>
    </row>
    <row r="26" spans="1:24" ht="15.75" customHeight="1" x14ac:dyDescent="0.3">
      <c r="A26" s="4">
        <v>1025</v>
      </c>
      <c r="B26" s="5" t="s">
        <v>82</v>
      </c>
      <c r="C26" s="6">
        <v>45172.590277777781</v>
      </c>
      <c r="D26" s="5" t="s">
        <v>43</v>
      </c>
      <c r="E26" s="5" t="s">
        <v>83</v>
      </c>
      <c r="F26" s="5" t="s">
        <v>38</v>
      </c>
      <c r="G26" s="5" t="s">
        <v>17</v>
      </c>
      <c r="H26" s="5">
        <v>150</v>
      </c>
      <c r="I26" s="5">
        <v>0</v>
      </c>
      <c r="J26" s="5" t="s">
        <v>32</v>
      </c>
      <c r="K26" s="5" t="s">
        <v>19</v>
      </c>
      <c r="L26" s="5" t="s">
        <v>28</v>
      </c>
      <c r="M26" s="7" t="s">
        <v>21</v>
      </c>
      <c r="N26" s="26">
        <f t="shared" si="0"/>
        <v>-1</v>
      </c>
      <c r="O26" s="42">
        <f t="shared" si="1"/>
        <v>45172</v>
      </c>
      <c r="P26" s="5" t="str">
        <f t="shared" si="2"/>
        <v>Sunday</v>
      </c>
      <c r="Q26" s="5">
        <f t="shared" si="3"/>
        <v>14</v>
      </c>
      <c r="R26" s="28">
        <f t="shared" si="4"/>
        <v>1</v>
      </c>
      <c r="S26" s="29">
        <f t="shared" si="5"/>
        <v>100</v>
      </c>
      <c r="T26" s="5" t="str">
        <f>IF(Delivery_Data3[[#This Row],[Delays (min)]]&gt;0,"No","Yes")</f>
        <v>Yes</v>
      </c>
      <c r="W26" s="41">
        <f t="shared" si="6"/>
        <v>45172</v>
      </c>
      <c r="X26" s="5">
        <v>150</v>
      </c>
    </row>
    <row r="27" spans="1:24" ht="15.75" customHeight="1" x14ac:dyDescent="0.3">
      <c r="A27" s="4">
        <v>1026</v>
      </c>
      <c r="B27" s="5" t="s">
        <v>84</v>
      </c>
      <c r="C27" s="6">
        <v>45173.609027777777</v>
      </c>
      <c r="D27" s="5" t="s">
        <v>43</v>
      </c>
      <c r="E27" s="5" t="s">
        <v>85</v>
      </c>
      <c r="F27" s="5" t="s">
        <v>16</v>
      </c>
      <c r="G27" s="5" t="s">
        <v>31</v>
      </c>
      <c r="H27" s="5">
        <v>154</v>
      </c>
      <c r="I27" s="5">
        <v>7</v>
      </c>
      <c r="J27" s="5" t="s">
        <v>32</v>
      </c>
      <c r="K27" s="5" t="s">
        <v>27</v>
      </c>
      <c r="L27" s="5" t="s">
        <v>20</v>
      </c>
      <c r="M27" s="7" t="s">
        <v>46</v>
      </c>
      <c r="N27" s="26">
        <f t="shared" si="0"/>
        <v>-1</v>
      </c>
      <c r="O27" s="42">
        <f t="shared" si="1"/>
        <v>45173</v>
      </c>
      <c r="P27" s="5" t="str">
        <f t="shared" si="2"/>
        <v>Monday</v>
      </c>
      <c r="Q27" s="5">
        <f t="shared" si="3"/>
        <v>14</v>
      </c>
      <c r="R27" s="28">
        <f t="shared" si="4"/>
        <v>0.95652173913043481</v>
      </c>
      <c r="S27" s="29">
        <f t="shared" si="5"/>
        <v>95.652173913043484</v>
      </c>
      <c r="T27" s="5" t="str">
        <f>IF(Delivery_Data3[[#This Row],[Delays (min)]]&gt;0,"No","Yes")</f>
        <v>No</v>
      </c>
      <c r="W27" s="41">
        <f t="shared" si="6"/>
        <v>45173</v>
      </c>
      <c r="X27" s="5">
        <v>154</v>
      </c>
    </row>
    <row r="28" spans="1:24" ht="15.75" customHeight="1" x14ac:dyDescent="0.3">
      <c r="A28" s="4">
        <v>1027</v>
      </c>
      <c r="B28" s="5" t="s">
        <v>86</v>
      </c>
      <c r="C28" s="6">
        <v>45175.472916666666</v>
      </c>
      <c r="D28" s="5" t="s">
        <v>14</v>
      </c>
      <c r="E28" s="5" t="s">
        <v>87</v>
      </c>
      <c r="F28" s="5" t="s">
        <v>16</v>
      </c>
      <c r="G28" s="5" t="s">
        <v>25</v>
      </c>
      <c r="H28" s="5">
        <v>153</v>
      </c>
      <c r="I28" s="5">
        <v>22</v>
      </c>
      <c r="J28" s="5" t="s">
        <v>18</v>
      </c>
      <c r="K28" s="5" t="s">
        <v>19</v>
      </c>
      <c r="L28" s="5" t="s">
        <v>28</v>
      </c>
      <c r="M28" s="7" t="s">
        <v>21</v>
      </c>
      <c r="N28" s="26">
        <f t="shared" si="0"/>
        <v>0</v>
      </c>
      <c r="O28" s="42">
        <f t="shared" si="1"/>
        <v>45175</v>
      </c>
      <c r="P28" s="5" t="str">
        <f t="shared" si="2"/>
        <v>Wednesday</v>
      </c>
      <c r="Q28" s="5">
        <f t="shared" si="3"/>
        <v>11</v>
      </c>
      <c r="R28" s="28">
        <f t="shared" si="4"/>
        <v>0.87428571428571433</v>
      </c>
      <c r="S28" s="29">
        <f t="shared" si="5"/>
        <v>87.428571428571431</v>
      </c>
      <c r="T28" s="5" t="str">
        <f>IF(Delivery_Data3[[#This Row],[Delays (min)]]&gt;0,"No","Yes")</f>
        <v>No</v>
      </c>
      <c r="W28" s="41">
        <f t="shared" si="6"/>
        <v>45175</v>
      </c>
      <c r="X28" s="5">
        <v>153</v>
      </c>
    </row>
    <row r="29" spans="1:24" ht="15.75" customHeight="1" x14ac:dyDescent="0.3">
      <c r="A29" s="4">
        <v>1028</v>
      </c>
      <c r="B29" s="5" t="s">
        <v>88</v>
      </c>
      <c r="C29" s="6">
        <v>45171.384722222225</v>
      </c>
      <c r="D29" s="5" t="s">
        <v>14</v>
      </c>
      <c r="E29" s="5" t="s">
        <v>89</v>
      </c>
      <c r="F29" s="5" t="s">
        <v>24</v>
      </c>
      <c r="G29" s="5" t="s">
        <v>39</v>
      </c>
      <c r="H29" s="5">
        <v>165</v>
      </c>
      <c r="I29" s="5">
        <v>17</v>
      </c>
      <c r="J29" s="5" t="s">
        <v>18</v>
      </c>
      <c r="K29" s="5" t="s">
        <v>35</v>
      </c>
      <c r="L29" s="5" t="s">
        <v>40</v>
      </c>
      <c r="M29" s="7" t="s">
        <v>41</v>
      </c>
      <c r="N29" s="26">
        <f t="shared" si="0"/>
        <v>0</v>
      </c>
      <c r="O29" s="42">
        <f t="shared" si="1"/>
        <v>45171</v>
      </c>
      <c r="P29" s="5" t="str">
        <f t="shared" si="2"/>
        <v>Saturday</v>
      </c>
      <c r="Q29" s="5">
        <f t="shared" si="3"/>
        <v>9</v>
      </c>
      <c r="R29" s="28">
        <f t="shared" si="4"/>
        <v>0.90659340659340659</v>
      </c>
      <c r="S29" s="29">
        <f t="shared" si="5"/>
        <v>90.659340659340657</v>
      </c>
      <c r="T29" s="5" t="str">
        <f>IF(Delivery_Data3[[#This Row],[Delays (min)]]&gt;0,"No","Yes")</f>
        <v>No</v>
      </c>
      <c r="W29" s="41">
        <f t="shared" si="6"/>
        <v>45171</v>
      </c>
      <c r="X29" s="5">
        <v>165</v>
      </c>
    </row>
    <row r="30" spans="1:24" ht="15.75" customHeight="1" x14ac:dyDescent="0.3">
      <c r="A30" s="4">
        <v>1029</v>
      </c>
      <c r="B30" s="5" t="s">
        <v>90</v>
      </c>
      <c r="C30" s="6">
        <v>45176.697916666664</v>
      </c>
      <c r="D30" s="5" t="s">
        <v>43</v>
      </c>
      <c r="E30" s="5" t="s">
        <v>91</v>
      </c>
      <c r="F30" s="5" t="s">
        <v>38</v>
      </c>
      <c r="G30" s="5" t="s">
        <v>17</v>
      </c>
      <c r="H30" s="5">
        <v>196</v>
      </c>
      <c r="I30" s="5">
        <v>13</v>
      </c>
      <c r="J30" s="5" t="s">
        <v>32</v>
      </c>
      <c r="K30" s="5" t="s">
        <v>19</v>
      </c>
      <c r="L30" s="5" t="s">
        <v>28</v>
      </c>
      <c r="M30" s="7" t="s">
        <v>41</v>
      </c>
      <c r="N30" s="26">
        <f t="shared" si="0"/>
        <v>-1</v>
      </c>
      <c r="O30" s="42">
        <f t="shared" si="1"/>
        <v>45176</v>
      </c>
      <c r="P30" s="5" t="str">
        <f t="shared" si="2"/>
        <v>Thursday</v>
      </c>
      <c r="Q30" s="5">
        <f t="shared" si="3"/>
        <v>16</v>
      </c>
      <c r="R30" s="28">
        <f t="shared" si="4"/>
        <v>0.93779904306220097</v>
      </c>
      <c r="S30" s="29">
        <f t="shared" si="5"/>
        <v>93.779904306220089</v>
      </c>
      <c r="T30" s="5" t="str">
        <f>IF(Delivery_Data3[[#This Row],[Delays (min)]]&gt;0,"No","Yes")</f>
        <v>No</v>
      </c>
      <c r="W30" s="41">
        <f t="shared" si="6"/>
        <v>45176</v>
      </c>
      <c r="X30" s="5">
        <v>196</v>
      </c>
    </row>
    <row r="31" spans="1:24" ht="15.75" customHeight="1" x14ac:dyDescent="0.3">
      <c r="A31" s="4">
        <v>1030</v>
      </c>
      <c r="B31" s="5" t="s">
        <v>92</v>
      </c>
      <c r="C31" s="6">
        <v>45170.557638888888</v>
      </c>
      <c r="D31" s="5" t="s">
        <v>43</v>
      </c>
      <c r="E31" s="5" t="s">
        <v>93</v>
      </c>
      <c r="F31" s="5" t="s">
        <v>16</v>
      </c>
      <c r="G31" s="5" t="s">
        <v>31</v>
      </c>
      <c r="H31" s="5">
        <v>80</v>
      </c>
      <c r="I31" s="5">
        <v>28</v>
      </c>
      <c r="J31" s="5" t="s">
        <v>32</v>
      </c>
      <c r="K31" s="5" t="s">
        <v>45</v>
      </c>
      <c r="L31" s="5" t="s">
        <v>20</v>
      </c>
      <c r="M31" s="7" t="s">
        <v>41</v>
      </c>
      <c r="N31" s="26">
        <f t="shared" si="0"/>
        <v>-1</v>
      </c>
      <c r="O31" s="42">
        <f t="shared" si="1"/>
        <v>45170</v>
      </c>
      <c r="P31" s="5" t="str">
        <f t="shared" si="2"/>
        <v>Friday</v>
      </c>
      <c r="Q31" s="5">
        <f t="shared" si="3"/>
        <v>13</v>
      </c>
      <c r="R31" s="28">
        <f t="shared" si="4"/>
        <v>0.7407407407407407</v>
      </c>
      <c r="S31" s="29">
        <f t="shared" si="5"/>
        <v>74.074074074074076</v>
      </c>
      <c r="T31" s="5" t="str">
        <f>IF(Delivery_Data3[[#This Row],[Delays (min)]]&gt;0,"No","Yes")</f>
        <v>No</v>
      </c>
      <c r="W31" s="41">
        <f t="shared" si="6"/>
        <v>45170</v>
      </c>
      <c r="X31" s="5">
        <v>80</v>
      </c>
    </row>
    <row r="32" spans="1:24" ht="15.75" customHeight="1" x14ac:dyDescent="0.3">
      <c r="A32" s="4">
        <v>1031</v>
      </c>
      <c r="B32" s="5" t="s">
        <v>94</v>
      </c>
      <c r="C32" s="6">
        <v>45174.647916666669</v>
      </c>
      <c r="D32" s="5" t="s">
        <v>43</v>
      </c>
      <c r="E32" s="5" t="s">
        <v>95</v>
      </c>
      <c r="F32" s="5" t="s">
        <v>38</v>
      </c>
      <c r="G32" s="5" t="s">
        <v>31</v>
      </c>
      <c r="H32" s="5">
        <v>126</v>
      </c>
      <c r="I32" s="5">
        <v>2</v>
      </c>
      <c r="J32" s="5" t="s">
        <v>26</v>
      </c>
      <c r="K32" s="5" t="s">
        <v>45</v>
      </c>
      <c r="L32" s="5" t="s">
        <v>40</v>
      </c>
      <c r="M32" s="7" t="s">
        <v>41</v>
      </c>
      <c r="N32" s="26">
        <f t="shared" si="0"/>
        <v>1</v>
      </c>
      <c r="O32" s="42">
        <f t="shared" si="1"/>
        <v>45174</v>
      </c>
      <c r="P32" s="5" t="str">
        <f t="shared" si="2"/>
        <v>Tuesday</v>
      </c>
      <c r="Q32" s="5">
        <f t="shared" si="3"/>
        <v>15</v>
      </c>
      <c r="R32" s="28">
        <f t="shared" si="4"/>
        <v>0.984375</v>
      </c>
      <c r="S32" s="29">
        <f t="shared" si="5"/>
        <v>98.4375</v>
      </c>
      <c r="T32" s="5" t="str">
        <f>IF(Delivery_Data3[[#This Row],[Delays (min)]]&gt;0,"No","Yes")</f>
        <v>No</v>
      </c>
      <c r="W32" s="41">
        <f t="shared" si="6"/>
        <v>45174</v>
      </c>
      <c r="X32" s="5">
        <v>126</v>
      </c>
    </row>
    <row r="33" spans="1:24" ht="15.75" customHeight="1" x14ac:dyDescent="0.3">
      <c r="A33" s="4">
        <v>1032</v>
      </c>
      <c r="B33" s="5" t="s">
        <v>96</v>
      </c>
      <c r="C33" s="6">
        <v>45175.620833333334</v>
      </c>
      <c r="D33" s="5" t="s">
        <v>14</v>
      </c>
      <c r="E33" s="5" t="s">
        <v>97</v>
      </c>
      <c r="F33" s="5" t="s">
        <v>38</v>
      </c>
      <c r="G33" s="5" t="s">
        <v>39</v>
      </c>
      <c r="H33" s="5">
        <v>162</v>
      </c>
      <c r="I33" s="5">
        <v>28</v>
      </c>
      <c r="J33" s="5" t="s">
        <v>26</v>
      </c>
      <c r="K33" s="5" t="s">
        <v>49</v>
      </c>
      <c r="L33" s="5" t="s">
        <v>20</v>
      </c>
      <c r="M33" s="7" t="s">
        <v>21</v>
      </c>
      <c r="N33" s="26">
        <f t="shared" si="0"/>
        <v>1</v>
      </c>
      <c r="O33" s="42">
        <f t="shared" si="1"/>
        <v>45175</v>
      </c>
      <c r="P33" s="5" t="str">
        <f t="shared" si="2"/>
        <v>Wednesday</v>
      </c>
      <c r="Q33" s="5">
        <f t="shared" si="3"/>
        <v>14</v>
      </c>
      <c r="R33" s="28">
        <f t="shared" si="4"/>
        <v>0.85263157894736841</v>
      </c>
      <c r="S33" s="29">
        <f t="shared" si="5"/>
        <v>85.263157894736835</v>
      </c>
      <c r="T33" s="5" t="str">
        <f>IF(Delivery_Data3[[#This Row],[Delays (min)]]&gt;0,"No","Yes")</f>
        <v>No</v>
      </c>
      <c r="W33" s="41">
        <f t="shared" si="6"/>
        <v>45175</v>
      </c>
      <c r="X33" s="5">
        <v>162</v>
      </c>
    </row>
    <row r="34" spans="1:24" ht="15.75" customHeight="1" x14ac:dyDescent="0.3">
      <c r="A34" s="4">
        <v>1033</v>
      </c>
      <c r="B34" s="5" t="s">
        <v>98</v>
      </c>
      <c r="C34" s="6">
        <v>45175.36041666667</v>
      </c>
      <c r="D34" s="5" t="s">
        <v>43</v>
      </c>
      <c r="E34" s="5" t="s">
        <v>99</v>
      </c>
      <c r="F34" s="5" t="s">
        <v>16</v>
      </c>
      <c r="G34" s="5" t="s">
        <v>25</v>
      </c>
      <c r="H34" s="5">
        <v>172</v>
      </c>
      <c r="I34" s="5">
        <v>20</v>
      </c>
      <c r="J34" s="5" t="s">
        <v>18</v>
      </c>
      <c r="K34" s="5" t="s">
        <v>35</v>
      </c>
      <c r="L34" s="5" t="s">
        <v>20</v>
      </c>
      <c r="M34" s="7" t="s">
        <v>46</v>
      </c>
      <c r="N34" s="26">
        <f t="shared" si="0"/>
        <v>0</v>
      </c>
      <c r="O34" s="42">
        <f t="shared" si="1"/>
        <v>45175</v>
      </c>
      <c r="P34" s="5" t="str">
        <f t="shared" si="2"/>
        <v>Wednesday</v>
      </c>
      <c r="Q34" s="5">
        <f t="shared" si="3"/>
        <v>8</v>
      </c>
      <c r="R34" s="28">
        <f t="shared" si="4"/>
        <v>0.89583333333333337</v>
      </c>
      <c r="S34" s="29">
        <f t="shared" si="5"/>
        <v>89.583333333333343</v>
      </c>
      <c r="T34" s="5" t="str">
        <f>IF(Delivery_Data3[[#This Row],[Delays (min)]]&gt;0,"No","Yes")</f>
        <v>No</v>
      </c>
      <c r="W34" s="41">
        <f t="shared" si="6"/>
        <v>45175</v>
      </c>
      <c r="X34" s="5">
        <v>172</v>
      </c>
    </row>
    <row r="35" spans="1:24" ht="15.75" customHeight="1" x14ac:dyDescent="0.3">
      <c r="A35" s="4">
        <v>1034</v>
      </c>
      <c r="B35" s="5" t="s">
        <v>100</v>
      </c>
      <c r="C35" s="6">
        <v>45174.65902777778</v>
      </c>
      <c r="D35" s="5" t="s">
        <v>43</v>
      </c>
      <c r="E35" s="5" t="s">
        <v>101</v>
      </c>
      <c r="F35" s="5" t="s">
        <v>38</v>
      </c>
      <c r="G35" s="5" t="s">
        <v>39</v>
      </c>
      <c r="H35" s="5">
        <v>215</v>
      </c>
      <c r="I35" s="5">
        <v>26</v>
      </c>
      <c r="J35" s="5" t="s">
        <v>26</v>
      </c>
      <c r="K35" s="5" t="s">
        <v>35</v>
      </c>
      <c r="L35" s="5" t="s">
        <v>28</v>
      </c>
      <c r="M35" s="7" t="s">
        <v>41</v>
      </c>
      <c r="N35" s="26">
        <f t="shared" si="0"/>
        <v>1</v>
      </c>
      <c r="O35" s="42">
        <f t="shared" si="1"/>
        <v>45174</v>
      </c>
      <c r="P35" s="5" t="str">
        <f t="shared" si="2"/>
        <v>Tuesday</v>
      </c>
      <c r="Q35" s="5">
        <f t="shared" si="3"/>
        <v>15</v>
      </c>
      <c r="R35" s="28">
        <f t="shared" si="4"/>
        <v>0.89211618257261416</v>
      </c>
      <c r="S35" s="29">
        <f t="shared" si="5"/>
        <v>89.211618257261421</v>
      </c>
      <c r="T35" s="5" t="str">
        <f>IF(Delivery_Data3[[#This Row],[Delays (min)]]&gt;0,"No","Yes")</f>
        <v>No</v>
      </c>
      <c r="W35" s="41">
        <f t="shared" si="6"/>
        <v>45174</v>
      </c>
      <c r="X35" s="5">
        <v>215</v>
      </c>
    </row>
    <row r="36" spans="1:24" ht="15.75" customHeight="1" x14ac:dyDescent="0.3">
      <c r="A36" s="4">
        <v>1035</v>
      </c>
      <c r="B36" s="5" t="s">
        <v>102</v>
      </c>
      <c r="C36" s="6">
        <v>45170.509722222225</v>
      </c>
      <c r="D36" s="5" t="s">
        <v>14</v>
      </c>
      <c r="E36" s="5" t="s">
        <v>103</v>
      </c>
      <c r="F36" s="5" t="s">
        <v>38</v>
      </c>
      <c r="G36" s="5" t="s">
        <v>56</v>
      </c>
      <c r="H36" s="5">
        <v>64</v>
      </c>
      <c r="I36" s="5">
        <v>6</v>
      </c>
      <c r="J36" s="5" t="s">
        <v>18</v>
      </c>
      <c r="K36" s="5" t="s">
        <v>49</v>
      </c>
      <c r="L36" s="5" t="s">
        <v>20</v>
      </c>
      <c r="M36" s="7" t="s">
        <v>46</v>
      </c>
      <c r="N36" s="26">
        <f t="shared" si="0"/>
        <v>0</v>
      </c>
      <c r="O36" s="42">
        <f t="shared" si="1"/>
        <v>45170</v>
      </c>
      <c r="P36" s="5" t="str">
        <f t="shared" si="2"/>
        <v>Friday</v>
      </c>
      <c r="Q36" s="5">
        <f t="shared" si="3"/>
        <v>12</v>
      </c>
      <c r="R36" s="28">
        <f t="shared" si="4"/>
        <v>0.91428571428571426</v>
      </c>
      <c r="S36" s="29">
        <f t="shared" si="5"/>
        <v>91.428571428571431</v>
      </c>
      <c r="T36" s="5" t="str">
        <f>IF(Delivery_Data3[[#This Row],[Delays (min)]]&gt;0,"No","Yes")</f>
        <v>No</v>
      </c>
      <c r="W36" s="41">
        <f t="shared" si="6"/>
        <v>45170</v>
      </c>
      <c r="X36" s="5">
        <v>64</v>
      </c>
    </row>
    <row r="37" spans="1:24" ht="15.75" customHeight="1" x14ac:dyDescent="0.3">
      <c r="A37" s="4">
        <v>1036</v>
      </c>
      <c r="B37" s="5" t="s">
        <v>104</v>
      </c>
      <c r="C37" s="6">
        <v>45171.47152777778</v>
      </c>
      <c r="D37" s="5" t="s">
        <v>14</v>
      </c>
      <c r="E37" s="5" t="s">
        <v>97</v>
      </c>
      <c r="F37" s="5" t="s">
        <v>38</v>
      </c>
      <c r="G37" s="5" t="s">
        <v>39</v>
      </c>
      <c r="H37" s="5">
        <v>182</v>
      </c>
      <c r="I37" s="5">
        <v>15</v>
      </c>
      <c r="J37" s="5" t="s">
        <v>18</v>
      </c>
      <c r="K37" s="5" t="s">
        <v>45</v>
      </c>
      <c r="L37" s="5" t="s">
        <v>20</v>
      </c>
      <c r="M37" s="7" t="s">
        <v>21</v>
      </c>
      <c r="N37" s="26">
        <f t="shared" si="0"/>
        <v>0</v>
      </c>
      <c r="O37" s="42">
        <f t="shared" si="1"/>
        <v>45171</v>
      </c>
      <c r="P37" s="5" t="str">
        <f t="shared" si="2"/>
        <v>Saturday</v>
      </c>
      <c r="Q37" s="5">
        <f t="shared" si="3"/>
        <v>11</v>
      </c>
      <c r="R37" s="28">
        <f t="shared" si="4"/>
        <v>0.92385786802030456</v>
      </c>
      <c r="S37" s="29">
        <f t="shared" si="5"/>
        <v>92.385786802030452</v>
      </c>
      <c r="T37" s="5" t="str">
        <f>IF(Delivery_Data3[[#This Row],[Delays (min)]]&gt;0,"No","Yes")</f>
        <v>No</v>
      </c>
      <c r="W37" s="41">
        <f t="shared" si="6"/>
        <v>45171</v>
      </c>
      <c r="X37" s="5">
        <v>182</v>
      </c>
    </row>
    <row r="38" spans="1:24" ht="15.75" customHeight="1" x14ac:dyDescent="0.3">
      <c r="A38" s="4">
        <v>1037</v>
      </c>
      <c r="B38" s="5" t="s">
        <v>105</v>
      </c>
      <c r="C38" s="6">
        <v>45171.702777777777</v>
      </c>
      <c r="D38" s="5" t="s">
        <v>43</v>
      </c>
      <c r="E38" s="5" t="s">
        <v>106</v>
      </c>
      <c r="F38" s="5" t="s">
        <v>24</v>
      </c>
      <c r="G38" s="5" t="s">
        <v>31</v>
      </c>
      <c r="H38" s="5">
        <v>134</v>
      </c>
      <c r="I38" s="5">
        <v>18</v>
      </c>
      <c r="J38" s="5" t="s">
        <v>32</v>
      </c>
      <c r="K38" s="5" t="s">
        <v>45</v>
      </c>
      <c r="L38" s="5" t="s">
        <v>40</v>
      </c>
      <c r="M38" s="7" t="s">
        <v>21</v>
      </c>
      <c r="N38" s="26">
        <f t="shared" si="0"/>
        <v>-1</v>
      </c>
      <c r="O38" s="42">
        <f t="shared" si="1"/>
        <v>45171</v>
      </c>
      <c r="P38" s="5" t="str">
        <f t="shared" si="2"/>
        <v>Saturday</v>
      </c>
      <c r="Q38" s="5">
        <f t="shared" si="3"/>
        <v>16</v>
      </c>
      <c r="R38" s="28">
        <f t="shared" si="4"/>
        <v>0.88157894736842102</v>
      </c>
      <c r="S38" s="29">
        <f t="shared" si="5"/>
        <v>88.157894736842096</v>
      </c>
      <c r="T38" s="5" t="str">
        <f>IF(Delivery_Data3[[#This Row],[Delays (min)]]&gt;0,"No","Yes")</f>
        <v>No</v>
      </c>
      <c r="W38" s="41">
        <f t="shared" si="6"/>
        <v>45171</v>
      </c>
      <c r="X38" s="5">
        <v>134</v>
      </c>
    </row>
    <row r="39" spans="1:24" ht="15.75" customHeight="1" x14ac:dyDescent="0.3">
      <c r="A39" s="4">
        <v>1038</v>
      </c>
      <c r="B39" s="5" t="s">
        <v>107</v>
      </c>
      <c r="C39" s="6">
        <v>45177.415277777778</v>
      </c>
      <c r="D39" s="5" t="s">
        <v>43</v>
      </c>
      <c r="E39" s="5" t="s">
        <v>55</v>
      </c>
      <c r="F39" s="5" t="s">
        <v>16</v>
      </c>
      <c r="G39" s="5" t="s">
        <v>31</v>
      </c>
      <c r="H39" s="5">
        <v>95</v>
      </c>
      <c r="I39" s="5">
        <v>22</v>
      </c>
      <c r="J39" s="5" t="s">
        <v>32</v>
      </c>
      <c r="K39" s="5" t="s">
        <v>35</v>
      </c>
      <c r="L39" s="5" t="s">
        <v>28</v>
      </c>
      <c r="M39" s="7" t="s">
        <v>21</v>
      </c>
      <c r="N39" s="26">
        <f t="shared" si="0"/>
        <v>-1</v>
      </c>
      <c r="O39" s="42">
        <f t="shared" si="1"/>
        <v>45177</v>
      </c>
      <c r="P39" s="5" t="str">
        <f t="shared" si="2"/>
        <v>Friday</v>
      </c>
      <c r="Q39" s="5">
        <f t="shared" si="3"/>
        <v>9</v>
      </c>
      <c r="R39" s="28">
        <f t="shared" si="4"/>
        <v>0.81196581196581197</v>
      </c>
      <c r="S39" s="29">
        <f t="shared" si="5"/>
        <v>81.196581196581192</v>
      </c>
      <c r="T39" s="5" t="str">
        <f>IF(Delivery_Data3[[#This Row],[Delays (min)]]&gt;0,"No","Yes")</f>
        <v>No</v>
      </c>
      <c r="W39" s="41">
        <f t="shared" si="6"/>
        <v>45177</v>
      </c>
      <c r="X39" s="5">
        <v>95</v>
      </c>
    </row>
    <row r="40" spans="1:24" ht="15.75" customHeight="1" x14ac:dyDescent="0.3">
      <c r="A40" s="4">
        <v>1039</v>
      </c>
      <c r="B40" s="5" t="s">
        <v>108</v>
      </c>
      <c r="C40" s="6">
        <v>45170.631944444445</v>
      </c>
      <c r="D40" s="5" t="s">
        <v>14</v>
      </c>
      <c r="E40" s="5" t="s">
        <v>109</v>
      </c>
      <c r="F40" s="5" t="s">
        <v>16</v>
      </c>
      <c r="G40" s="5" t="s">
        <v>25</v>
      </c>
      <c r="H40" s="5">
        <v>110</v>
      </c>
      <c r="I40" s="5">
        <v>7</v>
      </c>
      <c r="J40" s="5" t="s">
        <v>18</v>
      </c>
      <c r="K40" s="5" t="s">
        <v>45</v>
      </c>
      <c r="L40" s="5" t="s">
        <v>40</v>
      </c>
      <c r="M40" s="7" t="s">
        <v>46</v>
      </c>
      <c r="N40" s="26">
        <f t="shared" si="0"/>
        <v>0</v>
      </c>
      <c r="O40" s="42">
        <f t="shared" si="1"/>
        <v>45170</v>
      </c>
      <c r="P40" s="5" t="str">
        <f t="shared" si="2"/>
        <v>Friday</v>
      </c>
      <c r="Q40" s="5">
        <f t="shared" si="3"/>
        <v>15</v>
      </c>
      <c r="R40" s="28">
        <f t="shared" si="4"/>
        <v>0.94017094017094016</v>
      </c>
      <c r="S40" s="29">
        <f t="shared" si="5"/>
        <v>94.01709401709401</v>
      </c>
      <c r="T40" s="5" t="str">
        <f>IF(Delivery_Data3[[#This Row],[Delays (min)]]&gt;0,"No","Yes")</f>
        <v>No</v>
      </c>
      <c r="W40" s="41">
        <f t="shared" si="6"/>
        <v>45170</v>
      </c>
      <c r="X40" s="5">
        <v>110</v>
      </c>
    </row>
    <row r="41" spans="1:24" ht="15.75" customHeight="1" x14ac:dyDescent="0.3">
      <c r="A41" s="4">
        <v>1040</v>
      </c>
      <c r="B41" s="5" t="s">
        <v>110</v>
      </c>
      <c r="C41" s="6">
        <v>45175.481249999997</v>
      </c>
      <c r="D41" s="5" t="s">
        <v>14</v>
      </c>
      <c r="E41" s="5" t="s">
        <v>111</v>
      </c>
      <c r="F41" s="5" t="s">
        <v>24</v>
      </c>
      <c r="G41" s="5" t="s">
        <v>31</v>
      </c>
      <c r="H41" s="5">
        <v>103</v>
      </c>
      <c r="I41" s="5">
        <v>9</v>
      </c>
      <c r="J41" s="5" t="s">
        <v>18</v>
      </c>
      <c r="K41" s="5" t="s">
        <v>45</v>
      </c>
      <c r="L41" s="5" t="s">
        <v>40</v>
      </c>
      <c r="M41" s="7" t="s">
        <v>41</v>
      </c>
      <c r="N41" s="26">
        <f t="shared" si="0"/>
        <v>0</v>
      </c>
      <c r="O41" s="42">
        <f t="shared" si="1"/>
        <v>45175</v>
      </c>
      <c r="P41" s="5" t="str">
        <f t="shared" si="2"/>
        <v>Wednesday</v>
      </c>
      <c r="Q41" s="5">
        <f t="shared" si="3"/>
        <v>11</v>
      </c>
      <c r="R41" s="28">
        <f t="shared" si="4"/>
        <v>0.9196428571428571</v>
      </c>
      <c r="S41" s="29">
        <f t="shared" si="5"/>
        <v>91.964285714285708</v>
      </c>
      <c r="T41" s="5" t="str">
        <f>IF(Delivery_Data3[[#This Row],[Delays (min)]]&gt;0,"No","Yes")</f>
        <v>No</v>
      </c>
      <c r="W41" s="41">
        <f t="shared" si="6"/>
        <v>45175</v>
      </c>
      <c r="X41" s="5">
        <v>103</v>
      </c>
    </row>
    <row r="42" spans="1:24" ht="15.75" customHeight="1" x14ac:dyDescent="0.3">
      <c r="A42" s="4">
        <v>1041</v>
      </c>
      <c r="B42" s="5" t="s">
        <v>112</v>
      </c>
      <c r="C42" s="6">
        <v>45170.470138888886</v>
      </c>
      <c r="D42" s="5" t="s">
        <v>14</v>
      </c>
      <c r="E42" s="5" t="s">
        <v>113</v>
      </c>
      <c r="F42" s="5" t="s">
        <v>38</v>
      </c>
      <c r="G42" s="5" t="s">
        <v>17</v>
      </c>
      <c r="H42" s="5">
        <v>166</v>
      </c>
      <c r="I42" s="5">
        <v>5</v>
      </c>
      <c r="J42" s="5" t="s">
        <v>18</v>
      </c>
      <c r="K42" s="5" t="s">
        <v>49</v>
      </c>
      <c r="L42" s="5" t="s">
        <v>40</v>
      </c>
      <c r="M42" s="7" t="s">
        <v>21</v>
      </c>
      <c r="N42" s="26">
        <f t="shared" si="0"/>
        <v>0</v>
      </c>
      <c r="O42" s="42">
        <f t="shared" si="1"/>
        <v>45170</v>
      </c>
      <c r="P42" s="5" t="str">
        <f t="shared" si="2"/>
        <v>Friday</v>
      </c>
      <c r="Q42" s="5">
        <f t="shared" si="3"/>
        <v>11</v>
      </c>
      <c r="R42" s="28">
        <f t="shared" si="4"/>
        <v>0.9707602339181286</v>
      </c>
      <c r="S42" s="29">
        <f t="shared" si="5"/>
        <v>97.076023391812853</v>
      </c>
      <c r="T42" s="5" t="str">
        <f>IF(Delivery_Data3[[#This Row],[Delays (min)]]&gt;0,"No","Yes")</f>
        <v>No</v>
      </c>
      <c r="W42" s="41">
        <f t="shared" si="6"/>
        <v>45170</v>
      </c>
      <c r="X42" s="5">
        <v>166</v>
      </c>
    </row>
    <row r="43" spans="1:24" ht="15.75" customHeight="1" x14ac:dyDescent="0.3">
      <c r="A43" s="4">
        <v>1042</v>
      </c>
      <c r="B43" s="5" t="s">
        <v>114</v>
      </c>
      <c r="C43" s="6">
        <v>45175.411805555559</v>
      </c>
      <c r="D43" s="5" t="s">
        <v>14</v>
      </c>
      <c r="E43" s="5" t="s">
        <v>115</v>
      </c>
      <c r="F43" s="5" t="s">
        <v>16</v>
      </c>
      <c r="G43" s="5" t="s">
        <v>17</v>
      </c>
      <c r="H43" s="5">
        <v>168</v>
      </c>
      <c r="I43" s="5">
        <v>20</v>
      </c>
      <c r="J43" s="5" t="s">
        <v>18</v>
      </c>
      <c r="K43" s="5" t="s">
        <v>35</v>
      </c>
      <c r="L43" s="5" t="s">
        <v>20</v>
      </c>
      <c r="M43" s="7" t="s">
        <v>21</v>
      </c>
      <c r="N43" s="26">
        <f t="shared" si="0"/>
        <v>0</v>
      </c>
      <c r="O43" s="42">
        <f t="shared" si="1"/>
        <v>45175</v>
      </c>
      <c r="P43" s="5" t="str">
        <f t="shared" si="2"/>
        <v>Wednesday</v>
      </c>
      <c r="Q43" s="5">
        <f t="shared" si="3"/>
        <v>9</v>
      </c>
      <c r="R43" s="28">
        <f t="shared" si="4"/>
        <v>0.8936170212765957</v>
      </c>
      <c r="S43" s="29">
        <f t="shared" si="5"/>
        <v>89.361702127659569</v>
      </c>
      <c r="T43" s="5" t="str">
        <f>IF(Delivery_Data3[[#This Row],[Delays (min)]]&gt;0,"No","Yes")</f>
        <v>No</v>
      </c>
      <c r="W43" s="41">
        <f t="shared" si="6"/>
        <v>45175</v>
      </c>
      <c r="X43" s="5">
        <v>168</v>
      </c>
    </row>
    <row r="44" spans="1:24" ht="15.75" customHeight="1" x14ac:dyDescent="0.3">
      <c r="A44" s="4">
        <v>1043</v>
      </c>
      <c r="B44" s="5" t="s">
        <v>116</v>
      </c>
      <c r="C44" s="6">
        <v>45174.475694444445</v>
      </c>
      <c r="D44" s="5" t="s">
        <v>14</v>
      </c>
      <c r="E44" s="5" t="s">
        <v>85</v>
      </c>
      <c r="F44" s="5" t="s">
        <v>38</v>
      </c>
      <c r="G44" s="5" t="s">
        <v>31</v>
      </c>
      <c r="H44" s="5">
        <v>235</v>
      </c>
      <c r="I44" s="5">
        <v>0</v>
      </c>
      <c r="J44" s="5" t="s">
        <v>18</v>
      </c>
      <c r="K44" s="5" t="s">
        <v>45</v>
      </c>
      <c r="L44" s="5" t="s">
        <v>40</v>
      </c>
      <c r="M44" s="7" t="s">
        <v>21</v>
      </c>
      <c r="N44" s="26">
        <f t="shared" si="0"/>
        <v>0</v>
      </c>
      <c r="O44" s="42">
        <f t="shared" si="1"/>
        <v>45174</v>
      </c>
      <c r="P44" s="5" t="str">
        <f t="shared" si="2"/>
        <v>Tuesday</v>
      </c>
      <c r="Q44" s="5">
        <f t="shared" si="3"/>
        <v>11</v>
      </c>
      <c r="R44" s="28">
        <f t="shared" si="4"/>
        <v>1</v>
      </c>
      <c r="S44" s="29">
        <f t="shared" si="5"/>
        <v>100</v>
      </c>
      <c r="T44" s="5" t="str">
        <f>IF(Delivery_Data3[[#This Row],[Delays (min)]]&gt;0,"No","Yes")</f>
        <v>Yes</v>
      </c>
      <c r="W44" s="41">
        <f t="shared" si="6"/>
        <v>45174</v>
      </c>
      <c r="X44" s="5">
        <v>235</v>
      </c>
    </row>
    <row r="45" spans="1:24" ht="15.75" customHeight="1" x14ac:dyDescent="0.3">
      <c r="A45" s="4">
        <v>1044</v>
      </c>
      <c r="B45" s="5" t="s">
        <v>117</v>
      </c>
      <c r="C45" s="6">
        <v>45174.388888888891</v>
      </c>
      <c r="D45" s="5" t="s">
        <v>14</v>
      </c>
      <c r="E45" s="5" t="s">
        <v>118</v>
      </c>
      <c r="F45" s="5" t="s">
        <v>38</v>
      </c>
      <c r="G45" s="5" t="s">
        <v>31</v>
      </c>
      <c r="H45" s="5">
        <v>114</v>
      </c>
      <c r="I45" s="5">
        <v>1</v>
      </c>
      <c r="J45" s="5" t="s">
        <v>32</v>
      </c>
      <c r="K45" s="5" t="s">
        <v>19</v>
      </c>
      <c r="L45" s="5" t="s">
        <v>40</v>
      </c>
      <c r="M45" s="7" t="s">
        <v>21</v>
      </c>
      <c r="N45" s="26">
        <f t="shared" si="0"/>
        <v>-1</v>
      </c>
      <c r="O45" s="42">
        <f t="shared" si="1"/>
        <v>45174</v>
      </c>
      <c r="P45" s="5" t="str">
        <f t="shared" si="2"/>
        <v>Tuesday</v>
      </c>
      <c r="Q45" s="5">
        <f t="shared" si="3"/>
        <v>9</v>
      </c>
      <c r="R45" s="28">
        <f t="shared" si="4"/>
        <v>0.99130434782608701</v>
      </c>
      <c r="S45" s="29">
        <f t="shared" si="5"/>
        <v>99.130434782608702</v>
      </c>
      <c r="T45" s="5" t="str">
        <f>IF(Delivery_Data3[[#This Row],[Delays (min)]]&gt;0,"No","Yes")</f>
        <v>No</v>
      </c>
      <c r="W45" s="41">
        <f t="shared" si="6"/>
        <v>45174</v>
      </c>
      <c r="X45" s="5">
        <v>114</v>
      </c>
    </row>
    <row r="46" spans="1:24" ht="15.75" customHeight="1" x14ac:dyDescent="0.3">
      <c r="A46" s="4">
        <v>1045</v>
      </c>
      <c r="B46" s="5" t="s">
        <v>119</v>
      </c>
      <c r="C46" s="6">
        <v>45175.629166666666</v>
      </c>
      <c r="D46" s="5" t="s">
        <v>43</v>
      </c>
      <c r="E46" s="5" t="s">
        <v>120</v>
      </c>
      <c r="F46" s="5" t="s">
        <v>38</v>
      </c>
      <c r="G46" s="5" t="s">
        <v>39</v>
      </c>
      <c r="H46" s="5">
        <v>162</v>
      </c>
      <c r="I46" s="5">
        <v>22</v>
      </c>
      <c r="J46" s="5" t="s">
        <v>18</v>
      </c>
      <c r="K46" s="5" t="s">
        <v>45</v>
      </c>
      <c r="L46" s="5" t="s">
        <v>20</v>
      </c>
      <c r="M46" s="7" t="s">
        <v>21</v>
      </c>
      <c r="N46" s="26">
        <f t="shared" si="0"/>
        <v>0</v>
      </c>
      <c r="O46" s="42">
        <f t="shared" si="1"/>
        <v>45175</v>
      </c>
      <c r="P46" s="5" t="str">
        <f t="shared" si="2"/>
        <v>Wednesday</v>
      </c>
      <c r="Q46" s="5">
        <f t="shared" si="3"/>
        <v>15</v>
      </c>
      <c r="R46" s="28">
        <f t="shared" si="4"/>
        <v>0.88043478260869568</v>
      </c>
      <c r="S46" s="29">
        <f t="shared" si="5"/>
        <v>88.043478260869563</v>
      </c>
      <c r="T46" s="5" t="str">
        <f>IF(Delivery_Data3[[#This Row],[Delays (min)]]&gt;0,"No","Yes")</f>
        <v>No</v>
      </c>
      <c r="W46" s="41">
        <f t="shared" si="6"/>
        <v>45175</v>
      </c>
      <c r="X46" s="5">
        <v>162</v>
      </c>
    </row>
    <row r="47" spans="1:24" ht="15.75" customHeight="1" x14ac:dyDescent="0.3">
      <c r="A47" s="4">
        <v>1046</v>
      </c>
      <c r="B47" s="5" t="s">
        <v>121</v>
      </c>
      <c r="C47" s="6">
        <v>45171.55</v>
      </c>
      <c r="D47" s="5" t="s">
        <v>14</v>
      </c>
      <c r="E47" s="5" t="s">
        <v>122</v>
      </c>
      <c r="F47" s="5" t="s">
        <v>16</v>
      </c>
      <c r="G47" s="5" t="s">
        <v>39</v>
      </c>
      <c r="H47" s="5">
        <v>94</v>
      </c>
      <c r="I47" s="5">
        <v>4</v>
      </c>
      <c r="J47" s="5" t="s">
        <v>32</v>
      </c>
      <c r="K47" s="5" t="s">
        <v>19</v>
      </c>
      <c r="L47" s="5" t="s">
        <v>20</v>
      </c>
      <c r="M47" s="7" t="s">
        <v>41</v>
      </c>
      <c r="N47" s="26">
        <f t="shared" si="0"/>
        <v>-1</v>
      </c>
      <c r="O47" s="42">
        <f t="shared" si="1"/>
        <v>45171</v>
      </c>
      <c r="P47" s="5" t="str">
        <f t="shared" si="2"/>
        <v>Saturday</v>
      </c>
      <c r="Q47" s="5">
        <f t="shared" si="3"/>
        <v>13</v>
      </c>
      <c r="R47" s="28">
        <f t="shared" si="4"/>
        <v>0.95918367346938771</v>
      </c>
      <c r="S47" s="29">
        <f t="shared" si="5"/>
        <v>95.918367346938766</v>
      </c>
      <c r="T47" s="5" t="str">
        <f>IF(Delivery_Data3[[#This Row],[Delays (min)]]&gt;0,"No","Yes")</f>
        <v>No</v>
      </c>
      <c r="W47" s="41">
        <f t="shared" si="6"/>
        <v>45171</v>
      </c>
      <c r="X47" s="5">
        <v>94</v>
      </c>
    </row>
    <row r="48" spans="1:24" ht="15.75" customHeight="1" x14ac:dyDescent="0.3">
      <c r="A48" s="4">
        <v>1047</v>
      </c>
      <c r="B48" s="5" t="s">
        <v>123</v>
      </c>
      <c r="C48" s="6">
        <v>45172.490277777775</v>
      </c>
      <c r="D48" s="5" t="s">
        <v>14</v>
      </c>
      <c r="E48" s="5" t="s">
        <v>34</v>
      </c>
      <c r="F48" s="5" t="s">
        <v>16</v>
      </c>
      <c r="G48" s="5" t="s">
        <v>39</v>
      </c>
      <c r="H48" s="5">
        <v>123</v>
      </c>
      <c r="I48" s="5">
        <v>14</v>
      </c>
      <c r="J48" s="5" t="s">
        <v>18</v>
      </c>
      <c r="K48" s="5" t="s">
        <v>19</v>
      </c>
      <c r="L48" s="5" t="s">
        <v>40</v>
      </c>
      <c r="M48" s="7" t="s">
        <v>21</v>
      </c>
      <c r="N48" s="26">
        <f t="shared" si="0"/>
        <v>0</v>
      </c>
      <c r="O48" s="42">
        <f t="shared" si="1"/>
        <v>45172</v>
      </c>
      <c r="P48" s="5" t="str">
        <f t="shared" si="2"/>
        <v>Sunday</v>
      </c>
      <c r="Q48" s="5">
        <f t="shared" si="3"/>
        <v>11</v>
      </c>
      <c r="R48" s="28">
        <f t="shared" si="4"/>
        <v>0.8978102189781022</v>
      </c>
      <c r="S48" s="29">
        <f t="shared" si="5"/>
        <v>89.78102189781022</v>
      </c>
      <c r="T48" s="5" t="str">
        <f>IF(Delivery_Data3[[#This Row],[Delays (min)]]&gt;0,"No","Yes")</f>
        <v>No</v>
      </c>
      <c r="W48" s="41">
        <f t="shared" si="6"/>
        <v>45172</v>
      </c>
      <c r="X48" s="5">
        <v>123</v>
      </c>
    </row>
    <row r="49" spans="1:24" ht="15.75" customHeight="1" x14ac:dyDescent="0.3">
      <c r="A49" s="4">
        <v>1048</v>
      </c>
      <c r="B49" s="5" t="s">
        <v>124</v>
      </c>
      <c r="C49" s="6">
        <v>45173.568749999999</v>
      </c>
      <c r="D49" s="5" t="s">
        <v>43</v>
      </c>
      <c r="E49" s="5" t="s">
        <v>58</v>
      </c>
      <c r="F49" s="5" t="s">
        <v>16</v>
      </c>
      <c r="G49" s="5" t="s">
        <v>56</v>
      </c>
      <c r="H49" s="5">
        <v>173</v>
      </c>
      <c r="I49" s="5">
        <v>8</v>
      </c>
      <c r="J49" s="5" t="s">
        <v>26</v>
      </c>
      <c r="K49" s="5" t="s">
        <v>49</v>
      </c>
      <c r="L49" s="5" t="s">
        <v>28</v>
      </c>
      <c r="M49" s="7" t="s">
        <v>21</v>
      </c>
      <c r="N49" s="26">
        <f t="shared" si="0"/>
        <v>1</v>
      </c>
      <c r="O49" s="42">
        <f t="shared" si="1"/>
        <v>45173</v>
      </c>
      <c r="P49" s="5" t="str">
        <f t="shared" si="2"/>
        <v>Monday</v>
      </c>
      <c r="Q49" s="5">
        <f t="shared" si="3"/>
        <v>13</v>
      </c>
      <c r="R49" s="28">
        <f t="shared" si="4"/>
        <v>0.95580110497237569</v>
      </c>
      <c r="S49" s="29">
        <f t="shared" si="5"/>
        <v>95.58011049723757</v>
      </c>
      <c r="T49" s="5" t="str">
        <f>IF(Delivery_Data3[[#This Row],[Delays (min)]]&gt;0,"No","Yes")</f>
        <v>No</v>
      </c>
      <c r="W49" s="41">
        <f t="shared" si="6"/>
        <v>45173</v>
      </c>
      <c r="X49" s="5">
        <v>173</v>
      </c>
    </row>
    <row r="50" spans="1:24" ht="15.75" customHeight="1" x14ac:dyDescent="0.3">
      <c r="A50" s="4">
        <v>1049</v>
      </c>
      <c r="B50" s="5" t="s">
        <v>125</v>
      </c>
      <c r="C50" s="6">
        <v>45171.604166666664</v>
      </c>
      <c r="D50" s="5" t="s">
        <v>43</v>
      </c>
      <c r="E50" s="5" t="s">
        <v>126</v>
      </c>
      <c r="F50" s="5" t="s">
        <v>38</v>
      </c>
      <c r="G50" s="5" t="s">
        <v>31</v>
      </c>
      <c r="H50" s="5">
        <v>67</v>
      </c>
      <c r="I50" s="5">
        <v>14</v>
      </c>
      <c r="J50" s="5" t="s">
        <v>32</v>
      </c>
      <c r="K50" s="5" t="s">
        <v>27</v>
      </c>
      <c r="L50" s="5" t="s">
        <v>28</v>
      </c>
      <c r="M50" s="7" t="s">
        <v>46</v>
      </c>
      <c r="N50" s="26">
        <f t="shared" si="0"/>
        <v>-1</v>
      </c>
      <c r="O50" s="42">
        <f t="shared" si="1"/>
        <v>45171</v>
      </c>
      <c r="P50" s="5" t="str">
        <f t="shared" si="2"/>
        <v>Saturday</v>
      </c>
      <c r="Q50" s="5">
        <f t="shared" si="3"/>
        <v>14</v>
      </c>
      <c r="R50" s="28">
        <f t="shared" si="4"/>
        <v>0.8271604938271605</v>
      </c>
      <c r="S50" s="29">
        <f t="shared" si="5"/>
        <v>82.716049382716051</v>
      </c>
      <c r="T50" s="5" t="str">
        <f>IF(Delivery_Data3[[#This Row],[Delays (min)]]&gt;0,"No","Yes")</f>
        <v>No</v>
      </c>
      <c r="W50" s="41">
        <f t="shared" si="6"/>
        <v>45171</v>
      </c>
      <c r="X50" s="5">
        <v>67</v>
      </c>
    </row>
    <row r="51" spans="1:24" ht="15.75" customHeight="1" x14ac:dyDescent="0.3">
      <c r="A51" s="4">
        <v>1050</v>
      </c>
      <c r="B51" s="5" t="s">
        <v>127</v>
      </c>
      <c r="C51" s="6">
        <v>45176.493750000001</v>
      </c>
      <c r="D51" s="5" t="s">
        <v>43</v>
      </c>
      <c r="E51" s="5" t="s">
        <v>128</v>
      </c>
      <c r="F51" s="5" t="s">
        <v>16</v>
      </c>
      <c r="G51" s="5" t="s">
        <v>25</v>
      </c>
      <c r="H51" s="5">
        <v>94</v>
      </c>
      <c r="I51" s="5">
        <v>15</v>
      </c>
      <c r="J51" s="5" t="s">
        <v>32</v>
      </c>
      <c r="K51" s="5" t="s">
        <v>19</v>
      </c>
      <c r="L51" s="5" t="s">
        <v>20</v>
      </c>
      <c r="M51" s="7" t="s">
        <v>21</v>
      </c>
      <c r="N51" s="26">
        <f t="shared" si="0"/>
        <v>-1</v>
      </c>
      <c r="O51" s="42">
        <f t="shared" si="1"/>
        <v>45176</v>
      </c>
      <c r="P51" s="5" t="str">
        <f t="shared" si="2"/>
        <v>Thursday</v>
      </c>
      <c r="Q51" s="5">
        <f t="shared" si="3"/>
        <v>11</v>
      </c>
      <c r="R51" s="28">
        <f t="shared" si="4"/>
        <v>0.86238532110091748</v>
      </c>
      <c r="S51" s="29">
        <f t="shared" si="5"/>
        <v>86.238532110091754</v>
      </c>
      <c r="T51" s="5" t="str">
        <f>IF(Delivery_Data3[[#This Row],[Delays (min)]]&gt;0,"No","Yes")</f>
        <v>No</v>
      </c>
      <c r="W51" s="41">
        <f t="shared" si="6"/>
        <v>45176</v>
      </c>
      <c r="X51" s="5">
        <v>94</v>
      </c>
    </row>
    <row r="52" spans="1:24" ht="15.75" customHeight="1" x14ac:dyDescent="0.3">
      <c r="A52" s="4">
        <v>1051</v>
      </c>
      <c r="B52" s="5" t="s">
        <v>129</v>
      </c>
      <c r="C52" s="6">
        <v>45175.662499999999</v>
      </c>
      <c r="D52" s="5" t="s">
        <v>14</v>
      </c>
      <c r="E52" s="5" t="s">
        <v>130</v>
      </c>
      <c r="F52" s="5" t="s">
        <v>24</v>
      </c>
      <c r="G52" s="5" t="s">
        <v>17</v>
      </c>
      <c r="H52" s="5">
        <v>104</v>
      </c>
      <c r="I52" s="5">
        <v>19</v>
      </c>
      <c r="J52" s="5" t="s">
        <v>32</v>
      </c>
      <c r="K52" s="5" t="s">
        <v>45</v>
      </c>
      <c r="L52" s="5" t="s">
        <v>28</v>
      </c>
      <c r="M52" s="7" t="s">
        <v>21</v>
      </c>
      <c r="N52" s="26">
        <f t="shared" si="0"/>
        <v>-1</v>
      </c>
      <c r="O52" s="42">
        <f t="shared" si="1"/>
        <v>45175</v>
      </c>
      <c r="P52" s="5" t="str">
        <f t="shared" si="2"/>
        <v>Wednesday</v>
      </c>
      <c r="Q52" s="5">
        <f t="shared" si="3"/>
        <v>15</v>
      </c>
      <c r="R52" s="28">
        <f t="shared" si="4"/>
        <v>0.84552845528455289</v>
      </c>
      <c r="S52" s="29">
        <f t="shared" si="5"/>
        <v>84.552845528455293</v>
      </c>
      <c r="T52" s="5" t="str">
        <f>IF(Delivery_Data3[[#This Row],[Delays (min)]]&gt;0,"No","Yes")</f>
        <v>No</v>
      </c>
      <c r="W52" s="41">
        <f t="shared" si="6"/>
        <v>45175</v>
      </c>
      <c r="X52" s="5">
        <v>104</v>
      </c>
    </row>
    <row r="53" spans="1:24" ht="15.75" customHeight="1" x14ac:dyDescent="0.3">
      <c r="A53" s="4">
        <v>1052</v>
      </c>
      <c r="B53" s="5" t="s">
        <v>131</v>
      </c>
      <c r="C53" s="6">
        <v>45174.334027777775</v>
      </c>
      <c r="D53" s="5" t="s">
        <v>43</v>
      </c>
      <c r="E53" s="5" t="s">
        <v>132</v>
      </c>
      <c r="F53" s="5" t="s">
        <v>38</v>
      </c>
      <c r="G53" s="5" t="s">
        <v>25</v>
      </c>
      <c r="H53" s="5">
        <v>204</v>
      </c>
      <c r="I53" s="5">
        <v>14</v>
      </c>
      <c r="J53" s="5" t="s">
        <v>26</v>
      </c>
      <c r="K53" s="5" t="s">
        <v>45</v>
      </c>
      <c r="L53" s="5" t="s">
        <v>28</v>
      </c>
      <c r="M53" s="7" t="s">
        <v>46</v>
      </c>
      <c r="N53" s="26">
        <f t="shared" si="0"/>
        <v>1</v>
      </c>
      <c r="O53" s="42">
        <f t="shared" si="1"/>
        <v>45174</v>
      </c>
      <c r="P53" s="5" t="str">
        <f t="shared" si="2"/>
        <v>Tuesday</v>
      </c>
      <c r="Q53" s="5">
        <f t="shared" si="3"/>
        <v>8</v>
      </c>
      <c r="R53" s="28">
        <f t="shared" si="4"/>
        <v>0.93577981651376152</v>
      </c>
      <c r="S53" s="29">
        <f t="shared" si="5"/>
        <v>93.577981651376149</v>
      </c>
      <c r="T53" s="5" t="str">
        <f>IF(Delivery_Data3[[#This Row],[Delays (min)]]&gt;0,"No","Yes")</f>
        <v>No</v>
      </c>
      <c r="W53" s="41">
        <f t="shared" si="6"/>
        <v>45174</v>
      </c>
      <c r="X53" s="5">
        <v>204</v>
      </c>
    </row>
    <row r="54" spans="1:24" ht="15.75" customHeight="1" x14ac:dyDescent="0.3">
      <c r="A54" s="4">
        <v>1053</v>
      </c>
      <c r="B54" s="5" t="s">
        <v>133</v>
      </c>
      <c r="C54" s="6">
        <v>45171.447222222225</v>
      </c>
      <c r="D54" s="5" t="s">
        <v>43</v>
      </c>
      <c r="E54" s="5" t="s">
        <v>109</v>
      </c>
      <c r="F54" s="5" t="s">
        <v>24</v>
      </c>
      <c r="G54" s="5" t="s">
        <v>56</v>
      </c>
      <c r="H54" s="5">
        <v>66</v>
      </c>
      <c r="I54" s="5">
        <v>13</v>
      </c>
      <c r="J54" s="5" t="s">
        <v>18</v>
      </c>
      <c r="K54" s="5" t="s">
        <v>45</v>
      </c>
      <c r="L54" s="5" t="s">
        <v>20</v>
      </c>
      <c r="M54" s="7" t="s">
        <v>41</v>
      </c>
      <c r="N54" s="26">
        <f t="shared" si="0"/>
        <v>0</v>
      </c>
      <c r="O54" s="42">
        <f t="shared" si="1"/>
        <v>45171</v>
      </c>
      <c r="P54" s="5" t="str">
        <f t="shared" si="2"/>
        <v>Saturday</v>
      </c>
      <c r="Q54" s="5">
        <f t="shared" si="3"/>
        <v>10</v>
      </c>
      <c r="R54" s="28">
        <f t="shared" si="4"/>
        <v>0.83544303797468356</v>
      </c>
      <c r="S54" s="29">
        <f t="shared" si="5"/>
        <v>83.544303797468359</v>
      </c>
      <c r="T54" s="5" t="str">
        <f>IF(Delivery_Data3[[#This Row],[Delays (min)]]&gt;0,"No","Yes")</f>
        <v>No</v>
      </c>
      <c r="W54" s="41">
        <f t="shared" si="6"/>
        <v>45171</v>
      </c>
      <c r="X54" s="5">
        <v>66</v>
      </c>
    </row>
    <row r="55" spans="1:24" ht="15.75" customHeight="1" x14ac:dyDescent="0.3">
      <c r="A55" s="4">
        <v>1054</v>
      </c>
      <c r="B55" s="5" t="s">
        <v>134</v>
      </c>
      <c r="C55" s="6">
        <v>45171.53402777778</v>
      </c>
      <c r="D55" s="5" t="s">
        <v>43</v>
      </c>
      <c r="E55" s="5" t="s">
        <v>135</v>
      </c>
      <c r="F55" s="5" t="s">
        <v>16</v>
      </c>
      <c r="G55" s="5" t="s">
        <v>17</v>
      </c>
      <c r="H55" s="5">
        <v>162</v>
      </c>
      <c r="I55" s="5">
        <v>12</v>
      </c>
      <c r="J55" s="5" t="s">
        <v>26</v>
      </c>
      <c r="K55" s="5" t="s">
        <v>45</v>
      </c>
      <c r="L55" s="5" t="s">
        <v>20</v>
      </c>
      <c r="M55" s="7" t="s">
        <v>41</v>
      </c>
      <c r="N55" s="26">
        <f t="shared" si="0"/>
        <v>1</v>
      </c>
      <c r="O55" s="42">
        <f t="shared" si="1"/>
        <v>45171</v>
      </c>
      <c r="P55" s="5" t="str">
        <f t="shared" si="2"/>
        <v>Saturday</v>
      </c>
      <c r="Q55" s="5">
        <f t="shared" si="3"/>
        <v>12</v>
      </c>
      <c r="R55" s="28">
        <f t="shared" si="4"/>
        <v>0.93103448275862066</v>
      </c>
      <c r="S55" s="29">
        <f t="shared" si="5"/>
        <v>93.103448275862064</v>
      </c>
      <c r="T55" s="5" t="str">
        <f>IF(Delivery_Data3[[#This Row],[Delays (min)]]&gt;0,"No","Yes")</f>
        <v>No</v>
      </c>
      <c r="W55" s="41">
        <f t="shared" si="6"/>
        <v>45171</v>
      </c>
      <c r="X55" s="5">
        <v>162</v>
      </c>
    </row>
    <row r="56" spans="1:24" ht="15.75" customHeight="1" x14ac:dyDescent="0.3">
      <c r="A56" s="4">
        <v>1055</v>
      </c>
      <c r="B56" s="5" t="s">
        <v>136</v>
      </c>
      <c r="C56" s="6">
        <v>45175.367361111108</v>
      </c>
      <c r="D56" s="5" t="s">
        <v>43</v>
      </c>
      <c r="E56" s="5" t="s">
        <v>128</v>
      </c>
      <c r="F56" s="5" t="s">
        <v>24</v>
      </c>
      <c r="G56" s="5" t="s">
        <v>39</v>
      </c>
      <c r="H56" s="5">
        <v>239</v>
      </c>
      <c r="I56" s="5">
        <v>24</v>
      </c>
      <c r="J56" s="5" t="s">
        <v>26</v>
      </c>
      <c r="K56" s="5" t="s">
        <v>27</v>
      </c>
      <c r="L56" s="5" t="s">
        <v>40</v>
      </c>
      <c r="M56" s="7" t="s">
        <v>21</v>
      </c>
      <c r="N56" s="26">
        <f t="shared" si="0"/>
        <v>1</v>
      </c>
      <c r="O56" s="42">
        <f t="shared" si="1"/>
        <v>45175</v>
      </c>
      <c r="P56" s="5" t="str">
        <f t="shared" si="2"/>
        <v>Wednesday</v>
      </c>
      <c r="Q56" s="5">
        <f t="shared" si="3"/>
        <v>8</v>
      </c>
      <c r="R56" s="28">
        <f t="shared" si="4"/>
        <v>0.90874524714828897</v>
      </c>
      <c r="S56" s="29">
        <f t="shared" si="5"/>
        <v>90.874524714828894</v>
      </c>
      <c r="T56" s="5" t="str">
        <f>IF(Delivery_Data3[[#This Row],[Delays (min)]]&gt;0,"No","Yes")</f>
        <v>No</v>
      </c>
      <c r="W56" s="41">
        <f t="shared" si="6"/>
        <v>45175</v>
      </c>
      <c r="X56" s="5">
        <v>239</v>
      </c>
    </row>
    <row r="57" spans="1:24" ht="15.75" customHeight="1" x14ac:dyDescent="0.3">
      <c r="A57" s="4">
        <v>1056</v>
      </c>
      <c r="B57" s="5" t="s">
        <v>137</v>
      </c>
      <c r="C57" s="6">
        <v>45176.436805555553</v>
      </c>
      <c r="D57" s="5" t="s">
        <v>43</v>
      </c>
      <c r="E57" s="5" t="s">
        <v>44</v>
      </c>
      <c r="F57" s="5" t="s">
        <v>16</v>
      </c>
      <c r="G57" s="5" t="s">
        <v>56</v>
      </c>
      <c r="H57" s="5">
        <v>235</v>
      </c>
      <c r="I57" s="5">
        <v>23</v>
      </c>
      <c r="J57" s="5" t="s">
        <v>32</v>
      </c>
      <c r="K57" s="5" t="s">
        <v>19</v>
      </c>
      <c r="L57" s="5" t="s">
        <v>28</v>
      </c>
      <c r="M57" s="7" t="s">
        <v>46</v>
      </c>
      <c r="N57" s="26">
        <f t="shared" si="0"/>
        <v>-1</v>
      </c>
      <c r="O57" s="42">
        <f t="shared" si="1"/>
        <v>45176</v>
      </c>
      <c r="P57" s="5" t="str">
        <f t="shared" si="2"/>
        <v>Thursday</v>
      </c>
      <c r="Q57" s="5">
        <f t="shared" si="3"/>
        <v>10</v>
      </c>
      <c r="R57" s="28">
        <f t="shared" si="4"/>
        <v>0.91085271317829453</v>
      </c>
      <c r="S57" s="29">
        <f t="shared" si="5"/>
        <v>91.085271317829452</v>
      </c>
      <c r="T57" s="5" t="str">
        <f>IF(Delivery_Data3[[#This Row],[Delays (min)]]&gt;0,"No","Yes")</f>
        <v>No</v>
      </c>
      <c r="W57" s="41">
        <f t="shared" si="6"/>
        <v>45176</v>
      </c>
      <c r="X57" s="5">
        <v>235</v>
      </c>
    </row>
    <row r="58" spans="1:24" ht="15.75" customHeight="1" x14ac:dyDescent="0.3">
      <c r="A58" s="4">
        <v>1057</v>
      </c>
      <c r="B58" s="5" t="s">
        <v>138</v>
      </c>
      <c r="C58" s="6">
        <v>45177.671527777777</v>
      </c>
      <c r="D58" s="5" t="s">
        <v>14</v>
      </c>
      <c r="E58" s="5" t="s">
        <v>99</v>
      </c>
      <c r="F58" s="5" t="s">
        <v>24</v>
      </c>
      <c r="G58" s="5" t="s">
        <v>56</v>
      </c>
      <c r="H58" s="5">
        <v>87</v>
      </c>
      <c r="I58" s="5">
        <v>5</v>
      </c>
      <c r="J58" s="5" t="s">
        <v>32</v>
      </c>
      <c r="K58" s="5" t="s">
        <v>19</v>
      </c>
      <c r="L58" s="5" t="s">
        <v>40</v>
      </c>
      <c r="M58" s="7" t="s">
        <v>46</v>
      </c>
      <c r="N58" s="26">
        <f t="shared" si="0"/>
        <v>-1</v>
      </c>
      <c r="O58" s="42">
        <f t="shared" si="1"/>
        <v>45177</v>
      </c>
      <c r="P58" s="5" t="str">
        <f t="shared" si="2"/>
        <v>Friday</v>
      </c>
      <c r="Q58" s="5">
        <f t="shared" si="3"/>
        <v>16</v>
      </c>
      <c r="R58" s="28">
        <f t="shared" si="4"/>
        <v>0.94565217391304346</v>
      </c>
      <c r="S58" s="29">
        <f t="shared" si="5"/>
        <v>94.565217391304344</v>
      </c>
      <c r="T58" s="5" t="str">
        <f>IF(Delivery_Data3[[#This Row],[Delays (min)]]&gt;0,"No","Yes")</f>
        <v>No</v>
      </c>
      <c r="W58" s="41">
        <f t="shared" si="6"/>
        <v>45177</v>
      </c>
      <c r="X58" s="5">
        <v>87</v>
      </c>
    </row>
    <row r="59" spans="1:24" ht="15.75" customHeight="1" x14ac:dyDescent="0.3">
      <c r="A59" s="4">
        <v>1058</v>
      </c>
      <c r="B59" s="5" t="s">
        <v>139</v>
      </c>
      <c r="C59" s="6">
        <v>45172.668749999997</v>
      </c>
      <c r="D59" s="5" t="s">
        <v>43</v>
      </c>
      <c r="E59" s="5" t="s">
        <v>140</v>
      </c>
      <c r="F59" s="5" t="s">
        <v>24</v>
      </c>
      <c r="G59" s="5" t="s">
        <v>31</v>
      </c>
      <c r="H59" s="5">
        <v>214</v>
      </c>
      <c r="I59" s="5">
        <v>0</v>
      </c>
      <c r="J59" s="5" t="s">
        <v>26</v>
      </c>
      <c r="K59" s="5" t="s">
        <v>45</v>
      </c>
      <c r="L59" s="5" t="s">
        <v>20</v>
      </c>
      <c r="M59" s="7" t="s">
        <v>46</v>
      </c>
      <c r="N59" s="26">
        <f t="shared" si="0"/>
        <v>1</v>
      </c>
      <c r="O59" s="42">
        <f t="shared" si="1"/>
        <v>45172</v>
      </c>
      <c r="P59" s="5" t="str">
        <f t="shared" si="2"/>
        <v>Sunday</v>
      </c>
      <c r="Q59" s="5">
        <f t="shared" si="3"/>
        <v>16</v>
      </c>
      <c r="R59" s="28">
        <f t="shared" si="4"/>
        <v>1</v>
      </c>
      <c r="S59" s="29">
        <f t="shared" si="5"/>
        <v>100</v>
      </c>
      <c r="T59" s="5" t="str">
        <f>IF(Delivery_Data3[[#This Row],[Delays (min)]]&gt;0,"No","Yes")</f>
        <v>Yes</v>
      </c>
      <c r="W59" s="41">
        <f t="shared" si="6"/>
        <v>45172</v>
      </c>
      <c r="X59" s="5">
        <v>214</v>
      </c>
    </row>
    <row r="60" spans="1:24" ht="15.75" customHeight="1" x14ac:dyDescent="0.3">
      <c r="A60" s="4">
        <v>1059</v>
      </c>
      <c r="B60" s="5" t="s">
        <v>141</v>
      </c>
      <c r="C60" s="6">
        <v>45174.625</v>
      </c>
      <c r="D60" s="5" t="s">
        <v>14</v>
      </c>
      <c r="E60" s="5" t="s">
        <v>126</v>
      </c>
      <c r="F60" s="5" t="s">
        <v>38</v>
      </c>
      <c r="G60" s="5" t="s">
        <v>56</v>
      </c>
      <c r="H60" s="5">
        <v>151</v>
      </c>
      <c r="I60" s="5">
        <v>23</v>
      </c>
      <c r="J60" s="5" t="s">
        <v>26</v>
      </c>
      <c r="K60" s="5" t="s">
        <v>19</v>
      </c>
      <c r="L60" s="5" t="s">
        <v>20</v>
      </c>
      <c r="M60" s="7" t="s">
        <v>46</v>
      </c>
      <c r="N60" s="26">
        <f t="shared" si="0"/>
        <v>1</v>
      </c>
      <c r="O60" s="42">
        <f t="shared" si="1"/>
        <v>45174</v>
      </c>
      <c r="P60" s="5" t="str">
        <f t="shared" si="2"/>
        <v>Tuesday</v>
      </c>
      <c r="Q60" s="5">
        <f t="shared" si="3"/>
        <v>15</v>
      </c>
      <c r="R60" s="28">
        <f t="shared" si="4"/>
        <v>0.86781609195402298</v>
      </c>
      <c r="S60" s="29">
        <f t="shared" si="5"/>
        <v>86.781609195402297</v>
      </c>
      <c r="T60" s="5" t="str">
        <f>IF(Delivery_Data3[[#This Row],[Delays (min)]]&gt;0,"No","Yes")</f>
        <v>No</v>
      </c>
      <c r="W60" s="41">
        <f t="shared" si="6"/>
        <v>45174</v>
      </c>
      <c r="X60" s="5">
        <v>151</v>
      </c>
    </row>
    <row r="61" spans="1:24" ht="15.75" customHeight="1" x14ac:dyDescent="0.3">
      <c r="A61" s="4">
        <v>1060</v>
      </c>
      <c r="B61" s="5" t="s">
        <v>142</v>
      </c>
      <c r="C61" s="6">
        <v>45173.547222222223</v>
      </c>
      <c r="D61" s="5" t="s">
        <v>43</v>
      </c>
      <c r="E61" s="5" t="s">
        <v>143</v>
      </c>
      <c r="F61" s="5" t="s">
        <v>16</v>
      </c>
      <c r="G61" s="5" t="s">
        <v>31</v>
      </c>
      <c r="H61" s="5">
        <v>132</v>
      </c>
      <c r="I61" s="5">
        <v>11</v>
      </c>
      <c r="J61" s="5" t="s">
        <v>32</v>
      </c>
      <c r="K61" s="5" t="s">
        <v>45</v>
      </c>
      <c r="L61" s="5" t="s">
        <v>20</v>
      </c>
      <c r="M61" s="7" t="s">
        <v>21</v>
      </c>
      <c r="N61" s="26">
        <f t="shared" si="0"/>
        <v>-1</v>
      </c>
      <c r="O61" s="42">
        <f t="shared" si="1"/>
        <v>45173</v>
      </c>
      <c r="P61" s="5" t="str">
        <f t="shared" si="2"/>
        <v>Monday</v>
      </c>
      <c r="Q61" s="5">
        <f t="shared" si="3"/>
        <v>13</v>
      </c>
      <c r="R61" s="28">
        <f t="shared" si="4"/>
        <v>0.92307692307692313</v>
      </c>
      <c r="S61" s="29">
        <f t="shared" si="5"/>
        <v>92.307692307692307</v>
      </c>
      <c r="T61" s="5" t="str">
        <f>IF(Delivery_Data3[[#This Row],[Delays (min)]]&gt;0,"No","Yes")</f>
        <v>No</v>
      </c>
      <c r="W61" s="41">
        <f t="shared" si="6"/>
        <v>45173</v>
      </c>
      <c r="X61" s="5">
        <v>132</v>
      </c>
    </row>
    <row r="62" spans="1:24" ht="15.75" customHeight="1" x14ac:dyDescent="0.3">
      <c r="A62" s="4">
        <v>1061</v>
      </c>
      <c r="B62" s="5" t="s">
        <v>144</v>
      </c>
      <c r="C62" s="6">
        <v>45175.689583333333</v>
      </c>
      <c r="D62" s="5" t="s">
        <v>14</v>
      </c>
      <c r="E62" s="5" t="s">
        <v>87</v>
      </c>
      <c r="F62" s="5" t="s">
        <v>16</v>
      </c>
      <c r="G62" s="5" t="s">
        <v>56</v>
      </c>
      <c r="H62" s="5">
        <v>163</v>
      </c>
      <c r="I62" s="5">
        <v>25</v>
      </c>
      <c r="J62" s="5" t="s">
        <v>18</v>
      </c>
      <c r="K62" s="5" t="s">
        <v>27</v>
      </c>
      <c r="L62" s="5" t="s">
        <v>40</v>
      </c>
      <c r="M62" s="7" t="s">
        <v>21</v>
      </c>
      <c r="N62" s="26">
        <f t="shared" si="0"/>
        <v>0</v>
      </c>
      <c r="O62" s="42">
        <f t="shared" si="1"/>
        <v>45175</v>
      </c>
      <c r="P62" s="5" t="str">
        <f t="shared" si="2"/>
        <v>Wednesday</v>
      </c>
      <c r="Q62" s="5">
        <f t="shared" si="3"/>
        <v>16</v>
      </c>
      <c r="R62" s="28">
        <f t="shared" si="4"/>
        <v>0.86702127659574468</v>
      </c>
      <c r="S62" s="29">
        <f t="shared" si="5"/>
        <v>86.702127659574472</v>
      </c>
      <c r="T62" s="5" t="str">
        <f>IF(Delivery_Data3[[#This Row],[Delays (min)]]&gt;0,"No","Yes")</f>
        <v>No</v>
      </c>
      <c r="W62" s="41">
        <f t="shared" si="6"/>
        <v>45175</v>
      </c>
      <c r="X62" s="5">
        <v>163</v>
      </c>
    </row>
    <row r="63" spans="1:24" ht="15.75" customHeight="1" x14ac:dyDescent="0.3">
      <c r="A63" s="4">
        <v>1062</v>
      </c>
      <c r="B63" s="5" t="s">
        <v>145</v>
      </c>
      <c r="C63" s="6">
        <v>45172.590277777781</v>
      </c>
      <c r="D63" s="5" t="s">
        <v>43</v>
      </c>
      <c r="E63" s="5" t="s">
        <v>109</v>
      </c>
      <c r="F63" s="5" t="s">
        <v>38</v>
      </c>
      <c r="G63" s="5" t="s">
        <v>31</v>
      </c>
      <c r="H63" s="5">
        <v>76</v>
      </c>
      <c r="I63" s="5">
        <v>4</v>
      </c>
      <c r="J63" s="5" t="s">
        <v>18</v>
      </c>
      <c r="K63" s="5" t="s">
        <v>49</v>
      </c>
      <c r="L63" s="5" t="s">
        <v>28</v>
      </c>
      <c r="M63" s="7" t="s">
        <v>46</v>
      </c>
      <c r="N63" s="26">
        <f t="shared" si="0"/>
        <v>0</v>
      </c>
      <c r="O63" s="42">
        <f t="shared" si="1"/>
        <v>45172</v>
      </c>
      <c r="P63" s="5" t="str">
        <f t="shared" si="2"/>
        <v>Sunday</v>
      </c>
      <c r="Q63" s="5">
        <f t="shared" si="3"/>
        <v>14</v>
      </c>
      <c r="R63" s="28">
        <f t="shared" si="4"/>
        <v>0.95</v>
      </c>
      <c r="S63" s="29">
        <f t="shared" si="5"/>
        <v>95</v>
      </c>
      <c r="T63" s="5" t="str">
        <f>IF(Delivery_Data3[[#This Row],[Delays (min)]]&gt;0,"No","Yes")</f>
        <v>No</v>
      </c>
      <c r="W63" s="41">
        <f t="shared" si="6"/>
        <v>45172</v>
      </c>
      <c r="X63" s="5">
        <v>76</v>
      </c>
    </row>
    <row r="64" spans="1:24" ht="15.75" customHeight="1" x14ac:dyDescent="0.3">
      <c r="A64" s="4">
        <v>1063</v>
      </c>
      <c r="B64" s="5" t="s">
        <v>146</v>
      </c>
      <c r="C64" s="6">
        <v>45176.565972222219</v>
      </c>
      <c r="D64" s="5" t="s">
        <v>43</v>
      </c>
      <c r="E64" s="5" t="s">
        <v>97</v>
      </c>
      <c r="F64" s="5" t="s">
        <v>38</v>
      </c>
      <c r="G64" s="5" t="s">
        <v>56</v>
      </c>
      <c r="H64" s="5">
        <v>64</v>
      </c>
      <c r="I64" s="5">
        <v>20</v>
      </c>
      <c r="J64" s="5" t="s">
        <v>18</v>
      </c>
      <c r="K64" s="5" t="s">
        <v>49</v>
      </c>
      <c r="L64" s="5" t="s">
        <v>40</v>
      </c>
      <c r="M64" s="7" t="s">
        <v>46</v>
      </c>
      <c r="N64" s="26">
        <f t="shared" si="0"/>
        <v>0</v>
      </c>
      <c r="O64" s="42">
        <f t="shared" si="1"/>
        <v>45176</v>
      </c>
      <c r="P64" s="5" t="str">
        <f t="shared" si="2"/>
        <v>Thursday</v>
      </c>
      <c r="Q64" s="5">
        <f t="shared" si="3"/>
        <v>13</v>
      </c>
      <c r="R64" s="28">
        <f t="shared" si="4"/>
        <v>0.76190476190476186</v>
      </c>
      <c r="S64" s="29">
        <f t="shared" si="5"/>
        <v>76.19047619047619</v>
      </c>
      <c r="T64" s="5" t="str">
        <f>IF(Delivery_Data3[[#This Row],[Delays (min)]]&gt;0,"No","Yes")</f>
        <v>No</v>
      </c>
      <c r="W64" s="41">
        <f t="shared" si="6"/>
        <v>45176</v>
      </c>
      <c r="X64" s="5">
        <v>64</v>
      </c>
    </row>
    <row r="65" spans="1:24" ht="15.75" customHeight="1" x14ac:dyDescent="0.3">
      <c r="A65" s="4">
        <v>1064</v>
      </c>
      <c r="B65" s="5" t="s">
        <v>147</v>
      </c>
      <c r="C65" s="6">
        <v>45175.585416666669</v>
      </c>
      <c r="D65" s="5" t="s">
        <v>14</v>
      </c>
      <c r="E65" s="5" t="s">
        <v>109</v>
      </c>
      <c r="F65" s="5" t="s">
        <v>38</v>
      </c>
      <c r="G65" s="5" t="s">
        <v>56</v>
      </c>
      <c r="H65" s="5">
        <v>129</v>
      </c>
      <c r="I65" s="5">
        <v>2</v>
      </c>
      <c r="J65" s="5" t="s">
        <v>18</v>
      </c>
      <c r="K65" s="5" t="s">
        <v>19</v>
      </c>
      <c r="L65" s="5" t="s">
        <v>20</v>
      </c>
      <c r="M65" s="7" t="s">
        <v>21</v>
      </c>
      <c r="N65" s="26">
        <f t="shared" si="0"/>
        <v>0</v>
      </c>
      <c r="O65" s="42">
        <f t="shared" si="1"/>
        <v>45175</v>
      </c>
      <c r="P65" s="5" t="str">
        <f t="shared" si="2"/>
        <v>Wednesday</v>
      </c>
      <c r="Q65" s="5">
        <f t="shared" si="3"/>
        <v>14</v>
      </c>
      <c r="R65" s="28">
        <f t="shared" si="4"/>
        <v>0.98473282442748089</v>
      </c>
      <c r="S65" s="29">
        <f t="shared" si="5"/>
        <v>98.473282442748086</v>
      </c>
      <c r="T65" s="5" t="str">
        <f>IF(Delivery_Data3[[#This Row],[Delays (min)]]&gt;0,"No","Yes")</f>
        <v>No</v>
      </c>
      <c r="W65" s="41">
        <f t="shared" si="6"/>
        <v>45175</v>
      </c>
      <c r="X65" s="5">
        <v>129</v>
      </c>
    </row>
    <row r="66" spans="1:24" ht="15.75" customHeight="1" x14ac:dyDescent="0.3">
      <c r="A66" s="4">
        <v>1065</v>
      </c>
      <c r="B66" s="5" t="s">
        <v>148</v>
      </c>
      <c r="C66" s="6">
        <v>45177.68472222222</v>
      </c>
      <c r="D66" s="5" t="s">
        <v>43</v>
      </c>
      <c r="E66" s="5" t="s">
        <v>149</v>
      </c>
      <c r="F66" s="5" t="s">
        <v>24</v>
      </c>
      <c r="G66" s="5" t="s">
        <v>25</v>
      </c>
      <c r="H66" s="5">
        <v>238</v>
      </c>
      <c r="I66" s="5">
        <v>7</v>
      </c>
      <c r="J66" s="5" t="s">
        <v>18</v>
      </c>
      <c r="K66" s="5" t="s">
        <v>35</v>
      </c>
      <c r="L66" s="5" t="s">
        <v>20</v>
      </c>
      <c r="M66" s="7" t="s">
        <v>46</v>
      </c>
      <c r="N66" s="26">
        <f t="shared" ref="N66:N129" si="7">IF(J66="Positive",1,IF(J66="Neutral",0,IF(J66="Negative",-1,"")))</f>
        <v>0</v>
      </c>
      <c r="O66" s="42">
        <f t="shared" ref="O66:O129" si="8">INT(C66)</f>
        <v>45177</v>
      </c>
      <c r="P66" s="5" t="str">
        <f t="shared" ref="P66:P129" si="9">TEXT(C66,"dddd")</f>
        <v>Friday</v>
      </c>
      <c r="Q66" s="5">
        <f t="shared" ref="Q66:Q129" si="10">HOUR(C66)</f>
        <v>16</v>
      </c>
      <c r="R66" s="28">
        <f t="shared" ref="R66:R129" si="11">H66/(H66+I66)</f>
        <v>0.97142857142857142</v>
      </c>
      <c r="S66" s="29">
        <f t="shared" si="5"/>
        <v>97.142857142857139</v>
      </c>
      <c r="T66" s="5" t="str">
        <f>IF(Delivery_Data3[[#This Row],[Delays (min)]]&gt;0,"No","Yes")</f>
        <v>No</v>
      </c>
      <c r="W66" s="41">
        <f t="shared" si="6"/>
        <v>45177</v>
      </c>
      <c r="X66" s="5">
        <v>238</v>
      </c>
    </row>
    <row r="67" spans="1:24" ht="15.75" customHeight="1" x14ac:dyDescent="0.3">
      <c r="A67" s="4">
        <v>1066</v>
      </c>
      <c r="B67" s="5" t="s">
        <v>150</v>
      </c>
      <c r="C67" s="6">
        <v>45174.686111111114</v>
      </c>
      <c r="D67" s="5" t="s">
        <v>43</v>
      </c>
      <c r="E67" s="5" t="s">
        <v>151</v>
      </c>
      <c r="F67" s="5" t="s">
        <v>38</v>
      </c>
      <c r="G67" s="5" t="s">
        <v>56</v>
      </c>
      <c r="H67" s="5">
        <v>203</v>
      </c>
      <c r="I67" s="5">
        <v>20</v>
      </c>
      <c r="J67" s="5" t="s">
        <v>26</v>
      </c>
      <c r="K67" s="5" t="s">
        <v>45</v>
      </c>
      <c r="L67" s="5" t="s">
        <v>20</v>
      </c>
      <c r="M67" s="7" t="s">
        <v>21</v>
      </c>
      <c r="N67" s="26">
        <f t="shared" si="7"/>
        <v>1</v>
      </c>
      <c r="O67" s="42">
        <f t="shared" si="8"/>
        <v>45174</v>
      </c>
      <c r="P67" s="5" t="str">
        <f t="shared" si="9"/>
        <v>Tuesday</v>
      </c>
      <c r="Q67" s="5">
        <f t="shared" si="10"/>
        <v>16</v>
      </c>
      <c r="R67" s="28">
        <f t="shared" si="11"/>
        <v>0.91031390134529144</v>
      </c>
      <c r="S67" s="29">
        <f t="shared" ref="S67:S130" si="12">IF(H67+I67=0,0,(H67/(H67+I67))*100) + (IFERROR(--J67,0)*10)</f>
        <v>91.031390134529147</v>
      </c>
      <c r="T67" s="5" t="str">
        <f>IF(Delivery_Data3[[#This Row],[Delays (min)]]&gt;0,"No","Yes")</f>
        <v>No</v>
      </c>
      <c r="W67" s="41">
        <f t="shared" ref="W67:W130" si="13">INT(C67)</f>
        <v>45174</v>
      </c>
      <c r="X67" s="5">
        <v>203</v>
      </c>
    </row>
    <row r="68" spans="1:24" ht="15.75" customHeight="1" x14ac:dyDescent="0.3">
      <c r="A68" s="4">
        <v>1067</v>
      </c>
      <c r="B68" s="5" t="s">
        <v>152</v>
      </c>
      <c r="C68" s="6">
        <v>45172.538194444445</v>
      </c>
      <c r="D68" s="5" t="s">
        <v>14</v>
      </c>
      <c r="E68" s="5" t="s">
        <v>15</v>
      </c>
      <c r="F68" s="5" t="s">
        <v>16</v>
      </c>
      <c r="G68" s="5" t="s">
        <v>56</v>
      </c>
      <c r="H68" s="5">
        <v>230</v>
      </c>
      <c r="I68" s="5">
        <v>8</v>
      </c>
      <c r="J68" s="5" t="s">
        <v>32</v>
      </c>
      <c r="K68" s="5" t="s">
        <v>19</v>
      </c>
      <c r="L68" s="5" t="s">
        <v>40</v>
      </c>
      <c r="M68" s="7" t="s">
        <v>21</v>
      </c>
      <c r="N68" s="26">
        <f t="shared" si="7"/>
        <v>-1</v>
      </c>
      <c r="O68" s="42">
        <f t="shared" si="8"/>
        <v>45172</v>
      </c>
      <c r="P68" s="5" t="str">
        <f t="shared" si="9"/>
        <v>Sunday</v>
      </c>
      <c r="Q68" s="5">
        <f t="shared" si="10"/>
        <v>12</v>
      </c>
      <c r="R68" s="28">
        <f t="shared" si="11"/>
        <v>0.96638655462184875</v>
      </c>
      <c r="S68" s="29">
        <f t="shared" si="12"/>
        <v>96.638655462184872</v>
      </c>
      <c r="T68" s="5" t="str">
        <f>IF(Delivery_Data3[[#This Row],[Delays (min)]]&gt;0,"No","Yes")</f>
        <v>No</v>
      </c>
      <c r="W68" s="41">
        <f t="shared" si="13"/>
        <v>45172</v>
      </c>
      <c r="X68" s="5">
        <v>230</v>
      </c>
    </row>
    <row r="69" spans="1:24" ht="15.75" customHeight="1" x14ac:dyDescent="0.3">
      <c r="A69" s="4">
        <v>1068</v>
      </c>
      <c r="B69" s="5" t="s">
        <v>153</v>
      </c>
      <c r="C69" s="6">
        <v>45175.438194444447</v>
      </c>
      <c r="D69" s="5" t="s">
        <v>14</v>
      </c>
      <c r="E69" s="5" t="s">
        <v>154</v>
      </c>
      <c r="F69" s="5" t="s">
        <v>16</v>
      </c>
      <c r="G69" s="5" t="s">
        <v>56</v>
      </c>
      <c r="H69" s="5">
        <v>231</v>
      </c>
      <c r="I69" s="5">
        <v>12</v>
      </c>
      <c r="J69" s="5" t="s">
        <v>32</v>
      </c>
      <c r="K69" s="5" t="s">
        <v>27</v>
      </c>
      <c r="L69" s="5" t="s">
        <v>20</v>
      </c>
      <c r="M69" s="7" t="s">
        <v>46</v>
      </c>
      <c r="N69" s="26">
        <f t="shared" si="7"/>
        <v>-1</v>
      </c>
      <c r="O69" s="42">
        <f t="shared" si="8"/>
        <v>45175</v>
      </c>
      <c r="P69" s="5" t="str">
        <f t="shared" si="9"/>
        <v>Wednesday</v>
      </c>
      <c r="Q69" s="5">
        <f t="shared" si="10"/>
        <v>10</v>
      </c>
      <c r="R69" s="28">
        <f t="shared" si="11"/>
        <v>0.95061728395061729</v>
      </c>
      <c r="S69" s="29">
        <f t="shared" si="12"/>
        <v>95.061728395061735</v>
      </c>
      <c r="T69" s="5" t="str">
        <f>IF(Delivery_Data3[[#This Row],[Delays (min)]]&gt;0,"No","Yes")</f>
        <v>No</v>
      </c>
      <c r="W69" s="41">
        <f t="shared" si="13"/>
        <v>45175</v>
      </c>
      <c r="X69" s="5">
        <v>231</v>
      </c>
    </row>
    <row r="70" spans="1:24" ht="15.75" customHeight="1" x14ac:dyDescent="0.3">
      <c r="A70" s="4">
        <v>1069</v>
      </c>
      <c r="B70" s="5" t="s">
        <v>155</v>
      </c>
      <c r="C70" s="6">
        <v>45174.681250000001</v>
      </c>
      <c r="D70" s="5" t="s">
        <v>43</v>
      </c>
      <c r="E70" s="5" t="s">
        <v>156</v>
      </c>
      <c r="F70" s="5" t="s">
        <v>38</v>
      </c>
      <c r="G70" s="5" t="s">
        <v>31</v>
      </c>
      <c r="H70" s="5">
        <v>72</v>
      </c>
      <c r="I70" s="5">
        <v>0</v>
      </c>
      <c r="J70" s="5" t="s">
        <v>18</v>
      </c>
      <c r="K70" s="5" t="s">
        <v>49</v>
      </c>
      <c r="L70" s="5" t="s">
        <v>20</v>
      </c>
      <c r="M70" s="7" t="s">
        <v>46</v>
      </c>
      <c r="N70" s="26">
        <f t="shared" si="7"/>
        <v>0</v>
      </c>
      <c r="O70" s="42">
        <f t="shared" si="8"/>
        <v>45174</v>
      </c>
      <c r="P70" s="5" t="str">
        <f t="shared" si="9"/>
        <v>Tuesday</v>
      </c>
      <c r="Q70" s="5">
        <f t="shared" si="10"/>
        <v>16</v>
      </c>
      <c r="R70" s="28">
        <f t="shared" si="11"/>
        <v>1</v>
      </c>
      <c r="S70" s="29">
        <f t="shared" si="12"/>
        <v>100</v>
      </c>
      <c r="T70" s="5" t="str">
        <f>IF(Delivery_Data3[[#This Row],[Delays (min)]]&gt;0,"No","Yes")</f>
        <v>Yes</v>
      </c>
      <c r="W70" s="41">
        <f t="shared" si="13"/>
        <v>45174</v>
      </c>
      <c r="X70" s="5">
        <v>72</v>
      </c>
    </row>
    <row r="71" spans="1:24" ht="15.75" customHeight="1" x14ac:dyDescent="0.3">
      <c r="A71" s="4">
        <v>1070</v>
      </c>
      <c r="B71" s="5" t="s">
        <v>157</v>
      </c>
      <c r="C71" s="6">
        <v>45175.694444444445</v>
      </c>
      <c r="D71" s="5" t="s">
        <v>14</v>
      </c>
      <c r="E71" s="5" t="s">
        <v>158</v>
      </c>
      <c r="F71" s="5" t="s">
        <v>16</v>
      </c>
      <c r="G71" s="5" t="s">
        <v>25</v>
      </c>
      <c r="H71" s="5">
        <v>172</v>
      </c>
      <c r="I71" s="5">
        <v>6</v>
      </c>
      <c r="J71" s="5" t="s">
        <v>32</v>
      </c>
      <c r="K71" s="5" t="s">
        <v>27</v>
      </c>
      <c r="L71" s="5" t="s">
        <v>28</v>
      </c>
      <c r="M71" s="7" t="s">
        <v>41</v>
      </c>
      <c r="N71" s="26">
        <f t="shared" si="7"/>
        <v>-1</v>
      </c>
      <c r="O71" s="42">
        <f t="shared" si="8"/>
        <v>45175</v>
      </c>
      <c r="P71" s="5" t="str">
        <f t="shared" si="9"/>
        <v>Wednesday</v>
      </c>
      <c r="Q71" s="5">
        <f t="shared" si="10"/>
        <v>16</v>
      </c>
      <c r="R71" s="28">
        <f t="shared" si="11"/>
        <v>0.9662921348314607</v>
      </c>
      <c r="S71" s="29">
        <f t="shared" si="12"/>
        <v>96.629213483146074</v>
      </c>
      <c r="T71" s="5" t="str">
        <f>IF(Delivery_Data3[[#This Row],[Delays (min)]]&gt;0,"No","Yes")</f>
        <v>No</v>
      </c>
      <c r="W71" s="41">
        <f t="shared" si="13"/>
        <v>45175</v>
      </c>
      <c r="X71" s="5">
        <v>172</v>
      </c>
    </row>
    <row r="72" spans="1:24" ht="15.75" customHeight="1" x14ac:dyDescent="0.3">
      <c r="A72" s="4">
        <v>1071</v>
      </c>
      <c r="B72" s="5" t="s">
        <v>159</v>
      </c>
      <c r="C72" s="6">
        <v>45175.599305555559</v>
      </c>
      <c r="D72" s="5" t="s">
        <v>43</v>
      </c>
      <c r="E72" s="5" t="s">
        <v>160</v>
      </c>
      <c r="F72" s="5" t="s">
        <v>38</v>
      </c>
      <c r="G72" s="5" t="s">
        <v>25</v>
      </c>
      <c r="H72" s="5">
        <v>188</v>
      </c>
      <c r="I72" s="5">
        <v>21</v>
      </c>
      <c r="J72" s="5" t="s">
        <v>32</v>
      </c>
      <c r="K72" s="5" t="s">
        <v>45</v>
      </c>
      <c r="L72" s="5" t="s">
        <v>20</v>
      </c>
      <c r="M72" s="7" t="s">
        <v>21</v>
      </c>
      <c r="N72" s="26">
        <f t="shared" si="7"/>
        <v>-1</v>
      </c>
      <c r="O72" s="42">
        <f t="shared" si="8"/>
        <v>45175</v>
      </c>
      <c r="P72" s="5" t="str">
        <f t="shared" si="9"/>
        <v>Wednesday</v>
      </c>
      <c r="Q72" s="5">
        <f t="shared" si="10"/>
        <v>14</v>
      </c>
      <c r="R72" s="28">
        <f t="shared" si="11"/>
        <v>0.8995215311004785</v>
      </c>
      <c r="S72" s="29">
        <f t="shared" si="12"/>
        <v>89.952153110047846</v>
      </c>
      <c r="T72" s="5" t="str">
        <f>IF(Delivery_Data3[[#This Row],[Delays (min)]]&gt;0,"No","Yes")</f>
        <v>No</v>
      </c>
      <c r="W72" s="41">
        <f t="shared" si="13"/>
        <v>45175</v>
      </c>
      <c r="X72" s="5">
        <v>188</v>
      </c>
    </row>
    <row r="73" spans="1:24" ht="15.75" customHeight="1" x14ac:dyDescent="0.3">
      <c r="A73" s="4">
        <v>1072</v>
      </c>
      <c r="B73" s="5" t="s">
        <v>161</v>
      </c>
      <c r="C73" s="6">
        <v>45172.507638888892</v>
      </c>
      <c r="D73" s="5" t="s">
        <v>14</v>
      </c>
      <c r="E73" s="5" t="s">
        <v>162</v>
      </c>
      <c r="F73" s="5" t="s">
        <v>24</v>
      </c>
      <c r="G73" s="5" t="s">
        <v>25</v>
      </c>
      <c r="H73" s="5">
        <v>67</v>
      </c>
      <c r="I73" s="5">
        <v>23</v>
      </c>
      <c r="J73" s="5" t="s">
        <v>26</v>
      </c>
      <c r="K73" s="5" t="s">
        <v>19</v>
      </c>
      <c r="L73" s="5" t="s">
        <v>20</v>
      </c>
      <c r="M73" s="7" t="s">
        <v>41</v>
      </c>
      <c r="N73" s="26">
        <f t="shared" si="7"/>
        <v>1</v>
      </c>
      <c r="O73" s="42">
        <f t="shared" si="8"/>
        <v>45172</v>
      </c>
      <c r="P73" s="5" t="str">
        <f t="shared" si="9"/>
        <v>Sunday</v>
      </c>
      <c r="Q73" s="5">
        <f t="shared" si="10"/>
        <v>12</v>
      </c>
      <c r="R73" s="28">
        <f t="shared" si="11"/>
        <v>0.74444444444444446</v>
      </c>
      <c r="S73" s="29">
        <f t="shared" si="12"/>
        <v>74.444444444444443</v>
      </c>
      <c r="T73" s="5" t="str">
        <f>IF(Delivery_Data3[[#This Row],[Delays (min)]]&gt;0,"No","Yes")</f>
        <v>No</v>
      </c>
      <c r="W73" s="41">
        <f t="shared" si="13"/>
        <v>45172</v>
      </c>
      <c r="X73" s="5">
        <v>67</v>
      </c>
    </row>
    <row r="74" spans="1:24" ht="15.75" customHeight="1" x14ac:dyDescent="0.3">
      <c r="A74" s="4">
        <v>1073</v>
      </c>
      <c r="B74" s="5" t="s">
        <v>163</v>
      </c>
      <c r="C74" s="6">
        <v>45171.527083333334</v>
      </c>
      <c r="D74" s="5" t="s">
        <v>43</v>
      </c>
      <c r="E74" s="5" t="s">
        <v>164</v>
      </c>
      <c r="F74" s="5" t="s">
        <v>16</v>
      </c>
      <c r="G74" s="5" t="s">
        <v>31</v>
      </c>
      <c r="H74" s="5">
        <v>220</v>
      </c>
      <c r="I74" s="5">
        <v>17</v>
      </c>
      <c r="J74" s="5" t="s">
        <v>32</v>
      </c>
      <c r="K74" s="5" t="s">
        <v>49</v>
      </c>
      <c r="L74" s="5" t="s">
        <v>28</v>
      </c>
      <c r="M74" s="7" t="s">
        <v>41</v>
      </c>
      <c r="N74" s="26">
        <f t="shared" si="7"/>
        <v>-1</v>
      </c>
      <c r="O74" s="42">
        <f t="shared" si="8"/>
        <v>45171</v>
      </c>
      <c r="P74" s="5" t="str">
        <f t="shared" si="9"/>
        <v>Saturday</v>
      </c>
      <c r="Q74" s="5">
        <f t="shared" si="10"/>
        <v>12</v>
      </c>
      <c r="R74" s="28">
        <f t="shared" si="11"/>
        <v>0.92827004219409281</v>
      </c>
      <c r="S74" s="29">
        <f t="shared" si="12"/>
        <v>92.827004219409275</v>
      </c>
      <c r="T74" s="5" t="str">
        <f>IF(Delivery_Data3[[#This Row],[Delays (min)]]&gt;0,"No","Yes")</f>
        <v>No</v>
      </c>
      <c r="W74" s="41">
        <f t="shared" si="13"/>
        <v>45171</v>
      </c>
      <c r="X74" s="5">
        <v>220</v>
      </c>
    </row>
    <row r="75" spans="1:24" ht="15.75" customHeight="1" x14ac:dyDescent="0.3">
      <c r="A75" s="4">
        <v>1074</v>
      </c>
      <c r="B75" s="5" t="s">
        <v>165</v>
      </c>
      <c r="C75" s="6">
        <v>45176.410416666666</v>
      </c>
      <c r="D75" s="5" t="s">
        <v>43</v>
      </c>
      <c r="E75" s="5" t="s">
        <v>166</v>
      </c>
      <c r="F75" s="5" t="s">
        <v>24</v>
      </c>
      <c r="G75" s="5" t="s">
        <v>39</v>
      </c>
      <c r="H75" s="5">
        <v>144</v>
      </c>
      <c r="I75" s="5">
        <v>8</v>
      </c>
      <c r="J75" s="5" t="s">
        <v>18</v>
      </c>
      <c r="K75" s="5" t="s">
        <v>19</v>
      </c>
      <c r="L75" s="5" t="s">
        <v>20</v>
      </c>
      <c r="M75" s="7" t="s">
        <v>41</v>
      </c>
      <c r="N75" s="26">
        <f t="shared" si="7"/>
        <v>0</v>
      </c>
      <c r="O75" s="42">
        <f t="shared" si="8"/>
        <v>45176</v>
      </c>
      <c r="P75" s="5" t="str">
        <f t="shared" si="9"/>
        <v>Thursday</v>
      </c>
      <c r="Q75" s="5">
        <f t="shared" si="10"/>
        <v>9</v>
      </c>
      <c r="R75" s="28">
        <f t="shared" si="11"/>
        <v>0.94736842105263153</v>
      </c>
      <c r="S75" s="29">
        <f t="shared" si="12"/>
        <v>94.73684210526315</v>
      </c>
      <c r="T75" s="5" t="str">
        <f>IF(Delivery_Data3[[#This Row],[Delays (min)]]&gt;0,"No","Yes")</f>
        <v>No</v>
      </c>
      <c r="W75" s="41">
        <f t="shared" si="13"/>
        <v>45176</v>
      </c>
      <c r="X75" s="5">
        <v>144</v>
      </c>
    </row>
    <row r="76" spans="1:24" ht="15.75" customHeight="1" x14ac:dyDescent="0.3">
      <c r="A76" s="4">
        <v>1075</v>
      </c>
      <c r="B76" s="5" t="s">
        <v>167</v>
      </c>
      <c r="C76" s="6">
        <v>45172.542361111111</v>
      </c>
      <c r="D76" s="5" t="s">
        <v>43</v>
      </c>
      <c r="E76" s="5" t="s">
        <v>130</v>
      </c>
      <c r="F76" s="5" t="s">
        <v>24</v>
      </c>
      <c r="G76" s="5" t="s">
        <v>31</v>
      </c>
      <c r="H76" s="5">
        <v>200</v>
      </c>
      <c r="I76" s="5">
        <v>26</v>
      </c>
      <c r="J76" s="5" t="s">
        <v>26</v>
      </c>
      <c r="K76" s="5" t="s">
        <v>27</v>
      </c>
      <c r="L76" s="5" t="s">
        <v>20</v>
      </c>
      <c r="M76" s="7" t="s">
        <v>21</v>
      </c>
      <c r="N76" s="26">
        <f t="shared" si="7"/>
        <v>1</v>
      </c>
      <c r="O76" s="42">
        <f t="shared" si="8"/>
        <v>45172</v>
      </c>
      <c r="P76" s="5" t="str">
        <f t="shared" si="9"/>
        <v>Sunday</v>
      </c>
      <c r="Q76" s="5">
        <f t="shared" si="10"/>
        <v>13</v>
      </c>
      <c r="R76" s="28">
        <f t="shared" si="11"/>
        <v>0.88495575221238942</v>
      </c>
      <c r="S76" s="29">
        <f t="shared" si="12"/>
        <v>88.495575221238937</v>
      </c>
      <c r="T76" s="5" t="str">
        <f>IF(Delivery_Data3[[#This Row],[Delays (min)]]&gt;0,"No","Yes")</f>
        <v>No</v>
      </c>
      <c r="W76" s="41">
        <f t="shared" si="13"/>
        <v>45172</v>
      </c>
      <c r="X76" s="5">
        <v>200</v>
      </c>
    </row>
    <row r="77" spans="1:24" ht="15.75" customHeight="1" x14ac:dyDescent="0.3">
      <c r="A77" s="4">
        <v>1076</v>
      </c>
      <c r="B77" s="5" t="s">
        <v>168</v>
      </c>
      <c r="C77" s="6">
        <v>45170.37222222222</v>
      </c>
      <c r="D77" s="5" t="s">
        <v>14</v>
      </c>
      <c r="E77" s="5" t="s">
        <v>169</v>
      </c>
      <c r="F77" s="5" t="s">
        <v>38</v>
      </c>
      <c r="G77" s="5" t="s">
        <v>31</v>
      </c>
      <c r="H77" s="5">
        <v>126</v>
      </c>
      <c r="I77" s="5">
        <v>7</v>
      </c>
      <c r="J77" s="5" t="s">
        <v>18</v>
      </c>
      <c r="K77" s="5" t="s">
        <v>35</v>
      </c>
      <c r="L77" s="5" t="s">
        <v>28</v>
      </c>
      <c r="M77" s="7" t="s">
        <v>41</v>
      </c>
      <c r="N77" s="26">
        <f t="shared" si="7"/>
        <v>0</v>
      </c>
      <c r="O77" s="42">
        <f t="shared" si="8"/>
        <v>45170</v>
      </c>
      <c r="P77" s="5" t="str">
        <f t="shared" si="9"/>
        <v>Friday</v>
      </c>
      <c r="Q77" s="5">
        <f t="shared" si="10"/>
        <v>8</v>
      </c>
      <c r="R77" s="28">
        <f t="shared" si="11"/>
        <v>0.94736842105263153</v>
      </c>
      <c r="S77" s="29">
        <f t="shared" si="12"/>
        <v>94.73684210526315</v>
      </c>
      <c r="T77" s="5" t="str">
        <f>IF(Delivery_Data3[[#This Row],[Delays (min)]]&gt;0,"No","Yes")</f>
        <v>No</v>
      </c>
      <c r="W77" s="41">
        <f t="shared" si="13"/>
        <v>45170</v>
      </c>
      <c r="X77" s="5">
        <v>126</v>
      </c>
    </row>
    <row r="78" spans="1:24" ht="15.75" customHeight="1" x14ac:dyDescent="0.3">
      <c r="A78" s="4">
        <v>1077</v>
      </c>
      <c r="B78" s="5" t="s">
        <v>170</v>
      </c>
      <c r="C78" s="6">
        <v>45174.339583333334</v>
      </c>
      <c r="D78" s="5" t="s">
        <v>43</v>
      </c>
      <c r="E78" s="5" t="s">
        <v>171</v>
      </c>
      <c r="F78" s="5" t="s">
        <v>24</v>
      </c>
      <c r="G78" s="5" t="s">
        <v>17</v>
      </c>
      <c r="H78" s="5">
        <v>187</v>
      </c>
      <c r="I78" s="5">
        <v>21</v>
      </c>
      <c r="J78" s="5" t="s">
        <v>32</v>
      </c>
      <c r="K78" s="5" t="s">
        <v>19</v>
      </c>
      <c r="L78" s="5" t="s">
        <v>28</v>
      </c>
      <c r="M78" s="7" t="s">
        <v>41</v>
      </c>
      <c r="N78" s="26">
        <f t="shared" si="7"/>
        <v>-1</v>
      </c>
      <c r="O78" s="42">
        <f t="shared" si="8"/>
        <v>45174</v>
      </c>
      <c r="P78" s="5" t="str">
        <f t="shared" si="9"/>
        <v>Tuesday</v>
      </c>
      <c r="Q78" s="5">
        <f t="shared" si="10"/>
        <v>8</v>
      </c>
      <c r="R78" s="28">
        <f t="shared" si="11"/>
        <v>0.89903846153846156</v>
      </c>
      <c r="S78" s="29">
        <f t="shared" si="12"/>
        <v>89.90384615384616</v>
      </c>
      <c r="T78" s="5" t="str">
        <f>IF(Delivery_Data3[[#This Row],[Delays (min)]]&gt;0,"No","Yes")</f>
        <v>No</v>
      </c>
      <c r="W78" s="41">
        <f t="shared" si="13"/>
        <v>45174</v>
      </c>
      <c r="X78" s="5">
        <v>187</v>
      </c>
    </row>
    <row r="79" spans="1:24" ht="15.75" customHeight="1" x14ac:dyDescent="0.3">
      <c r="A79" s="4">
        <v>1078</v>
      </c>
      <c r="B79" s="5" t="s">
        <v>172</v>
      </c>
      <c r="C79" s="6">
        <v>45173.569444444445</v>
      </c>
      <c r="D79" s="5" t="s">
        <v>43</v>
      </c>
      <c r="E79" s="5" t="s">
        <v>55</v>
      </c>
      <c r="F79" s="5" t="s">
        <v>16</v>
      </c>
      <c r="G79" s="5" t="s">
        <v>25</v>
      </c>
      <c r="H79" s="5">
        <v>232</v>
      </c>
      <c r="I79" s="5">
        <v>21</v>
      </c>
      <c r="J79" s="5" t="s">
        <v>26</v>
      </c>
      <c r="K79" s="5" t="s">
        <v>19</v>
      </c>
      <c r="L79" s="5" t="s">
        <v>28</v>
      </c>
      <c r="M79" s="7" t="s">
        <v>46</v>
      </c>
      <c r="N79" s="26">
        <f t="shared" si="7"/>
        <v>1</v>
      </c>
      <c r="O79" s="42">
        <f t="shared" si="8"/>
        <v>45173</v>
      </c>
      <c r="P79" s="5" t="str">
        <f t="shared" si="9"/>
        <v>Monday</v>
      </c>
      <c r="Q79" s="5">
        <f t="shared" si="10"/>
        <v>13</v>
      </c>
      <c r="R79" s="28">
        <f t="shared" si="11"/>
        <v>0.91699604743083007</v>
      </c>
      <c r="S79" s="29">
        <f t="shared" si="12"/>
        <v>91.699604743083</v>
      </c>
      <c r="T79" s="5" t="str">
        <f>IF(Delivery_Data3[[#This Row],[Delays (min)]]&gt;0,"No","Yes")</f>
        <v>No</v>
      </c>
      <c r="W79" s="41">
        <f t="shared" si="13"/>
        <v>45173</v>
      </c>
      <c r="X79" s="5">
        <v>232</v>
      </c>
    </row>
    <row r="80" spans="1:24" ht="15.75" customHeight="1" x14ac:dyDescent="0.3">
      <c r="A80" s="4">
        <v>1079</v>
      </c>
      <c r="B80" s="5" t="s">
        <v>173</v>
      </c>
      <c r="C80" s="6">
        <v>45173.461111111108</v>
      </c>
      <c r="D80" s="5" t="s">
        <v>14</v>
      </c>
      <c r="E80" s="5" t="s">
        <v>171</v>
      </c>
      <c r="F80" s="5" t="s">
        <v>16</v>
      </c>
      <c r="G80" s="5" t="s">
        <v>31</v>
      </c>
      <c r="H80" s="5">
        <v>141</v>
      </c>
      <c r="I80" s="5">
        <v>22</v>
      </c>
      <c r="J80" s="5" t="s">
        <v>32</v>
      </c>
      <c r="K80" s="5" t="s">
        <v>19</v>
      </c>
      <c r="L80" s="5" t="s">
        <v>28</v>
      </c>
      <c r="M80" s="7" t="s">
        <v>46</v>
      </c>
      <c r="N80" s="26">
        <f t="shared" si="7"/>
        <v>-1</v>
      </c>
      <c r="O80" s="42">
        <f t="shared" si="8"/>
        <v>45173</v>
      </c>
      <c r="P80" s="5" t="str">
        <f t="shared" si="9"/>
        <v>Monday</v>
      </c>
      <c r="Q80" s="5">
        <f t="shared" si="10"/>
        <v>11</v>
      </c>
      <c r="R80" s="28">
        <f t="shared" si="11"/>
        <v>0.86503067484662577</v>
      </c>
      <c r="S80" s="29">
        <f t="shared" si="12"/>
        <v>86.50306748466258</v>
      </c>
      <c r="T80" s="5" t="str">
        <f>IF(Delivery_Data3[[#This Row],[Delays (min)]]&gt;0,"No","Yes")</f>
        <v>No</v>
      </c>
      <c r="W80" s="41">
        <f t="shared" si="13"/>
        <v>45173</v>
      </c>
      <c r="X80" s="5">
        <v>141</v>
      </c>
    </row>
    <row r="81" spans="1:24" ht="15.75" customHeight="1" x14ac:dyDescent="0.3">
      <c r="A81" s="4">
        <v>1080</v>
      </c>
      <c r="B81" s="5" t="s">
        <v>174</v>
      </c>
      <c r="C81" s="6">
        <v>45171.445138888892</v>
      </c>
      <c r="D81" s="5" t="s">
        <v>14</v>
      </c>
      <c r="E81" s="5" t="s">
        <v>111</v>
      </c>
      <c r="F81" s="5" t="s">
        <v>38</v>
      </c>
      <c r="G81" s="5" t="s">
        <v>25</v>
      </c>
      <c r="H81" s="5">
        <v>85</v>
      </c>
      <c r="I81" s="5">
        <v>10</v>
      </c>
      <c r="J81" s="5" t="s">
        <v>32</v>
      </c>
      <c r="K81" s="5" t="s">
        <v>19</v>
      </c>
      <c r="L81" s="5" t="s">
        <v>28</v>
      </c>
      <c r="M81" s="7" t="s">
        <v>46</v>
      </c>
      <c r="N81" s="26">
        <f t="shared" si="7"/>
        <v>-1</v>
      </c>
      <c r="O81" s="42">
        <f t="shared" si="8"/>
        <v>45171</v>
      </c>
      <c r="P81" s="5" t="str">
        <f t="shared" si="9"/>
        <v>Saturday</v>
      </c>
      <c r="Q81" s="5">
        <f t="shared" si="10"/>
        <v>10</v>
      </c>
      <c r="R81" s="28">
        <f t="shared" si="11"/>
        <v>0.89473684210526316</v>
      </c>
      <c r="S81" s="29">
        <f t="shared" si="12"/>
        <v>89.473684210526315</v>
      </c>
      <c r="T81" s="5" t="str">
        <f>IF(Delivery_Data3[[#This Row],[Delays (min)]]&gt;0,"No","Yes")</f>
        <v>No</v>
      </c>
      <c r="W81" s="41">
        <f t="shared" si="13"/>
        <v>45171</v>
      </c>
      <c r="X81" s="5">
        <v>85</v>
      </c>
    </row>
    <row r="82" spans="1:24" ht="15.75" customHeight="1" x14ac:dyDescent="0.3">
      <c r="A82" s="4">
        <v>1081</v>
      </c>
      <c r="B82" s="5" t="s">
        <v>175</v>
      </c>
      <c r="C82" s="6">
        <v>45175.579861111109</v>
      </c>
      <c r="D82" s="5" t="s">
        <v>43</v>
      </c>
      <c r="E82" s="5" t="s">
        <v>44</v>
      </c>
      <c r="F82" s="5" t="s">
        <v>16</v>
      </c>
      <c r="G82" s="5" t="s">
        <v>31</v>
      </c>
      <c r="H82" s="5">
        <v>157</v>
      </c>
      <c r="I82" s="5">
        <v>4</v>
      </c>
      <c r="J82" s="5" t="s">
        <v>32</v>
      </c>
      <c r="K82" s="5" t="s">
        <v>27</v>
      </c>
      <c r="L82" s="5" t="s">
        <v>40</v>
      </c>
      <c r="M82" s="7" t="s">
        <v>46</v>
      </c>
      <c r="N82" s="26">
        <f t="shared" si="7"/>
        <v>-1</v>
      </c>
      <c r="O82" s="42">
        <f t="shared" si="8"/>
        <v>45175</v>
      </c>
      <c r="P82" s="5" t="str">
        <f t="shared" si="9"/>
        <v>Wednesday</v>
      </c>
      <c r="Q82" s="5">
        <f t="shared" si="10"/>
        <v>13</v>
      </c>
      <c r="R82" s="28">
        <f t="shared" si="11"/>
        <v>0.97515527950310554</v>
      </c>
      <c r="S82" s="29">
        <f t="shared" si="12"/>
        <v>97.515527950310556</v>
      </c>
      <c r="T82" s="5" t="str">
        <f>IF(Delivery_Data3[[#This Row],[Delays (min)]]&gt;0,"No","Yes")</f>
        <v>No</v>
      </c>
      <c r="W82" s="41">
        <f t="shared" si="13"/>
        <v>45175</v>
      </c>
      <c r="X82" s="5">
        <v>157</v>
      </c>
    </row>
    <row r="83" spans="1:24" ht="15.75" customHeight="1" x14ac:dyDescent="0.3">
      <c r="A83" s="4">
        <v>1082</v>
      </c>
      <c r="B83" s="5" t="s">
        <v>176</v>
      </c>
      <c r="C83" s="6">
        <v>45170.384027777778</v>
      </c>
      <c r="D83" s="5" t="s">
        <v>43</v>
      </c>
      <c r="E83" s="5" t="s">
        <v>177</v>
      </c>
      <c r="F83" s="5" t="s">
        <v>24</v>
      </c>
      <c r="G83" s="5" t="s">
        <v>56</v>
      </c>
      <c r="H83" s="5">
        <v>180</v>
      </c>
      <c r="I83" s="5">
        <v>24</v>
      </c>
      <c r="J83" s="5" t="s">
        <v>32</v>
      </c>
      <c r="K83" s="5" t="s">
        <v>27</v>
      </c>
      <c r="L83" s="5" t="s">
        <v>20</v>
      </c>
      <c r="M83" s="7" t="s">
        <v>41</v>
      </c>
      <c r="N83" s="26">
        <f t="shared" si="7"/>
        <v>-1</v>
      </c>
      <c r="O83" s="42">
        <f t="shared" si="8"/>
        <v>45170</v>
      </c>
      <c r="P83" s="5" t="str">
        <f t="shared" si="9"/>
        <v>Friday</v>
      </c>
      <c r="Q83" s="5">
        <f t="shared" si="10"/>
        <v>9</v>
      </c>
      <c r="R83" s="28">
        <f t="shared" si="11"/>
        <v>0.88235294117647056</v>
      </c>
      <c r="S83" s="29">
        <f t="shared" si="12"/>
        <v>88.235294117647058</v>
      </c>
      <c r="T83" s="5" t="str">
        <f>IF(Delivery_Data3[[#This Row],[Delays (min)]]&gt;0,"No","Yes")</f>
        <v>No</v>
      </c>
      <c r="W83" s="41">
        <f t="shared" si="13"/>
        <v>45170</v>
      </c>
      <c r="X83" s="5">
        <v>180</v>
      </c>
    </row>
    <row r="84" spans="1:24" ht="15.75" customHeight="1" x14ac:dyDescent="0.3">
      <c r="A84" s="4">
        <v>1083</v>
      </c>
      <c r="B84" s="5" t="s">
        <v>178</v>
      </c>
      <c r="C84" s="6">
        <v>45177.556250000001</v>
      </c>
      <c r="D84" s="5" t="s">
        <v>43</v>
      </c>
      <c r="E84" s="5" t="s">
        <v>179</v>
      </c>
      <c r="F84" s="5" t="s">
        <v>38</v>
      </c>
      <c r="G84" s="5" t="s">
        <v>25</v>
      </c>
      <c r="H84" s="5">
        <v>63</v>
      </c>
      <c r="I84" s="5">
        <v>19</v>
      </c>
      <c r="J84" s="5" t="s">
        <v>32</v>
      </c>
      <c r="K84" s="5" t="s">
        <v>45</v>
      </c>
      <c r="L84" s="5" t="s">
        <v>40</v>
      </c>
      <c r="M84" s="7" t="s">
        <v>41</v>
      </c>
      <c r="N84" s="26">
        <f t="shared" si="7"/>
        <v>-1</v>
      </c>
      <c r="O84" s="42">
        <f t="shared" si="8"/>
        <v>45177</v>
      </c>
      <c r="P84" s="5" t="str">
        <f t="shared" si="9"/>
        <v>Friday</v>
      </c>
      <c r="Q84" s="5">
        <f t="shared" si="10"/>
        <v>13</v>
      </c>
      <c r="R84" s="28">
        <f t="shared" si="11"/>
        <v>0.76829268292682928</v>
      </c>
      <c r="S84" s="29">
        <f t="shared" si="12"/>
        <v>76.829268292682926</v>
      </c>
      <c r="T84" s="5" t="str">
        <f>IF(Delivery_Data3[[#This Row],[Delays (min)]]&gt;0,"No","Yes")</f>
        <v>No</v>
      </c>
      <c r="W84" s="41">
        <f t="shared" si="13"/>
        <v>45177</v>
      </c>
      <c r="X84" s="5">
        <v>63</v>
      </c>
    </row>
    <row r="85" spans="1:24" ht="15.75" customHeight="1" x14ac:dyDescent="0.3">
      <c r="A85" s="4">
        <v>1084</v>
      </c>
      <c r="B85" s="5" t="s">
        <v>180</v>
      </c>
      <c r="C85" s="6">
        <v>45173.356249999997</v>
      </c>
      <c r="D85" s="5" t="s">
        <v>43</v>
      </c>
      <c r="E85" s="5" t="s">
        <v>109</v>
      </c>
      <c r="F85" s="5" t="s">
        <v>38</v>
      </c>
      <c r="G85" s="5" t="s">
        <v>39</v>
      </c>
      <c r="H85" s="5">
        <v>179</v>
      </c>
      <c r="I85" s="5">
        <v>23</v>
      </c>
      <c r="J85" s="5" t="s">
        <v>18</v>
      </c>
      <c r="K85" s="5" t="s">
        <v>45</v>
      </c>
      <c r="L85" s="5" t="s">
        <v>20</v>
      </c>
      <c r="M85" s="7" t="s">
        <v>41</v>
      </c>
      <c r="N85" s="26">
        <f t="shared" si="7"/>
        <v>0</v>
      </c>
      <c r="O85" s="42">
        <f t="shared" si="8"/>
        <v>45173</v>
      </c>
      <c r="P85" s="5" t="str">
        <f t="shared" si="9"/>
        <v>Monday</v>
      </c>
      <c r="Q85" s="5">
        <f t="shared" si="10"/>
        <v>8</v>
      </c>
      <c r="R85" s="28">
        <f t="shared" si="11"/>
        <v>0.88613861386138615</v>
      </c>
      <c r="S85" s="29">
        <f t="shared" si="12"/>
        <v>88.613861386138609</v>
      </c>
      <c r="T85" s="5" t="str">
        <f>IF(Delivery_Data3[[#This Row],[Delays (min)]]&gt;0,"No","Yes")</f>
        <v>No</v>
      </c>
      <c r="W85" s="41">
        <f t="shared" si="13"/>
        <v>45173</v>
      </c>
      <c r="X85" s="5">
        <v>179</v>
      </c>
    </row>
    <row r="86" spans="1:24" ht="15.75" customHeight="1" x14ac:dyDescent="0.3">
      <c r="A86" s="4">
        <v>1085</v>
      </c>
      <c r="B86" s="5" t="s">
        <v>181</v>
      </c>
      <c r="C86" s="6">
        <v>45172.607638888891</v>
      </c>
      <c r="D86" s="5" t="s">
        <v>43</v>
      </c>
      <c r="E86" s="5" t="s">
        <v>182</v>
      </c>
      <c r="F86" s="5" t="s">
        <v>16</v>
      </c>
      <c r="G86" s="5" t="s">
        <v>56</v>
      </c>
      <c r="H86" s="5">
        <v>111</v>
      </c>
      <c r="I86" s="5">
        <v>6</v>
      </c>
      <c r="J86" s="5" t="s">
        <v>18</v>
      </c>
      <c r="K86" s="5" t="s">
        <v>45</v>
      </c>
      <c r="L86" s="5" t="s">
        <v>28</v>
      </c>
      <c r="M86" s="7" t="s">
        <v>21</v>
      </c>
      <c r="N86" s="26">
        <f t="shared" si="7"/>
        <v>0</v>
      </c>
      <c r="O86" s="42">
        <f t="shared" si="8"/>
        <v>45172</v>
      </c>
      <c r="P86" s="5" t="str">
        <f t="shared" si="9"/>
        <v>Sunday</v>
      </c>
      <c r="Q86" s="5">
        <f t="shared" si="10"/>
        <v>14</v>
      </c>
      <c r="R86" s="28">
        <f t="shared" si="11"/>
        <v>0.94871794871794868</v>
      </c>
      <c r="S86" s="29">
        <f t="shared" si="12"/>
        <v>94.871794871794862</v>
      </c>
      <c r="T86" s="5" t="str">
        <f>IF(Delivery_Data3[[#This Row],[Delays (min)]]&gt;0,"No","Yes")</f>
        <v>No</v>
      </c>
      <c r="W86" s="41">
        <f t="shared" si="13"/>
        <v>45172</v>
      </c>
      <c r="X86" s="5">
        <v>111</v>
      </c>
    </row>
    <row r="87" spans="1:24" ht="15.75" customHeight="1" x14ac:dyDescent="0.3">
      <c r="A87" s="4">
        <v>1086</v>
      </c>
      <c r="B87" s="5" t="s">
        <v>183</v>
      </c>
      <c r="C87" s="6">
        <v>45174.387499999997</v>
      </c>
      <c r="D87" s="5" t="s">
        <v>14</v>
      </c>
      <c r="E87" s="5" t="s">
        <v>158</v>
      </c>
      <c r="F87" s="5" t="s">
        <v>24</v>
      </c>
      <c r="G87" s="5" t="s">
        <v>17</v>
      </c>
      <c r="H87" s="5">
        <v>133</v>
      </c>
      <c r="I87" s="5">
        <v>21</v>
      </c>
      <c r="J87" s="5" t="s">
        <v>32</v>
      </c>
      <c r="K87" s="5" t="s">
        <v>35</v>
      </c>
      <c r="L87" s="5" t="s">
        <v>20</v>
      </c>
      <c r="M87" s="7" t="s">
        <v>46</v>
      </c>
      <c r="N87" s="26">
        <f t="shared" si="7"/>
        <v>-1</v>
      </c>
      <c r="O87" s="42">
        <f t="shared" si="8"/>
        <v>45174</v>
      </c>
      <c r="P87" s="5" t="str">
        <f t="shared" si="9"/>
        <v>Tuesday</v>
      </c>
      <c r="Q87" s="5">
        <f t="shared" si="10"/>
        <v>9</v>
      </c>
      <c r="R87" s="28">
        <f t="shared" si="11"/>
        <v>0.86363636363636365</v>
      </c>
      <c r="S87" s="29">
        <f t="shared" si="12"/>
        <v>86.36363636363636</v>
      </c>
      <c r="T87" s="5" t="str">
        <f>IF(Delivery_Data3[[#This Row],[Delays (min)]]&gt;0,"No","Yes")</f>
        <v>No</v>
      </c>
      <c r="W87" s="41">
        <f t="shared" si="13"/>
        <v>45174</v>
      </c>
      <c r="X87" s="5">
        <v>133</v>
      </c>
    </row>
    <row r="88" spans="1:24" ht="15.75" customHeight="1" x14ac:dyDescent="0.3">
      <c r="A88" s="4">
        <v>1087</v>
      </c>
      <c r="B88" s="5" t="s">
        <v>184</v>
      </c>
      <c r="C88" s="6">
        <v>45176.537499999999</v>
      </c>
      <c r="D88" s="5" t="s">
        <v>14</v>
      </c>
      <c r="E88" s="5" t="s">
        <v>185</v>
      </c>
      <c r="F88" s="5" t="s">
        <v>16</v>
      </c>
      <c r="G88" s="5" t="s">
        <v>17</v>
      </c>
      <c r="H88" s="5">
        <v>88</v>
      </c>
      <c r="I88" s="5">
        <v>14</v>
      </c>
      <c r="J88" s="5" t="s">
        <v>26</v>
      </c>
      <c r="K88" s="5" t="s">
        <v>19</v>
      </c>
      <c r="L88" s="5" t="s">
        <v>40</v>
      </c>
      <c r="M88" s="7" t="s">
        <v>21</v>
      </c>
      <c r="N88" s="26">
        <f t="shared" si="7"/>
        <v>1</v>
      </c>
      <c r="O88" s="42">
        <f t="shared" si="8"/>
        <v>45176</v>
      </c>
      <c r="P88" s="5" t="str">
        <f t="shared" si="9"/>
        <v>Thursday</v>
      </c>
      <c r="Q88" s="5">
        <f t="shared" si="10"/>
        <v>12</v>
      </c>
      <c r="R88" s="28">
        <f t="shared" si="11"/>
        <v>0.86274509803921573</v>
      </c>
      <c r="S88" s="29">
        <f t="shared" si="12"/>
        <v>86.274509803921575</v>
      </c>
      <c r="T88" s="5" t="str">
        <f>IF(Delivery_Data3[[#This Row],[Delays (min)]]&gt;0,"No","Yes")</f>
        <v>No</v>
      </c>
      <c r="W88" s="41">
        <f t="shared" si="13"/>
        <v>45176</v>
      </c>
      <c r="X88" s="5">
        <v>88</v>
      </c>
    </row>
    <row r="89" spans="1:24" ht="15.75" customHeight="1" x14ac:dyDescent="0.3">
      <c r="A89" s="4">
        <v>1088</v>
      </c>
      <c r="B89" s="5" t="s">
        <v>186</v>
      </c>
      <c r="C89" s="6">
        <v>45177.609027777777</v>
      </c>
      <c r="D89" s="5" t="s">
        <v>43</v>
      </c>
      <c r="E89" s="5" t="s">
        <v>187</v>
      </c>
      <c r="F89" s="5" t="s">
        <v>24</v>
      </c>
      <c r="G89" s="5" t="s">
        <v>39</v>
      </c>
      <c r="H89" s="5">
        <v>199</v>
      </c>
      <c r="I89" s="5">
        <v>18</v>
      </c>
      <c r="J89" s="5" t="s">
        <v>26</v>
      </c>
      <c r="K89" s="5" t="s">
        <v>27</v>
      </c>
      <c r="L89" s="5" t="s">
        <v>20</v>
      </c>
      <c r="M89" s="7" t="s">
        <v>41</v>
      </c>
      <c r="N89" s="26">
        <f t="shared" si="7"/>
        <v>1</v>
      </c>
      <c r="O89" s="42">
        <f t="shared" si="8"/>
        <v>45177</v>
      </c>
      <c r="P89" s="5" t="str">
        <f t="shared" si="9"/>
        <v>Friday</v>
      </c>
      <c r="Q89" s="5">
        <f t="shared" si="10"/>
        <v>14</v>
      </c>
      <c r="R89" s="28">
        <f t="shared" si="11"/>
        <v>0.91705069124423966</v>
      </c>
      <c r="S89" s="29">
        <f t="shared" si="12"/>
        <v>91.705069124423972</v>
      </c>
      <c r="T89" s="5" t="str">
        <f>IF(Delivery_Data3[[#This Row],[Delays (min)]]&gt;0,"No","Yes")</f>
        <v>No</v>
      </c>
      <c r="W89" s="41">
        <f t="shared" si="13"/>
        <v>45177</v>
      </c>
      <c r="X89" s="5">
        <v>199</v>
      </c>
    </row>
    <row r="90" spans="1:24" ht="15.75" customHeight="1" x14ac:dyDescent="0.3">
      <c r="A90" s="4">
        <v>1089</v>
      </c>
      <c r="B90" s="5" t="s">
        <v>188</v>
      </c>
      <c r="C90" s="6">
        <v>45173.438194444447</v>
      </c>
      <c r="D90" s="5" t="s">
        <v>43</v>
      </c>
      <c r="E90" s="5" t="s">
        <v>189</v>
      </c>
      <c r="F90" s="5" t="s">
        <v>16</v>
      </c>
      <c r="G90" s="5" t="s">
        <v>25</v>
      </c>
      <c r="H90" s="5">
        <v>78</v>
      </c>
      <c r="I90" s="5">
        <v>6</v>
      </c>
      <c r="J90" s="5" t="s">
        <v>32</v>
      </c>
      <c r="K90" s="5" t="s">
        <v>45</v>
      </c>
      <c r="L90" s="5" t="s">
        <v>40</v>
      </c>
      <c r="M90" s="7" t="s">
        <v>41</v>
      </c>
      <c r="N90" s="26">
        <f t="shared" si="7"/>
        <v>-1</v>
      </c>
      <c r="O90" s="42">
        <f t="shared" si="8"/>
        <v>45173</v>
      </c>
      <c r="P90" s="5" t="str">
        <f t="shared" si="9"/>
        <v>Monday</v>
      </c>
      <c r="Q90" s="5">
        <f t="shared" si="10"/>
        <v>10</v>
      </c>
      <c r="R90" s="28">
        <f t="shared" si="11"/>
        <v>0.9285714285714286</v>
      </c>
      <c r="S90" s="29">
        <f t="shared" si="12"/>
        <v>92.857142857142861</v>
      </c>
      <c r="T90" s="5" t="str">
        <f>IF(Delivery_Data3[[#This Row],[Delays (min)]]&gt;0,"No","Yes")</f>
        <v>No</v>
      </c>
      <c r="W90" s="41">
        <f t="shared" si="13"/>
        <v>45173</v>
      </c>
      <c r="X90" s="5">
        <v>78</v>
      </c>
    </row>
    <row r="91" spans="1:24" ht="15.75" customHeight="1" x14ac:dyDescent="0.3">
      <c r="A91" s="4">
        <v>1090</v>
      </c>
      <c r="B91" s="5" t="s">
        <v>190</v>
      </c>
      <c r="C91" s="6">
        <v>45177.602777777778</v>
      </c>
      <c r="D91" s="5" t="s">
        <v>14</v>
      </c>
      <c r="E91" s="5" t="s">
        <v>182</v>
      </c>
      <c r="F91" s="5" t="s">
        <v>16</v>
      </c>
      <c r="G91" s="5" t="s">
        <v>39</v>
      </c>
      <c r="H91" s="5">
        <v>185</v>
      </c>
      <c r="I91" s="5">
        <v>27</v>
      </c>
      <c r="J91" s="5" t="s">
        <v>26</v>
      </c>
      <c r="K91" s="5" t="s">
        <v>27</v>
      </c>
      <c r="L91" s="5" t="s">
        <v>28</v>
      </c>
      <c r="M91" s="7" t="s">
        <v>46</v>
      </c>
      <c r="N91" s="26">
        <f t="shared" si="7"/>
        <v>1</v>
      </c>
      <c r="O91" s="42">
        <f t="shared" si="8"/>
        <v>45177</v>
      </c>
      <c r="P91" s="5" t="str">
        <f t="shared" si="9"/>
        <v>Friday</v>
      </c>
      <c r="Q91" s="5">
        <f t="shared" si="10"/>
        <v>14</v>
      </c>
      <c r="R91" s="28">
        <f t="shared" si="11"/>
        <v>0.87264150943396224</v>
      </c>
      <c r="S91" s="29">
        <f t="shared" si="12"/>
        <v>87.264150943396217</v>
      </c>
      <c r="T91" s="5" t="str">
        <f>IF(Delivery_Data3[[#This Row],[Delays (min)]]&gt;0,"No","Yes")</f>
        <v>No</v>
      </c>
      <c r="W91" s="41">
        <f t="shared" si="13"/>
        <v>45177</v>
      </c>
      <c r="X91" s="5">
        <v>185</v>
      </c>
    </row>
    <row r="92" spans="1:24" ht="15.75" customHeight="1" x14ac:dyDescent="0.3">
      <c r="A92" s="4">
        <v>1091</v>
      </c>
      <c r="B92" s="5" t="s">
        <v>191</v>
      </c>
      <c r="C92" s="6">
        <v>45176.52847222222</v>
      </c>
      <c r="D92" s="5" t="s">
        <v>43</v>
      </c>
      <c r="E92" s="5" t="s">
        <v>58</v>
      </c>
      <c r="F92" s="5" t="s">
        <v>16</v>
      </c>
      <c r="G92" s="5" t="s">
        <v>39</v>
      </c>
      <c r="H92" s="5">
        <v>125</v>
      </c>
      <c r="I92" s="5">
        <v>4</v>
      </c>
      <c r="J92" s="5" t="s">
        <v>18</v>
      </c>
      <c r="K92" s="5" t="s">
        <v>35</v>
      </c>
      <c r="L92" s="5" t="s">
        <v>28</v>
      </c>
      <c r="M92" s="7" t="s">
        <v>21</v>
      </c>
      <c r="N92" s="26">
        <f t="shared" si="7"/>
        <v>0</v>
      </c>
      <c r="O92" s="42">
        <f t="shared" si="8"/>
        <v>45176</v>
      </c>
      <c r="P92" s="5" t="str">
        <f t="shared" si="9"/>
        <v>Thursday</v>
      </c>
      <c r="Q92" s="5">
        <f t="shared" si="10"/>
        <v>12</v>
      </c>
      <c r="R92" s="28">
        <f t="shared" si="11"/>
        <v>0.96899224806201545</v>
      </c>
      <c r="S92" s="29">
        <f t="shared" si="12"/>
        <v>96.899224806201545</v>
      </c>
      <c r="T92" s="5" t="str">
        <f>IF(Delivery_Data3[[#This Row],[Delays (min)]]&gt;0,"No","Yes")</f>
        <v>No</v>
      </c>
      <c r="W92" s="41">
        <f t="shared" si="13"/>
        <v>45176</v>
      </c>
      <c r="X92" s="5">
        <v>125</v>
      </c>
    </row>
    <row r="93" spans="1:24" ht="15.75" customHeight="1" x14ac:dyDescent="0.3">
      <c r="A93" s="4">
        <v>1092</v>
      </c>
      <c r="B93" s="5" t="s">
        <v>192</v>
      </c>
      <c r="C93" s="6">
        <v>45170.449305555558</v>
      </c>
      <c r="D93" s="5" t="s">
        <v>14</v>
      </c>
      <c r="E93" s="5" t="s">
        <v>193</v>
      </c>
      <c r="F93" s="5" t="s">
        <v>24</v>
      </c>
      <c r="G93" s="5" t="s">
        <v>17</v>
      </c>
      <c r="H93" s="5">
        <v>198</v>
      </c>
      <c r="I93" s="5">
        <v>23</v>
      </c>
      <c r="J93" s="5" t="s">
        <v>26</v>
      </c>
      <c r="K93" s="5" t="s">
        <v>19</v>
      </c>
      <c r="L93" s="5" t="s">
        <v>28</v>
      </c>
      <c r="M93" s="7" t="s">
        <v>46</v>
      </c>
      <c r="N93" s="26">
        <f t="shared" si="7"/>
        <v>1</v>
      </c>
      <c r="O93" s="42">
        <f t="shared" si="8"/>
        <v>45170</v>
      </c>
      <c r="P93" s="5" t="str">
        <f t="shared" si="9"/>
        <v>Friday</v>
      </c>
      <c r="Q93" s="5">
        <f t="shared" si="10"/>
        <v>10</v>
      </c>
      <c r="R93" s="28">
        <f t="shared" si="11"/>
        <v>0.89592760180995479</v>
      </c>
      <c r="S93" s="29">
        <f t="shared" si="12"/>
        <v>89.592760180995484</v>
      </c>
      <c r="T93" s="5" t="str">
        <f>IF(Delivery_Data3[[#This Row],[Delays (min)]]&gt;0,"No","Yes")</f>
        <v>No</v>
      </c>
      <c r="W93" s="41">
        <f t="shared" si="13"/>
        <v>45170</v>
      </c>
      <c r="X93" s="5">
        <v>198</v>
      </c>
    </row>
    <row r="94" spans="1:24" ht="15.75" customHeight="1" x14ac:dyDescent="0.3">
      <c r="A94" s="4">
        <v>1093</v>
      </c>
      <c r="B94" s="5" t="s">
        <v>194</v>
      </c>
      <c r="C94" s="6">
        <v>45172.432638888888</v>
      </c>
      <c r="D94" s="5" t="s">
        <v>14</v>
      </c>
      <c r="E94" s="5" t="s">
        <v>66</v>
      </c>
      <c r="F94" s="5" t="s">
        <v>38</v>
      </c>
      <c r="G94" s="5" t="s">
        <v>31</v>
      </c>
      <c r="H94" s="5">
        <v>167</v>
      </c>
      <c r="I94" s="5">
        <v>24</v>
      </c>
      <c r="J94" s="5" t="s">
        <v>32</v>
      </c>
      <c r="K94" s="5" t="s">
        <v>45</v>
      </c>
      <c r="L94" s="5" t="s">
        <v>40</v>
      </c>
      <c r="M94" s="7" t="s">
        <v>46</v>
      </c>
      <c r="N94" s="26">
        <f t="shared" si="7"/>
        <v>-1</v>
      </c>
      <c r="O94" s="42">
        <f t="shared" si="8"/>
        <v>45172</v>
      </c>
      <c r="P94" s="5" t="str">
        <f t="shared" si="9"/>
        <v>Sunday</v>
      </c>
      <c r="Q94" s="5">
        <f t="shared" si="10"/>
        <v>10</v>
      </c>
      <c r="R94" s="28">
        <f t="shared" si="11"/>
        <v>0.87434554973821987</v>
      </c>
      <c r="S94" s="29">
        <f t="shared" si="12"/>
        <v>87.434554973821989</v>
      </c>
      <c r="T94" s="5" t="str">
        <f>IF(Delivery_Data3[[#This Row],[Delays (min)]]&gt;0,"No","Yes")</f>
        <v>No</v>
      </c>
      <c r="W94" s="41">
        <f t="shared" si="13"/>
        <v>45172</v>
      </c>
      <c r="X94" s="5">
        <v>167</v>
      </c>
    </row>
    <row r="95" spans="1:24" ht="15.75" customHeight="1" x14ac:dyDescent="0.3">
      <c r="A95" s="4">
        <v>1094</v>
      </c>
      <c r="B95" s="5" t="s">
        <v>195</v>
      </c>
      <c r="C95" s="6">
        <v>45173.554166666669</v>
      </c>
      <c r="D95" s="5" t="s">
        <v>14</v>
      </c>
      <c r="E95" s="5" t="s">
        <v>66</v>
      </c>
      <c r="F95" s="5" t="s">
        <v>38</v>
      </c>
      <c r="G95" s="5" t="s">
        <v>17</v>
      </c>
      <c r="H95" s="5">
        <v>225</v>
      </c>
      <c r="I95" s="5">
        <v>18</v>
      </c>
      <c r="J95" s="5" t="s">
        <v>32</v>
      </c>
      <c r="K95" s="5" t="s">
        <v>35</v>
      </c>
      <c r="L95" s="5" t="s">
        <v>28</v>
      </c>
      <c r="M95" s="7" t="s">
        <v>41</v>
      </c>
      <c r="N95" s="26">
        <f t="shared" si="7"/>
        <v>-1</v>
      </c>
      <c r="O95" s="42">
        <f t="shared" si="8"/>
        <v>45173</v>
      </c>
      <c r="P95" s="5" t="str">
        <f t="shared" si="9"/>
        <v>Monday</v>
      </c>
      <c r="Q95" s="5">
        <f t="shared" si="10"/>
        <v>13</v>
      </c>
      <c r="R95" s="28">
        <f t="shared" si="11"/>
        <v>0.92592592592592593</v>
      </c>
      <c r="S95" s="29">
        <f t="shared" si="12"/>
        <v>92.592592592592595</v>
      </c>
      <c r="T95" s="5" t="str">
        <f>IF(Delivery_Data3[[#This Row],[Delays (min)]]&gt;0,"No","Yes")</f>
        <v>No</v>
      </c>
      <c r="W95" s="41">
        <f t="shared" si="13"/>
        <v>45173</v>
      </c>
      <c r="X95" s="5">
        <v>225</v>
      </c>
    </row>
    <row r="96" spans="1:24" ht="15.75" customHeight="1" x14ac:dyDescent="0.3">
      <c r="A96" s="4">
        <v>1095</v>
      </c>
      <c r="B96" s="5" t="s">
        <v>196</v>
      </c>
      <c r="C96" s="6">
        <v>45173.397916666669</v>
      </c>
      <c r="D96" s="5" t="s">
        <v>43</v>
      </c>
      <c r="E96" s="5" t="s">
        <v>197</v>
      </c>
      <c r="F96" s="5" t="s">
        <v>24</v>
      </c>
      <c r="G96" s="5" t="s">
        <v>17</v>
      </c>
      <c r="H96" s="5">
        <v>157</v>
      </c>
      <c r="I96" s="5">
        <v>1</v>
      </c>
      <c r="J96" s="5" t="s">
        <v>18</v>
      </c>
      <c r="K96" s="5" t="s">
        <v>27</v>
      </c>
      <c r="L96" s="5" t="s">
        <v>40</v>
      </c>
      <c r="M96" s="7" t="s">
        <v>41</v>
      </c>
      <c r="N96" s="26">
        <f t="shared" si="7"/>
        <v>0</v>
      </c>
      <c r="O96" s="42">
        <f t="shared" si="8"/>
        <v>45173</v>
      </c>
      <c r="P96" s="5" t="str">
        <f t="shared" si="9"/>
        <v>Monday</v>
      </c>
      <c r="Q96" s="5">
        <f t="shared" si="10"/>
        <v>9</v>
      </c>
      <c r="R96" s="28">
        <f t="shared" si="11"/>
        <v>0.99367088607594933</v>
      </c>
      <c r="S96" s="29">
        <f t="shared" si="12"/>
        <v>99.367088607594937</v>
      </c>
      <c r="T96" s="5" t="str">
        <f>IF(Delivery_Data3[[#This Row],[Delays (min)]]&gt;0,"No","Yes")</f>
        <v>No</v>
      </c>
      <c r="W96" s="41">
        <f t="shared" si="13"/>
        <v>45173</v>
      </c>
      <c r="X96" s="5">
        <v>157</v>
      </c>
    </row>
    <row r="97" spans="1:24" ht="15.75" customHeight="1" x14ac:dyDescent="0.3">
      <c r="A97" s="4">
        <v>1096</v>
      </c>
      <c r="B97" s="5" t="s">
        <v>198</v>
      </c>
      <c r="C97" s="6">
        <v>45171.447916666664</v>
      </c>
      <c r="D97" s="5" t="s">
        <v>14</v>
      </c>
      <c r="E97" s="5" t="s">
        <v>103</v>
      </c>
      <c r="F97" s="5" t="s">
        <v>16</v>
      </c>
      <c r="G97" s="5" t="s">
        <v>56</v>
      </c>
      <c r="H97" s="5">
        <v>201</v>
      </c>
      <c r="I97" s="5">
        <v>5</v>
      </c>
      <c r="J97" s="5" t="s">
        <v>26</v>
      </c>
      <c r="K97" s="5" t="s">
        <v>35</v>
      </c>
      <c r="L97" s="5" t="s">
        <v>40</v>
      </c>
      <c r="M97" s="7" t="s">
        <v>46</v>
      </c>
      <c r="N97" s="26">
        <f t="shared" si="7"/>
        <v>1</v>
      </c>
      <c r="O97" s="42">
        <f t="shared" si="8"/>
        <v>45171</v>
      </c>
      <c r="P97" s="5" t="str">
        <f t="shared" si="9"/>
        <v>Saturday</v>
      </c>
      <c r="Q97" s="5">
        <f t="shared" si="10"/>
        <v>10</v>
      </c>
      <c r="R97" s="28">
        <f t="shared" si="11"/>
        <v>0.97572815533980584</v>
      </c>
      <c r="S97" s="29">
        <f t="shared" si="12"/>
        <v>97.572815533980588</v>
      </c>
      <c r="T97" s="5" t="str">
        <f>IF(Delivery_Data3[[#This Row],[Delays (min)]]&gt;0,"No","Yes")</f>
        <v>No</v>
      </c>
      <c r="W97" s="41">
        <f t="shared" si="13"/>
        <v>45171</v>
      </c>
      <c r="X97" s="5">
        <v>201</v>
      </c>
    </row>
    <row r="98" spans="1:24" ht="15.75" customHeight="1" x14ac:dyDescent="0.3">
      <c r="A98" s="4">
        <v>1097</v>
      </c>
      <c r="B98" s="5" t="s">
        <v>199</v>
      </c>
      <c r="C98" s="6">
        <v>45171.425000000003</v>
      </c>
      <c r="D98" s="5" t="s">
        <v>14</v>
      </c>
      <c r="E98" s="5" t="s">
        <v>200</v>
      </c>
      <c r="F98" s="5" t="s">
        <v>16</v>
      </c>
      <c r="G98" s="5" t="s">
        <v>25</v>
      </c>
      <c r="H98" s="5">
        <v>94</v>
      </c>
      <c r="I98" s="5">
        <v>0</v>
      </c>
      <c r="J98" s="5" t="s">
        <v>32</v>
      </c>
      <c r="K98" s="5" t="s">
        <v>45</v>
      </c>
      <c r="L98" s="5" t="s">
        <v>20</v>
      </c>
      <c r="M98" s="7" t="s">
        <v>46</v>
      </c>
      <c r="N98" s="26">
        <f t="shared" si="7"/>
        <v>-1</v>
      </c>
      <c r="O98" s="42">
        <f t="shared" si="8"/>
        <v>45171</v>
      </c>
      <c r="P98" s="5" t="str">
        <f t="shared" si="9"/>
        <v>Saturday</v>
      </c>
      <c r="Q98" s="5">
        <f t="shared" si="10"/>
        <v>10</v>
      </c>
      <c r="R98" s="28">
        <f t="shared" si="11"/>
        <v>1</v>
      </c>
      <c r="S98" s="29">
        <f t="shared" si="12"/>
        <v>100</v>
      </c>
      <c r="T98" s="5" t="str">
        <f>IF(Delivery_Data3[[#This Row],[Delays (min)]]&gt;0,"No","Yes")</f>
        <v>Yes</v>
      </c>
      <c r="W98" s="41">
        <f t="shared" si="13"/>
        <v>45171</v>
      </c>
      <c r="X98" s="5">
        <v>94</v>
      </c>
    </row>
    <row r="99" spans="1:24" ht="15.75" customHeight="1" x14ac:dyDescent="0.3">
      <c r="A99" s="4">
        <v>1098</v>
      </c>
      <c r="B99" s="5" t="s">
        <v>201</v>
      </c>
      <c r="C99" s="6">
        <v>45172.425000000003</v>
      </c>
      <c r="D99" s="5" t="s">
        <v>43</v>
      </c>
      <c r="E99" s="5" t="s">
        <v>202</v>
      </c>
      <c r="F99" s="5" t="s">
        <v>38</v>
      </c>
      <c r="G99" s="5" t="s">
        <v>39</v>
      </c>
      <c r="H99" s="5">
        <v>194</v>
      </c>
      <c r="I99" s="5">
        <v>22</v>
      </c>
      <c r="J99" s="5" t="s">
        <v>26</v>
      </c>
      <c r="K99" s="5" t="s">
        <v>27</v>
      </c>
      <c r="L99" s="5" t="s">
        <v>20</v>
      </c>
      <c r="M99" s="7" t="s">
        <v>21</v>
      </c>
      <c r="N99" s="26">
        <f t="shared" si="7"/>
        <v>1</v>
      </c>
      <c r="O99" s="42">
        <f t="shared" si="8"/>
        <v>45172</v>
      </c>
      <c r="P99" s="5" t="str">
        <f t="shared" si="9"/>
        <v>Sunday</v>
      </c>
      <c r="Q99" s="5">
        <f t="shared" si="10"/>
        <v>10</v>
      </c>
      <c r="R99" s="28">
        <f t="shared" si="11"/>
        <v>0.89814814814814814</v>
      </c>
      <c r="S99" s="29">
        <f t="shared" si="12"/>
        <v>89.81481481481481</v>
      </c>
      <c r="T99" s="5" t="str">
        <f>IF(Delivery_Data3[[#This Row],[Delays (min)]]&gt;0,"No","Yes")</f>
        <v>No</v>
      </c>
      <c r="W99" s="41">
        <f t="shared" si="13"/>
        <v>45172</v>
      </c>
      <c r="X99" s="5">
        <v>194</v>
      </c>
    </row>
    <row r="100" spans="1:24" ht="15.75" customHeight="1" x14ac:dyDescent="0.3">
      <c r="A100" s="4">
        <v>1099</v>
      </c>
      <c r="B100" s="5" t="s">
        <v>203</v>
      </c>
      <c r="C100" s="6">
        <v>45174.361111111109</v>
      </c>
      <c r="D100" s="5" t="s">
        <v>14</v>
      </c>
      <c r="E100" s="5" t="s">
        <v>204</v>
      </c>
      <c r="F100" s="5" t="s">
        <v>24</v>
      </c>
      <c r="G100" s="5" t="s">
        <v>56</v>
      </c>
      <c r="H100" s="5">
        <v>173</v>
      </c>
      <c r="I100" s="5">
        <v>3</v>
      </c>
      <c r="J100" s="5" t="s">
        <v>32</v>
      </c>
      <c r="K100" s="5" t="s">
        <v>35</v>
      </c>
      <c r="L100" s="5" t="s">
        <v>40</v>
      </c>
      <c r="M100" s="7" t="s">
        <v>21</v>
      </c>
      <c r="N100" s="26">
        <f t="shared" si="7"/>
        <v>-1</v>
      </c>
      <c r="O100" s="42">
        <f t="shared" si="8"/>
        <v>45174</v>
      </c>
      <c r="P100" s="5" t="str">
        <f t="shared" si="9"/>
        <v>Tuesday</v>
      </c>
      <c r="Q100" s="5">
        <f t="shared" si="10"/>
        <v>8</v>
      </c>
      <c r="R100" s="28">
        <f t="shared" si="11"/>
        <v>0.98295454545454541</v>
      </c>
      <c r="S100" s="29">
        <f t="shared" si="12"/>
        <v>98.295454545454547</v>
      </c>
      <c r="T100" s="5" t="str">
        <f>IF(Delivery_Data3[[#This Row],[Delays (min)]]&gt;0,"No","Yes")</f>
        <v>No</v>
      </c>
      <c r="W100" s="41">
        <f t="shared" si="13"/>
        <v>45174</v>
      </c>
      <c r="X100" s="5">
        <v>173</v>
      </c>
    </row>
    <row r="101" spans="1:24" ht="15.75" customHeight="1" x14ac:dyDescent="0.3">
      <c r="A101" s="4">
        <v>1100</v>
      </c>
      <c r="B101" s="5" t="s">
        <v>205</v>
      </c>
      <c r="C101" s="6">
        <v>45176.377083333333</v>
      </c>
      <c r="D101" s="5" t="s">
        <v>14</v>
      </c>
      <c r="E101" s="5" t="s">
        <v>143</v>
      </c>
      <c r="F101" s="5" t="s">
        <v>24</v>
      </c>
      <c r="G101" s="5" t="s">
        <v>25</v>
      </c>
      <c r="H101" s="5">
        <v>202</v>
      </c>
      <c r="I101" s="5">
        <v>20</v>
      </c>
      <c r="J101" s="5" t="s">
        <v>18</v>
      </c>
      <c r="K101" s="5" t="s">
        <v>27</v>
      </c>
      <c r="L101" s="5" t="s">
        <v>28</v>
      </c>
      <c r="M101" s="7" t="s">
        <v>21</v>
      </c>
      <c r="N101" s="26">
        <f t="shared" si="7"/>
        <v>0</v>
      </c>
      <c r="O101" s="42">
        <f t="shared" si="8"/>
        <v>45176</v>
      </c>
      <c r="P101" s="5" t="str">
        <f t="shared" si="9"/>
        <v>Thursday</v>
      </c>
      <c r="Q101" s="5">
        <f t="shared" si="10"/>
        <v>9</v>
      </c>
      <c r="R101" s="28">
        <f t="shared" si="11"/>
        <v>0.90990990990990994</v>
      </c>
      <c r="S101" s="29">
        <f t="shared" si="12"/>
        <v>90.990990990990994</v>
      </c>
      <c r="T101" s="5" t="str">
        <f>IF(Delivery_Data3[[#This Row],[Delays (min)]]&gt;0,"No","Yes")</f>
        <v>No</v>
      </c>
      <c r="W101" s="41">
        <f t="shared" si="13"/>
        <v>45176</v>
      </c>
      <c r="X101" s="5">
        <v>202</v>
      </c>
    </row>
    <row r="102" spans="1:24" ht="15.75" customHeight="1" x14ac:dyDescent="0.3">
      <c r="A102" s="4">
        <v>1101</v>
      </c>
      <c r="B102" s="5" t="s">
        <v>206</v>
      </c>
      <c r="C102" s="6">
        <v>45171.37222222222</v>
      </c>
      <c r="D102" s="5" t="s">
        <v>43</v>
      </c>
      <c r="E102" s="5" t="s">
        <v>15</v>
      </c>
      <c r="F102" s="5" t="s">
        <v>16</v>
      </c>
      <c r="G102" s="5" t="s">
        <v>31</v>
      </c>
      <c r="H102" s="5">
        <v>172</v>
      </c>
      <c r="I102" s="5">
        <v>12</v>
      </c>
      <c r="J102" s="5" t="s">
        <v>26</v>
      </c>
      <c r="K102" s="5" t="s">
        <v>45</v>
      </c>
      <c r="L102" s="5" t="s">
        <v>20</v>
      </c>
      <c r="M102" s="7" t="s">
        <v>46</v>
      </c>
      <c r="N102" s="26">
        <f t="shared" si="7"/>
        <v>1</v>
      </c>
      <c r="O102" s="42">
        <f t="shared" si="8"/>
        <v>45171</v>
      </c>
      <c r="P102" s="5" t="str">
        <f t="shared" si="9"/>
        <v>Saturday</v>
      </c>
      <c r="Q102" s="5">
        <f t="shared" si="10"/>
        <v>8</v>
      </c>
      <c r="R102" s="28">
        <f t="shared" si="11"/>
        <v>0.93478260869565222</v>
      </c>
      <c r="S102" s="29">
        <f t="shared" si="12"/>
        <v>93.478260869565219</v>
      </c>
      <c r="T102" s="5" t="str">
        <f>IF(Delivery_Data3[[#This Row],[Delays (min)]]&gt;0,"No","Yes")</f>
        <v>No</v>
      </c>
      <c r="W102" s="41">
        <f t="shared" si="13"/>
        <v>45171</v>
      </c>
      <c r="X102" s="5">
        <v>172</v>
      </c>
    </row>
    <row r="103" spans="1:24" ht="15.75" customHeight="1" x14ac:dyDescent="0.3">
      <c r="A103" s="4">
        <v>1102</v>
      </c>
      <c r="B103" s="5" t="s">
        <v>207</v>
      </c>
      <c r="C103" s="6">
        <v>45176.677083333336</v>
      </c>
      <c r="D103" s="5" t="s">
        <v>43</v>
      </c>
      <c r="E103" s="5" t="s">
        <v>200</v>
      </c>
      <c r="F103" s="5" t="s">
        <v>16</v>
      </c>
      <c r="G103" s="5" t="s">
        <v>17</v>
      </c>
      <c r="H103" s="5">
        <v>110</v>
      </c>
      <c r="I103" s="5">
        <v>29</v>
      </c>
      <c r="J103" s="5" t="s">
        <v>32</v>
      </c>
      <c r="K103" s="5" t="s">
        <v>19</v>
      </c>
      <c r="L103" s="5" t="s">
        <v>20</v>
      </c>
      <c r="M103" s="7" t="s">
        <v>46</v>
      </c>
      <c r="N103" s="26">
        <f t="shared" si="7"/>
        <v>-1</v>
      </c>
      <c r="O103" s="42">
        <f t="shared" si="8"/>
        <v>45176</v>
      </c>
      <c r="P103" s="5" t="str">
        <f t="shared" si="9"/>
        <v>Thursday</v>
      </c>
      <c r="Q103" s="5">
        <f t="shared" si="10"/>
        <v>16</v>
      </c>
      <c r="R103" s="28">
        <f t="shared" si="11"/>
        <v>0.79136690647482011</v>
      </c>
      <c r="S103" s="29">
        <f t="shared" si="12"/>
        <v>79.136690647482013</v>
      </c>
      <c r="T103" s="5" t="str">
        <f>IF(Delivery_Data3[[#This Row],[Delays (min)]]&gt;0,"No","Yes")</f>
        <v>No</v>
      </c>
      <c r="W103" s="41">
        <f t="shared" si="13"/>
        <v>45176</v>
      </c>
      <c r="X103" s="5">
        <v>110</v>
      </c>
    </row>
    <row r="104" spans="1:24" ht="15.75" customHeight="1" x14ac:dyDescent="0.3">
      <c r="A104" s="4">
        <v>1103</v>
      </c>
      <c r="B104" s="5" t="s">
        <v>207</v>
      </c>
      <c r="C104" s="6">
        <v>45172.521527777775</v>
      </c>
      <c r="D104" s="5" t="s">
        <v>14</v>
      </c>
      <c r="E104" s="5" t="s">
        <v>151</v>
      </c>
      <c r="F104" s="5" t="s">
        <v>38</v>
      </c>
      <c r="G104" s="5" t="s">
        <v>25</v>
      </c>
      <c r="H104" s="5">
        <v>173</v>
      </c>
      <c r="I104" s="5">
        <v>4</v>
      </c>
      <c r="J104" s="5" t="s">
        <v>32</v>
      </c>
      <c r="K104" s="5" t="s">
        <v>19</v>
      </c>
      <c r="L104" s="5" t="s">
        <v>40</v>
      </c>
      <c r="M104" s="7" t="s">
        <v>21</v>
      </c>
      <c r="N104" s="26">
        <f t="shared" si="7"/>
        <v>-1</v>
      </c>
      <c r="O104" s="42">
        <f t="shared" si="8"/>
        <v>45172</v>
      </c>
      <c r="P104" s="5" t="str">
        <f t="shared" si="9"/>
        <v>Sunday</v>
      </c>
      <c r="Q104" s="5">
        <f t="shared" si="10"/>
        <v>12</v>
      </c>
      <c r="R104" s="28">
        <f t="shared" si="11"/>
        <v>0.97740112994350281</v>
      </c>
      <c r="S104" s="29">
        <f t="shared" si="12"/>
        <v>97.740112994350284</v>
      </c>
      <c r="T104" s="5" t="str">
        <f>IF(Delivery_Data3[[#This Row],[Delays (min)]]&gt;0,"No","Yes")</f>
        <v>No</v>
      </c>
      <c r="W104" s="41">
        <f t="shared" si="13"/>
        <v>45172</v>
      </c>
      <c r="X104" s="5">
        <v>173</v>
      </c>
    </row>
    <row r="105" spans="1:24" ht="15.75" customHeight="1" x14ac:dyDescent="0.3">
      <c r="A105" s="4">
        <v>1104</v>
      </c>
      <c r="B105" s="5" t="s">
        <v>208</v>
      </c>
      <c r="C105" s="6">
        <v>45177.489583333336</v>
      </c>
      <c r="D105" s="5" t="s">
        <v>43</v>
      </c>
      <c r="E105" s="5" t="s">
        <v>166</v>
      </c>
      <c r="F105" s="5" t="s">
        <v>16</v>
      </c>
      <c r="G105" s="5" t="s">
        <v>56</v>
      </c>
      <c r="H105" s="5">
        <v>162</v>
      </c>
      <c r="I105" s="5">
        <v>24</v>
      </c>
      <c r="J105" s="5" t="s">
        <v>18</v>
      </c>
      <c r="K105" s="5" t="s">
        <v>27</v>
      </c>
      <c r="L105" s="5" t="s">
        <v>20</v>
      </c>
      <c r="M105" s="7" t="s">
        <v>21</v>
      </c>
      <c r="N105" s="26">
        <f t="shared" si="7"/>
        <v>0</v>
      </c>
      <c r="O105" s="42">
        <f t="shared" si="8"/>
        <v>45177</v>
      </c>
      <c r="P105" s="5" t="str">
        <f t="shared" si="9"/>
        <v>Friday</v>
      </c>
      <c r="Q105" s="5">
        <f t="shared" si="10"/>
        <v>11</v>
      </c>
      <c r="R105" s="28">
        <f t="shared" si="11"/>
        <v>0.87096774193548387</v>
      </c>
      <c r="S105" s="29">
        <f t="shared" si="12"/>
        <v>87.096774193548384</v>
      </c>
      <c r="T105" s="5" t="str">
        <f>IF(Delivery_Data3[[#This Row],[Delays (min)]]&gt;0,"No","Yes")</f>
        <v>No</v>
      </c>
      <c r="W105" s="41">
        <f t="shared" si="13"/>
        <v>45177</v>
      </c>
      <c r="X105" s="5">
        <v>162</v>
      </c>
    </row>
    <row r="106" spans="1:24" ht="15.75" customHeight="1" x14ac:dyDescent="0.3">
      <c r="A106" s="4">
        <v>1105</v>
      </c>
      <c r="B106" s="5" t="s">
        <v>209</v>
      </c>
      <c r="C106" s="6">
        <v>45172.542361111111</v>
      </c>
      <c r="D106" s="5" t="s">
        <v>43</v>
      </c>
      <c r="E106" s="5" t="s">
        <v>158</v>
      </c>
      <c r="F106" s="5" t="s">
        <v>24</v>
      </c>
      <c r="G106" s="5" t="s">
        <v>17</v>
      </c>
      <c r="H106" s="5">
        <v>239</v>
      </c>
      <c r="I106" s="5">
        <v>22</v>
      </c>
      <c r="J106" s="5" t="s">
        <v>26</v>
      </c>
      <c r="K106" s="5" t="s">
        <v>19</v>
      </c>
      <c r="L106" s="5" t="s">
        <v>28</v>
      </c>
      <c r="M106" s="7" t="s">
        <v>46</v>
      </c>
      <c r="N106" s="26">
        <f t="shared" si="7"/>
        <v>1</v>
      </c>
      <c r="O106" s="42">
        <f t="shared" si="8"/>
        <v>45172</v>
      </c>
      <c r="P106" s="5" t="str">
        <f t="shared" si="9"/>
        <v>Sunday</v>
      </c>
      <c r="Q106" s="5">
        <f t="shared" si="10"/>
        <v>13</v>
      </c>
      <c r="R106" s="28">
        <f t="shared" si="11"/>
        <v>0.91570881226053635</v>
      </c>
      <c r="S106" s="29">
        <f t="shared" si="12"/>
        <v>91.570881226053629</v>
      </c>
      <c r="T106" s="5" t="str">
        <f>IF(Delivery_Data3[[#This Row],[Delays (min)]]&gt;0,"No","Yes")</f>
        <v>No</v>
      </c>
      <c r="W106" s="41">
        <f t="shared" si="13"/>
        <v>45172</v>
      </c>
      <c r="X106" s="5">
        <v>239</v>
      </c>
    </row>
    <row r="107" spans="1:24" ht="15.75" customHeight="1" x14ac:dyDescent="0.3">
      <c r="A107" s="4">
        <v>1106</v>
      </c>
      <c r="B107" s="5" t="s">
        <v>210</v>
      </c>
      <c r="C107" s="6">
        <v>45171.642361111109</v>
      </c>
      <c r="D107" s="5" t="s">
        <v>43</v>
      </c>
      <c r="E107" s="5" t="s">
        <v>211</v>
      </c>
      <c r="F107" s="5" t="s">
        <v>38</v>
      </c>
      <c r="G107" s="5" t="s">
        <v>56</v>
      </c>
      <c r="H107" s="5">
        <v>195</v>
      </c>
      <c r="I107" s="5">
        <v>5</v>
      </c>
      <c r="J107" s="5" t="s">
        <v>18</v>
      </c>
      <c r="K107" s="5" t="s">
        <v>35</v>
      </c>
      <c r="L107" s="5" t="s">
        <v>28</v>
      </c>
      <c r="M107" s="7" t="s">
        <v>41</v>
      </c>
      <c r="N107" s="26">
        <f t="shared" si="7"/>
        <v>0</v>
      </c>
      <c r="O107" s="42">
        <f t="shared" si="8"/>
        <v>45171</v>
      </c>
      <c r="P107" s="5" t="str">
        <f t="shared" si="9"/>
        <v>Saturday</v>
      </c>
      <c r="Q107" s="5">
        <f t="shared" si="10"/>
        <v>15</v>
      </c>
      <c r="R107" s="28">
        <f t="shared" si="11"/>
        <v>0.97499999999999998</v>
      </c>
      <c r="S107" s="29">
        <f t="shared" si="12"/>
        <v>97.5</v>
      </c>
      <c r="T107" s="5" t="str">
        <f>IF(Delivery_Data3[[#This Row],[Delays (min)]]&gt;0,"No","Yes")</f>
        <v>No</v>
      </c>
      <c r="W107" s="41">
        <f t="shared" si="13"/>
        <v>45171</v>
      </c>
      <c r="X107" s="5">
        <v>195</v>
      </c>
    </row>
    <row r="108" spans="1:24" ht="15.75" customHeight="1" x14ac:dyDescent="0.3">
      <c r="A108" s="4">
        <v>1107</v>
      </c>
      <c r="B108" s="5" t="s">
        <v>212</v>
      </c>
      <c r="C108" s="6">
        <v>45172.632638888892</v>
      </c>
      <c r="D108" s="5" t="s">
        <v>14</v>
      </c>
      <c r="E108" s="5" t="s">
        <v>154</v>
      </c>
      <c r="F108" s="5" t="s">
        <v>16</v>
      </c>
      <c r="G108" s="5" t="s">
        <v>56</v>
      </c>
      <c r="H108" s="5">
        <v>60</v>
      </c>
      <c r="I108" s="5">
        <v>29</v>
      </c>
      <c r="J108" s="5" t="s">
        <v>32</v>
      </c>
      <c r="K108" s="5" t="s">
        <v>19</v>
      </c>
      <c r="L108" s="5" t="s">
        <v>28</v>
      </c>
      <c r="M108" s="7" t="s">
        <v>21</v>
      </c>
      <c r="N108" s="26">
        <f t="shared" si="7"/>
        <v>-1</v>
      </c>
      <c r="O108" s="42">
        <f t="shared" si="8"/>
        <v>45172</v>
      </c>
      <c r="P108" s="5" t="str">
        <f t="shared" si="9"/>
        <v>Sunday</v>
      </c>
      <c r="Q108" s="5">
        <f t="shared" si="10"/>
        <v>15</v>
      </c>
      <c r="R108" s="28">
        <f t="shared" si="11"/>
        <v>0.6741573033707865</v>
      </c>
      <c r="S108" s="29">
        <f t="shared" si="12"/>
        <v>67.415730337078656</v>
      </c>
      <c r="T108" s="5" t="str">
        <f>IF(Delivery_Data3[[#This Row],[Delays (min)]]&gt;0,"No","Yes")</f>
        <v>No</v>
      </c>
      <c r="W108" s="41">
        <f t="shared" si="13"/>
        <v>45172</v>
      </c>
      <c r="X108" s="5">
        <v>60</v>
      </c>
    </row>
    <row r="109" spans="1:24" ht="15.75" customHeight="1" x14ac:dyDescent="0.3">
      <c r="A109" s="4">
        <v>1108</v>
      </c>
      <c r="B109" s="5" t="s">
        <v>213</v>
      </c>
      <c r="C109" s="6">
        <v>45177.5625</v>
      </c>
      <c r="D109" s="5" t="s">
        <v>43</v>
      </c>
      <c r="E109" s="5" t="s">
        <v>78</v>
      </c>
      <c r="F109" s="5" t="s">
        <v>38</v>
      </c>
      <c r="G109" s="5" t="s">
        <v>25</v>
      </c>
      <c r="H109" s="5">
        <v>203</v>
      </c>
      <c r="I109" s="5">
        <v>24</v>
      </c>
      <c r="J109" s="5" t="s">
        <v>18</v>
      </c>
      <c r="K109" s="5" t="s">
        <v>19</v>
      </c>
      <c r="L109" s="5" t="s">
        <v>28</v>
      </c>
      <c r="M109" s="7" t="s">
        <v>46</v>
      </c>
      <c r="N109" s="26">
        <f t="shared" si="7"/>
        <v>0</v>
      </c>
      <c r="O109" s="42">
        <f t="shared" si="8"/>
        <v>45177</v>
      </c>
      <c r="P109" s="5" t="str">
        <f t="shared" si="9"/>
        <v>Friday</v>
      </c>
      <c r="Q109" s="5">
        <f t="shared" si="10"/>
        <v>13</v>
      </c>
      <c r="R109" s="28">
        <f t="shared" si="11"/>
        <v>0.89427312775330392</v>
      </c>
      <c r="S109" s="29">
        <f t="shared" si="12"/>
        <v>89.427312775330392</v>
      </c>
      <c r="T109" s="5" t="str">
        <f>IF(Delivery_Data3[[#This Row],[Delays (min)]]&gt;0,"No","Yes")</f>
        <v>No</v>
      </c>
      <c r="W109" s="41">
        <f t="shared" si="13"/>
        <v>45177</v>
      </c>
      <c r="X109" s="5">
        <v>203</v>
      </c>
    </row>
    <row r="110" spans="1:24" ht="15.75" customHeight="1" x14ac:dyDescent="0.3">
      <c r="A110" s="4">
        <v>1109</v>
      </c>
      <c r="B110" s="5" t="s">
        <v>214</v>
      </c>
      <c r="C110" s="6">
        <v>45175.552777777775</v>
      </c>
      <c r="D110" s="5" t="s">
        <v>14</v>
      </c>
      <c r="E110" s="5" t="s">
        <v>215</v>
      </c>
      <c r="F110" s="5" t="s">
        <v>38</v>
      </c>
      <c r="G110" s="5" t="s">
        <v>56</v>
      </c>
      <c r="H110" s="5">
        <v>219</v>
      </c>
      <c r="I110" s="5">
        <v>19</v>
      </c>
      <c r="J110" s="5" t="s">
        <v>18</v>
      </c>
      <c r="K110" s="5" t="s">
        <v>27</v>
      </c>
      <c r="L110" s="5" t="s">
        <v>28</v>
      </c>
      <c r="M110" s="7" t="s">
        <v>41</v>
      </c>
      <c r="N110" s="26">
        <f t="shared" si="7"/>
        <v>0</v>
      </c>
      <c r="O110" s="42">
        <f t="shared" si="8"/>
        <v>45175</v>
      </c>
      <c r="P110" s="5" t="str">
        <f t="shared" si="9"/>
        <v>Wednesday</v>
      </c>
      <c r="Q110" s="5">
        <f t="shared" si="10"/>
        <v>13</v>
      </c>
      <c r="R110" s="28">
        <f t="shared" si="11"/>
        <v>0.92016806722689071</v>
      </c>
      <c r="S110" s="29">
        <f t="shared" si="12"/>
        <v>92.016806722689068</v>
      </c>
      <c r="T110" s="5" t="str">
        <f>IF(Delivery_Data3[[#This Row],[Delays (min)]]&gt;0,"No","Yes")</f>
        <v>No</v>
      </c>
      <c r="W110" s="41">
        <f t="shared" si="13"/>
        <v>45175</v>
      </c>
      <c r="X110" s="5">
        <v>219</v>
      </c>
    </row>
    <row r="111" spans="1:24" ht="15.75" customHeight="1" x14ac:dyDescent="0.3">
      <c r="A111" s="4">
        <v>1110</v>
      </c>
      <c r="B111" s="5" t="s">
        <v>216</v>
      </c>
      <c r="C111" s="6">
        <v>45174.694444444445</v>
      </c>
      <c r="D111" s="5" t="s">
        <v>43</v>
      </c>
      <c r="E111" s="5" t="s">
        <v>48</v>
      </c>
      <c r="F111" s="5" t="s">
        <v>24</v>
      </c>
      <c r="G111" s="5" t="s">
        <v>31</v>
      </c>
      <c r="H111" s="5">
        <v>156</v>
      </c>
      <c r="I111" s="5">
        <v>23</v>
      </c>
      <c r="J111" s="5" t="s">
        <v>26</v>
      </c>
      <c r="K111" s="5" t="s">
        <v>45</v>
      </c>
      <c r="L111" s="5" t="s">
        <v>20</v>
      </c>
      <c r="M111" s="7" t="s">
        <v>46</v>
      </c>
      <c r="N111" s="26">
        <f t="shared" si="7"/>
        <v>1</v>
      </c>
      <c r="O111" s="42">
        <f t="shared" si="8"/>
        <v>45174</v>
      </c>
      <c r="P111" s="5" t="str">
        <f t="shared" si="9"/>
        <v>Tuesday</v>
      </c>
      <c r="Q111" s="5">
        <f t="shared" si="10"/>
        <v>16</v>
      </c>
      <c r="R111" s="28">
        <f t="shared" si="11"/>
        <v>0.87150837988826813</v>
      </c>
      <c r="S111" s="29">
        <f t="shared" si="12"/>
        <v>87.150837988826808</v>
      </c>
      <c r="T111" s="5" t="str">
        <f>IF(Delivery_Data3[[#This Row],[Delays (min)]]&gt;0,"No","Yes")</f>
        <v>No</v>
      </c>
      <c r="W111" s="41">
        <f t="shared" si="13"/>
        <v>45174</v>
      </c>
      <c r="X111" s="5">
        <v>156</v>
      </c>
    </row>
    <row r="112" spans="1:24" ht="15.75" customHeight="1" x14ac:dyDescent="0.3">
      <c r="A112" s="4">
        <v>1111</v>
      </c>
      <c r="B112" s="5" t="s">
        <v>217</v>
      </c>
      <c r="C112" s="6">
        <v>45176.630555555559</v>
      </c>
      <c r="D112" s="5" t="s">
        <v>43</v>
      </c>
      <c r="E112" s="5" t="s">
        <v>101</v>
      </c>
      <c r="F112" s="5" t="s">
        <v>38</v>
      </c>
      <c r="G112" s="5" t="s">
        <v>17</v>
      </c>
      <c r="H112" s="5">
        <v>130</v>
      </c>
      <c r="I112" s="5">
        <v>2</v>
      </c>
      <c r="J112" s="5" t="s">
        <v>32</v>
      </c>
      <c r="K112" s="5" t="s">
        <v>19</v>
      </c>
      <c r="L112" s="5" t="s">
        <v>20</v>
      </c>
      <c r="M112" s="7" t="s">
        <v>46</v>
      </c>
      <c r="N112" s="26">
        <f t="shared" si="7"/>
        <v>-1</v>
      </c>
      <c r="O112" s="42">
        <f t="shared" si="8"/>
        <v>45176</v>
      </c>
      <c r="P112" s="5" t="str">
        <f t="shared" si="9"/>
        <v>Thursday</v>
      </c>
      <c r="Q112" s="5">
        <f t="shared" si="10"/>
        <v>15</v>
      </c>
      <c r="R112" s="28">
        <f t="shared" si="11"/>
        <v>0.98484848484848486</v>
      </c>
      <c r="S112" s="29">
        <f t="shared" si="12"/>
        <v>98.484848484848484</v>
      </c>
      <c r="T112" s="5" t="str">
        <f>IF(Delivery_Data3[[#This Row],[Delays (min)]]&gt;0,"No","Yes")</f>
        <v>No</v>
      </c>
      <c r="W112" s="41">
        <f t="shared" si="13"/>
        <v>45176</v>
      </c>
      <c r="X112" s="5">
        <v>130</v>
      </c>
    </row>
    <row r="113" spans="1:24" ht="15.75" customHeight="1" x14ac:dyDescent="0.3">
      <c r="A113" s="4">
        <v>1112</v>
      </c>
      <c r="B113" s="5" t="s">
        <v>218</v>
      </c>
      <c r="C113" s="6">
        <v>45170.454861111109</v>
      </c>
      <c r="D113" s="5" t="s">
        <v>14</v>
      </c>
      <c r="E113" s="5" t="s">
        <v>103</v>
      </c>
      <c r="F113" s="5" t="s">
        <v>24</v>
      </c>
      <c r="G113" s="5" t="s">
        <v>17</v>
      </c>
      <c r="H113" s="5">
        <v>212</v>
      </c>
      <c r="I113" s="5">
        <v>14</v>
      </c>
      <c r="J113" s="5" t="s">
        <v>26</v>
      </c>
      <c r="K113" s="5" t="s">
        <v>35</v>
      </c>
      <c r="L113" s="5" t="s">
        <v>40</v>
      </c>
      <c r="M113" s="7" t="s">
        <v>46</v>
      </c>
      <c r="N113" s="26">
        <f t="shared" si="7"/>
        <v>1</v>
      </c>
      <c r="O113" s="42">
        <f t="shared" si="8"/>
        <v>45170</v>
      </c>
      <c r="P113" s="5" t="str">
        <f t="shared" si="9"/>
        <v>Friday</v>
      </c>
      <c r="Q113" s="5">
        <f t="shared" si="10"/>
        <v>10</v>
      </c>
      <c r="R113" s="28">
        <f t="shared" si="11"/>
        <v>0.93805309734513276</v>
      </c>
      <c r="S113" s="29">
        <f t="shared" si="12"/>
        <v>93.805309734513273</v>
      </c>
      <c r="T113" s="5" t="str">
        <f>IF(Delivery_Data3[[#This Row],[Delays (min)]]&gt;0,"No","Yes")</f>
        <v>No</v>
      </c>
      <c r="W113" s="41">
        <f t="shared" si="13"/>
        <v>45170</v>
      </c>
      <c r="X113" s="5">
        <v>212</v>
      </c>
    </row>
    <row r="114" spans="1:24" ht="15.75" customHeight="1" x14ac:dyDescent="0.3">
      <c r="A114" s="4">
        <v>1113</v>
      </c>
      <c r="B114" s="5" t="s">
        <v>219</v>
      </c>
      <c r="C114" s="6">
        <v>45171.54791666667</v>
      </c>
      <c r="D114" s="5" t="s">
        <v>14</v>
      </c>
      <c r="E114" s="5" t="s">
        <v>220</v>
      </c>
      <c r="F114" s="5" t="s">
        <v>24</v>
      </c>
      <c r="G114" s="5" t="s">
        <v>25</v>
      </c>
      <c r="H114" s="5">
        <v>234</v>
      </c>
      <c r="I114" s="5">
        <v>15</v>
      </c>
      <c r="J114" s="5" t="s">
        <v>32</v>
      </c>
      <c r="K114" s="5" t="s">
        <v>19</v>
      </c>
      <c r="L114" s="5" t="s">
        <v>20</v>
      </c>
      <c r="M114" s="7" t="s">
        <v>41</v>
      </c>
      <c r="N114" s="26">
        <f t="shared" si="7"/>
        <v>-1</v>
      </c>
      <c r="O114" s="42">
        <f t="shared" si="8"/>
        <v>45171</v>
      </c>
      <c r="P114" s="5" t="str">
        <f t="shared" si="9"/>
        <v>Saturday</v>
      </c>
      <c r="Q114" s="5">
        <f t="shared" si="10"/>
        <v>13</v>
      </c>
      <c r="R114" s="28">
        <f t="shared" si="11"/>
        <v>0.93975903614457834</v>
      </c>
      <c r="S114" s="29">
        <f t="shared" si="12"/>
        <v>93.975903614457835</v>
      </c>
      <c r="T114" s="5" t="str">
        <f>IF(Delivery_Data3[[#This Row],[Delays (min)]]&gt;0,"No","Yes")</f>
        <v>No</v>
      </c>
      <c r="W114" s="41">
        <f t="shared" si="13"/>
        <v>45171</v>
      </c>
      <c r="X114" s="5">
        <v>234</v>
      </c>
    </row>
    <row r="115" spans="1:24" ht="15.75" customHeight="1" x14ac:dyDescent="0.3">
      <c r="A115" s="4">
        <v>1114</v>
      </c>
      <c r="B115" s="5" t="s">
        <v>221</v>
      </c>
      <c r="C115" s="6">
        <v>45177.702777777777</v>
      </c>
      <c r="D115" s="5" t="s">
        <v>14</v>
      </c>
      <c r="E115" s="5" t="s">
        <v>15</v>
      </c>
      <c r="F115" s="5" t="s">
        <v>38</v>
      </c>
      <c r="G115" s="5" t="s">
        <v>25</v>
      </c>
      <c r="H115" s="5">
        <v>233</v>
      </c>
      <c r="I115" s="5">
        <v>1</v>
      </c>
      <c r="J115" s="5" t="s">
        <v>32</v>
      </c>
      <c r="K115" s="5" t="s">
        <v>35</v>
      </c>
      <c r="L115" s="5" t="s">
        <v>28</v>
      </c>
      <c r="M115" s="7" t="s">
        <v>21</v>
      </c>
      <c r="N115" s="26">
        <f t="shared" si="7"/>
        <v>-1</v>
      </c>
      <c r="O115" s="42">
        <f t="shared" si="8"/>
        <v>45177</v>
      </c>
      <c r="P115" s="5" t="str">
        <f t="shared" si="9"/>
        <v>Friday</v>
      </c>
      <c r="Q115" s="5">
        <f t="shared" si="10"/>
        <v>16</v>
      </c>
      <c r="R115" s="28">
        <f t="shared" si="11"/>
        <v>0.99572649572649574</v>
      </c>
      <c r="S115" s="29">
        <f t="shared" si="12"/>
        <v>99.572649572649567</v>
      </c>
      <c r="T115" s="5" t="str">
        <f>IF(Delivery_Data3[[#This Row],[Delays (min)]]&gt;0,"No","Yes")</f>
        <v>No</v>
      </c>
      <c r="W115" s="41">
        <f t="shared" si="13"/>
        <v>45177</v>
      </c>
      <c r="X115" s="5">
        <v>233</v>
      </c>
    </row>
    <row r="116" spans="1:24" ht="15.75" customHeight="1" x14ac:dyDescent="0.3">
      <c r="A116" s="4">
        <v>1115</v>
      </c>
      <c r="B116" s="5" t="s">
        <v>222</v>
      </c>
      <c r="C116" s="6">
        <v>45173.622916666667</v>
      </c>
      <c r="D116" s="5" t="s">
        <v>43</v>
      </c>
      <c r="E116" s="5" t="s">
        <v>126</v>
      </c>
      <c r="F116" s="5" t="s">
        <v>38</v>
      </c>
      <c r="G116" s="5" t="s">
        <v>39</v>
      </c>
      <c r="H116" s="5">
        <v>155</v>
      </c>
      <c r="I116" s="5">
        <v>8</v>
      </c>
      <c r="J116" s="5" t="s">
        <v>32</v>
      </c>
      <c r="K116" s="5" t="s">
        <v>45</v>
      </c>
      <c r="L116" s="5" t="s">
        <v>20</v>
      </c>
      <c r="M116" s="7" t="s">
        <v>46</v>
      </c>
      <c r="N116" s="26">
        <f t="shared" si="7"/>
        <v>-1</v>
      </c>
      <c r="O116" s="42">
        <f t="shared" si="8"/>
        <v>45173</v>
      </c>
      <c r="P116" s="5" t="str">
        <f t="shared" si="9"/>
        <v>Monday</v>
      </c>
      <c r="Q116" s="5">
        <f t="shared" si="10"/>
        <v>14</v>
      </c>
      <c r="R116" s="28">
        <f t="shared" si="11"/>
        <v>0.95092024539877296</v>
      </c>
      <c r="S116" s="29">
        <f t="shared" si="12"/>
        <v>95.092024539877301</v>
      </c>
      <c r="T116" s="5" t="str">
        <f>IF(Delivery_Data3[[#This Row],[Delays (min)]]&gt;0,"No","Yes")</f>
        <v>No</v>
      </c>
      <c r="W116" s="41">
        <f t="shared" si="13"/>
        <v>45173</v>
      </c>
      <c r="X116" s="5">
        <v>155</v>
      </c>
    </row>
    <row r="117" spans="1:24" ht="15.75" customHeight="1" x14ac:dyDescent="0.3">
      <c r="A117" s="4">
        <v>1116</v>
      </c>
      <c r="B117" s="5" t="s">
        <v>223</v>
      </c>
      <c r="C117" s="6">
        <v>45170.392361111109</v>
      </c>
      <c r="D117" s="5" t="s">
        <v>43</v>
      </c>
      <c r="E117" s="5" t="s">
        <v>128</v>
      </c>
      <c r="F117" s="5" t="s">
        <v>38</v>
      </c>
      <c r="G117" s="5" t="s">
        <v>56</v>
      </c>
      <c r="H117" s="5">
        <v>117</v>
      </c>
      <c r="I117" s="5">
        <v>15</v>
      </c>
      <c r="J117" s="5" t="s">
        <v>18</v>
      </c>
      <c r="K117" s="5" t="s">
        <v>19</v>
      </c>
      <c r="L117" s="5" t="s">
        <v>40</v>
      </c>
      <c r="M117" s="7" t="s">
        <v>41</v>
      </c>
      <c r="N117" s="26">
        <f t="shared" si="7"/>
        <v>0</v>
      </c>
      <c r="O117" s="42">
        <f t="shared" si="8"/>
        <v>45170</v>
      </c>
      <c r="P117" s="5" t="str">
        <f t="shared" si="9"/>
        <v>Friday</v>
      </c>
      <c r="Q117" s="5">
        <f t="shared" si="10"/>
        <v>9</v>
      </c>
      <c r="R117" s="28">
        <f t="shared" si="11"/>
        <v>0.88636363636363635</v>
      </c>
      <c r="S117" s="29">
        <f t="shared" si="12"/>
        <v>88.63636363636364</v>
      </c>
      <c r="T117" s="5" t="str">
        <f>IF(Delivery_Data3[[#This Row],[Delays (min)]]&gt;0,"No","Yes")</f>
        <v>No</v>
      </c>
      <c r="W117" s="41">
        <f t="shared" si="13"/>
        <v>45170</v>
      </c>
      <c r="X117" s="5">
        <v>117</v>
      </c>
    </row>
    <row r="118" spans="1:24" ht="15.75" customHeight="1" x14ac:dyDescent="0.3">
      <c r="A118" s="4">
        <v>1117</v>
      </c>
      <c r="B118" s="5" t="s">
        <v>224</v>
      </c>
      <c r="C118" s="6">
        <v>45172.704861111109</v>
      </c>
      <c r="D118" s="5" t="s">
        <v>43</v>
      </c>
      <c r="E118" s="5" t="s">
        <v>115</v>
      </c>
      <c r="F118" s="5" t="s">
        <v>16</v>
      </c>
      <c r="G118" s="5" t="s">
        <v>31</v>
      </c>
      <c r="H118" s="5">
        <v>191</v>
      </c>
      <c r="I118" s="5">
        <v>16</v>
      </c>
      <c r="J118" s="5" t="s">
        <v>18</v>
      </c>
      <c r="K118" s="5" t="s">
        <v>49</v>
      </c>
      <c r="L118" s="5" t="s">
        <v>20</v>
      </c>
      <c r="M118" s="7" t="s">
        <v>46</v>
      </c>
      <c r="N118" s="26">
        <f t="shared" si="7"/>
        <v>0</v>
      </c>
      <c r="O118" s="42">
        <f t="shared" si="8"/>
        <v>45172</v>
      </c>
      <c r="P118" s="5" t="str">
        <f t="shared" si="9"/>
        <v>Sunday</v>
      </c>
      <c r="Q118" s="5">
        <f t="shared" si="10"/>
        <v>16</v>
      </c>
      <c r="R118" s="28">
        <f t="shared" si="11"/>
        <v>0.92270531400966183</v>
      </c>
      <c r="S118" s="29">
        <f t="shared" si="12"/>
        <v>92.270531400966178</v>
      </c>
      <c r="T118" s="5" t="str">
        <f>IF(Delivery_Data3[[#This Row],[Delays (min)]]&gt;0,"No","Yes")</f>
        <v>No</v>
      </c>
      <c r="W118" s="41">
        <f t="shared" si="13"/>
        <v>45172</v>
      </c>
      <c r="X118" s="5">
        <v>191</v>
      </c>
    </row>
    <row r="119" spans="1:24" ht="15.75" customHeight="1" x14ac:dyDescent="0.3">
      <c r="A119" s="4">
        <v>1118</v>
      </c>
      <c r="B119" s="5" t="s">
        <v>225</v>
      </c>
      <c r="C119" s="6">
        <v>45177.629861111112</v>
      </c>
      <c r="D119" s="5" t="s">
        <v>43</v>
      </c>
      <c r="E119" s="5" t="s">
        <v>15</v>
      </c>
      <c r="F119" s="5" t="s">
        <v>24</v>
      </c>
      <c r="G119" s="5" t="s">
        <v>39</v>
      </c>
      <c r="H119" s="5">
        <v>193</v>
      </c>
      <c r="I119" s="5">
        <v>23</v>
      </c>
      <c r="J119" s="5" t="s">
        <v>18</v>
      </c>
      <c r="K119" s="5" t="s">
        <v>35</v>
      </c>
      <c r="L119" s="5" t="s">
        <v>20</v>
      </c>
      <c r="M119" s="7" t="s">
        <v>41</v>
      </c>
      <c r="N119" s="26">
        <f t="shared" si="7"/>
        <v>0</v>
      </c>
      <c r="O119" s="42">
        <f t="shared" si="8"/>
        <v>45177</v>
      </c>
      <c r="P119" s="5" t="str">
        <f t="shared" si="9"/>
        <v>Friday</v>
      </c>
      <c r="Q119" s="5">
        <f t="shared" si="10"/>
        <v>15</v>
      </c>
      <c r="R119" s="28">
        <f t="shared" si="11"/>
        <v>0.89351851851851849</v>
      </c>
      <c r="S119" s="29">
        <f t="shared" si="12"/>
        <v>89.351851851851848</v>
      </c>
      <c r="T119" s="5" t="str">
        <f>IF(Delivery_Data3[[#This Row],[Delays (min)]]&gt;0,"No","Yes")</f>
        <v>No</v>
      </c>
      <c r="W119" s="41">
        <f t="shared" si="13"/>
        <v>45177</v>
      </c>
      <c r="X119" s="5">
        <v>193</v>
      </c>
    </row>
    <row r="120" spans="1:24" ht="15.75" customHeight="1" x14ac:dyDescent="0.3">
      <c r="A120" s="4">
        <v>1119</v>
      </c>
      <c r="B120" s="5" t="s">
        <v>226</v>
      </c>
      <c r="C120" s="6">
        <v>45177.419444444444</v>
      </c>
      <c r="D120" s="5" t="s">
        <v>14</v>
      </c>
      <c r="E120" s="5" t="s">
        <v>151</v>
      </c>
      <c r="F120" s="5" t="s">
        <v>24</v>
      </c>
      <c r="G120" s="5" t="s">
        <v>31</v>
      </c>
      <c r="H120" s="5">
        <v>149</v>
      </c>
      <c r="I120" s="5">
        <v>17</v>
      </c>
      <c r="J120" s="5" t="s">
        <v>32</v>
      </c>
      <c r="K120" s="5" t="s">
        <v>35</v>
      </c>
      <c r="L120" s="5" t="s">
        <v>28</v>
      </c>
      <c r="M120" s="7" t="s">
        <v>41</v>
      </c>
      <c r="N120" s="26">
        <f t="shared" si="7"/>
        <v>-1</v>
      </c>
      <c r="O120" s="42">
        <f t="shared" si="8"/>
        <v>45177</v>
      </c>
      <c r="P120" s="5" t="str">
        <f t="shared" si="9"/>
        <v>Friday</v>
      </c>
      <c r="Q120" s="5">
        <f t="shared" si="10"/>
        <v>10</v>
      </c>
      <c r="R120" s="28">
        <f t="shared" si="11"/>
        <v>0.89759036144578308</v>
      </c>
      <c r="S120" s="29">
        <f t="shared" si="12"/>
        <v>89.759036144578303</v>
      </c>
      <c r="T120" s="5" t="str">
        <f>IF(Delivery_Data3[[#This Row],[Delays (min)]]&gt;0,"No","Yes")</f>
        <v>No</v>
      </c>
      <c r="W120" s="41">
        <f t="shared" si="13"/>
        <v>45177</v>
      </c>
      <c r="X120" s="5">
        <v>149</v>
      </c>
    </row>
    <row r="121" spans="1:24" ht="15.75" customHeight="1" x14ac:dyDescent="0.3">
      <c r="A121" s="4">
        <v>1120</v>
      </c>
      <c r="B121" s="5" t="s">
        <v>227</v>
      </c>
      <c r="C121" s="6">
        <v>45177.466666666667</v>
      </c>
      <c r="D121" s="5" t="s">
        <v>14</v>
      </c>
      <c r="E121" s="5" t="s">
        <v>228</v>
      </c>
      <c r="F121" s="5" t="s">
        <v>16</v>
      </c>
      <c r="G121" s="5" t="s">
        <v>25</v>
      </c>
      <c r="H121" s="5">
        <v>152</v>
      </c>
      <c r="I121" s="5">
        <v>26</v>
      </c>
      <c r="J121" s="5" t="s">
        <v>18</v>
      </c>
      <c r="K121" s="5" t="s">
        <v>49</v>
      </c>
      <c r="L121" s="5" t="s">
        <v>40</v>
      </c>
      <c r="M121" s="7" t="s">
        <v>46</v>
      </c>
      <c r="N121" s="26">
        <f t="shared" si="7"/>
        <v>0</v>
      </c>
      <c r="O121" s="42">
        <f t="shared" si="8"/>
        <v>45177</v>
      </c>
      <c r="P121" s="5" t="str">
        <f t="shared" si="9"/>
        <v>Friday</v>
      </c>
      <c r="Q121" s="5">
        <f t="shared" si="10"/>
        <v>11</v>
      </c>
      <c r="R121" s="28">
        <f t="shared" si="11"/>
        <v>0.8539325842696629</v>
      </c>
      <c r="S121" s="29">
        <f t="shared" si="12"/>
        <v>85.393258426966284</v>
      </c>
      <c r="T121" s="5" t="str">
        <f>IF(Delivery_Data3[[#This Row],[Delays (min)]]&gt;0,"No","Yes")</f>
        <v>No</v>
      </c>
      <c r="W121" s="41">
        <f t="shared" si="13"/>
        <v>45177</v>
      </c>
      <c r="X121" s="5">
        <v>152</v>
      </c>
    </row>
    <row r="122" spans="1:24" ht="15.75" customHeight="1" x14ac:dyDescent="0.3">
      <c r="A122" s="4">
        <v>1121</v>
      </c>
      <c r="B122" s="5" t="s">
        <v>229</v>
      </c>
      <c r="C122" s="6">
        <v>45172.499305555553</v>
      </c>
      <c r="D122" s="5" t="s">
        <v>43</v>
      </c>
      <c r="E122" s="5" t="s">
        <v>169</v>
      </c>
      <c r="F122" s="5" t="s">
        <v>24</v>
      </c>
      <c r="G122" s="5" t="s">
        <v>25</v>
      </c>
      <c r="H122" s="5">
        <v>123</v>
      </c>
      <c r="I122" s="5">
        <v>22</v>
      </c>
      <c r="J122" s="5" t="s">
        <v>32</v>
      </c>
      <c r="K122" s="5" t="s">
        <v>27</v>
      </c>
      <c r="L122" s="5" t="s">
        <v>40</v>
      </c>
      <c r="M122" s="7" t="s">
        <v>21</v>
      </c>
      <c r="N122" s="26">
        <f t="shared" si="7"/>
        <v>-1</v>
      </c>
      <c r="O122" s="42">
        <f t="shared" si="8"/>
        <v>45172</v>
      </c>
      <c r="P122" s="5" t="str">
        <f t="shared" si="9"/>
        <v>Sunday</v>
      </c>
      <c r="Q122" s="5">
        <f t="shared" si="10"/>
        <v>11</v>
      </c>
      <c r="R122" s="28">
        <f t="shared" si="11"/>
        <v>0.84827586206896555</v>
      </c>
      <c r="S122" s="29">
        <f t="shared" si="12"/>
        <v>84.827586206896555</v>
      </c>
      <c r="T122" s="5" t="str">
        <f>IF(Delivery_Data3[[#This Row],[Delays (min)]]&gt;0,"No","Yes")</f>
        <v>No</v>
      </c>
      <c r="W122" s="41">
        <f t="shared" si="13"/>
        <v>45172</v>
      </c>
      <c r="X122" s="5">
        <v>123</v>
      </c>
    </row>
    <row r="123" spans="1:24" ht="15.75" customHeight="1" x14ac:dyDescent="0.3">
      <c r="A123" s="4">
        <v>1122</v>
      </c>
      <c r="B123" s="5" t="s">
        <v>230</v>
      </c>
      <c r="C123" s="6">
        <v>45172.347222222219</v>
      </c>
      <c r="D123" s="5" t="s">
        <v>14</v>
      </c>
      <c r="E123" s="5" t="s">
        <v>231</v>
      </c>
      <c r="F123" s="5" t="s">
        <v>24</v>
      </c>
      <c r="G123" s="5" t="s">
        <v>31</v>
      </c>
      <c r="H123" s="5">
        <v>81</v>
      </c>
      <c r="I123" s="5">
        <v>15</v>
      </c>
      <c r="J123" s="5" t="s">
        <v>32</v>
      </c>
      <c r="K123" s="5" t="s">
        <v>27</v>
      </c>
      <c r="L123" s="5" t="s">
        <v>28</v>
      </c>
      <c r="M123" s="7" t="s">
        <v>41</v>
      </c>
      <c r="N123" s="26">
        <f t="shared" si="7"/>
        <v>-1</v>
      </c>
      <c r="O123" s="42">
        <f t="shared" si="8"/>
        <v>45172</v>
      </c>
      <c r="P123" s="5" t="str">
        <f t="shared" si="9"/>
        <v>Sunday</v>
      </c>
      <c r="Q123" s="5">
        <f t="shared" si="10"/>
        <v>8</v>
      </c>
      <c r="R123" s="28">
        <f t="shared" si="11"/>
        <v>0.84375</v>
      </c>
      <c r="S123" s="29">
        <f t="shared" si="12"/>
        <v>84.375</v>
      </c>
      <c r="T123" s="5" t="str">
        <f>IF(Delivery_Data3[[#This Row],[Delays (min)]]&gt;0,"No","Yes")</f>
        <v>No</v>
      </c>
      <c r="W123" s="41">
        <f t="shared" si="13"/>
        <v>45172</v>
      </c>
      <c r="X123" s="5">
        <v>81</v>
      </c>
    </row>
    <row r="124" spans="1:24" ht="15.75" customHeight="1" x14ac:dyDescent="0.3">
      <c r="A124" s="4">
        <v>1123</v>
      </c>
      <c r="B124" s="5" t="s">
        <v>232</v>
      </c>
      <c r="C124" s="6">
        <v>45173.42291666667</v>
      </c>
      <c r="D124" s="5" t="s">
        <v>14</v>
      </c>
      <c r="E124" s="5" t="s">
        <v>140</v>
      </c>
      <c r="F124" s="5" t="s">
        <v>16</v>
      </c>
      <c r="G124" s="5" t="s">
        <v>17</v>
      </c>
      <c r="H124" s="5">
        <v>186</v>
      </c>
      <c r="I124" s="5">
        <v>26</v>
      </c>
      <c r="J124" s="5" t="s">
        <v>18</v>
      </c>
      <c r="K124" s="5" t="s">
        <v>35</v>
      </c>
      <c r="L124" s="5" t="s">
        <v>20</v>
      </c>
      <c r="M124" s="7" t="s">
        <v>21</v>
      </c>
      <c r="N124" s="26">
        <f t="shared" si="7"/>
        <v>0</v>
      </c>
      <c r="O124" s="42">
        <f t="shared" si="8"/>
        <v>45173</v>
      </c>
      <c r="P124" s="5" t="str">
        <f t="shared" si="9"/>
        <v>Monday</v>
      </c>
      <c r="Q124" s="5">
        <f t="shared" si="10"/>
        <v>10</v>
      </c>
      <c r="R124" s="28">
        <f t="shared" si="11"/>
        <v>0.87735849056603776</v>
      </c>
      <c r="S124" s="29">
        <f t="shared" si="12"/>
        <v>87.735849056603783</v>
      </c>
      <c r="T124" s="5" t="str">
        <f>IF(Delivery_Data3[[#This Row],[Delays (min)]]&gt;0,"No","Yes")</f>
        <v>No</v>
      </c>
      <c r="W124" s="41">
        <f t="shared" si="13"/>
        <v>45173</v>
      </c>
      <c r="X124" s="5">
        <v>186</v>
      </c>
    </row>
    <row r="125" spans="1:24" ht="15.75" customHeight="1" x14ac:dyDescent="0.3">
      <c r="A125" s="4">
        <v>1124</v>
      </c>
      <c r="B125" s="5" t="s">
        <v>233</v>
      </c>
      <c r="C125" s="6">
        <v>45172.62222222222</v>
      </c>
      <c r="D125" s="5" t="s">
        <v>14</v>
      </c>
      <c r="E125" s="5" t="s">
        <v>234</v>
      </c>
      <c r="F125" s="5" t="s">
        <v>16</v>
      </c>
      <c r="G125" s="5" t="s">
        <v>25</v>
      </c>
      <c r="H125" s="5">
        <v>83</v>
      </c>
      <c r="I125" s="5">
        <v>2</v>
      </c>
      <c r="J125" s="5" t="s">
        <v>26</v>
      </c>
      <c r="K125" s="5" t="s">
        <v>35</v>
      </c>
      <c r="L125" s="5" t="s">
        <v>20</v>
      </c>
      <c r="M125" s="7" t="s">
        <v>46</v>
      </c>
      <c r="N125" s="26">
        <f t="shared" si="7"/>
        <v>1</v>
      </c>
      <c r="O125" s="42">
        <f t="shared" si="8"/>
        <v>45172</v>
      </c>
      <c r="P125" s="5" t="str">
        <f t="shared" si="9"/>
        <v>Sunday</v>
      </c>
      <c r="Q125" s="5">
        <f t="shared" si="10"/>
        <v>14</v>
      </c>
      <c r="R125" s="28">
        <f t="shared" si="11"/>
        <v>0.97647058823529409</v>
      </c>
      <c r="S125" s="29">
        <f t="shared" si="12"/>
        <v>97.647058823529406</v>
      </c>
      <c r="T125" s="5" t="str">
        <f>IF(Delivery_Data3[[#This Row],[Delays (min)]]&gt;0,"No","Yes")</f>
        <v>No</v>
      </c>
      <c r="W125" s="41">
        <f t="shared" si="13"/>
        <v>45172</v>
      </c>
      <c r="X125" s="5">
        <v>83</v>
      </c>
    </row>
    <row r="126" spans="1:24" ht="15.75" customHeight="1" x14ac:dyDescent="0.3">
      <c r="A126" s="4">
        <v>1125</v>
      </c>
      <c r="B126" s="5" t="s">
        <v>235</v>
      </c>
      <c r="C126" s="6">
        <v>45176.406944444447</v>
      </c>
      <c r="D126" s="5" t="s">
        <v>43</v>
      </c>
      <c r="E126" s="5" t="s">
        <v>122</v>
      </c>
      <c r="F126" s="5" t="s">
        <v>16</v>
      </c>
      <c r="G126" s="5" t="s">
        <v>25</v>
      </c>
      <c r="H126" s="5">
        <v>178</v>
      </c>
      <c r="I126" s="5">
        <v>28</v>
      </c>
      <c r="J126" s="5" t="s">
        <v>26</v>
      </c>
      <c r="K126" s="5" t="s">
        <v>27</v>
      </c>
      <c r="L126" s="5" t="s">
        <v>20</v>
      </c>
      <c r="M126" s="7" t="s">
        <v>21</v>
      </c>
      <c r="N126" s="26">
        <f t="shared" si="7"/>
        <v>1</v>
      </c>
      <c r="O126" s="42">
        <f t="shared" si="8"/>
        <v>45176</v>
      </c>
      <c r="P126" s="5" t="str">
        <f t="shared" si="9"/>
        <v>Thursday</v>
      </c>
      <c r="Q126" s="5">
        <f t="shared" si="10"/>
        <v>9</v>
      </c>
      <c r="R126" s="28">
        <f t="shared" si="11"/>
        <v>0.86407766990291257</v>
      </c>
      <c r="S126" s="29">
        <f t="shared" si="12"/>
        <v>86.40776699029125</v>
      </c>
      <c r="T126" s="5" t="str">
        <f>IF(Delivery_Data3[[#This Row],[Delays (min)]]&gt;0,"No","Yes")</f>
        <v>No</v>
      </c>
      <c r="W126" s="41">
        <f t="shared" si="13"/>
        <v>45176</v>
      </c>
      <c r="X126" s="5">
        <v>178</v>
      </c>
    </row>
    <row r="127" spans="1:24" ht="15.75" customHeight="1" x14ac:dyDescent="0.3">
      <c r="A127" s="4">
        <v>1126</v>
      </c>
      <c r="B127" s="5" t="s">
        <v>236</v>
      </c>
      <c r="C127" s="6">
        <v>45171.570833333331</v>
      </c>
      <c r="D127" s="5" t="s">
        <v>43</v>
      </c>
      <c r="E127" s="5" t="s">
        <v>115</v>
      </c>
      <c r="F127" s="5" t="s">
        <v>38</v>
      </c>
      <c r="G127" s="5" t="s">
        <v>31</v>
      </c>
      <c r="H127" s="5">
        <v>111</v>
      </c>
      <c r="I127" s="5">
        <v>27</v>
      </c>
      <c r="J127" s="5" t="s">
        <v>32</v>
      </c>
      <c r="K127" s="5" t="s">
        <v>27</v>
      </c>
      <c r="L127" s="5" t="s">
        <v>20</v>
      </c>
      <c r="M127" s="7" t="s">
        <v>41</v>
      </c>
      <c r="N127" s="26">
        <f t="shared" si="7"/>
        <v>-1</v>
      </c>
      <c r="O127" s="42">
        <f t="shared" si="8"/>
        <v>45171</v>
      </c>
      <c r="P127" s="5" t="str">
        <f t="shared" si="9"/>
        <v>Saturday</v>
      </c>
      <c r="Q127" s="5">
        <f t="shared" si="10"/>
        <v>13</v>
      </c>
      <c r="R127" s="28">
        <f t="shared" si="11"/>
        <v>0.80434782608695654</v>
      </c>
      <c r="S127" s="29">
        <f t="shared" si="12"/>
        <v>80.434782608695656</v>
      </c>
      <c r="T127" s="5" t="str">
        <f>IF(Delivery_Data3[[#This Row],[Delays (min)]]&gt;0,"No","Yes")</f>
        <v>No</v>
      </c>
      <c r="W127" s="41">
        <f t="shared" si="13"/>
        <v>45171</v>
      </c>
      <c r="X127" s="5">
        <v>111</v>
      </c>
    </row>
    <row r="128" spans="1:24" ht="15.75" customHeight="1" x14ac:dyDescent="0.3">
      <c r="A128" s="4">
        <v>1127</v>
      </c>
      <c r="B128" s="5" t="s">
        <v>237</v>
      </c>
      <c r="C128" s="6">
        <v>45172.510416666664</v>
      </c>
      <c r="D128" s="5" t="s">
        <v>14</v>
      </c>
      <c r="E128" s="5" t="s">
        <v>87</v>
      </c>
      <c r="F128" s="5" t="s">
        <v>16</v>
      </c>
      <c r="G128" s="5" t="s">
        <v>31</v>
      </c>
      <c r="H128" s="5">
        <v>175</v>
      </c>
      <c r="I128" s="5">
        <v>9</v>
      </c>
      <c r="J128" s="5" t="s">
        <v>26</v>
      </c>
      <c r="K128" s="5" t="s">
        <v>35</v>
      </c>
      <c r="L128" s="5" t="s">
        <v>28</v>
      </c>
      <c r="M128" s="7" t="s">
        <v>46</v>
      </c>
      <c r="N128" s="26">
        <f t="shared" si="7"/>
        <v>1</v>
      </c>
      <c r="O128" s="42">
        <f t="shared" si="8"/>
        <v>45172</v>
      </c>
      <c r="P128" s="5" t="str">
        <f t="shared" si="9"/>
        <v>Sunday</v>
      </c>
      <c r="Q128" s="5">
        <f t="shared" si="10"/>
        <v>12</v>
      </c>
      <c r="R128" s="28">
        <f t="shared" si="11"/>
        <v>0.95108695652173914</v>
      </c>
      <c r="S128" s="29">
        <f t="shared" si="12"/>
        <v>95.108695652173907</v>
      </c>
      <c r="T128" s="5" t="str">
        <f>IF(Delivery_Data3[[#This Row],[Delays (min)]]&gt;0,"No","Yes")</f>
        <v>No</v>
      </c>
      <c r="W128" s="41">
        <f t="shared" si="13"/>
        <v>45172</v>
      </c>
      <c r="X128" s="5">
        <v>175</v>
      </c>
    </row>
    <row r="129" spans="1:24" ht="15.75" customHeight="1" x14ac:dyDescent="0.3">
      <c r="A129" s="4">
        <v>1128</v>
      </c>
      <c r="B129" s="5" t="s">
        <v>238</v>
      </c>
      <c r="C129" s="6">
        <v>45172.497916666667</v>
      </c>
      <c r="D129" s="5" t="s">
        <v>14</v>
      </c>
      <c r="E129" s="5" t="s">
        <v>158</v>
      </c>
      <c r="F129" s="5" t="s">
        <v>16</v>
      </c>
      <c r="G129" s="5" t="s">
        <v>25</v>
      </c>
      <c r="H129" s="5">
        <v>117</v>
      </c>
      <c r="I129" s="5">
        <v>10</v>
      </c>
      <c r="J129" s="5" t="s">
        <v>32</v>
      </c>
      <c r="K129" s="5" t="s">
        <v>35</v>
      </c>
      <c r="L129" s="5" t="s">
        <v>20</v>
      </c>
      <c r="M129" s="7" t="s">
        <v>21</v>
      </c>
      <c r="N129" s="26">
        <f t="shared" si="7"/>
        <v>-1</v>
      </c>
      <c r="O129" s="42">
        <f t="shared" si="8"/>
        <v>45172</v>
      </c>
      <c r="P129" s="5" t="str">
        <f t="shared" si="9"/>
        <v>Sunday</v>
      </c>
      <c r="Q129" s="5">
        <f t="shared" si="10"/>
        <v>11</v>
      </c>
      <c r="R129" s="28">
        <f t="shared" si="11"/>
        <v>0.92125984251968507</v>
      </c>
      <c r="S129" s="29">
        <f t="shared" si="12"/>
        <v>92.125984251968504</v>
      </c>
      <c r="T129" s="5" t="str">
        <f>IF(Delivery_Data3[[#This Row],[Delays (min)]]&gt;0,"No","Yes")</f>
        <v>No</v>
      </c>
      <c r="W129" s="41">
        <f t="shared" si="13"/>
        <v>45172</v>
      </c>
      <c r="X129" s="5">
        <v>117</v>
      </c>
    </row>
    <row r="130" spans="1:24" ht="15.75" customHeight="1" x14ac:dyDescent="0.3">
      <c r="A130" s="4">
        <v>1129</v>
      </c>
      <c r="B130" s="5" t="s">
        <v>239</v>
      </c>
      <c r="C130" s="6">
        <v>45175.570138888892</v>
      </c>
      <c r="D130" s="5" t="s">
        <v>14</v>
      </c>
      <c r="E130" s="5" t="s">
        <v>240</v>
      </c>
      <c r="F130" s="5" t="s">
        <v>24</v>
      </c>
      <c r="G130" s="5" t="s">
        <v>56</v>
      </c>
      <c r="H130" s="5">
        <v>195</v>
      </c>
      <c r="I130" s="5">
        <v>22</v>
      </c>
      <c r="J130" s="5" t="s">
        <v>32</v>
      </c>
      <c r="K130" s="5" t="s">
        <v>49</v>
      </c>
      <c r="L130" s="5" t="s">
        <v>20</v>
      </c>
      <c r="M130" s="7" t="s">
        <v>21</v>
      </c>
      <c r="N130" s="26">
        <f t="shared" ref="N130:N193" si="14">IF(J130="Positive",1,IF(J130="Neutral",0,IF(J130="Negative",-1,"")))</f>
        <v>-1</v>
      </c>
      <c r="O130" s="42">
        <f t="shared" ref="O130:O193" si="15">INT(C130)</f>
        <v>45175</v>
      </c>
      <c r="P130" s="5" t="str">
        <f t="shared" ref="P130:P193" si="16">TEXT(C130,"dddd")</f>
        <v>Wednesday</v>
      </c>
      <c r="Q130" s="5">
        <f t="shared" ref="Q130:Q193" si="17">HOUR(C130)</f>
        <v>13</v>
      </c>
      <c r="R130" s="28">
        <f t="shared" ref="R130:R193" si="18">H130/(H130+I130)</f>
        <v>0.89861751152073732</v>
      </c>
      <c r="S130" s="29">
        <f t="shared" si="12"/>
        <v>89.861751152073737</v>
      </c>
      <c r="T130" s="5" t="str">
        <f>IF(Delivery_Data3[[#This Row],[Delays (min)]]&gt;0,"No","Yes")</f>
        <v>No</v>
      </c>
      <c r="W130" s="41">
        <f t="shared" si="13"/>
        <v>45175</v>
      </c>
      <c r="X130" s="5">
        <v>195</v>
      </c>
    </row>
    <row r="131" spans="1:24" ht="15.75" customHeight="1" x14ac:dyDescent="0.3">
      <c r="A131" s="4">
        <v>1130</v>
      </c>
      <c r="B131" s="5" t="s">
        <v>241</v>
      </c>
      <c r="C131" s="6">
        <v>45173.493055555555</v>
      </c>
      <c r="D131" s="5" t="s">
        <v>14</v>
      </c>
      <c r="E131" s="5" t="s">
        <v>151</v>
      </c>
      <c r="F131" s="5" t="s">
        <v>38</v>
      </c>
      <c r="G131" s="5" t="s">
        <v>25</v>
      </c>
      <c r="H131" s="5">
        <v>93</v>
      </c>
      <c r="I131" s="5">
        <v>20</v>
      </c>
      <c r="J131" s="5" t="s">
        <v>32</v>
      </c>
      <c r="K131" s="5" t="s">
        <v>49</v>
      </c>
      <c r="L131" s="5" t="s">
        <v>20</v>
      </c>
      <c r="M131" s="7" t="s">
        <v>41</v>
      </c>
      <c r="N131" s="26">
        <f t="shared" si="14"/>
        <v>-1</v>
      </c>
      <c r="O131" s="42">
        <f t="shared" si="15"/>
        <v>45173</v>
      </c>
      <c r="P131" s="5" t="str">
        <f t="shared" si="16"/>
        <v>Monday</v>
      </c>
      <c r="Q131" s="5">
        <f t="shared" si="17"/>
        <v>11</v>
      </c>
      <c r="R131" s="28">
        <f t="shared" si="18"/>
        <v>0.82300884955752207</v>
      </c>
      <c r="S131" s="29">
        <f t="shared" ref="S131:S194" si="19">IF(H131+I131=0,0,(H131/(H131+I131))*100) + (IFERROR(--J131,0)*10)</f>
        <v>82.30088495575221</v>
      </c>
      <c r="T131" s="5" t="str">
        <f>IF(Delivery_Data3[[#This Row],[Delays (min)]]&gt;0,"No","Yes")</f>
        <v>No</v>
      </c>
      <c r="W131" s="41">
        <f t="shared" ref="W131:W194" si="20">INT(C131)</f>
        <v>45173</v>
      </c>
      <c r="X131" s="5">
        <v>93</v>
      </c>
    </row>
    <row r="132" spans="1:24" ht="15.75" customHeight="1" x14ac:dyDescent="0.3">
      <c r="A132" s="4">
        <v>1131</v>
      </c>
      <c r="B132" s="5" t="s">
        <v>242</v>
      </c>
      <c r="C132" s="6">
        <v>45174.565972222219</v>
      </c>
      <c r="D132" s="5" t="s">
        <v>14</v>
      </c>
      <c r="E132" s="5" t="s">
        <v>243</v>
      </c>
      <c r="F132" s="5" t="s">
        <v>24</v>
      </c>
      <c r="G132" s="5" t="s">
        <v>31</v>
      </c>
      <c r="H132" s="5">
        <v>73</v>
      </c>
      <c r="I132" s="5">
        <v>25</v>
      </c>
      <c r="J132" s="5" t="s">
        <v>26</v>
      </c>
      <c r="K132" s="5" t="s">
        <v>49</v>
      </c>
      <c r="L132" s="5" t="s">
        <v>28</v>
      </c>
      <c r="M132" s="7" t="s">
        <v>21</v>
      </c>
      <c r="N132" s="26">
        <f t="shared" si="14"/>
        <v>1</v>
      </c>
      <c r="O132" s="42">
        <f t="shared" si="15"/>
        <v>45174</v>
      </c>
      <c r="P132" s="5" t="str">
        <f t="shared" si="16"/>
        <v>Tuesday</v>
      </c>
      <c r="Q132" s="5">
        <f t="shared" si="17"/>
        <v>13</v>
      </c>
      <c r="R132" s="28">
        <f t="shared" si="18"/>
        <v>0.74489795918367352</v>
      </c>
      <c r="S132" s="29">
        <f t="shared" si="19"/>
        <v>74.489795918367349</v>
      </c>
      <c r="T132" s="5" t="str">
        <f>IF(Delivery_Data3[[#This Row],[Delays (min)]]&gt;0,"No","Yes")</f>
        <v>No</v>
      </c>
      <c r="W132" s="41">
        <f t="shared" si="20"/>
        <v>45174</v>
      </c>
      <c r="X132" s="5">
        <v>73</v>
      </c>
    </row>
    <row r="133" spans="1:24" ht="15.75" customHeight="1" x14ac:dyDescent="0.3">
      <c r="A133" s="4">
        <v>1132</v>
      </c>
      <c r="B133" s="5" t="s">
        <v>244</v>
      </c>
      <c r="C133" s="6">
        <v>45171.518055555556</v>
      </c>
      <c r="D133" s="5" t="s">
        <v>14</v>
      </c>
      <c r="E133" s="5" t="s">
        <v>245</v>
      </c>
      <c r="F133" s="5" t="s">
        <v>38</v>
      </c>
      <c r="G133" s="5" t="s">
        <v>56</v>
      </c>
      <c r="H133" s="5">
        <v>69</v>
      </c>
      <c r="I133" s="5">
        <v>23</v>
      </c>
      <c r="J133" s="5" t="s">
        <v>18</v>
      </c>
      <c r="K133" s="5" t="s">
        <v>19</v>
      </c>
      <c r="L133" s="5" t="s">
        <v>20</v>
      </c>
      <c r="M133" s="7" t="s">
        <v>41</v>
      </c>
      <c r="N133" s="26">
        <f t="shared" si="14"/>
        <v>0</v>
      </c>
      <c r="O133" s="42">
        <f t="shared" si="15"/>
        <v>45171</v>
      </c>
      <c r="P133" s="5" t="str">
        <f t="shared" si="16"/>
        <v>Saturday</v>
      </c>
      <c r="Q133" s="5">
        <f t="shared" si="17"/>
        <v>12</v>
      </c>
      <c r="R133" s="28">
        <f t="shared" si="18"/>
        <v>0.75</v>
      </c>
      <c r="S133" s="29">
        <f t="shared" si="19"/>
        <v>75</v>
      </c>
      <c r="T133" s="5" t="str">
        <f>IF(Delivery_Data3[[#This Row],[Delays (min)]]&gt;0,"No","Yes")</f>
        <v>No</v>
      </c>
      <c r="W133" s="41">
        <f t="shared" si="20"/>
        <v>45171</v>
      </c>
      <c r="X133" s="5">
        <v>69</v>
      </c>
    </row>
    <row r="134" spans="1:24" ht="15.75" customHeight="1" x14ac:dyDescent="0.3">
      <c r="A134" s="4">
        <v>1133</v>
      </c>
      <c r="B134" s="5" t="s">
        <v>168</v>
      </c>
      <c r="C134" s="6">
        <v>45177.656944444447</v>
      </c>
      <c r="D134" s="5" t="s">
        <v>43</v>
      </c>
      <c r="E134" s="5" t="s">
        <v>48</v>
      </c>
      <c r="F134" s="5" t="s">
        <v>16</v>
      </c>
      <c r="G134" s="5" t="s">
        <v>31</v>
      </c>
      <c r="H134" s="5">
        <v>239</v>
      </c>
      <c r="I134" s="5">
        <v>18</v>
      </c>
      <c r="J134" s="5" t="s">
        <v>26</v>
      </c>
      <c r="K134" s="5" t="s">
        <v>35</v>
      </c>
      <c r="L134" s="5" t="s">
        <v>28</v>
      </c>
      <c r="M134" s="7" t="s">
        <v>41</v>
      </c>
      <c r="N134" s="26">
        <f t="shared" si="14"/>
        <v>1</v>
      </c>
      <c r="O134" s="42">
        <f t="shared" si="15"/>
        <v>45177</v>
      </c>
      <c r="P134" s="5" t="str">
        <f t="shared" si="16"/>
        <v>Friday</v>
      </c>
      <c r="Q134" s="5">
        <f t="shared" si="17"/>
        <v>15</v>
      </c>
      <c r="R134" s="28">
        <f t="shared" si="18"/>
        <v>0.92996108949416345</v>
      </c>
      <c r="S134" s="29">
        <f t="shared" si="19"/>
        <v>92.996108949416339</v>
      </c>
      <c r="T134" s="5" t="str">
        <f>IF(Delivery_Data3[[#This Row],[Delays (min)]]&gt;0,"No","Yes")</f>
        <v>No</v>
      </c>
      <c r="W134" s="41">
        <f t="shared" si="20"/>
        <v>45177</v>
      </c>
      <c r="X134" s="5">
        <v>239</v>
      </c>
    </row>
    <row r="135" spans="1:24" ht="15.75" customHeight="1" x14ac:dyDescent="0.3">
      <c r="A135" s="4">
        <v>1134</v>
      </c>
      <c r="B135" s="5" t="s">
        <v>246</v>
      </c>
      <c r="C135" s="6">
        <v>45172.634722222225</v>
      </c>
      <c r="D135" s="5" t="s">
        <v>43</v>
      </c>
      <c r="E135" s="5" t="s">
        <v>85</v>
      </c>
      <c r="F135" s="5" t="s">
        <v>24</v>
      </c>
      <c r="G135" s="5" t="s">
        <v>25</v>
      </c>
      <c r="H135" s="5">
        <v>140</v>
      </c>
      <c r="I135" s="5">
        <v>0</v>
      </c>
      <c r="J135" s="5" t="s">
        <v>18</v>
      </c>
      <c r="K135" s="5" t="s">
        <v>35</v>
      </c>
      <c r="L135" s="5" t="s">
        <v>20</v>
      </c>
      <c r="M135" s="7" t="s">
        <v>21</v>
      </c>
      <c r="N135" s="26">
        <f t="shared" si="14"/>
        <v>0</v>
      </c>
      <c r="O135" s="42">
        <f t="shared" si="15"/>
        <v>45172</v>
      </c>
      <c r="P135" s="5" t="str">
        <f t="shared" si="16"/>
        <v>Sunday</v>
      </c>
      <c r="Q135" s="5">
        <f t="shared" si="17"/>
        <v>15</v>
      </c>
      <c r="R135" s="28">
        <f t="shared" si="18"/>
        <v>1</v>
      </c>
      <c r="S135" s="29">
        <f t="shared" si="19"/>
        <v>100</v>
      </c>
      <c r="T135" s="5" t="str">
        <f>IF(Delivery_Data3[[#This Row],[Delays (min)]]&gt;0,"No","Yes")</f>
        <v>Yes</v>
      </c>
      <c r="W135" s="41">
        <f t="shared" si="20"/>
        <v>45172</v>
      </c>
      <c r="X135" s="5">
        <v>140</v>
      </c>
    </row>
    <row r="136" spans="1:24" ht="15.75" customHeight="1" x14ac:dyDescent="0.3">
      <c r="A136" s="4">
        <v>1135</v>
      </c>
      <c r="B136" s="5" t="s">
        <v>247</v>
      </c>
      <c r="C136" s="6">
        <v>45173.595833333333</v>
      </c>
      <c r="D136" s="5" t="s">
        <v>43</v>
      </c>
      <c r="E136" s="5" t="s">
        <v>228</v>
      </c>
      <c r="F136" s="5" t="s">
        <v>16</v>
      </c>
      <c r="G136" s="5" t="s">
        <v>39</v>
      </c>
      <c r="H136" s="5">
        <v>185</v>
      </c>
      <c r="I136" s="5">
        <v>5</v>
      </c>
      <c r="J136" s="5" t="s">
        <v>18</v>
      </c>
      <c r="K136" s="5" t="s">
        <v>27</v>
      </c>
      <c r="L136" s="5" t="s">
        <v>28</v>
      </c>
      <c r="M136" s="7" t="s">
        <v>21</v>
      </c>
      <c r="N136" s="26">
        <f t="shared" si="14"/>
        <v>0</v>
      </c>
      <c r="O136" s="42">
        <f t="shared" si="15"/>
        <v>45173</v>
      </c>
      <c r="P136" s="5" t="str">
        <f t="shared" si="16"/>
        <v>Monday</v>
      </c>
      <c r="Q136" s="5">
        <f t="shared" si="17"/>
        <v>14</v>
      </c>
      <c r="R136" s="28">
        <f t="shared" si="18"/>
        <v>0.97368421052631582</v>
      </c>
      <c r="S136" s="29">
        <f t="shared" si="19"/>
        <v>97.368421052631575</v>
      </c>
      <c r="T136" s="5" t="str">
        <f>IF(Delivery_Data3[[#This Row],[Delays (min)]]&gt;0,"No","Yes")</f>
        <v>No</v>
      </c>
      <c r="W136" s="41">
        <f t="shared" si="20"/>
        <v>45173</v>
      </c>
      <c r="X136" s="5">
        <v>185</v>
      </c>
    </row>
    <row r="137" spans="1:24" ht="15.75" customHeight="1" x14ac:dyDescent="0.3">
      <c r="A137" s="4">
        <v>1136</v>
      </c>
      <c r="B137" s="5" t="s">
        <v>248</v>
      </c>
      <c r="C137" s="6">
        <v>45175.35833333333</v>
      </c>
      <c r="D137" s="5" t="s">
        <v>43</v>
      </c>
      <c r="E137" s="5" t="s">
        <v>249</v>
      </c>
      <c r="F137" s="5" t="s">
        <v>16</v>
      </c>
      <c r="G137" s="5" t="s">
        <v>25</v>
      </c>
      <c r="H137" s="5">
        <v>217</v>
      </c>
      <c r="I137" s="5">
        <v>27</v>
      </c>
      <c r="J137" s="5" t="s">
        <v>32</v>
      </c>
      <c r="K137" s="5" t="s">
        <v>45</v>
      </c>
      <c r="L137" s="5" t="s">
        <v>20</v>
      </c>
      <c r="M137" s="7" t="s">
        <v>41</v>
      </c>
      <c r="N137" s="26">
        <f t="shared" si="14"/>
        <v>-1</v>
      </c>
      <c r="O137" s="42">
        <f t="shared" si="15"/>
        <v>45175</v>
      </c>
      <c r="P137" s="5" t="str">
        <f t="shared" si="16"/>
        <v>Wednesday</v>
      </c>
      <c r="Q137" s="5">
        <f t="shared" si="17"/>
        <v>8</v>
      </c>
      <c r="R137" s="28">
        <f t="shared" si="18"/>
        <v>0.88934426229508201</v>
      </c>
      <c r="S137" s="29">
        <f t="shared" si="19"/>
        <v>88.934426229508205</v>
      </c>
      <c r="T137" s="5" t="str">
        <f>IF(Delivery_Data3[[#This Row],[Delays (min)]]&gt;0,"No","Yes")</f>
        <v>No</v>
      </c>
      <c r="W137" s="41">
        <f t="shared" si="20"/>
        <v>45175</v>
      </c>
      <c r="X137" s="5">
        <v>217</v>
      </c>
    </row>
    <row r="138" spans="1:24" ht="15.75" customHeight="1" x14ac:dyDescent="0.3">
      <c r="A138" s="4">
        <v>1137</v>
      </c>
      <c r="B138" s="5" t="s">
        <v>250</v>
      </c>
      <c r="C138" s="6">
        <v>45174.538194444445</v>
      </c>
      <c r="D138" s="5" t="s">
        <v>43</v>
      </c>
      <c r="E138" s="5" t="s">
        <v>99</v>
      </c>
      <c r="F138" s="5" t="s">
        <v>24</v>
      </c>
      <c r="G138" s="5" t="s">
        <v>25</v>
      </c>
      <c r="H138" s="5">
        <v>132</v>
      </c>
      <c r="I138" s="5">
        <v>21</v>
      </c>
      <c r="J138" s="5" t="s">
        <v>26</v>
      </c>
      <c r="K138" s="5" t="s">
        <v>19</v>
      </c>
      <c r="L138" s="5" t="s">
        <v>20</v>
      </c>
      <c r="M138" s="7" t="s">
        <v>41</v>
      </c>
      <c r="N138" s="26">
        <f t="shared" si="14"/>
        <v>1</v>
      </c>
      <c r="O138" s="42">
        <f t="shared" si="15"/>
        <v>45174</v>
      </c>
      <c r="P138" s="5" t="str">
        <f t="shared" si="16"/>
        <v>Tuesday</v>
      </c>
      <c r="Q138" s="5">
        <f t="shared" si="17"/>
        <v>12</v>
      </c>
      <c r="R138" s="28">
        <f t="shared" si="18"/>
        <v>0.86274509803921573</v>
      </c>
      <c r="S138" s="29">
        <f t="shared" si="19"/>
        <v>86.274509803921575</v>
      </c>
      <c r="T138" s="5" t="str">
        <f>IF(Delivery_Data3[[#This Row],[Delays (min)]]&gt;0,"No","Yes")</f>
        <v>No</v>
      </c>
      <c r="W138" s="41">
        <f t="shared" si="20"/>
        <v>45174</v>
      </c>
      <c r="X138" s="5">
        <v>132</v>
      </c>
    </row>
    <row r="139" spans="1:24" ht="15.75" customHeight="1" x14ac:dyDescent="0.3">
      <c r="A139" s="4">
        <v>1138</v>
      </c>
      <c r="B139" s="5" t="s">
        <v>251</v>
      </c>
      <c r="C139" s="6">
        <v>45171.652083333334</v>
      </c>
      <c r="D139" s="5" t="s">
        <v>14</v>
      </c>
      <c r="E139" s="5" t="s">
        <v>164</v>
      </c>
      <c r="F139" s="5" t="s">
        <v>38</v>
      </c>
      <c r="G139" s="5" t="s">
        <v>39</v>
      </c>
      <c r="H139" s="5">
        <v>72</v>
      </c>
      <c r="I139" s="5">
        <v>11</v>
      </c>
      <c r="J139" s="5" t="s">
        <v>18</v>
      </c>
      <c r="K139" s="5" t="s">
        <v>19</v>
      </c>
      <c r="L139" s="5" t="s">
        <v>28</v>
      </c>
      <c r="M139" s="7" t="s">
        <v>46</v>
      </c>
      <c r="N139" s="26">
        <f t="shared" si="14"/>
        <v>0</v>
      </c>
      <c r="O139" s="42">
        <f t="shared" si="15"/>
        <v>45171</v>
      </c>
      <c r="P139" s="5" t="str">
        <f t="shared" si="16"/>
        <v>Saturday</v>
      </c>
      <c r="Q139" s="5">
        <f t="shared" si="17"/>
        <v>15</v>
      </c>
      <c r="R139" s="28">
        <f t="shared" si="18"/>
        <v>0.86746987951807231</v>
      </c>
      <c r="S139" s="29">
        <f t="shared" si="19"/>
        <v>86.746987951807228</v>
      </c>
      <c r="T139" s="5" t="str">
        <f>IF(Delivery_Data3[[#This Row],[Delays (min)]]&gt;0,"No","Yes")</f>
        <v>No</v>
      </c>
      <c r="W139" s="41">
        <f t="shared" si="20"/>
        <v>45171</v>
      </c>
      <c r="X139" s="5">
        <v>72</v>
      </c>
    </row>
    <row r="140" spans="1:24" ht="15.75" customHeight="1" x14ac:dyDescent="0.3">
      <c r="A140" s="4">
        <v>1139</v>
      </c>
      <c r="B140" s="5" t="s">
        <v>252</v>
      </c>
      <c r="C140" s="6">
        <v>45177.456250000003</v>
      </c>
      <c r="D140" s="5" t="s">
        <v>14</v>
      </c>
      <c r="E140" s="5" t="s">
        <v>197</v>
      </c>
      <c r="F140" s="5" t="s">
        <v>24</v>
      </c>
      <c r="G140" s="5" t="s">
        <v>17</v>
      </c>
      <c r="H140" s="5">
        <v>97</v>
      </c>
      <c r="I140" s="5">
        <v>13</v>
      </c>
      <c r="J140" s="5" t="s">
        <v>18</v>
      </c>
      <c r="K140" s="5" t="s">
        <v>35</v>
      </c>
      <c r="L140" s="5" t="s">
        <v>40</v>
      </c>
      <c r="M140" s="7" t="s">
        <v>41</v>
      </c>
      <c r="N140" s="26">
        <f t="shared" si="14"/>
        <v>0</v>
      </c>
      <c r="O140" s="42">
        <f t="shared" si="15"/>
        <v>45177</v>
      </c>
      <c r="P140" s="5" t="str">
        <f t="shared" si="16"/>
        <v>Friday</v>
      </c>
      <c r="Q140" s="5">
        <f t="shared" si="17"/>
        <v>10</v>
      </c>
      <c r="R140" s="28">
        <f t="shared" si="18"/>
        <v>0.88181818181818183</v>
      </c>
      <c r="S140" s="29">
        <f t="shared" si="19"/>
        <v>88.181818181818187</v>
      </c>
      <c r="T140" s="5" t="str">
        <f>IF(Delivery_Data3[[#This Row],[Delays (min)]]&gt;0,"No","Yes")</f>
        <v>No</v>
      </c>
      <c r="W140" s="41">
        <f t="shared" si="20"/>
        <v>45177</v>
      </c>
      <c r="X140" s="5">
        <v>97</v>
      </c>
    </row>
    <row r="141" spans="1:24" ht="15.75" customHeight="1" x14ac:dyDescent="0.3">
      <c r="A141" s="4">
        <v>1140</v>
      </c>
      <c r="B141" s="5" t="s">
        <v>253</v>
      </c>
      <c r="C141" s="6">
        <v>45172.625</v>
      </c>
      <c r="D141" s="5" t="s">
        <v>43</v>
      </c>
      <c r="E141" s="5" t="s">
        <v>200</v>
      </c>
      <c r="F141" s="5" t="s">
        <v>38</v>
      </c>
      <c r="G141" s="5" t="s">
        <v>56</v>
      </c>
      <c r="H141" s="5">
        <v>117</v>
      </c>
      <c r="I141" s="5">
        <v>8</v>
      </c>
      <c r="J141" s="5" t="s">
        <v>18</v>
      </c>
      <c r="K141" s="5" t="s">
        <v>49</v>
      </c>
      <c r="L141" s="5" t="s">
        <v>40</v>
      </c>
      <c r="M141" s="7" t="s">
        <v>21</v>
      </c>
      <c r="N141" s="26">
        <f t="shared" si="14"/>
        <v>0</v>
      </c>
      <c r="O141" s="42">
        <f t="shared" si="15"/>
        <v>45172</v>
      </c>
      <c r="P141" s="5" t="str">
        <f t="shared" si="16"/>
        <v>Sunday</v>
      </c>
      <c r="Q141" s="5">
        <f t="shared" si="17"/>
        <v>15</v>
      </c>
      <c r="R141" s="28">
        <f t="shared" si="18"/>
        <v>0.93600000000000005</v>
      </c>
      <c r="S141" s="29">
        <f t="shared" si="19"/>
        <v>93.600000000000009</v>
      </c>
      <c r="T141" s="5" t="str">
        <f>IF(Delivery_Data3[[#This Row],[Delays (min)]]&gt;0,"No","Yes")</f>
        <v>No</v>
      </c>
      <c r="W141" s="41">
        <f t="shared" si="20"/>
        <v>45172</v>
      </c>
      <c r="X141" s="5">
        <v>117</v>
      </c>
    </row>
    <row r="142" spans="1:24" ht="15.75" customHeight="1" x14ac:dyDescent="0.3">
      <c r="A142" s="4">
        <v>1141</v>
      </c>
      <c r="B142" s="5" t="s">
        <v>254</v>
      </c>
      <c r="C142" s="6">
        <v>45171.436111111114</v>
      </c>
      <c r="D142" s="5" t="s">
        <v>14</v>
      </c>
      <c r="E142" s="5" t="s">
        <v>68</v>
      </c>
      <c r="F142" s="5" t="s">
        <v>38</v>
      </c>
      <c r="G142" s="5" t="s">
        <v>56</v>
      </c>
      <c r="H142" s="5">
        <v>126</v>
      </c>
      <c r="I142" s="5">
        <v>19</v>
      </c>
      <c r="J142" s="5" t="s">
        <v>18</v>
      </c>
      <c r="K142" s="5" t="s">
        <v>19</v>
      </c>
      <c r="L142" s="5" t="s">
        <v>20</v>
      </c>
      <c r="M142" s="7" t="s">
        <v>41</v>
      </c>
      <c r="N142" s="26">
        <f t="shared" si="14"/>
        <v>0</v>
      </c>
      <c r="O142" s="42">
        <f t="shared" si="15"/>
        <v>45171</v>
      </c>
      <c r="P142" s="5" t="str">
        <f t="shared" si="16"/>
        <v>Saturday</v>
      </c>
      <c r="Q142" s="5">
        <f t="shared" si="17"/>
        <v>10</v>
      </c>
      <c r="R142" s="28">
        <f t="shared" si="18"/>
        <v>0.86896551724137927</v>
      </c>
      <c r="S142" s="29">
        <f t="shared" si="19"/>
        <v>86.896551724137922</v>
      </c>
      <c r="T142" s="5" t="str">
        <f>IF(Delivery_Data3[[#This Row],[Delays (min)]]&gt;0,"No","Yes")</f>
        <v>No</v>
      </c>
      <c r="W142" s="41">
        <f t="shared" si="20"/>
        <v>45171</v>
      </c>
      <c r="X142" s="5">
        <v>126</v>
      </c>
    </row>
    <row r="143" spans="1:24" ht="15.75" customHeight="1" x14ac:dyDescent="0.3">
      <c r="A143" s="4">
        <v>1142</v>
      </c>
      <c r="B143" s="5" t="s">
        <v>255</v>
      </c>
      <c r="C143" s="6">
        <v>45175.418749999997</v>
      </c>
      <c r="D143" s="5" t="s">
        <v>43</v>
      </c>
      <c r="E143" s="5" t="s">
        <v>76</v>
      </c>
      <c r="F143" s="5" t="s">
        <v>38</v>
      </c>
      <c r="G143" s="5" t="s">
        <v>56</v>
      </c>
      <c r="H143" s="5">
        <v>138</v>
      </c>
      <c r="I143" s="5">
        <v>21</v>
      </c>
      <c r="J143" s="5" t="s">
        <v>32</v>
      </c>
      <c r="K143" s="5" t="s">
        <v>27</v>
      </c>
      <c r="L143" s="5" t="s">
        <v>28</v>
      </c>
      <c r="M143" s="7" t="s">
        <v>41</v>
      </c>
      <c r="N143" s="26">
        <f t="shared" si="14"/>
        <v>-1</v>
      </c>
      <c r="O143" s="42">
        <f t="shared" si="15"/>
        <v>45175</v>
      </c>
      <c r="P143" s="5" t="str">
        <f t="shared" si="16"/>
        <v>Wednesday</v>
      </c>
      <c r="Q143" s="5">
        <f t="shared" si="17"/>
        <v>10</v>
      </c>
      <c r="R143" s="28">
        <f t="shared" si="18"/>
        <v>0.86792452830188682</v>
      </c>
      <c r="S143" s="29">
        <f t="shared" si="19"/>
        <v>86.79245283018868</v>
      </c>
      <c r="T143" s="5" t="str">
        <f>IF(Delivery_Data3[[#This Row],[Delays (min)]]&gt;0,"No","Yes")</f>
        <v>No</v>
      </c>
      <c r="W143" s="41">
        <f t="shared" si="20"/>
        <v>45175</v>
      </c>
      <c r="X143" s="5">
        <v>138</v>
      </c>
    </row>
    <row r="144" spans="1:24" ht="15.75" customHeight="1" x14ac:dyDescent="0.3">
      <c r="A144" s="4">
        <v>1143</v>
      </c>
      <c r="B144" s="5" t="s">
        <v>256</v>
      </c>
      <c r="C144" s="6">
        <v>45177.487500000003</v>
      </c>
      <c r="D144" s="5" t="s">
        <v>14</v>
      </c>
      <c r="E144" s="5" t="s">
        <v>197</v>
      </c>
      <c r="F144" s="5" t="s">
        <v>24</v>
      </c>
      <c r="G144" s="5" t="s">
        <v>31</v>
      </c>
      <c r="H144" s="5">
        <v>223</v>
      </c>
      <c r="I144" s="5">
        <v>12</v>
      </c>
      <c r="J144" s="5" t="s">
        <v>32</v>
      </c>
      <c r="K144" s="5" t="s">
        <v>45</v>
      </c>
      <c r="L144" s="5" t="s">
        <v>40</v>
      </c>
      <c r="M144" s="7" t="s">
        <v>46</v>
      </c>
      <c r="N144" s="26">
        <f t="shared" si="14"/>
        <v>-1</v>
      </c>
      <c r="O144" s="42">
        <f t="shared" si="15"/>
        <v>45177</v>
      </c>
      <c r="P144" s="5" t="str">
        <f t="shared" si="16"/>
        <v>Friday</v>
      </c>
      <c r="Q144" s="5">
        <f t="shared" si="17"/>
        <v>11</v>
      </c>
      <c r="R144" s="28">
        <f t="shared" si="18"/>
        <v>0.94893617021276599</v>
      </c>
      <c r="S144" s="29">
        <f t="shared" si="19"/>
        <v>94.893617021276597</v>
      </c>
      <c r="T144" s="5" t="str">
        <f>IF(Delivery_Data3[[#This Row],[Delays (min)]]&gt;0,"No","Yes")</f>
        <v>No</v>
      </c>
      <c r="W144" s="41">
        <f t="shared" si="20"/>
        <v>45177</v>
      </c>
      <c r="X144" s="5">
        <v>223</v>
      </c>
    </row>
    <row r="145" spans="1:24" ht="15.75" customHeight="1" x14ac:dyDescent="0.3">
      <c r="A145" s="4">
        <v>1144</v>
      </c>
      <c r="B145" s="5" t="s">
        <v>257</v>
      </c>
      <c r="C145" s="6">
        <v>45177.706944444442</v>
      </c>
      <c r="D145" s="5" t="s">
        <v>14</v>
      </c>
      <c r="E145" s="5" t="s">
        <v>177</v>
      </c>
      <c r="F145" s="5" t="s">
        <v>38</v>
      </c>
      <c r="G145" s="5" t="s">
        <v>31</v>
      </c>
      <c r="H145" s="5">
        <v>215</v>
      </c>
      <c r="I145" s="5">
        <v>24</v>
      </c>
      <c r="J145" s="5" t="s">
        <v>32</v>
      </c>
      <c r="K145" s="5" t="s">
        <v>49</v>
      </c>
      <c r="L145" s="5" t="s">
        <v>20</v>
      </c>
      <c r="M145" s="7" t="s">
        <v>41</v>
      </c>
      <c r="N145" s="26">
        <f t="shared" si="14"/>
        <v>-1</v>
      </c>
      <c r="O145" s="42">
        <f t="shared" si="15"/>
        <v>45177</v>
      </c>
      <c r="P145" s="5" t="str">
        <f t="shared" si="16"/>
        <v>Friday</v>
      </c>
      <c r="Q145" s="5">
        <f t="shared" si="17"/>
        <v>16</v>
      </c>
      <c r="R145" s="28">
        <f t="shared" si="18"/>
        <v>0.89958158995815896</v>
      </c>
      <c r="S145" s="29">
        <f t="shared" si="19"/>
        <v>89.958158995815893</v>
      </c>
      <c r="T145" s="5" t="str">
        <f>IF(Delivery_Data3[[#This Row],[Delays (min)]]&gt;0,"No","Yes")</f>
        <v>No</v>
      </c>
      <c r="W145" s="41">
        <f t="shared" si="20"/>
        <v>45177</v>
      </c>
      <c r="X145" s="5">
        <v>215</v>
      </c>
    </row>
    <row r="146" spans="1:24" ht="15.75" customHeight="1" x14ac:dyDescent="0.3">
      <c r="A146" s="4">
        <v>1145</v>
      </c>
      <c r="B146" s="5" t="s">
        <v>258</v>
      </c>
      <c r="C146" s="6">
        <v>45177.384027777778</v>
      </c>
      <c r="D146" s="5" t="s">
        <v>14</v>
      </c>
      <c r="E146" s="5" t="s">
        <v>99</v>
      </c>
      <c r="F146" s="5" t="s">
        <v>24</v>
      </c>
      <c r="G146" s="5" t="s">
        <v>56</v>
      </c>
      <c r="H146" s="5">
        <v>221</v>
      </c>
      <c r="I146" s="5">
        <v>16</v>
      </c>
      <c r="J146" s="5" t="s">
        <v>32</v>
      </c>
      <c r="K146" s="5" t="s">
        <v>49</v>
      </c>
      <c r="L146" s="5" t="s">
        <v>20</v>
      </c>
      <c r="M146" s="7" t="s">
        <v>21</v>
      </c>
      <c r="N146" s="26">
        <f t="shared" si="14"/>
        <v>-1</v>
      </c>
      <c r="O146" s="42">
        <f t="shared" si="15"/>
        <v>45177</v>
      </c>
      <c r="P146" s="5" t="str">
        <f t="shared" si="16"/>
        <v>Friday</v>
      </c>
      <c r="Q146" s="5">
        <f t="shared" si="17"/>
        <v>9</v>
      </c>
      <c r="R146" s="28">
        <f t="shared" si="18"/>
        <v>0.9324894514767933</v>
      </c>
      <c r="S146" s="29">
        <f t="shared" si="19"/>
        <v>93.248945147679336</v>
      </c>
      <c r="T146" s="5" t="str">
        <f>IF(Delivery_Data3[[#This Row],[Delays (min)]]&gt;0,"No","Yes")</f>
        <v>No</v>
      </c>
      <c r="W146" s="41">
        <f t="shared" si="20"/>
        <v>45177</v>
      </c>
      <c r="X146" s="5">
        <v>221</v>
      </c>
    </row>
    <row r="147" spans="1:24" ht="15.75" customHeight="1" x14ac:dyDescent="0.3">
      <c r="A147" s="4">
        <v>1146</v>
      </c>
      <c r="B147" s="5" t="s">
        <v>259</v>
      </c>
      <c r="C147" s="6">
        <v>45173.547222222223</v>
      </c>
      <c r="D147" s="5" t="s">
        <v>43</v>
      </c>
      <c r="E147" s="5" t="s">
        <v>234</v>
      </c>
      <c r="F147" s="5" t="s">
        <v>38</v>
      </c>
      <c r="G147" s="5" t="s">
        <v>39</v>
      </c>
      <c r="H147" s="5">
        <v>172</v>
      </c>
      <c r="I147" s="5">
        <v>15</v>
      </c>
      <c r="J147" s="5" t="s">
        <v>32</v>
      </c>
      <c r="K147" s="5" t="s">
        <v>19</v>
      </c>
      <c r="L147" s="5" t="s">
        <v>28</v>
      </c>
      <c r="M147" s="7" t="s">
        <v>21</v>
      </c>
      <c r="N147" s="26">
        <f t="shared" si="14"/>
        <v>-1</v>
      </c>
      <c r="O147" s="42">
        <f t="shared" si="15"/>
        <v>45173</v>
      </c>
      <c r="P147" s="5" t="str">
        <f t="shared" si="16"/>
        <v>Monday</v>
      </c>
      <c r="Q147" s="5">
        <f t="shared" si="17"/>
        <v>13</v>
      </c>
      <c r="R147" s="28">
        <f t="shared" si="18"/>
        <v>0.9197860962566845</v>
      </c>
      <c r="S147" s="29">
        <f t="shared" si="19"/>
        <v>91.978609625668454</v>
      </c>
      <c r="T147" s="5" t="str">
        <f>IF(Delivery_Data3[[#This Row],[Delays (min)]]&gt;0,"No","Yes")</f>
        <v>No</v>
      </c>
      <c r="W147" s="41">
        <f t="shared" si="20"/>
        <v>45173</v>
      </c>
      <c r="X147" s="5">
        <v>172</v>
      </c>
    </row>
    <row r="148" spans="1:24" ht="15.75" customHeight="1" x14ac:dyDescent="0.3">
      <c r="A148" s="4">
        <v>1147</v>
      </c>
      <c r="B148" s="5" t="s">
        <v>260</v>
      </c>
      <c r="C148" s="6">
        <v>45170.42291666667</v>
      </c>
      <c r="D148" s="5" t="s">
        <v>14</v>
      </c>
      <c r="E148" s="5" t="s">
        <v>261</v>
      </c>
      <c r="F148" s="5" t="s">
        <v>24</v>
      </c>
      <c r="G148" s="5" t="s">
        <v>39</v>
      </c>
      <c r="H148" s="5">
        <v>71</v>
      </c>
      <c r="I148" s="5">
        <v>3</v>
      </c>
      <c r="J148" s="5" t="s">
        <v>32</v>
      </c>
      <c r="K148" s="5" t="s">
        <v>49</v>
      </c>
      <c r="L148" s="5" t="s">
        <v>40</v>
      </c>
      <c r="M148" s="7" t="s">
        <v>21</v>
      </c>
      <c r="N148" s="26">
        <f t="shared" si="14"/>
        <v>-1</v>
      </c>
      <c r="O148" s="42">
        <f t="shared" si="15"/>
        <v>45170</v>
      </c>
      <c r="P148" s="5" t="str">
        <f t="shared" si="16"/>
        <v>Friday</v>
      </c>
      <c r="Q148" s="5">
        <f t="shared" si="17"/>
        <v>10</v>
      </c>
      <c r="R148" s="28">
        <f t="shared" si="18"/>
        <v>0.95945945945945943</v>
      </c>
      <c r="S148" s="29">
        <f t="shared" si="19"/>
        <v>95.945945945945937</v>
      </c>
      <c r="T148" s="5" t="str">
        <f>IF(Delivery_Data3[[#This Row],[Delays (min)]]&gt;0,"No","Yes")</f>
        <v>No</v>
      </c>
      <c r="W148" s="41">
        <f t="shared" si="20"/>
        <v>45170</v>
      </c>
      <c r="X148" s="5">
        <v>71</v>
      </c>
    </row>
    <row r="149" spans="1:24" ht="15.75" customHeight="1" x14ac:dyDescent="0.3">
      <c r="A149" s="4">
        <v>1148</v>
      </c>
      <c r="B149" s="5" t="s">
        <v>262</v>
      </c>
      <c r="C149" s="6">
        <v>45175.380555555559</v>
      </c>
      <c r="D149" s="5" t="s">
        <v>43</v>
      </c>
      <c r="E149" s="5" t="s">
        <v>263</v>
      </c>
      <c r="F149" s="5" t="s">
        <v>16</v>
      </c>
      <c r="G149" s="5" t="s">
        <v>31</v>
      </c>
      <c r="H149" s="5">
        <v>183</v>
      </c>
      <c r="I149" s="5">
        <v>14</v>
      </c>
      <c r="J149" s="5" t="s">
        <v>18</v>
      </c>
      <c r="K149" s="5" t="s">
        <v>27</v>
      </c>
      <c r="L149" s="5" t="s">
        <v>28</v>
      </c>
      <c r="M149" s="7" t="s">
        <v>41</v>
      </c>
      <c r="N149" s="26">
        <f t="shared" si="14"/>
        <v>0</v>
      </c>
      <c r="O149" s="42">
        <f t="shared" si="15"/>
        <v>45175</v>
      </c>
      <c r="P149" s="5" t="str">
        <f t="shared" si="16"/>
        <v>Wednesday</v>
      </c>
      <c r="Q149" s="5">
        <f t="shared" si="17"/>
        <v>9</v>
      </c>
      <c r="R149" s="28">
        <f t="shared" si="18"/>
        <v>0.92893401015228427</v>
      </c>
      <c r="S149" s="29">
        <f t="shared" si="19"/>
        <v>92.89340101522842</v>
      </c>
      <c r="T149" s="5" t="str">
        <f>IF(Delivery_Data3[[#This Row],[Delays (min)]]&gt;0,"No","Yes")</f>
        <v>No</v>
      </c>
      <c r="W149" s="41">
        <f t="shared" si="20"/>
        <v>45175</v>
      </c>
      <c r="X149" s="5">
        <v>183</v>
      </c>
    </row>
    <row r="150" spans="1:24" ht="15.75" customHeight="1" x14ac:dyDescent="0.3">
      <c r="A150" s="4">
        <v>1149</v>
      </c>
      <c r="B150" s="5" t="s">
        <v>264</v>
      </c>
      <c r="C150" s="6">
        <v>45170.615277777775</v>
      </c>
      <c r="D150" s="5" t="s">
        <v>43</v>
      </c>
      <c r="E150" s="5" t="s">
        <v>51</v>
      </c>
      <c r="F150" s="5" t="s">
        <v>38</v>
      </c>
      <c r="G150" s="5" t="s">
        <v>17</v>
      </c>
      <c r="H150" s="5">
        <v>64</v>
      </c>
      <c r="I150" s="5">
        <v>25</v>
      </c>
      <c r="J150" s="5" t="s">
        <v>26</v>
      </c>
      <c r="K150" s="5" t="s">
        <v>45</v>
      </c>
      <c r="L150" s="5" t="s">
        <v>20</v>
      </c>
      <c r="M150" s="7" t="s">
        <v>21</v>
      </c>
      <c r="N150" s="26">
        <f t="shared" si="14"/>
        <v>1</v>
      </c>
      <c r="O150" s="42">
        <f t="shared" si="15"/>
        <v>45170</v>
      </c>
      <c r="P150" s="5" t="str">
        <f t="shared" si="16"/>
        <v>Friday</v>
      </c>
      <c r="Q150" s="5">
        <f t="shared" si="17"/>
        <v>14</v>
      </c>
      <c r="R150" s="28">
        <f t="shared" si="18"/>
        <v>0.7191011235955056</v>
      </c>
      <c r="S150" s="29">
        <f t="shared" si="19"/>
        <v>71.910112359550567</v>
      </c>
      <c r="T150" s="5" t="str">
        <f>IF(Delivery_Data3[[#This Row],[Delays (min)]]&gt;0,"No","Yes")</f>
        <v>No</v>
      </c>
      <c r="W150" s="41">
        <f t="shared" si="20"/>
        <v>45170</v>
      </c>
      <c r="X150" s="5">
        <v>64</v>
      </c>
    </row>
    <row r="151" spans="1:24" ht="15.75" customHeight="1" x14ac:dyDescent="0.3">
      <c r="A151" s="4">
        <v>1150</v>
      </c>
      <c r="B151" s="5" t="s">
        <v>265</v>
      </c>
      <c r="C151" s="6">
        <v>45172.675000000003</v>
      </c>
      <c r="D151" s="5" t="s">
        <v>14</v>
      </c>
      <c r="E151" s="5" t="s">
        <v>220</v>
      </c>
      <c r="F151" s="5" t="s">
        <v>24</v>
      </c>
      <c r="G151" s="5" t="s">
        <v>56</v>
      </c>
      <c r="H151" s="5">
        <v>106</v>
      </c>
      <c r="I151" s="5">
        <v>10</v>
      </c>
      <c r="J151" s="5" t="s">
        <v>18</v>
      </c>
      <c r="K151" s="5" t="s">
        <v>45</v>
      </c>
      <c r="L151" s="5" t="s">
        <v>40</v>
      </c>
      <c r="M151" s="7" t="s">
        <v>41</v>
      </c>
      <c r="N151" s="26">
        <f t="shared" si="14"/>
        <v>0</v>
      </c>
      <c r="O151" s="42">
        <f t="shared" si="15"/>
        <v>45172</v>
      </c>
      <c r="P151" s="5" t="str">
        <f t="shared" si="16"/>
        <v>Sunday</v>
      </c>
      <c r="Q151" s="5">
        <f t="shared" si="17"/>
        <v>16</v>
      </c>
      <c r="R151" s="28">
        <f t="shared" si="18"/>
        <v>0.91379310344827591</v>
      </c>
      <c r="S151" s="29">
        <f t="shared" si="19"/>
        <v>91.379310344827587</v>
      </c>
      <c r="T151" s="5" t="str">
        <f>IF(Delivery_Data3[[#This Row],[Delays (min)]]&gt;0,"No","Yes")</f>
        <v>No</v>
      </c>
      <c r="W151" s="41">
        <f t="shared" si="20"/>
        <v>45172</v>
      </c>
      <c r="X151" s="5">
        <v>106</v>
      </c>
    </row>
    <row r="152" spans="1:24" ht="15.75" customHeight="1" x14ac:dyDescent="0.3">
      <c r="A152" s="4">
        <v>1151</v>
      </c>
      <c r="B152" s="5" t="s">
        <v>266</v>
      </c>
      <c r="C152" s="6">
        <v>45170.37222222222</v>
      </c>
      <c r="D152" s="5" t="s">
        <v>14</v>
      </c>
      <c r="E152" s="5" t="s">
        <v>267</v>
      </c>
      <c r="F152" s="5" t="s">
        <v>24</v>
      </c>
      <c r="G152" s="5" t="s">
        <v>25</v>
      </c>
      <c r="H152" s="5">
        <v>213</v>
      </c>
      <c r="I152" s="5">
        <v>15</v>
      </c>
      <c r="J152" s="5" t="s">
        <v>32</v>
      </c>
      <c r="K152" s="5" t="s">
        <v>27</v>
      </c>
      <c r="L152" s="5" t="s">
        <v>40</v>
      </c>
      <c r="M152" s="7" t="s">
        <v>21</v>
      </c>
      <c r="N152" s="26">
        <f t="shared" si="14"/>
        <v>-1</v>
      </c>
      <c r="O152" s="42">
        <f t="shared" si="15"/>
        <v>45170</v>
      </c>
      <c r="P152" s="5" t="str">
        <f t="shared" si="16"/>
        <v>Friday</v>
      </c>
      <c r="Q152" s="5">
        <f t="shared" si="17"/>
        <v>8</v>
      </c>
      <c r="R152" s="28">
        <f t="shared" si="18"/>
        <v>0.93421052631578949</v>
      </c>
      <c r="S152" s="29">
        <f t="shared" si="19"/>
        <v>93.421052631578945</v>
      </c>
      <c r="T152" s="5" t="str">
        <f>IF(Delivery_Data3[[#This Row],[Delays (min)]]&gt;0,"No","Yes")</f>
        <v>No</v>
      </c>
      <c r="W152" s="41">
        <f t="shared" si="20"/>
        <v>45170</v>
      </c>
      <c r="X152" s="5">
        <v>213</v>
      </c>
    </row>
    <row r="153" spans="1:24" ht="15.75" customHeight="1" x14ac:dyDescent="0.3">
      <c r="A153" s="4">
        <v>1152</v>
      </c>
      <c r="B153" s="5" t="s">
        <v>268</v>
      </c>
      <c r="C153" s="6">
        <v>45177.533333333333</v>
      </c>
      <c r="D153" s="5" t="s">
        <v>14</v>
      </c>
      <c r="E153" s="5" t="s">
        <v>143</v>
      </c>
      <c r="F153" s="5" t="s">
        <v>16</v>
      </c>
      <c r="G153" s="5" t="s">
        <v>31</v>
      </c>
      <c r="H153" s="5">
        <v>179</v>
      </c>
      <c r="I153" s="5">
        <v>19</v>
      </c>
      <c r="J153" s="5" t="s">
        <v>26</v>
      </c>
      <c r="K153" s="5" t="s">
        <v>45</v>
      </c>
      <c r="L153" s="5" t="s">
        <v>40</v>
      </c>
      <c r="M153" s="7" t="s">
        <v>21</v>
      </c>
      <c r="N153" s="26">
        <f t="shared" si="14"/>
        <v>1</v>
      </c>
      <c r="O153" s="42">
        <f t="shared" si="15"/>
        <v>45177</v>
      </c>
      <c r="P153" s="5" t="str">
        <f t="shared" si="16"/>
        <v>Friday</v>
      </c>
      <c r="Q153" s="5">
        <f t="shared" si="17"/>
        <v>12</v>
      </c>
      <c r="R153" s="28">
        <f t="shared" si="18"/>
        <v>0.90404040404040409</v>
      </c>
      <c r="S153" s="29">
        <f t="shared" si="19"/>
        <v>90.404040404040416</v>
      </c>
      <c r="T153" s="5" t="str">
        <f>IF(Delivery_Data3[[#This Row],[Delays (min)]]&gt;0,"No","Yes")</f>
        <v>No</v>
      </c>
      <c r="W153" s="41">
        <f t="shared" si="20"/>
        <v>45177</v>
      </c>
      <c r="X153" s="5">
        <v>179</v>
      </c>
    </row>
    <row r="154" spans="1:24" ht="15.75" customHeight="1" x14ac:dyDescent="0.3">
      <c r="A154" s="4">
        <v>1153</v>
      </c>
      <c r="B154" s="5" t="s">
        <v>269</v>
      </c>
      <c r="C154" s="6">
        <v>45177.647916666669</v>
      </c>
      <c r="D154" s="5" t="s">
        <v>14</v>
      </c>
      <c r="E154" s="5" t="s">
        <v>270</v>
      </c>
      <c r="F154" s="5" t="s">
        <v>16</v>
      </c>
      <c r="G154" s="5" t="s">
        <v>56</v>
      </c>
      <c r="H154" s="5">
        <v>162</v>
      </c>
      <c r="I154" s="5">
        <v>13</v>
      </c>
      <c r="J154" s="5" t="s">
        <v>26</v>
      </c>
      <c r="K154" s="5" t="s">
        <v>27</v>
      </c>
      <c r="L154" s="5" t="s">
        <v>28</v>
      </c>
      <c r="M154" s="7" t="s">
        <v>46</v>
      </c>
      <c r="N154" s="26">
        <f t="shared" si="14"/>
        <v>1</v>
      </c>
      <c r="O154" s="42">
        <f t="shared" si="15"/>
        <v>45177</v>
      </c>
      <c r="P154" s="5" t="str">
        <f t="shared" si="16"/>
        <v>Friday</v>
      </c>
      <c r="Q154" s="5">
        <f t="shared" si="17"/>
        <v>15</v>
      </c>
      <c r="R154" s="28">
        <f t="shared" si="18"/>
        <v>0.92571428571428571</v>
      </c>
      <c r="S154" s="29">
        <f t="shared" si="19"/>
        <v>92.571428571428569</v>
      </c>
      <c r="T154" s="5" t="str">
        <f>IF(Delivery_Data3[[#This Row],[Delays (min)]]&gt;0,"No","Yes")</f>
        <v>No</v>
      </c>
      <c r="W154" s="41">
        <f t="shared" si="20"/>
        <v>45177</v>
      </c>
      <c r="X154" s="5">
        <v>162</v>
      </c>
    </row>
    <row r="155" spans="1:24" ht="15.75" customHeight="1" x14ac:dyDescent="0.3">
      <c r="A155" s="4">
        <v>1154</v>
      </c>
      <c r="B155" s="5" t="s">
        <v>271</v>
      </c>
      <c r="C155" s="6">
        <v>45173.571527777778</v>
      </c>
      <c r="D155" s="5" t="s">
        <v>43</v>
      </c>
      <c r="E155" s="5" t="s">
        <v>272</v>
      </c>
      <c r="F155" s="5" t="s">
        <v>38</v>
      </c>
      <c r="G155" s="5" t="s">
        <v>17</v>
      </c>
      <c r="H155" s="5">
        <v>215</v>
      </c>
      <c r="I155" s="5">
        <v>12</v>
      </c>
      <c r="J155" s="5" t="s">
        <v>32</v>
      </c>
      <c r="K155" s="5" t="s">
        <v>49</v>
      </c>
      <c r="L155" s="5" t="s">
        <v>20</v>
      </c>
      <c r="M155" s="7" t="s">
        <v>41</v>
      </c>
      <c r="N155" s="26">
        <f t="shared" si="14"/>
        <v>-1</v>
      </c>
      <c r="O155" s="42">
        <f t="shared" si="15"/>
        <v>45173</v>
      </c>
      <c r="P155" s="5" t="str">
        <f t="shared" si="16"/>
        <v>Monday</v>
      </c>
      <c r="Q155" s="5">
        <f t="shared" si="17"/>
        <v>13</v>
      </c>
      <c r="R155" s="28">
        <f t="shared" si="18"/>
        <v>0.94713656387665202</v>
      </c>
      <c r="S155" s="29">
        <f t="shared" si="19"/>
        <v>94.713656387665196</v>
      </c>
      <c r="T155" s="5" t="str">
        <f>IF(Delivery_Data3[[#This Row],[Delays (min)]]&gt;0,"No","Yes")</f>
        <v>No</v>
      </c>
      <c r="W155" s="41">
        <f t="shared" si="20"/>
        <v>45173</v>
      </c>
      <c r="X155" s="5">
        <v>215</v>
      </c>
    </row>
    <row r="156" spans="1:24" ht="15.75" customHeight="1" x14ac:dyDescent="0.3">
      <c r="A156" s="4">
        <v>1155</v>
      </c>
      <c r="B156" s="5" t="s">
        <v>273</v>
      </c>
      <c r="C156" s="6">
        <v>45175.570833333331</v>
      </c>
      <c r="D156" s="5" t="s">
        <v>43</v>
      </c>
      <c r="E156" s="5" t="s">
        <v>162</v>
      </c>
      <c r="F156" s="5" t="s">
        <v>38</v>
      </c>
      <c r="G156" s="5" t="s">
        <v>39</v>
      </c>
      <c r="H156" s="5">
        <v>165</v>
      </c>
      <c r="I156" s="5">
        <v>15</v>
      </c>
      <c r="J156" s="5" t="s">
        <v>32</v>
      </c>
      <c r="K156" s="5" t="s">
        <v>35</v>
      </c>
      <c r="L156" s="5" t="s">
        <v>20</v>
      </c>
      <c r="M156" s="7" t="s">
        <v>46</v>
      </c>
      <c r="N156" s="26">
        <f t="shared" si="14"/>
        <v>-1</v>
      </c>
      <c r="O156" s="42">
        <f t="shared" si="15"/>
        <v>45175</v>
      </c>
      <c r="P156" s="5" t="str">
        <f t="shared" si="16"/>
        <v>Wednesday</v>
      </c>
      <c r="Q156" s="5">
        <f t="shared" si="17"/>
        <v>13</v>
      </c>
      <c r="R156" s="28">
        <f t="shared" si="18"/>
        <v>0.91666666666666663</v>
      </c>
      <c r="S156" s="29">
        <f t="shared" si="19"/>
        <v>91.666666666666657</v>
      </c>
      <c r="T156" s="5" t="str">
        <f>IF(Delivery_Data3[[#This Row],[Delays (min)]]&gt;0,"No","Yes")</f>
        <v>No</v>
      </c>
      <c r="W156" s="41">
        <f t="shared" si="20"/>
        <v>45175</v>
      </c>
      <c r="X156" s="5">
        <v>165</v>
      </c>
    </row>
    <row r="157" spans="1:24" ht="15.75" customHeight="1" x14ac:dyDescent="0.3">
      <c r="A157" s="4">
        <v>1156</v>
      </c>
      <c r="B157" s="5" t="s">
        <v>274</v>
      </c>
      <c r="C157" s="6">
        <v>45176.427083333336</v>
      </c>
      <c r="D157" s="5" t="s">
        <v>14</v>
      </c>
      <c r="E157" s="5" t="s">
        <v>130</v>
      </c>
      <c r="F157" s="5" t="s">
        <v>38</v>
      </c>
      <c r="G157" s="5" t="s">
        <v>31</v>
      </c>
      <c r="H157" s="5">
        <v>108</v>
      </c>
      <c r="I157" s="5">
        <v>14</v>
      </c>
      <c r="J157" s="5" t="s">
        <v>32</v>
      </c>
      <c r="K157" s="5" t="s">
        <v>19</v>
      </c>
      <c r="L157" s="5" t="s">
        <v>40</v>
      </c>
      <c r="M157" s="7" t="s">
        <v>46</v>
      </c>
      <c r="N157" s="26">
        <f t="shared" si="14"/>
        <v>-1</v>
      </c>
      <c r="O157" s="42">
        <f t="shared" si="15"/>
        <v>45176</v>
      </c>
      <c r="P157" s="5" t="str">
        <f t="shared" si="16"/>
        <v>Thursday</v>
      </c>
      <c r="Q157" s="5">
        <f t="shared" si="17"/>
        <v>10</v>
      </c>
      <c r="R157" s="28">
        <f t="shared" si="18"/>
        <v>0.88524590163934425</v>
      </c>
      <c r="S157" s="29">
        <f t="shared" si="19"/>
        <v>88.52459016393442</v>
      </c>
      <c r="T157" s="5" t="str">
        <f>IF(Delivery_Data3[[#This Row],[Delays (min)]]&gt;0,"No","Yes")</f>
        <v>No</v>
      </c>
      <c r="W157" s="41">
        <f t="shared" si="20"/>
        <v>45176</v>
      </c>
      <c r="X157" s="5">
        <v>108</v>
      </c>
    </row>
    <row r="158" spans="1:24" ht="15.75" customHeight="1" x14ac:dyDescent="0.3">
      <c r="A158" s="4">
        <v>1157</v>
      </c>
      <c r="B158" s="5" t="s">
        <v>275</v>
      </c>
      <c r="C158" s="6">
        <v>45170.368750000001</v>
      </c>
      <c r="D158" s="5" t="s">
        <v>43</v>
      </c>
      <c r="E158" s="5" t="s">
        <v>179</v>
      </c>
      <c r="F158" s="5" t="s">
        <v>38</v>
      </c>
      <c r="G158" s="5" t="s">
        <v>31</v>
      </c>
      <c r="H158" s="5">
        <v>147</v>
      </c>
      <c r="I158" s="5">
        <v>10</v>
      </c>
      <c r="J158" s="5" t="s">
        <v>18</v>
      </c>
      <c r="K158" s="5" t="s">
        <v>35</v>
      </c>
      <c r="L158" s="5" t="s">
        <v>40</v>
      </c>
      <c r="M158" s="7" t="s">
        <v>46</v>
      </c>
      <c r="N158" s="26">
        <f t="shared" si="14"/>
        <v>0</v>
      </c>
      <c r="O158" s="42">
        <f t="shared" si="15"/>
        <v>45170</v>
      </c>
      <c r="P158" s="5" t="str">
        <f t="shared" si="16"/>
        <v>Friday</v>
      </c>
      <c r="Q158" s="5">
        <f t="shared" si="17"/>
        <v>8</v>
      </c>
      <c r="R158" s="28">
        <f t="shared" si="18"/>
        <v>0.93630573248407645</v>
      </c>
      <c r="S158" s="29">
        <f t="shared" si="19"/>
        <v>93.630573248407643</v>
      </c>
      <c r="T158" s="5" t="str">
        <f>IF(Delivery_Data3[[#This Row],[Delays (min)]]&gt;0,"No","Yes")</f>
        <v>No</v>
      </c>
      <c r="W158" s="41">
        <f t="shared" si="20"/>
        <v>45170</v>
      </c>
      <c r="X158" s="5">
        <v>147</v>
      </c>
    </row>
    <row r="159" spans="1:24" ht="15.75" customHeight="1" x14ac:dyDescent="0.3">
      <c r="A159" s="4">
        <v>1158</v>
      </c>
      <c r="B159" s="5" t="s">
        <v>276</v>
      </c>
      <c r="C159" s="6">
        <v>45174.459027777775</v>
      </c>
      <c r="D159" s="5" t="s">
        <v>43</v>
      </c>
      <c r="E159" s="5" t="s">
        <v>277</v>
      </c>
      <c r="F159" s="5" t="s">
        <v>24</v>
      </c>
      <c r="G159" s="5" t="s">
        <v>56</v>
      </c>
      <c r="H159" s="5">
        <v>83</v>
      </c>
      <c r="I159" s="5">
        <v>8</v>
      </c>
      <c r="J159" s="5" t="s">
        <v>26</v>
      </c>
      <c r="K159" s="5" t="s">
        <v>49</v>
      </c>
      <c r="L159" s="5" t="s">
        <v>40</v>
      </c>
      <c r="M159" s="7" t="s">
        <v>41</v>
      </c>
      <c r="N159" s="26">
        <f t="shared" si="14"/>
        <v>1</v>
      </c>
      <c r="O159" s="42">
        <f t="shared" si="15"/>
        <v>45174</v>
      </c>
      <c r="P159" s="5" t="str">
        <f t="shared" si="16"/>
        <v>Tuesday</v>
      </c>
      <c r="Q159" s="5">
        <f t="shared" si="17"/>
        <v>11</v>
      </c>
      <c r="R159" s="28">
        <f t="shared" si="18"/>
        <v>0.91208791208791207</v>
      </c>
      <c r="S159" s="29">
        <f t="shared" si="19"/>
        <v>91.208791208791212</v>
      </c>
      <c r="T159" s="5" t="str">
        <f>IF(Delivery_Data3[[#This Row],[Delays (min)]]&gt;0,"No","Yes")</f>
        <v>No</v>
      </c>
      <c r="W159" s="41">
        <f t="shared" si="20"/>
        <v>45174</v>
      </c>
      <c r="X159" s="5">
        <v>83</v>
      </c>
    </row>
    <row r="160" spans="1:24" ht="15.75" customHeight="1" x14ac:dyDescent="0.3">
      <c r="A160" s="4">
        <v>1159</v>
      </c>
      <c r="B160" s="5" t="s">
        <v>278</v>
      </c>
      <c r="C160" s="6">
        <v>45176.510416666664</v>
      </c>
      <c r="D160" s="5" t="s">
        <v>14</v>
      </c>
      <c r="E160" s="5" t="s">
        <v>200</v>
      </c>
      <c r="F160" s="5" t="s">
        <v>38</v>
      </c>
      <c r="G160" s="5" t="s">
        <v>17</v>
      </c>
      <c r="H160" s="5">
        <v>197</v>
      </c>
      <c r="I160" s="5">
        <v>22</v>
      </c>
      <c r="J160" s="5" t="s">
        <v>18</v>
      </c>
      <c r="K160" s="5" t="s">
        <v>35</v>
      </c>
      <c r="L160" s="5" t="s">
        <v>20</v>
      </c>
      <c r="M160" s="7" t="s">
        <v>41</v>
      </c>
      <c r="N160" s="26">
        <f t="shared" si="14"/>
        <v>0</v>
      </c>
      <c r="O160" s="42">
        <f t="shared" si="15"/>
        <v>45176</v>
      </c>
      <c r="P160" s="5" t="str">
        <f t="shared" si="16"/>
        <v>Thursday</v>
      </c>
      <c r="Q160" s="5">
        <f t="shared" si="17"/>
        <v>12</v>
      </c>
      <c r="R160" s="28">
        <f t="shared" si="18"/>
        <v>0.8995433789954338</v>
      </c>
      <c r="S160" s="29">
        <f t="shared" si="19"/>
        <v>89.954337899543376</v>
      </c>
      <c r="T160" s="5" t="str">
        <f>IF(Delivery_Data3[[#This Row],[Delays (min)]]&gt;0,"No","Yes")</f>
        <v>No</v>
      </c>
      <c r="W160" s="41">
        <f t="shared" si="20"/>
        <v>45176</v>
      </c>
      <c r="X160" s="5">
        <v>197</v>
      </c>
    </row>
    <row r="161" spans="1:24" ht="15.75" customHeight="1" x14ac:dyDescent="0.3">
      <c r="A161" s="4">
        <v>1160</v>
      </c>
      <c r="B161" s="5" t="s">
        <v>279</v>
      </c>
      <c r="C161" s="6">
        <v>45175.411111111112</v>
      </c>
      <c r="D161" s="5" t="s">
        <v>43</v>
      </c>
      <c r="E161" s="5" t="s">
        <v>261</v>
      </c>
      <c r="F161" s="5" t="s">
        <v>16</v>
      </c>
      <c r="G161" s="5" t="s">
        <v>25</v>
      </c>
      <c r="H161" s="5">
        <v>214</v>
      </c>
      <c r="I161" s="5">
        <v>14</v>
      </c>
      <c r="J161" s="5" t="s">
        <v>26</v>
      </c>
      <c r="K161" s="5" t="s">
        <v>35</v>
      </c>
      <c r="L161" s="5" t="s">
        <v>40</v>
      </c>
      <c r="M161" s="7" t="s">
        <v>41</v>
      </c>
      <c r="N161" s="26">
        <f t="shared" si="14"/>
        <v>1</v>
      </c>
      <c r="O161" s="42">
        <f t="shared" si="15"/>
        <v>45175</v>
      </c>
      <c r="P161" s="5" t="str">
        <f t="shared" si="16"/>
        <v>Wednesday</v>
      </c>
      <c r="Q161" s="5">
        <f t="shared" si="17"/>
        <v>9</v>
      </c>
      <c r="R161" s="28">
        <f t="shared" si="18"/>
        <v>0.93859649122807021</v>
      </c>
      <c r="S161" s="29">
        <f t="shared" si="19"/>
        <v>93.859649122807014</v>
      </c>
      <c r="T161" s="5" t="str">
        <f>IF(Delivery_Data3[[#This Row],[Delays (min)]]&gt;0,"No","Yes")</f>
        <v>No</v>
      </c>
      <c r="W161" s="41">
        <f t="shared" si="20"/>
        <v>45175</v>
      </c>
      <c r="X161" s="5">
        <v>214</v>
      </c>
    </row>
    <row r="162" spans="1:24" ht="15.75" customHeight="1" x14ac:dyDescent="0.3">
      <c r="A162" s="4">
        <v>1161</v>
      </c>
      <c r="B162" s="5" t="s">
        <v>280</v>
      </c>
      <c r="C162" s="6">
        <v>45171.395138888889</v>
      </c>
      <c r="D162" s="5" t="s">
        <v>14</v>
      </c>
      <c r="E162" s="5" t="s">
        <v>281</v>
      </c>
      <c r="F162" s="5" t="s">
        <v>16</v>
      </c>
      <c r="G162" s="5" t="s">
        <v>17</v>
      </c>
      <c r="H162" s="5">
        <v>188</v>
      </c>
      <c r="I162" s="5">
        <v>2</v>
      </c>
      <c r="J162" s="5" t="s">
        <v>32</v>
      </c>
      <c r="K162" s="5" t="s">
        <v>45</v>
      </c>
      <c r="L162" s="5" t="s">
        <v>28</v>
      </c>
      <c r="M162" s="7" t="s">
        <v>41</v>
      </c>
      <c r="N162" s="26">
        <f t="shared" si="14"/>
        <v>-1</v>
      </c>
      <c r="O162" s="42">
        <f t="shared" si="15"/>
        <v>45171</v>
      </c>
      <c r="P162" s="5" t="str">
        <f t="shared" si="16"/>
        <v>Saturday</v>
      </c>
      <c r="Q162" s="5">
        <f t="shared" si="17"/>
        <v>9</v>
      </c>
      <c r="R162" s="28">
        <f t="shared" si="18"/>
        <v>0.98947368421052628</v>
      </c>
      <c r="S162" s="29">
        <f t="shared" si="19"/>
        <v>98.94736842105263</v>
      </c>
      <c r="T162" s="5" t="str">
        <f>IF(Delivery_Data3[[#This Row],[Delays (min)]]&gt;0,"No","Yes")</f>
        <v>No</v>
      </c>
      <c r="W162" s="41">
        <f t="shared" si="20"/>
        <v>45171</v>
      </c>
      <c r="X162" s="5">
        <v>188</v>
      </c>
    </row>
    <row r="163" spans="1:24" ht="15.75" customHeight="1" x14ac:dyDescent="0.3">
      <c r="A163" s="4">
        <v>1162</v>
      </c>
      <c r="B163" s="5" t="s">
        <v>282</v>
      </c>
      <c r="C163" s="6">
        <v>45172.578472222223</v>
      </c>
      <c r="D163" s="5" t="s">
        <v>14</v>
      </c>
      <c r="E163" s="5" t="s">
        <v>132</v>
      </c>
      <c r="F163" s="5" t="s">
        <v>24</v>
      </c>
      <c r="G163" s="5" t="s">
        <v>56</v>
      </c>
      <c r="H163" s="5">
        <v>118</v>
      </c>
      <c r="I163" s="5">
        <v>19</v>
      </c>
      <c r="J163" s="5" t="s">
        <v>26</v>
      </c>
      <c r="K163" s="5" t="s">
        <v>19</v>
      </c>
      <c r="L163" s="5" t="s">
        <v>28</v>
      </c>
      <c r="M163" s="7" t="s">
        <v>21</v>
      </c>
      <c r="N163" s="26">
        <f t="shared" si="14"/>
        <v>1</v>
      </c>
      <c r="O163" s="42">
        <f t="shared" si="15"/>
        <v>45172</v>
      </c>
      <c r="P163" s="5" t="str">
        <f t="shared" si="16"/>
        <v>Sunday</v>
      </c>
      <c r="Q163" s="5">
        <f t="shared" si="17"/>
        <v>13</v>
      </c>
      <c r="R163" s="28">
        <f t="shared" si="18"/>
        <v>0.86131386861313863</v>
      </c>
      <c r="S163" s="29">
        <f t="shared" si="19"/>
        <v>86.131386861313857</v>
      </c>
      <c r="T163" s="5" t="str">
        <f>IF(Delivery_Data3[[#This Row],[Delays (min)]]&gt;0,"No","Yes")</f>
        <v>No</v>
      </c>
      <c r="W163" s="41">
        <f t="shared" si="20"/>
        <v>45172</v>
      </c>
      <c r="X163" s="5">
        <v>118</v>
      </c>
    </row>
    <row r="164" spans="1:24" ht="15.75" customHeight="1" x14ac:dyDescent="0.3">
      <c r="A164" s="4">
        <v>1163</v>
      </c>
      <c r="B164" s="5" t="s">
        <v>283</v>
      </c>
      <c r="C164" s="6">
        <v>45171.496527777781</v>
      </c>
      <c r="D164" s="5" t="s">
        <v>43</v>
      </c>
      <c r="E164" s="5" t="s">
        <v>73</v>
      </c>
      <c r="F164" s="5" t="s">
        <v>16</v>
      </c>
      <c r="G164" s="5" t="s">
        <v>17</v>
      </c>
      <c r="H164" s="5">
        <v>78</v>
      </c>
      <c r="I164" s="5">
        <v>0</v>
      </c>
      <c r="J164" s="5" t="s">
        <v>26</v>
      </c>
      <c r="K164" s="5" t="s">
        <v>19</v>
      </c>
      <c r="L164" s="5" t="s">
        <v>28</v>
      </c>
      <c r="M164" s="7" t="s">
        <v>41</v>
      </c>
      <c r="N164" s="26">
        <f t="shared" si="14"/>
        <v>1</v>
      </c>
      <c r="O164" s="42">
        <f t="shared" si="15"/>
        <v>45171</v>
      </c>
      <c r="P164" s="5" t="str">
        <f t="shared" si="16"/>
        <v>Saturday</v>
      </c>
      <c r="Q164" s="5">
        <f t="shared" si="17"/>
        <v>11</v>
      </c>
      <c r="R164" s="28">
        <f t="shared" si="18"/>
        <v>1</v>
      </c>
      <c r="S164" s="29">
        <f t="shared" si="19"/>
        <v>100</v>
      </c>
      <c r="T164" s="5" t="str">
        <f>IF(Delivery_Data3[[#This Row],[Delays (min)]]&gt;0,"No","Yes")</f>
        <v>Yes</v>
      </c>
      <c r="W164" s="41">
        <f t="shared" si="20"/>
        <v>45171</v>
      </c>
      <c r="X164" s="5">
        <v>78</v>
      </c>
    </row>
    <row r="165" spans="1:24" ht="15.75" customHeight="1" x14ac:dyDescent="0.3">
      <c r="A165" s="4">
        <v>1164</v>
      </c>
      <c r="B165" s="5" t="s">
        <v>284</v>
      </c>
      <c r="C165" s="6">
        <v>45172.367361111108</v>
      </c>
      <c r="D165" s="5" t="s">
        <v>14</v>
      </c>
      <c r="E165" s="5" t="s">
        <v>285</v>
      </c>
      <c r="F165" s="5" t="s">
        <v>24</v>
      </c>
      <c r="G165" s="5" t="s">
        <v>25</v>
      </c>
      <c r="H165" s="5">
        <v>236</v>
      </c>
      <c r="I165" s="5">
        <v>20</v>
      </c>
      <c r="J165" s="5" t="s">
        <v>32</v>
      </c>
      <c r="K165" s="5" t="s">
        <v>45</v>
      </c>
      <c r="L165" s="5" t="s">
        <v>28</v>
      </c>
      <c r="M165" s="7" t="s">
        <v>41</v>
      </c>
      <c r="N165" s="26">
        <f t="shared" si="14"/>
        <v>-1</v>
      </c>
      <c r="O165" s="42">
        <f t="shared" si="15"/>
        <v>45172</v>
      </c>
      <c r="P165" s="5" t="str">
        <f t="shared" si="16"/>
        <v>Sunday</v>
      </c>
      <c r="Q165" s="5">
        <f t="shared" si="17"/>
        <v>8</v>
      </c>
      <c r="R165" s="28">
        <f t="shared" si="18"/>
        <v>0.921875</v>
      </c>
      <c r="S165" s="29">
        <f t="shared" si="19"/>
        <v>92.1875</v>
      </c>
      <c r="T165" s="5" t="str">
        <f>IF(Delivery_Data3[[#This Row],[Delays (min)]]&gt;0,"No","Yes")</f>
        <v>No</v>
      </c>
      <c r="W165" s="41">
        <f t="shared" si="20"/>
        <v>45172</v>
      </c>
      <c r="X165" s="5">
        <v>236</v>
      </c>
    </row>
    <row r="166" spans="1:24" ht="15.75" customHeight="1" x14ac:dyDescent="0.3">
      <c r="A166" s="4">
        <v>1165</v>
      </c>
      <c r="B166" s="5" t="s">
        <v>286</v>
      </c>
      <c r="C166" s="6">
        <v>45175.450694444444</v>
      </c>
      <c r="D166" s="5" t="s">
        <v>43</v>
      </c>
      <c r="E166" s="5" t="s">
        <v>162</v>
      </c>
      <c r="F166" s="5" t="s">
        <v>16</v>
      </c>
      <c r="G166" s="5" t="s">
        <v>31</v>
      </c>
      <c r="H166" s="5">
        <v>79</v>
      </c>
      <c r="I166" s="5">
        <v>15</v>
      </c>
      <c r="J166" s="5" t="s">
        <v>18</v>
      </c>
      <c r="K166" s="5" t="s">
        <v>35</v>
      </c>
      <c r="L166" s="5" t="s">
        <v>28</v>
      </c>
      <c r="M166" s="7" t="s">
        <v>46</v>
      </c>
      <c r="N166" s="26">
        <f t="shared" si="14"/>
        <v>0</v>
      </c>
      <c r="O166" s="42">
        <f t="shared" si="15"/>
        <v>45175</v>
      </c>
      <c r="P166" s="5" t="str">
        <f t="shared" si="16"/>
        <v>Wednesday</v>
      </c>
      <c r="Q166" s="5">
        <f t="shared" si="17"/>
        <v>10</v>
      </c>
      <c r="R166" s="28">
        <f t="shared" si="18"/>
        <v>0.84042553191489366</v>
      </c>
      <c r="S166" s="29">
        <f t="shared" si="19"/>
        <v>84.042553191489361</v>
      </c>
      <c r="T166" s="5" t="str">
        <f>IF(Delivery_Data3[[#This Row],[Delays (min)]]&gt;0,"No","Yes")</f>
        <v>No</v>
      </c>
      <c r="W166" s="41">
        <f t="shared" si="20"/>
        <v>45175</v>
      </c>
      <c r="X166" s="5">
        <v>79</v>
      </c>
    </row>
    <row r="167" spans="1:24" ht="15.75" customHeight="1" x14ac:dyDescent="0.3">
      <c r="A167" s="4">
        <v>1166</v>
      </c>
      <c r="B167" s="5" t="s">
        <v>287</v>
      </c>
      <c r="C167" s="6">
        <v>45174.336805555555</v>
      </c>
      <c r="D167" s="5" t="s">
        <v>14</v>
      </c>
      <c r="E167" s="5" t="s">
        <v>288</v>
      </c>
      <c r="F167" s="5" t="s">
        <v>24</v>
      </c>
      <c r="G167" s="5" t="s">
        <v>39</v>
      </c>
      <c r="H167" s="5">
        <v>155</v>
      </c>
      <c r="I167" s="5">
        <v>13</v>
      </c>
      <c r="J167" s="5" t="s">
        <v>32</v>
      </c>
      <c r="K167" s="5" t="s">
        <v>35</v>
      </c>
      <c r="L167" s="5" t="s">
        <v>28</v>
      </c>
      <c r="M167" s="7" t="s">
        <v>21</v>
      </c>
      <c r="N167" s="26">
        <f t="shared" si="14"/>
        <v>-1</v>
      </c>
      <c r="O167" s="42">
        <f t="shared" si="15"/>
        <v>45174</v>
      </c>
      <c r="P167" s="5" t="str">
        <f t="shared" si="16"/>
        <v>Tuesday</v>
      </c>
      <c r="Q167" s="5">
        <f t="shared" si="17"/>
        <v>8</v>
      </c>
      <c r="R167" s="28">
        <f t="shared" si="18"/>
        <v>0.92261904761904767</v>
      </c>
      <c r="S167" s="29">
        <f t="shared" si="19"/>
        <v>92.261904761904773</v>
      </c>
      <c r="T167" s="5" t="str">
        <f>IF(Delivery_Data3[[#This Row],[Delays (min)]]&gt;0,"No","Yes")</f>
        <v>No</v>
      </c>
      <c r="W167" s="41">
        <f t="shared" si="20"/>
        <v>45174</v>
      </c>
      <c r="X167" s="5">
        <v>155</v>
      </c>
    </row>
    <row r="168" spans="1:24" ht="15.75" customHeight="1" x14ac:dyDescent="0.3">
      <c r="A168" s="4">
        <v>1167</v>
      </c>
      <c r="B168" s="5" t="s">
        <v>289</v>
      </c>
      <c r="C168" s="6">
        <v>45174.479166666664</v>
      </c>
      <c r="D168" s="5" t="s">
        <v>14</v>
      </c>
      <c r="E168" s="5" t="s">
        <v>132</v>
      </c>
      <c r="F168" s="5" t="s">
        <v>38</v>
      </c>
      <c r="G168" s="5" t="s">
        <v>39</v>
      </c>
      <c r="H168" s="5">
        <v>69</v>
      </c>
      <c r="I168" s="5">
        <v>8</v>
      </c>
      <c r="J168" s="5" t="s">
        <v>26</v>
      </c>
      <c r="K168" s="5" t="s">
        <v>19</v>
      </c>
      <c r="L168" s="5" t="s">
        <v>28</v>
      </c>
      <c r="M168" s="7" t="s">
        <v>46</v>
      </c>
      <c r="N168" s="26">
        <f t="shared" si="14"/>
        <v>1</v>
      </c>
      <c r="O168" s="42">
        <f t="shared" si="15"/>
        <v>45174</v>
      </c>
      <c r="P168" s="5" t="str">
        <f t="shared" si="16"/>
        <v>Tuesday</v>
      </c>
      <c r="Q168" s="5">
        <f t="shared" si="17"/>
        <v>11</v>
      </c>
      <c r="R168" s="28">
        <f t="shared" si="18"/>
        <v>0.89610389610389607</v>
      </c>
      <c r="S168" s="29">
        <f t="shared" si="19"/>
        <v>89.610389610389603</v>
      </c>
      <c r="T168" s="5" t="str">
        <f>IF(Delivery_Data3[[#This Row],[Delays (min)]]&gt;0,"No","Yes")</f>
        <v>No</v>
      </c>
      <c r="W168" s="41">
        <f t="shared" si="20"/>
        <v>45174</v>
      </c>
      <c r="X168" s="5">
        <v>69</v>
      </c>
    </row>
    <row r="169" spans="1:24" ht="15.75" customHeight="1" x14ac:dyDescent="0.3">
      <c r="A169" s="4">
        <v>1168</v>
      </c>
      <c r="B169" s="5" t="s">
        <v>290</v>
      </c>
      <c r="C169" s="6">
        <v>45170.675000000003</v>
      </c>
      <c r="D169" s="5" t="s">
        <v>14</v>
      </c>
      <c r="E169" s="5" t="s">
        <v>187</v>
      </c>
      <c r="F169" s="5" t="s">
        <v>38</v>
      </c>
      <c r="G169" s="5" t="s">
        <v>25</v>
      </c>
      <c r="H169" s="5">
        <v>81</v>
      </c>
      <c r="I169" s="5">
        <v>15</v>
      </c>
      <c r="J169" s="5" t="s">
        <v>26</v>
      </c>
      <c r="K169" s="5" t="s">
        <v>45</v>
      </c>
      <c r="L169" s="5" t="s">
        <v>20</v>
      </c>
      <c r="M169" s="7" t="s">
        <v>46</v>
      </c>
      <c r="N169" s="26">
        <f t="shared" si="14"/>
        <v>1</v>
      </c>
      <c r="O169" s="42">
        <f t="shared" si="15"/>
        <v>45170</v>
      </c>
      <c r="P169" s="5" t="str">
        <f t="shared" si="16"/>
        <v>Friday</v>
      </c>
      <c r="Q169" s="5">
        <f t="shared" si="17"/>
        <v>16</v>
      </c>
      <c r="R169" s="28">
        <f t="shared" si="18"/>
        <v>0.84375</v>
      </c>
      <c r="S169" s="29">
        <f t="shared" si="19"/>
        <v>84.375</v>
      </c>
      <c r="T169" s="5" t="str">
        <f>IF(Delivery_Data3[[#This Row],[Delays (min)]]&gt;0,"No","Yes")</f>
        <v>No</v>
      </c>
      <c r="W169" s="41">
        <f t="shared" si="20"/>
        <v>45170</v>
      </c>
      <c r="X169" s="5">
        <v>81</v>
      </c>
    </row>
    <row r="170" spans="1:24" ht="15.75" customHeight="1" x14ac:dyDescent="0.3">
      <c r="A170" s="4">
        <v>1169</v>
      </c>
      <c r="B170" s="5" t="s">
        <v>291</v>
      </c>
      <c r="C170" s="6">
        <v>45170.498611111114</v>
      </c>
      <c r="D170" s="5" t="s">
        <v>43</v>
      </c>
      <c r="E170" s="5" t="s">
        <v>132</v>
      </c>
      <c r="F170" s="5" t="s">
        <v>16</v>
      </c>
      <c r="G170" s="5" t="s">
        <v>56</v>
      </c>
      <c r="H170" s="5">
        <v>223</v>
      </c>
      <c r="I170" s="5">
        <v>0</v>
      </c>
      <c r="J170" s="5" t="s">
        <v>18</v>
      </c>
      <c r="K170" s="5" t="s">
        <v>35</v>
      </c>
      <c r="L170" s="5" t="s">
        <v>40</v>
      </c>
      <c r="M170" s="7" t="s">
        <v>41</v>
      </c>
      <c r="N170" s="26">
        <f t="shared" si="14"/>
        <v>0</v>
      </c>
      <c r="O170" s="42">
        <f t="shared" si="15"/>
        <v>45170</v>
      </c>
      <c r="P170" s="5" t="str">
        <f t="shared" si="16"/>
        <v>Friday</v>
      </c>
      <c r="Q170" s="5">
        <f t="shared" si="17"/>
        <v>11</v>
      </c>
      <c r="R170" s="28">
        <f t="shared" si="18"/>
        <v>1</v>
      </c>
      <c r="S170" s="29">
        <f t="shared" si="19"/>
        <v>100</v>
      </c>
      <c r="T170" s="5" t="str">
        <f>IF(Delivery_Data3[[#This Row],[Delays (min)]]&gt;0,"No","Yes")</f>
        <v>Yes</v>
      </c>
      <c r="W170" s="41">
        <f t="shared" si="20"/>
        <v>45170</v>
      </c>
      <c r="X170" s="5">
        <v>223</v>
      </c>
    </row>
    <row r="171" spans="1:24" ht="15.75" customHeight="1" x14ac:dyDescent="0.3">
      <c r="A171" s="4">
        <v>1170</v>
      </c>
      <c r="B171" s="5" t="s">
        <v>292</v>
      </c>
      <c r="C171" s="6">
        <v>45171.604166666664</v>
      </c>
      <c r="D171" s="5" t="s">
        <v>43</v>
      </c>
      <c r="E171" s="5" t="s">
        <v>89</v>
      </c>
      <c r="F171" s="5" t="s">
        <v>38</v>
      </c>
      <c r="G171" s="5" t="s">
        <v>39</v>
      </c>
      <c r="H171" s="5">
        <v>64</v>
      </c>
      <c r="I171" s="5">
        <v>25</v>
      </c>
      <c r="J171" s="5" t="s">
        <v>18</v>
      </c>
      <c r="K171" s="5" t="s">
        <v>35</v>
      </c>
      <c r="L171" s="5" t="s">
        <v>28</v>
      </c>
      <c r="M171" s="7" t="s">
        <v>41</v>
      </c>
      <c r="N171" s="26">
        <f t="shared" si="14"/>
        <v>0</v>
      </c>
      <c r="O171" s="42">
        <f t="shared" si="15"/>
        <v>45171</v>
      </c>
      <c r="P171" s="5" t="str">
        <f t="shared" si="16"/>
        <v>Saturday</v>
      </c>
      <c r="Q171" s="5">
        <f t="shared" si="17"/>
        <v>14</v>
      </c>
      <c r="R171" s="28">
        <f t="shared" si="18"/>
        <v>0.7191011235955056</v>
      </c>
      <c r="S171" s="29">
        <f t="shared" si="19"/>
        <v>71.910112359550567</v>
      </c>
      <c r="T171" s="5" t="str">
        <f>IF(Delivery_Data3[[#This Row],[Delays (min)]]&gt;0,"No","Yes")</f>
        <v>No</v>
      </c>
      <c r="W171" s="41">
        <f t="shared" si="20"/>
        <v>45171</v>
      </c>
      <c r="X171" s="5">
        <v>64</v>
      </c>
    </row>
    <row r="172" spans="1:24" ht="15.75" customHeight="1" x14ac:dyDescent="0.3">
      <c r="A172" s="4">
        <v>1171</v>
      </c>
      <c r="B172" s="5" t="s">
        <v>293</v>
      </c>
      <c r="C172" s="6">
        <v>45177.488194444442</v>
      </c>
      <c r="D172" s="5" t="s">
        <v>43</v>
      </c>
      <c r="E172" s="5" t="s">
        <v>154</v>
      </c>
      <c r="F172" s="5" t="s">
        <v>24</v>
      </c>
      <c r="G172" s="5" t="s">
        <v>17</v>
      </c>
      <c r="H172" s="5">
        <v>137</v>
      </c>
      <c r="I172" s="5">
        <v>23</v>
      </c>
      <c r="J172" s="5" t="s">
        <v>26</v>
      </c>
      <c r="K172" s="5" t="s">
        <v>35</v>
      </c>
      <c r="L172" s="5" t="s">
        <v>20</v>
      </c>
      <c r="M172" s="7" t="s">
        <v>46</v>
      </c>
      <c r="N172" s="26">
        <f t="shared" si="14"/>
        <v>1</v>
      </c>
      <c r="O172" s="42">
        <f t="shared" si="15"/>
        <v>45177</v>
      </c>
      <c r="P172" s="5" t="str">
        <f t="shared" si="16"/>
        <v>Friday</v>
      </c>
      <c r="Q172" s="5">
        <f t="shared" si="17"/>
        <v>11</v>
      </c>
      <c r="R172" s="28">
        <f t="shared" si="18"/>
        <v>0.85624999999999996</v>
      </c>
      <c r="S172" s="29">
        <f t="shared" si="19"/>
        <v>85.625</v>
      </c>
      <c r="T172" s="5" t="str">
        <f>IF(Delivery_Data3[[#This Row],[Delays (min)]]&gt;0,"No","Yes")</f>
        <v>No</v>
      </c>
      <c r="W172" s="41">
        <f t="shared" si="20"/>
        <v>45177</v>
      </c>
      <c r="X172" s="5">
        <v>137</v>
      </c>
    </row>
    <row r="173" spans="1:24" ht="15.75" customHeight="1" x14ac:dyDescent="0.3">
      <c r="A173" s="4">
        <v>1172</v>
      </c>
      <c r="B173" s="5" t="s">
        <v>294</v>
      </c>
      <c r="C173" s="6">
        <v>45171.401388888888</v>
      </c>
      <c r="D173" s="5" t="s">
        <v>43</v>
      </c>
      <c r="E173" s="5" t="s">
        <v>211</v>
      </c>
      <c r="F173" s="5" t="s">
        <v>24</v>
      </c>
      <c r="G173" s="5" t="s">
        <v>17</v>
      </c>
      <c r="H173" s="5">
        <v>175</v>
      </c>
      <c r="I173" s="5">
        <v>1</v>
      </c>
      <c r="J173" s="5" t="s">
        <v>18</v>
      </c>
      <c r="K173" s="5" t="s">
        <v>45</v>
      </c>
      <c r="L173" s="5" t="s">
        <v>40</v>
      </c>
      <c r="M173" s="7" t="s">
        <v>46</v>
      </c>
      <c r="N173" s="26">
        <f t="shared" si="14"/>
        <v>0</v>
      </c>
      <c r="O173" s="42">
        <f t="shared" si="15"/>
        <v>45171</v>
      </c>
      <c r="P173" s="5" t="str">
        <f t="shared" si="16"/>
        <v>Saturday</v>
      </c>
      <c r="Q173" s="5">
        <f t="shared" si="17"/>
        <v>9</v>
      </c>
      <c r="R173" s="28">
        <f t="shared" si="18"/>
        <v>0.99431818181818177</v>
      </c>
      <c r="S173" s="29">
        <f t="shared" si="19"/>
        <v>99.431818181818173</v>
      </c>
      <c r="T173" s="5" t="str">
        <f>IF(Delivery_Data3[[#This Row],[Delays (min)]]&gt;0,"No","Yes")</f>
        <v>No</v>
      </c>
      <c r="W173" s="41">
        <f t="shared" si="20"/>
        <v>45171</v>
      </c>
      <c r="X173" s="5">
        <v>175</v>
      </c>
    </row>
    <row r="174" spans="1:24" ht="15.75" customHeight="1" x14ac:dyDescent="0.3">
      <c r="A174" s="4">
        <v>1173</v>
      </c>
      <c r="B174" s="5" t="s">
        <v>295</v>
      </c>
      <c r="C174" s="6">
        <v>45170.434027777781</v>
      </c>
      <c r="D174" s="5" t="s">
        <v>43</v>
      </c>
      <c r="E174" s="5" t="s">
        <v>118</v>
      </c>
      <c r="F174" s="5" t="s">
        <v>24</v>
      </c>
      <c r="G174" s="5" t="s">
        <v>17</v>
      </c>
      <c r="H174" s="5">
        <v>121</v>
      </c>
      <c r="I174" s="5">
        <v>29</v>
      </c>
      <c r="J174" s="5" t="s">
        <v>18</v>
      </c>
      <c r="K174" s="5" t="s">
        <v>45</v>
      </c>
      <c r="L174" s="5" t="s">
        <v>20</v>
      </c>
      <c r="M174" s="7" t="s">
        <v>21</v>
      </c>
      <c r="N174" s="26">
        <f t="shared" si="14"/>
        <v>0</v>
      </c>
      <c r="O174" s="42">
        <f t="shared" si="15"/>
        <v>45170</v>
      </c>
      <c r="P174" s="5" t="str">
        <f t="shared" si="16"/>
        <v>Friday</v>
      </c>
      <c r="Q174" s="5">
        <f t="shared" si="17"/>
        <v>10</v>
      </c>
      <c r="R174" s="28">
        <f t="shared" si="18"/>
        <v>0.80666666666666664</v>
      </c>
      <c r="S174" s="29">
        <f t="shared" si="19"/>
        <v>80.666666666666657</v>
      </c>
      <c r="T174" s="5" t="str">
        <f>IF(Delivery_Data3[[#This Row],[Delays (min)]]&gt;0,"No","Yes")</f>
        <v>No</v>
      </c>
      <c r="W174" s="41">
        <f t="shared" si="20"/>
        <v>45170</v>
      </c>
      <c r="X174" s="5">
        <v>121</v>
      </c>
    </row>
    <row r="175" spans="1:24" ht="15.75" customHeight="1" x14ac:dyDescent="0.3">
      <c r="A175" s="4">
        <v>1174</v>
      </c>
      <c r="B175" s="5" t="s">
        <v>296</v>
      </c>
      <c r="C175" s="6">
        <v>45172.448611111111</v>
      </c>
      <c r="D175" s="5" t="s">
        <v>14</v>
      </c>
      <c r="E175" s="5" t="s">
        <v>143</v>
      </c>
      <c r="F175" s="5" t="s">
        <v>38</v>
      </c>
      <c r="G175" s="5" t="s">
        <v>39</v>
      </c>
      <c r="H175" s="5">
        <v>178</v>
      </c>
      <c r="I175" s="5">
        <v>10</v>
      </c>
      <c r="J175" s="5" t="s">
        <v>18</v>
      </c>
      <c r="K175" s="5" t="s">
        <v>27</v>
      </c>
      <c r="L175" s="5" t="s">
        <v>28</v>
      </c>
      <c r="M175" s="7" t="s">
        <v>41</v>
      </c>
      <c r="N175" s="26">
        <f t="shared" si="14"/>
        <v>0</v>
      </c>
      <c r="O175" s="42">
        <f t="shared" si="15"/>
        <v>45172</v>
      </c>
      <c r="P175" s="5" t="str">
        <f t="shared" si="16"/>
        <v>Sunday</v>
      </c>
      <c r="Q175" s="5">
        <f t="shared" si="17"/>
        <v>10</v>
      </c>
      <c r="R175" s="28">
        <f t="shared" si="18"/>
        <v>0.94680851063829785</v>
      </c>
      <c r="S175" s="29">
        <f t="shared" si="19"/>
        <v>94.680851063829792</v>
      </c>
      <c r="T175" s="5" t="str">
        <f>IF(Delivery_Data3[[#This Row],[Delays (min)]]&gt;0,"No","Yes")</f>
        <v>No</v>
      </c>
      <c r="W175" s="41">
        <f t="shared" si="20"/>
        <v>45172</v>
      </c>
      <c r="X175" s="5">
        <v>178</v>
      </c>
    </row>
    <row r="176" spans="1:24" ht="15.75" customHeight="1" x14ac:dyDescent="0.3">
      <c r="A176" s="4">
        <v>1175</v>
      </c>
      <c r="B176" s="5" t="s">
        <v>297</v>
      </c>
      <c r="C176" s="6">
        <v>45172.384027777778</v>
      </c>
      <c r="D176" s="5" t="s">
        <v>43</v>
      </c>
      <c r="E176" s="5" t="s">
        <v>97</v>
      </c>
      <c r="F176" s="5" t="s">
        <v>38</v>
      </c>
      <c r="G176" s="5" t="s">
        <v>25</v>
      </c>
      <c r="H176" s="5">
        <v>135</v>
      </c>
      <c r="I176" s="5">
        <v>16</v>
      </c>
      <c r="J176" s="5" t="s">
        <v>32</v>
      </c>
      <c r="K176" s="5" t="s">
        <v>45</v>
      </c>
      <c r="L176" s="5" t="s">
        <v>20</v>
      </c>
      <c r="M176" s="7" t="s">
        <v>46</v>
      </c>
      <c r="N176" s="26">
        <f t="shared" si="14"/>
        <v>-1</v>
      </c>
      <c r="O176" s="42">
        <f t="shared" si="15"/>
        <v>45172</v>
      </c>
      <c r="P176" s="5" t="str">
        <f t="shared" si="16"/>
        <v>Sunday</v>
      </c>
      <c r="Q176" s="5">
        <f t="shared" si="17"/>
        <v>9</v>
      </c>
      <c r="R176" s="28">
        <f t="shared" si="18"/>
        <v>0.89403973509933776</v>
      </c>
      <c r="S176" s="29">
        <f t="shared" si="19"/>
        <v>89.403973509933778</v>
      </c>
      <c r="T176" s="5" t="str">
        <f>IF(Delivery_Data3[[#This Row],[Delays (min)]]&gt;0,"No","Yes")</f>
        <v>No</v>
      </c>
      <c r="W176" s="41">
        <f t="shared" si="20"/>
        <v>45172</v>
      </c>
      <c r="X176" s="5">
        <v>135</v>
      </c>
    </row>
    <row r="177" spans="1:24" ht="15.75" customHeight="1" x14ac:dyDescent="0.3">
      <c r="A177" s="4">
        <v>1176</v>
      </c>
      <c r="B177" s="5" t="s">
        <v>298</v>
      </c>
      <c r="C177" s="6">
        <v>45177.413194444445</v>
      </c>
      <c r="D177" s="5" t="s">
        <v>14</v>
      </c>
      <c r="E177" s="5" t="s">
        <v>44</v>
      </c>
      <c r="F177" s="5" t="s">
        <v>24</v>
      </c>
      <c r="G177" s="5" t="s">
        <v>17</v>
      </c>
      <c r="H177" s="5">
        <v>172</v>
      </c>
      <c r="I177" s="5">
        <v>12</v>
      </c>
      <c r="J177" s="5" t="s">
        <v>32</v>
      </c>
      <c r="K177" s="5" t="s">
        <v>45</v>
      </c>
      <c r="L177" s="5" t="s">
        <v>28</v>
      </c>
      <c r="M177" s="7" t="s">
        <v>41</v>
      </c>
      <c r="N177" s="26">
        <f t="shared" si="14"/>
        <v>-1</v>
      </c>
      <c r="O177" s="42">
        <f t="shared" si="15"/>
        <v>45177</v>
      </c>
      <c r="P177" s="5" t="str">
        <f t="shared" si="16"/>
        <v>Friday</v>
      </c>
      <c r="Q177" s="5">
        <f t="shared" si="17"/>
        <v>9</v>
      </c>
      <c r="R177" s="28">
        <f t="shared" si="18"/>
        <v>0.93478260869565222</v>
      </c>
      <c r="S177" s="29">
        <f t="shared" si="19"/>
        <v>93.478260869565219</v>
      </c>
      <c r="T177" s="5" t="str">
        <f>IF(Delivery_Data3[[#This Row],[Delays (min)]]&gt;0,"No","Yes")</f>
        <v>No</v>
      </c>
      <c r="W177" s="41">
        <f t="shared" si="20"/>
        <v>45177</v>
      </c>
      <c r="X177" s="5">
        <v>172</v>
      </c>
    </row>
    <row r="178" spans="1:24" ht="15.75" customHeight="1" x14ac:dyDescent="0.3">
      <c r="A178" s="4">
        <v>1177</v>
      </c>
      <c r="B178" s="5" t="s">
        <v>299</v>
      </c>
      <c r="C178" s="6">
        <v>45172.603472222225</v>
      </c>
      <c r="D178" s="5" t="s">
        <v>14</v>
      </c>
      <c r="E178" s="5" t="s">
        <v>169</v>
      </c>
      <c r="F178" s="5" t="s">
        <v>38</v>
      </c>
      <c r="G178" s="5" t="s">
        <v>56</v>
      </c>
      <c r="H178" s="5">
        <v>213</v>
      </c>
      <c r="I178" s="5">
        <v>10</v>
      </c>
      <c r="J178" s="5" t="s">
        <v>18</v>
      </c>
      <c r="K178" s="5" t="s">
        <v>27</v>
      </c>
      <c r="L178" s="5" t="s">
        <v>40</v>
      </c>
      <c r="M178" s="7" t="s">
        <v>41</v>
      </c>
      <c r="N178" s="26">
        <f t="shared" si="14"/>
        <v>0</v>
      </c>
      <c r="O178" s="42">
        <f t="shared" si="15"/>
        <v>45172</v>
      </c>
      <c r="P178" s="5" t="str">
        <f t="shared" si="16"/>
        <v>Sunday</v>
      </c>
      <c r="Q178" s="5">
        <f t="shared" si="17"/>
        <v>14</v>
      </c>
      <c r="R178" s="28">
        <f t="shared" si="18"/>
        <v>0.95515695067264572</v>
      </c>
      <c r="S178" s="29">
        <f t="shared" si="19"/>
        <v>95.515695067264573</v>
      </c>
      <c r="T178" s="5" t="str">
        <f>IF(Delivery_Data3[[#This Row],[Delays (min)]]&gt;0,"No","Yes")</f>
        <v>No</v>
      </c>
      <c r="W178" s="41">
        <f t="shared" si="20"/>
        <v>45172</v>
      </c>
      <c r="X178" s="5">
        <v>213</v>
      </c>
    </row>
    <row r="179" spans="1:24" ht="15.75" customHeight="1" x14ac:dyDescent="0.3">
      <c r="A179" s="4">
        <v>1178</v>
      </c>
      <c r="B179" s="5" t="s">
        <v>300</v>
      </c>
      <c r="C179" s="6">
        <v>45171.338194444441</v>
      </c>
      <c r="D179" s="5" t="s">
        <v>43</v>
      </c>
      <c r="E179" s="5" t="s">
        <v>301</v>
      </c>
      <c r="F179" s="5" t="s">
        <v>38</v>
      </c>
      <c r="G179" s="5" t="s">
        <v>17</v>
      </c>
      <c r="H179" s="5">
        <v>204</v>
      </c>
      <c r="I179" s="5">
        <v>20</v>
      </c>
      <c r="J179" s="5" t="s">
        <v>18</v>
      </c>
      <c r="K179" s="5" t="s">
        <v>27</v>
      </c>
      <c r="L179" s="5" t="s">
        <v>20</v>
      </c>
      <c r="M179" s="7" t="s">
        <v>21</v>
      </c>
      <c r="N179" s="26">
        <f t="shared" si="14"/>
        <v>0</v>
      </c>
      <c r="O179" s="42">
        <f t="shared" si="15"/>
        <v>45171</v>
      </c>
      <c r="P179" s="5" t="str">
        <f t="shared" si="16"/>
        <v>Saturday</v>
      </c>
      <c r="Q179" s="5">
        <f t="shared" si="17"/>
        <v>8</v>
      </c>
      <c r="R179" s="28">
        <f t="shared" si="18"/>
        <v>0.9107142857142857</v>
      </c>
      <c r="S179" s="29">
        <f t="shared" si="19"/>
        <v>91.071428571428569</v>
      </c>
      <c r="T179" s="5" t="str">
        <f>IF(Delivery_Data3[[#This Row],[Delays (min)]]&gt;0,"No","Yes")</f>
        <v>No</v>
      </c>
      <c r="W179" s="41">
        <f t="shared" si="20"/>
        <v>45171</v>
      </c>
      <c r="X179" s="5">
        <v>204</v>
      </c>
    </row>
    <row r="180" spans="1:24" ht="15.75" customHeight="1" x14ac:dyDescent="0.3">
      <c r="A180" s="4">
        <v>1179</v>
      </c>
      <c r="B180" s="5" t="s">
        <v>302</v>
      </c>
      <c r="C180" s="6">
        <v>45176.379861111112</v>
      </c>
      <c r="D180" s="5" t="s">
        <v>14</v>
      </c>
      <c r="E180" s="5" t="s">
        <v>34</v>
      </c>
      <c r="F180" s="5" t="s">
        <v>16</v>
      </c>
      <c r="G180" s="5" t="s">
        <v>56</v>
      </c>
      <c r="H180" s="5">
        <v>109</v>
      </c>
      <c r="I180" s="5">
        <v>22</v>
      </c>
      <c r="J180" s="5" t="s">
        <v>26</v>
      </c>
      <c r="K180" s="5" t="s">
        <v>45</v>
      </c>
      <c r="L180" s="5" t="s">
        <v>40</v>
      </c>
      <c r="M180" s="7" t="s">
        <v>21</v>
      </c>
      <c r="N180" s="26">
        <f t="shared" si="14"/>
        <v>1</v>
      </c>
      <c r="O180" s="42">
        <f t="shared" si="15"/>
        <v>45176</v>
      </c>
      <c r="P180" s="5" t="str">
        <f t="shared" si="16"/>
        <v>Thursday</v>
      </c>
      <c r="Q180" s="5">
        <f t="shared" si="17"/>
        <v>9</v>
      </c>
      <c r="R180" s="28">
        <f t="shared" si="18"/>
        <v>0.83206106870229013</v>
      </c>
      <c r="S180" s="29">
        <f t="shared" si="19"/>
        <v>83.206106870229007</v>
      </c>
      <c r="T180" s="5" t="str">
        <f>IF(Delivery_Data3[[#This Row],[Delays (min)]]&gt;0,"No","Yes")</f>
        <v>No</v>
      </c>
      <c r="W180" s="41">
        <f t="shared" si="20"/>
        <v>45176</v>
      </c>
      <c r="X180" s="5">
        <v>109</v>
      </c>
    </row>
    <row r="181" spans="1:24" ht="15.75" customHeight="1" x14ac:dyDescent="0.3">
      <c r="A181" s="4">
        <v>1180</v>
      </c>
      <c r="B181" s="5" t="s">
        <v>303</v>
      </c>
      <c r="C181" s="6">
        <v>45172.587500000001</v>
      </c>
      <c r="D181" s="5" t="s">
        <v>43</v>
      </c>
      <c r="E181" s="5" t="s">
        <v>304</v>
      </c>
      <c r="F181" s="5" t="s">
        <v>16</v>
      </c>
      <c r="G181" s="5" t="s">
        <v>56</v>
      </c>
      <c r="H181" s="5">
        <v>82</v>
      </c>
      <c r="I181" s="5">
        <v>3</v>
      </c>
      <c r="J181" s="5" t="s">
        <v>32</v>
      </c>
      <c r="K181" s="5" t="s">
        <v>49</v>
      </c>
      <c r="L181" s="5" t="s">
        <v>28</v>
      </c>
      <c r="M181" s="7" t="s">
        <v>46</v>
      </c>
      <c r="N181" s="26">
        <f t="shared" si="14"/>
        <v>-1</v>
      </c>
      <c r="O181" s="42">
        <f t="shared" si="15"/>
        <v>45172</v>
      </c>
      <c r="P181" s="5" t="str">
        <f t="shared" si="16"/>
        <v>Sunday</v>
      </c>
      <c r="Q181" s="5">
        <f t="shared" si="17"/>
        <v>14</v>
      </c>
      <c r="R181" s="28">
        <f t="shared" si="18"/>
        <v>0.96470588235294119</v>
      </c>
      <c r="S181" s="29">
        <f t="shared" si="19"/>
        <v>96.470588235294116</v>
      </c>
      <c r="T181" s="5" t="str">
        <f>IF(Delivery_Data3[[#This Row],[Delays (min)]]&gt;0,"No","Yes")</f>
        <v>No</v>
      </c>
      <c r="W181" s="41">
        <f t="shared" si="20"/>
        <v>45172</v>
      </c>
      <c r="X181" s="5">
        <v>82</v>
      </c>
    </row>
    <row r="182" spans="1:24" ht="15.75" customHeight="1" x14ac:dyDescent="0.3">
      <c r="A182" s="4">
        <v>1181</v>
      </c>
      <c r="B182" s="5" t="s">
        <v>305</v>
      </c>
      <c r="C182" s="6">
        <v>45171.418055555558</v>
      </c>
      <c r="D182" s="5" t="s">
        <v>14</v>
      </c>
      <c r="E182" s="5" t="s">
        <v>306</v>
      </c>
      <c r="F182" s="5" t="s">
        <v>16</v>
      </c>
      <c r="G182" s="5" t="s">
        <v>31</v>
      </c>
      <c r="H182" s="5">
        <v>87</v>
      </c>
      <c r="I182" s="5">
        <v>23</v>
      </c>
      <c r="J182" s="5" t="s">
        <v>32</v>
      </c>
      <c r="K182" s="5" t="s">
        <v>27</v>
      </c>
      <c r="L182" s="5" t="s">
        <v>20</v>
      </c>
      <c r="M182" s="7" t="s">
        <v>21</v>
      </c>
      <c r="N182" s="26">
        <f t="shared" si="14"/>
        <v>-1</v>
      </c>
      <c r="O182" s="42">
        <f t="shared" si="15"/>
        <v>45171</v>
      </c>
      <c r="P182" s="5" t="str">
        <f t="shared" si="16"/>
        <v>Saturday</v>
      </c>
      <c r="Q182" s="5">
        <f t="shared" si="17"/>
        <v>10</v>
      </c>
      <c r="R182" s="28">
        <f t="shared" si="18"/>
        <v>0.79090909090909089</v>
      </c>
      <c r="S182" s="29">
        <f t="shared" si="19"/>
        <v>79.090909090909093</v>
      </c>
      <c r="T182" s="5" t="str">
        <f>IF(Delivery_Data3[[#This Row],[Delays (min)]]&gt;0,"No","Yes")</f>
        <v>No</v>
      </c>
      <c r="W182" s="41">
        <f t="shared" si="20"/>
        <v>45171</v>
      </c>
      <c r="X182" s="5">
        <v>87</v>
      </c>
    </row>
    <row r="183" spans="1:24" ht="15.75" customHeight="1" x14ac:dyDescent="0.3">
      <c r="A183" s="4">
        <v>1182</v>
      </c>
      <c r="B183" s="5" t="s">
        <v>307</v>
      </c>
      <c r="C183" s="6">
        <v>45172.352777777778</v>
      </c>
      <c r="D183" s="5" t="s">
        <v>43</v>
      </c>
      <c r="E183" s="5" t="s">
        <v>126</v>
      </c>
      <c r="F183" s="5" t="s">
        <v>16</v>
      </c>
      <c r="G183" s="5" t="s">
        <v>56</v>
      </c>
      <c r="H183" s="5">
        <v>186</v>
      </c>
      <c r="I183" s="5">
        <v>28</v>
      </c>
      <c r="J183" s="5" t="s">
        <v>32</v>
      </c>
      <c r="K183" s="5" t="s">
        <v>35</v>
      </c>
      <c r="L183" s="5" t="s">
        <v>40</v>
      </c>
      <c r="M183" s="7" t="s">
        <v>21</v>
      </c>
      <c r="N183" s="26">
        <f t="shared" si="14"/>
        <v>-1</v>
      </c>
      <c r="O183" s="42">
        <f t="shared" si="15"/>
        <v>45172</v>
      </c>
      <c r="P183" s="5" t="str">
        <f t="shared" si="16"/>
        <v>Sunday</v>
      </c>
      <c r="Q183" s="5">
        <f t="shared" si="17"/>
        <v>8</v>
      </c>
      <c r="R183" s="28">
        <f t="shared" si="18"/>
        <v>0.86915887850467288</v>
      </c>
      <c r="S183" s="29">
        <f t="shared" si="19"/>
        <v>86.915887850467286</v>
      </c>
      <c r="T183" s="5" t="str">
        <f>IF(Delivery_Data3[[#This Row],[Delays (min)]]&gt;0,"No","Yes")</f>
        <v>No</v>
      </c>
      <c r="W183" s="41">
        <f t="shared" si="20"/>
        <v>45172</v>
      </c>
      <c r="X183" s="5">
        <v>186</v>
      </c>
    </row>
    <row r="184" spans="1:24" ht="15.75" customHeight="1" x14ac:dyDescent="0.3">
      <c r="A184" s="4">
        <v>1183</v>
      </c>
      <c r="B184" s="5" t="s">
        <v>308</v>
      </c>
      <c r="C184" s="6">
        <v>45177.570833333331</v>
      </c>
      <c r="D184" s="5" t="s">
        <v>14</v>
      </c>
      <c r="E184" s="5" t="s">
        <v>211</v>
      </c>
      <c r="F184" s="5" t="s">
        <v>38</v>
      </c>
      <c r="G184" s="5" t="s">
        <v>31</v>
      </c>
      <c r="H184" s="5">
        <v>203</v>
      </c>
      <c r="I184" s="5">
        <v>3</v>
      </c>
      <c r="J184" s="5" t="s">
        <v>32</v>
      </c>
      <c r="K184" s="5" t="s">
        <v>35</v>
      </c>
      <c r="L184" s="5" t="s">
        <v>20</v>
      </c>
      <c r="M184" s="7" t="s">
        <v>41</v>
      </c>
      <c r="N184" s="26">
        <f t="shared" si="14"/>
        <v>-1</v>
      </c>
      <c r="O184" s="42">
        <f t="shared" si="15"/>
        <v>45177</v>
      </c>
      <c r="P184" s="5" t="str">
        <f t="shared" si="16"/>
        <v>Friday</v>
      </c>
      <c r="Q184" s="5">
        <f t="shared" si="17"/>
        <v>13</v>
      </c>
      <c r="R184" s="28">
        <f t="shared" si="18"/>
        <v>0.9854368932038835</v>
      </c>
      <c r="S184" s="29">
        <f t="shared" si="19"/>
        <v>98.543689320388353</v>
      </c>
      <c r="T184" s="5" t="str">
        <f>IF(Delivery_Data3[[#This Row],[Delays (min)]]&gt;0,"No","Yes")</f>
        <v>No</v>
      </c>
      <c r="W184" s="41">
        <f t="shared" si="20"/>
        <v>45177</v>
      </c>
      <c r="X184" s="5">
        <v>203</v>
      </c>
    </row>
    <row r="185" spans="1:24" ht="15.75" customHeight="1" x14ac:dyDescent="0.3">
      <c r="A185" s="4">
        <v>1184</v>
      </c>
      <c r="B185" s="5" t="s">
        <v>309</v>
      </c>
      <c r="C185" s="6">
        <v>45173.466666666667</v>
      </c>
      <c r="D185" s="5" t="s">
        <v>14</v>
      </c>
      <c r="E185" s="5" t="s">
        <v>109</v>
      </c>
      <c r="F185" s="5" t="s">
        <v>16</v>
      </c>
      <c r="G185" s="5" t="s">
        <v>56</v>
      </c>
      <c r="H185" s="5">
        <v>171</v>
      </c>
      <c r="I185" s="5">
        <v>4</v>
      </c>
      <c r="J185" s="5" t="s">
        <v>26</v>
      </c>
      <c r="K185" s="5" t="s">
        <v>45</v>
      </c>
      <c r="L185" s="5" t="s">
        <v>28</v>
      </c>
      <c r="M185" s="7" t="s">
        <v>41</v>
      </c>
      <c r="N185" s="26">
        <f t="shared" si="14"/>
        <v>1</v>
      </c>
      <c r="O185" s="42">
        <f t="shared" si="15"/>
        <v>45173</v>
      </c>
      <c r="P185" s="5" t="str">
        <f t="shared" si="16"/>
        <v>Monday</v>
      </c>
      <c r="Q185" s="5">
        <f t="shared" si="17"/>
        <v>11</v>
      </c>
      <c r="R185" s="28">
        <f t="shared" si="18"/>
        <v>0.97714285714285709</v>
      </c>
      <c r="S185" s="29">
        <f t="shared" si="19"/>
        <v>97.714285714285708</v>
      </c>
      <c r="T185" s="5" t="str">
        <f>IF(Delivery_Data3[[#This Row],[Delays (min)]]&gt;0,"No","Yes")</f>
        <v>No</v>
      </c>
      <c r="W185" s="41">
        <f t="shared" si="20"/>
        <v>45173</v>
      </c>
      <c r="X185" s="5">
        <v>171</v>
      </c>
    </row>
    <row r="186" spans="1:24" ht="15.75" customHeight="1" x14ac:dyDescent="0.3">
      <c r="A186" s="4">
        <v>1185</v>
      </c>
      <c r="B186" s="5" t="s">
        <v>310</v>
      </c>
      <c r="C186" s="6">
        <v>45173.345833333333</v>
      </c>
      <c r="D186" s="5" t="s">
        <v>43</v>
      </c>
      <c r="E186" s="5" t="s">
        <v>311</v>
      </c>
      <c r="F186" s="5" t="s">
        <v>24</v>
      </c>
      <c r="G186" s="5" t="s">
        <v>17</v>
      </c>
      <c r="H186" s="5">
        <v>110</v>
      </c>
      <c r="I186" s="5">
        <v>19</v>
      </c>
      <c r="J186" s="5" t="s">
        <v>18</v>
      </c>
      <c r="K186" s="5" t="s">
        <v>45</v>
      </c>
      <c r="L186" s="5" t="s">
        <v>40</v>
      </c>
      <c r="M186" s="7" t="s">
        <v>21</v>
      </c>
      <c r="N186" s="26">
        <f t="shared" si="14"/>
        <v>0</v>
      </c>
      <c r="O186" s="42">
        <f t="shared" si="15"/>
        <v>45173</v>
      </c>
      <c r="P186" s="5" t="str">
        <f t="shared" si="16"/>
        <v>Monday</v>
      </c>
      <c r="Q186" s="5">
        <f t="shared" si="17"/>
        <v>8</v>
      </c>
      <c r="R186" s="28">
        <f t="shared" si="18"/>
        <v>0.8527131782945736</v>
      </c>
      <c r="S186" s="29">
        <f t="shared" si="19"/>
        <v>85.271317829457359</v>
      </c>
      <c r="T186" s="5" t="str">
        <f>IF(Delivery_Data3[[#This Row],[Delays (min)]]&gt;0,"No","Yes")</f>
        <v>No</v>
      </c>
      <c r="W186" s="41">
        <f t="shared" si="20"/>
        <v>45173</v>
      </c>
      <c r="X186" s="5">
        <v>110</v>
      </c>
    </row>
    <row r="187" spans="1:24" ht="15.75" customHeight="1" x14ac:dyDescent="0.3">
      <c r="A187" s="4">
        <v>1186</v>
      </c>
      <c r="B187" s="5" t="s">
        <v>312</v>
      </c>
      <c r="C187" s="6">
        <v>45175.6</v>
      </c>
      <c r="D187" s="5" t="s">
        <v>14</v>
      </c>
      <c r="E187" s="5" t="s">
        <v>111</v>
      </c>
      <c r="F187" s="5" t="s">
        <v>38</v>
      </c>
      <c r="G187" s="5" t="s">
        <v>25</v>
      </c>
      <c r="H187" s="5">
        <v>196</v>
      </c>
      <c r="I187" s="5">
        <v>15</v>
      </c>
      <c r="J187" s="5" t="s">
        <v>18</v>
      </c>
      <c r="K187" s="5" t="s">
        <v>27</v>
      </c>
      <c r="L187" s="5" t="s">
        <v>28</v>
      </c>
      <c r="M187" s="7" t="s">
        <v>41</v>
      </c>
      <c r="N187" s="26">
        <f t="shared" si="14"/>
        <v>0</v>
      </c>
      <c r="O187" s="42">
        <f t="shared" si="15"/>
        <v>45175</v>
      </c>
      <c r="P187" s="5" t="str">
        <f t="shared" si="16"/>
        <v>Wednesday</v>
      </c>
      <c r="Q187" s="5">
        <f t="shared" si="17"/>
        <v>14</v>
      </c>
      <c r="R187" s="28">
        <f t="shared" si="18"/>
        <v>0.92890995260663511</v>
      </c>
      <c r="S187" s="29">
        <f t="shared" si="19"/>
        <v>92.890995260663516</v>
      </c>
      <c r="T187" s="5" t="str">
        <f>IF(Delivery_Data3[[#This Row],[Delays (min)]]&gt;0,"No","Yes")</f>
        <v>No</v>
      </c>
      <c r="W187" s="41">
        <f t="shared" si="20"/>
        <v>45175</v>
      </c>
      <c r="X187" s="5">
        <v>196</v>
      </c>
    </row>
    <row r="188" spans="1:24" ht="15.75" customHeight="1" x14ac:dyDescent="0.3">
      <c r="A188" s="4">
        <v>1187</v>
      </c>
      <c r="B188" s="5" t="s">
        <v>313</v>
      </c>
      <c r="C188" s="6">
        <v>45170.481944444444</v>
      </c>
      <c r="D188" s="5" t="s">
        <v>43</v>
      </c>
      <c r="E188" s="5" t="s">
        <v>109</v>
      </c>
      <c r="F188" s="5" t="s">
        <v>38</v>
      </c>
      <c r="G188" s="5" t="s">
        <v>56</v>
      </c>
      <c r="H188" s="5">
        <v>219</v>
      </c>
      <c r="I188" s="5">
        <v>25</v>
      </c>
      <c r="J188" s="5" t="s">
        <v>26</v>
      </c>
      <c r="K188" s="5" t="s">
        <v>27</v>
      </c>
      <c r="L188" s="5" t="s">
        <v>20</v>
      </c>
      <c r="M188" s="7" t="s">
        <v>46</v>
      </c>
      <c r="N188" s="26">
        <f t="shared" si="14"/>
        <v>1</v>
      </c>
      <c r="O188" s="42">
        <f t="shared" si="15"/>
        <v>45170</v>
      </c>
      <c r="P188" s="5" t="str">
        <f t="shared" si="16"/>
        <v>Friday</v>
      </c>
      <c r="Q188" s="5">
        <f t="shared" si="17"/>
        <v>11</v>
      </c>
      <c r="R188" s="28">
        <f t="shared" si="18"/>
        <v>0.89754098360655743</v>
      </c>
      <c r="S188" s="29">
        <f t="shared" si="19"/>
        <v>89.754098360655746</v>
      </c>
      <c r="T188" s="5" t="str">
        <f>IF(Delivery_Data3[[#This Row],[Delays (min)]]&gt;0,"No","Yes")</f>
        <v>No</v>
      </c>
      <c r="W188" s="41">
        <f t="shared" si="20"/>
        <v>45170</v>
      </c>
      <c r="X188" s="5">
        <v>219</v>
      </c>
    </row>
    <row r="189" spans="1:24" ht="15.75" customHeight="1" x14ac:dyDescent="0.3">
      <c r="A189" s="4">
        <v>1188</v>
      </c>
      <c r="B189" s="5" t="s">
        <v>314</v>
      </c>
      <c r="C189" s="6">
        <v>45174.436805555553</v>
      </c>
      <c r="D189" s="5" t="s">
        <v>43</v>
      </c>
      <c r="E189" s="5" t="s">
        <v>76</v>
      </c>
      <c r="F189" s="5" t="s">
        <v>24</v>
      </c>
      <c r="G189" s="5" t="s">
        <v>17</v>
      </c>
      <c r="H189" s="5">
        <v>70</v>
      </c>
      <c r="I189" s="5">
        <v>12</v>
      </c>
      <c r="J189" s="5" t="s">
        <v>18</v>
      </c>
      <c r="K189" s="5" t="s">
        <v>27</v>
      </c>
      <c r="L189" s="5" t="s">
        <v>20</v>
      </c>
      <c r="M189" s="7" t="s">
        <v>41</v>
      </c>
      <c r="N189" s="26">
        <f t="shared" si="14"/>
        <v>0</v>
      </c>
      <c r="O189" s="42">
        <f t="shared" si="15"/>
        <v>45174</v>
      </c>
      <c r="P189" s="5" t="str">
        <f t="shared" si="16"/>
        <v>Tuesday</v>
      </c>
      <c r="Q189" s="5">
        <f t="shared" si="17"/>
        <v>10</v>
      </c>
      <c r="R189" s="28">
        <f t="shared" si="18"/>
        <v>0.85365853658536583</v>
      </c>
      <c r="S189" s="29">
        <f t="shared" si="19"/>
        <v>85.365853658536579</v>
      </c>
      <c r="T189" s="5" t="str">
        <f>IF(Delivery_Data3[[#This Row],[Delays (min)]]&gt;0,"No","Yes")</f>
        <v>No</v>
      </c>
      <c r="W189" s="41">
        <f t="shared" si="20"/>
        <v>45174</v>
      </c>
      <c r="X189" s="5">
        <v>70</v>
      </c>
    </row>
    <row r="190" spans="1:24" ht="15.75" customHeight="1" x14ac:dyDescent="0.3">
      <c r="A190" s="4">
        <v>1189</v>
      </c>
      <c r="B190" s="5" t="s">
        <v>315</v>
      </c>
      <c r="C190" s="6">
        <v>45172.67083333333</v>
      </c>
      <c r="D190" s="5" t="s">
        <v>14</v>
      </c>
      <c r="E190" s="5" t="s">
        <v>51</v>
      </c>
      <c r="F190" s="5" t="s">
        <v>38</v>
      </c>
      <c r="G190" s="5" t="s">
        <v>25</v>
      </c>
      <c r="H190" s="5">
        <v>224</v>
      </c>
      <c r="I190" s="5">
        <v>23</v>
      </c>
      <c r="J190" s="5" t="s">
        <v>32</v>
      </c>
      <c r="K190" s="5" t="s">
        <v>45</v>
      </c>
      <c r="L190" s="5" t="s">
        <v>28</v>
      </c>
      <c r="M190" s="7" t="s">
        <v>46</v>
      </c>
      <c r="N190" s="26">
        <f t="shared" si="14"/>
        <v>-1</v>
      </c>
      <c r="O190" s="42">
        <f t="shared" si="15"/>
        <v>45172</v>
      </c>
      <c r="P190" s="5" t="str">
        <f t="shared" si="16"/>
        <v>Sunday</v>
      </c>
      <c r="Q190" s="5">
        <f t="shared" si="17"/>
        <v>16</v>
      </c>
      <c r="R190" s="28">
        <f t="shared" si="18"/>
        <v>0.90688259109311742</v>
      </c>
      <c r="S190" s="29">
        <f t="shared" si="19"/>
        <v>90.688259109311744</v>
      </c>
      <c r="T190" s="5" t="str">
        <f>IF(Delivery_Data3[[#This Row],[Delays (min)]]&gt;0,"No","Yes")</f>
        <v>No</v>
      </c>
      <c r="W190" s="41">
        <f t="shared" si="20"/>
        <v>45172</v>
      </c>
      <c r="X190" s="5">
        <v>224</v>
      </c>
    </row>
    <row r="191" spans="1:24" ht="15.75" customHeight="1" x14ac:dyDescent="0.3">
      <c r="A191" s="4">
        <v>1190</v>
      </c>
      <c r="B191" s="5" t="s">
        <v>316</v>
      </c>
      <c r="C191" s="6">
        <v>45171.507638888892</v>
      </c>
      <c r="D191" s="5" t="s">
        <v>43</v>
      </c>
      <c r="E191" s="5" t="s">
        <v>311</v>
      </c>
      <c r="F191" s="5" t="s">
        <v>24</v>
      </c>
      <c r="G191" s="5" t="s">
        <v>31</v>
      </c>
      <c r="H191" s="5">
        <v>95</v>
      </c>
      <c r="I191" s="5">
        <v>0</v>
      </c>
      <c r="J191" s="5" t="s">
        <v>32</v>
      </c>
      <c r="K191" s="5" t="s">
        <v>19</v>
      </c>
      <c r="L191" s="5" t="s">
        <v>40</v>
      </c>
      <c r="M191" s="7" t="s">
        <v>21</v>
      </c>
      <c r="N191" s="26">
        <f t="shared" si="14"/>
        <v>-1</v>
      </c>
      <c r="O191" s="42">
        <f t="shared" si="15"/>
        <v>45171</v>
      </c>
      <c r="P191" s="5" t="str">
        <f t="shared" si="16"/>
        <v>Saturday</v>
      </c>
      <c r="Q191" s="5">
        <f t="shared" si="17"/>
        <v>12</v>
      </c>
      <c r="R191" s="28">
        <f t="shared" si="18"/>
        <v>1</v>
      </c>
      <c r="S191" s="29">
        <f t="shared" si="19"/>
        <v>100</v>
      </c>
      <c r="T191" s="5" t="str">
        <f>IF(Delivery_Data3[[#This Row],[Delays (min)]]&gt;0,"No","Yes")</f>
        <v>Yes</v>
      </c>
      <c r="W191" s="41">
        <f t="shared" si="20"/>
        <v>45171</v>
      </c>
      <c r="X191" s="5">
        <v>95</v>
      </c>
    </row>
    <row r="192" spans="1:24" ht="15.75" customHeight="1" x14ac:dyDescent="0.3">
      <c r="A192" s="4">
        <v>1191</v>
      </c>
      <c r="B192" s="5" t="s">
        <v>317</v>
      </c>
      <c r="C192" s="6">
        <v>45170.387499999997</v>
      </c>
      <c r="D192" s="5" t="s">
        <v>14</v>
      </c>
      <c r="E192" s="5" t="s">
        <v>162</v>
      </c>
      <c r="F192" s="5" t="s">
        <v>24</v>
      </c>
      <c r="G192" s="5" t="s">
        <v>56</v>
      </c>
      <c r="H192" s="5">
        <v>147</v>
      </c>
      <c r="I192" s="5">
        <v>6</v>
      </c>
      <c r="J192" s="5" t="s">
        <v>18</v>
      </c>
      <c r="K192" s="5" t="s">
        <v>45</v>
      </c>
      <c r="L192" s="5" t="s">
        <v>20</v>
      </c>
      <c r="M192" s="7" t="s">
        <v>41</v>
      </c>
      <c r="N192" s="26">
        <f t="shared" si="14"/>
        <v>0</v>
      </c>
      <c r="O192" s="42">
        <f t="shared" si="15"/>
        <v>45170</v>
      </c>
      <c r="P192" s="5" t="str">
        <f t="shared" si="16"/>
        <v>Friday</v>
      </c>
      <c r="Q192" s="5">
        <f t="shared" si="17"/>
        <v>9</v>
      </c>
      <c r="R192" s="28">
        <f t="shared" si="18"/>
        <v>0.96078431372549022</v>
      </c>
      <c r="S192" s="29">
        <f t="shared" si="19"/>
        <v>96.078431372549019</v>
      </c>
      <c r="T192" s="5" t="str">
        <f>IF(Delivery_Data3[[#This Row],[Delays (min)]]&gt;0,"No","Yes")</f>
        <v>No</v>
      </c>
      <c r="W192" s="41">
        <f t="shared" si="20"/>
        <v>45170</v>
      </c>
      <c r="X192" s="5">
        <v>147</v>
      </c>
    </row>
    <row r="193" spans="1:24" ht="15.75" customHeight="1" x14ac:dyDescent="0.3">
      <c r="A193" s="4">
        <v>1192</v>
      </c>
      <c r="B193" s="5" t="s">
        <v>123</v>
      </c>
      <c r="C193" s="6">
        <v>45176.696527777778</v>
      </c>
      <c r="D193" s="5" t="s">
        <v>43</v>
      </c>
      <c r="E193" s="5" t="s">
        <v>70</v>
      </c>
      <c r="F193" s="5" t="s">
        <v>24</v>
      </c>
      <c r="G193" s="5" t="s">
        <v>39</v>
      </c>
      <c r="H193" s="5">
        <v>149</v>
      </c>
      <c r="I193" s="5">
        <v>22</v>
      </c>
      <c r="J193" s="5" t="s">
        <v>26</v>
      </c>
      <c r="K193" s="5" t="s">
        <v>49</v>
      </c>
      <c r="L193" s="5" t="s">
        <v>40</v>
      </c>
      <c r="M193" s="7" t="s">
        <v>21</v>
      </c>
      <c r="N193" s="26">
        <f t="shared" si="14"/>
        <v>1</v>
      </c>
      <c r="O193" s="42">
        <f t="shared" si="15"/>
        <v>45176</v>
      </c>
      <c r="P193" s="5" t="str">
        <f t="shared" si="16"/>
        <v>Thursday</v>
      </c>
      <c r="Q193" s="5">
        <f t="shared" si="17"/>
        <v>16</v>
      </c>
      <c r="R193" s="28">
        <f t="shared" si="18"/>
        <v>0.87134502923976609</v>
      </c>
      <c r="S193" s="29">
        <f t="shared" si="19"/>
        <v>87.134502923976612</v>
      </c>
      <c r="T193" s="5" t="str">
        <f>IF(Delivery_Data3[[#This Row],[Delays (min)]]&gt;0,"No","Yes")</f>
        <v>No</v>
      </c>
      <c r="W193" s="41">
        <f t="shared" si="20"/>
        <v>45176</v>
      </c>
      <c r="X193" s="5">
        <v>149</v>
      </c>
    </row>
    <row r="194" spans="1:24" ht="15.75" customHeight="1" x14ac:dyDescent="0.3">
      <c r="A194" s="4">
        <v>1193</v>
      </c>
      <c r="B194" s="5" t="s">
        <v>318</v>
      </c>
      <c r="C194" s="6">
        <v>45175.672222222223</v>
      </c>
      <c r="D194" s="5" t="s">
        <v>14</v>
      </c>
      <c r="E194" s="5" t="s">
        <v>204</v>
      </c>
      <c r="F194" s="5" t="s">
        <v>38</v>
      </c>
      <c r="G194" s="5" t="s">
        <v>25</v>
      </c>
      <c r="H194" s="5">
        <v>233</v>
      </c>
      <c r="I194" s="5">
        <v>5</v>
      </c>
      <c r="J194" s="5" t="s">
        <v>18</v>
      </c>
      <c r="K194" s="5" t="s">
        <v>27</v>
      </c>
      <c r="L194" s="5" t="s">
        <v>20</v>
      </c>
      <c r="M194" s="7" t="s">
        <v>41</v>
      </c>
      <c r="N194" s="26">
        <f t="shared" ref="N194:N257" si="21">IF(J194="Positive",1,IF(J194="Neutral",0,IF(J194="Negative",-1,"")))</f>
        <v>0</v>
      </c>
      <c r="O194" s="42">
        <f t="shared" ref="O194:O257" si="22">INT(C194)</f>
        <v>45175</v>
      </c>
      <c r="P194" s="5" t="str">
        <f t="shared" ref="P194:P257" si="23">TEXT(C194,"dddd")</f>
        <v>Wednesday</v>
      </c>
      <c r="Q194" s="5">
        <f t="shared" ref="Q194:Q257" si="24">HOUR(C194)</f>
        <v>16</v>
      </c>
      <c r="R194" s="28">
        <f t="shared" ref="R194:R257" si="25">H194/(H194+I194)</f>
        <v>0.97899159663865543</v>
      </c>
      <c r="S194" s="29">
        <f t="shared" si="19"/>
        <v>97.899159663865547</v>
      </c>
      <c r="T194" s="5" t="str">
        <f>IF(Delivery_Data3[[#This Row],[Delays (min)]]&gt;0,"No","Yes")</f>
        <v>No</v>
      </c>
      <c r="W194" s="41">
        <f t="shared" si="20"/>
        <v>45175</v>
      </c>
      <c r="X194" s="5">
        <v>233</v>
      </c>
    </row>
    <row r="195" spans="1:24" ht="15.75" customHeight="1" x14ac:dyDescent="0.3">
      <c r="A195" s="4">
        <v>1194</v>
      </c>
      <c r="B195" s="5" t="s">
        <v>319</v>
      </c>
      <c r="C195" s="6">
        <v>45175.35833333333</v>
      </c>
      <c r="D195" s="5" t="s">
        <v>14</v>
      </c>
      <c r="E195" s="5" t="s">
        <v>85</v>
      </c>
      <c r="F195" s="5" t="s">
        <v>38</v>
      </c>
      <c r="G195" s="5" t="s">
        <v>39</v>
      </c>
      <c r="H195" s="5">
        <v>234</v>
      </c>
      <c r="I195" s="5">
        <v>8</v>
      </c>
      <c r="J195" s="5" t="s">
        <v>26</v>
      </c>
      <c r="K195" s="5" t="s">
        <v>49</v>
      </c>
      <c r="L195" s="5" t="s">
        <v>28</v>
      </c>
      <c r="M195" s="7" t="s">
        <v>46</v>
      </c>
      <c r="N195" s="26">
        <f t="shared" si="21"/>
        <v>1</v>
      </c>
      <c r="O195" s="42">
        <f t="shared" si="22"/>
        <v>45175</v>
      </c>
      <c r="P195" s="5" t="str">
        <f t="shared" si="23"/>
        <v>Wednesday</v>
      </c>
      <c r="Q195" s="5">
        <f t="shared" si="24"/>
        <v>8</v>
      </c>
      <c r="R195" s="28">
        <f t="shared" si="25"/>
        <v>0.96694214876033058</v>
      </c>
      <c r="S195" s="29">
        <f t="shared" ref="S195:S258" si="26">IF(H195+I195=0,0,(H195/(H195+I195))*100) + (IFERROR(--J195,0)*10)</f>
        <v>96.694214876033058</v>
      </c>
      <c r="T195" s="5" t="str">
        <f>IF(Delivery_Data3[[#This Row],[Delays (min)]]&gt;0,"No","Yes")</f>
        <v>No</v>
      </c>
      <c r="W195" s="41">
        <f t="shared" ref="W195:W258" si="27">INT(C195)</f>
        <v>45175</v>
      </c>
      <c r="X195" s="5">
        <v>234</v>
      </c>
    </row>
    <row r="196" spans="1:24" ht="15.75" customHeight="1" x14ac:dyDescent="0.3">
      <c r="A196" s="4">
        <v>1195</v>
      </c>
      <c r="B196" s="5" t="s">
        <v>320</v>
      </c>
      <c r="C196" s="6">
        <v>45174.42291666667</v>
      </c>
      <c r="D196" s="5" t="s">
        <v>14</v>
      </c>
      <c r="E196" s="5" t="s">
        <v>245</v>
      </c>
      <c r="F196" s="5" t="s">
        <v>16</v>
      </c>
      <c r="G196" s="5" t="s">
        <v>17</v>
      </c>
      <c r="H196" s="5">
        <v>146</v>
      </c>
      <c r="I196" s="5">
        <v>12</v>
      </c>
      <c r="J196" s="5" t="s">
        <v>18</v>
      </c>
      <c r="K196" s="5" t="s">
        <v>27</v>
      </c>
      <c r="L196" s="5" t="s">
        <v>20</v>
      </c>
      <c r="M196" s="7" t="s">
        <v>46</v>
      </c>
      <c r="N196" s="26">
        <f t="shared" si="21"/>
        <v>0</v>
      </c>
      <c r="O196" s="42">
        <f t="shared" si="22"/>
        <v>45174</v>
      </c>
      <c r="P196" s="5" t="str">
        <f t="shared" si="23"/>
        <v>Tuesday</v>
      </c>
      <c r="Q196" s="5">
        <f t="shared" si="24"/>
        <v>10</v>
      </c>
      <c r="R196" s="28">
        <f t="shared" si="25"/>
        <v>0.92405063291139244</v>
      </c>
      <c r="S196" s="29">
        <f t="shared" si="26"/>
        <v>92.405063291139243</v>
      </c>
      <c r="T196" s="5" t="str">
        <f>IF(Delivery_Data3[[#This Row],[Delays (min)]]&gt;0,"No","Yes")</f>
        <v>No</v>
      </c>
      <c r="W196" s="41">
        <f t="shared" si="27"/>
        <v>45174</v>
      </c>
      <c r="X196" s="5">
        <v>146</v>
      </c>
    </row>
    <row r="197" spans="1:24" ht="15.75" customHeight="1" x14ac:dyDescent="0.3">
      <c r="A197" s="4">
        <v>1196</v>
      </c>
      <c r="B197" s="5" t="s">
        <v>321</v>
      </c>
      <c r="C197" s="6">
        <v>45170.588888888888</v>
      </c>
      <c r="D197" s="5" t="s">
        <v>43</v>
      </c>
      <c r="E197" s="5" t="s">
        <v>51</v>
      </c>
      <c r="F197" s="5" t="s">
        <v>16</v>
      </c>
      <c r="G197" s="5" t="s">
        <v>31</v>
      </c>
      <c r="H197" s="5">
        <v>76</v>
      </c>
      <c r="I197" s="5">
        <v>0</v>
      </c>
      <c r="J197" s="5" t="s">
        <v>32</v>
      </c>
      <c r="K197" s="5" t="s">
        <v>19</v>
      </c>
      <c r="L197" s="5" t="s">
        <v>28</v>
      </c>
      <c r="M197" s="7" t="s">
        <v>46</v>
      </c>
      <c r="N197" s="26">
        <f t="shared" si="21"/>
        <v>-1</v>
      </c>
      <c r="O197" s="42">
        <f t="shared" si="22"/>
        <v>45170</v>
      </c>
      <c r="P197" s="5" t="str">
        <f t="shared" si="23"/>
        <v>Friday</v>
      </c>
      <c r="Q197" s="5">
        <f t="shared" si="24"/>
        <v>14</v>
      </c>
      <c r="R197" s="28">
        <f t="shared" si="25"/>
        <v>1</v>
      </c>
      <c r="S197" s="29">
        <f t="shared" si="26"/>
        <v>100</v>
      </c>
      <c r="T197" s="5" t="str">
        <f>IF(Delivery_Data3[[#This Row],[Delays (min)]]&gt;0,"No","Yes")</f>
        <v>Yes</v>
      </c>
      <c r="W197" s="41">
        <f t="shared" si="27"/>
        <v>45170</v>
      </c>
      <c r="X197" s="5">
        <v>76</v>
      </c>
    </row>
    <row r="198" spans="1:24" ht="15.75" customHeight="1" x14ac:dyDescent="0.3">
      <c r="A198" s="4">
        <v>1197</v>
      </c>
      <c r="B198" s="5" t="s">
        <v>322</v>
      </c>
      <c r="C198" s="6">
        <v>45175.488888888889</v>
      </c>
      <c r="D198" s="5" t="s">
        <v>43</v>
      </c>
      <c r="E198" s="5" t="s">
        <v>267</v>
      </c>
      <c r="F198" s="5" t="s">
        <v>16</v>
      </c>
      <c r="G198" s="5" t="s">
        <v>25</v>
      </c>
      <c r="H198" s="5">
        <v>124</v>
      </c>
      <c r="I198" s="5">
        <v>13</v>
      </c>
      <c r="J198" s="5" t="s">
        <v>18</v>
      </c>
      <c r="K198" s="5" t="s">
        <v>27</v>
      </c>
      <c r="L198" s="5" t="s">
        <v>20</v>
      </c>
      <c r="M198" s="7" t="s">
        <v>21</v>
      </c>
      <c r="N198" s="26">
        <f t="shared" si="21"/>
        <v>0</v>
      </c>
      <c r="O198" s="42">
        <f t="shared" si="22"/>
        <v>45175</v>
      </c>
      <c r="P198" s="5" t="str">
        <f t="shared" si="23"/>
        <v>Wednesday</v>
      </c>
      <c r="Q198" s="5">
        <f t="shared" si="24"/>
        <v>11</v>
      </c>
      <c r="R198" s="28">
        <f t="shared" si="25"/>
        <v>0.9051094890510949</v>
      </c>
      <c r="S198" s="29">
        <f t="shared" si="26"/>
        <v>90.510948905109487</v>
      </c>
      <c r="T198" s="5" t="str">
        <f>IF(Delivery_Data3[[#This Row],[Delays (min)]]&gt;0,"No","Yes")</f>
        <v>No</v>
      </c>
      <c r="W198" s="41">
        <f t="shared" si="27"/>
        <v>45175</v>
      </c>
      <c r="X198" s="5">
        <v>124</v>
      </c>
    </row>
    <row r="199" spans="1:24" ht="15.75" customHeight="1" x14ac:dyDescent="0.3">
      <c r="A199" s="4">
        <v>1198</v>
      </c>
      <c r="B199" s="5" t="s">
        <v>323</v>
      </c>
      <c r="C199" s="6">
        <v>45176.573611111111</v>
      </c>
      <c r="D199" s="5" t="s">
        <v>43</v>
      </c>
      <c r="E199" s="5" t="s">
        <v>281</v>
      </c>
      <c r="F199" s="5" t="s">
        <v>16</v>
      </c>
      <c r="G199" s="5" t="s">
        <v>56</v>
      </c>
      <c r="H199" s="5">
        <v>72</v>
      </c>
      <c r="I199" s="5">
        <v>25</v>
      </c>
      <c r="J199" s="5" t="s">
        <v>32</v>
      </c>
      <c r="K199" s="5" t="s">
        <v>35</v>
      </c>
      <c r="L199" s="5" t="s">
        <v>28</v>
      </c>
      <c r="M199" s="7" t="s">
        <v>41</v>
      </c>
      <c r="N199" s="26">
        <f t="shared" si="21"/>
        <v>-1</v>
      </c>
      <c r="O199" s="42">
        <f t="shared" si="22"/>
        <v>45176</v>
      </c>
      <c r="P199" s="5" t="str">
        <f t="shared" si="23"/>
        <v>Thursday</v>
      </c>
      <c r="Q199" s="5">
        <f t="shared" si="24"/>
        <v>13</v>
      </c>
      <c r="R199" s="28">
        <f t="shared" si="25"/>
        <v>0.74226804123711343</v>
      </c>
      <c r="S199" s="29">
        <f t="shared" si="26"/>
        <v>74.226804123711347</v>
      </c>
      <c r="T199" s="5" t="str">
        <f>IF(Delivery_Data3[[#This Row],[Delays (min)]]&gt;0,"No","Yes")</f>
        <v>No</v>
      </c>
      <c r="W199" s="41">
        <f t="shared" si="27"/>
        <v>45176</v>
      </c>
      <c r="X199" s="5">
        <v>72</v>
      </c>
    </row>
    <row r="200" spans="1:24" ht="15.75" customHeight="1" x14ac:dyDescent="0.3">
      <c r="A200" s="4">
        <v>1199</v>
      </c>
      <c r="B200" s="5" t="s">
        <v>324</v>
      </c>
      <c r="C200" s="6">
        <v>45170.410416666666</v>
      </c>
      <c r="D200" s="5" t="s">
        <v>43</v>
      </c>
      <c r="E200" s="5" t="s">
        <v>93</v>
      </c>
      <c r="F200" s="5" t="s">
        <v>16</v>
      </c>
      <c r="G200" s="5" t="s">
        <v>31</v>
      </c>
      <c r="H200" s="5">
        <v>215</v>
      </c>
      <c r="I200" s="5">
        <v>4</v>
      </c>
      <c r="J200" s="5" t="s">
        <v>26</v>
      </c>
      <c r="K200" s="5" t="s">
        <v>45</v>
      </c>
      <c r="L200" s="5" t="s">
        <v>40</v>
      </c>
      <c r="M200" s="7" t="s">
        <v>46</v>
      </c>
      <c r="N200" s="26">
        <f t="shared" si="21"/>
        <v>1</v>
      </c>
      <c r="O200" s="42">
        <f t="shared" si="22"/>
        <v>45170</v>
      </c>
      <c r="P200" s="5" t="str">
        <f t="shared" si="23"/>
        <v>Friday</v>
      </c>
      <c r="Q200" s="5">
        <f t="shared" si="24"/>
        <v>9</v>
      </c>
      <c r="R200" s="28">
        <f t="shared" si="25"/>
        <v>0.9817351598173516</v>
      </c>
      <c r="S200" s="29">
        <f t="shared" si="26"/>
        <v>98.173515981735164</v>
      </c>
      <c r="T200" s="5" t="str">
        <f>IF(Delivery_Data3[[#This Row],[Delays (min)]]&gt;0,"No","Yes")</f>
        <v>No</v>
      </c>
      <c r="W200" s="41">
        <f t="shared" si="27"/>
        <v>45170</v>
      </c>
      <c r="X200" s="5">
        <v>215</v>
      </c>
    </row>
    <row r="201" spans="1:24" ht="15.75" customHeight="1" x14ac:dyDescent="0.3">
      <c r="A201" s="4">
        <v>1200</v>
      </c>
      <c r="B201" s="5" t="s">
        <v>325</v>
      </c>
      <c r="C201" s="6">
        <v>45175.489583333336</v>
      </c>
      <c r="D201" s="5" t="s">
        <v>14</v>
      </c>
      <c r="E201" s="5" t="s">
        <v>126</v>
      </c>
      <c r="F201" s="5" t="s">
        <v>16</v>
      </c>
      <c r="G201" s="5" t="s">
        <v>31</v>
      </c>
      <c r="H201" s="5">
        <v>85</v>
      </c>
      <c r="I201" s="5">
        <v>14</v>
      </c>
      <c r="J201" s="5" t="s">
        <v>26</v>
      </c>
      <c r="K201" s="5" t="s">
        <v>35</v>
      </c>
      <c r="L201" s="5" t="s">
        <v>20</v>
      </c>
      <c r="M201" s="7" t="s">
        <v>21</v>
      </c>
      <c r="N201" s="26">
        <f t="shared" si="21"/>
        <v>1</v>
      </c>
      <c r="O201" s="42">
        <f t="shared" si="22"/>
        <v>45175</v>
      </c>
      <c r="P201" s="5" t="str">
        <f t="shared" si="23"/>
        <v>Wednesday</v>
      </c>
      <c r="Q201" s="5">
        <f t="shared" si="24"/>
        <v>11</v>
      </c>
      <c r="R201" s="28">
        <f t="shared" si="25"/>
        <v>0.85858585858585856</v>
      </c>
      <c r="S201" s="29">
        <f t="shared" si="26"/>
        <v>85.858585858585855</v>
      </c>
      <c r="T201" s="5" t="str">
        <f>IF(Delivery_Data3[[#This Row],[Delays (min)]]&gt;0,"No","Yes")</f>
        <v>No</v>
      </c>
      <c r="W201" s="41">
        <f t="shared" si="27"/>
        <v>45175</v>
      </c>
      <c r="X201" s="5">
        <v>85</v>
      </c>
    </row>
    <row r="202" spans="1:24" ht="15.75" customHeight="1" x14ac:dyDescent="0.3">
      <c r="A202" s="4">
        <v>1201</v>
      </c>
      <c r="B202" s="5" t="s">
        <v>326</v>
      </c>
      <c r="C202" s="6">
        <v>45177.450694444444</v>
      </c>
      <c r="D202" s="5" t="s">
        <v>43</v>
      </c>
      <c r="E202" s="5" t="s">
        <v>58</v>
      </c>
      <c r="F202" s="5" t="s">
        <v>16</v>
      </c>
      <c r="G202" s="5" t="s">
        <v>31</v>
      </c>
      <c r="H202" s="5">
        <v>67</v>
      </c>
      <c r="I202" s="5">
        <v>16</v>
      </c>
      <c r="J202" s="5" t="s">
        <v>32</v>
      </c>
      <c r="K202" s="5" t="s">
        <v>35</v>
      </c>
      <c r="L202" s="5" t="s">
        <v>40</v>
      </c>
      <c r="M202" s="7" t="s">
        <v>46</v>
      </c>
      <c r="N202" s="26">
        <f t="shared" si="21"/>
        <v>-1</v>
      </c>
      <c r="O202" s="42">
        <f t="shared" si="22"/>
        <v>45177</v>
      </c>
      <c r="P202" s="5" t="str">
        <f t="shared" si="23"/>
        <v>Friday</v>
      </c>
      <c r="Q202" s="5">
        <f t="shared" si="24"/>
        <v>10</v>
      </c>
      <c r="R202" s="28">
        <f t="shared" si="25"/>
        <v>0.80722891566265065</v>
      </c>
      <c r="S202" s="29">
        <f t="shared" si="26"/>
        <v>80.722891566265062</v>
      </c>
      <c r="T202" s="5" t="str">
        <f>IF(Delivery_Data3[[#This Row],[Delays (min)]]&gt;0,"No","Yes")</f>
        <v>No</v>
      </c>
      <c r="W202" s="41">
        <f t="shared" si="27"/>
        <v>45177</v>
      </c>
      <c r="X202" s="5">
        <v>67</v>
      </c>
    </row>
    <row r="203" spans="1:24" ht="15.75" customHeight="1" x14ac:dyDescent="0.3">
      <c r="A203" s="4">
        <v>1202</v>
      </c>
      <c r="B203" s="5" t="s">
        <v>327</v>
      </c>
      <c r="C203" s="6">
        <v>45171.367361111108</v>
      </c>
      <c r="D203" s="5" t="s">
        <v>43</v>
      </c>
      <c r="E203" s="5" t="s">
        <v>151</v>
      </c>
      <c r="F203" s="5" t="s">
        <v>16</v>
      </c>
      <c r="G203" s="5" t="s">
        <v>31</v>
      </c>
      <c r="H203" s="5">
        <v>63</v>
      </c>
      <c r="I203" s="5">
        <v>0</v>
      </c>
      <c r="J203" s="5" t="s">
        <v>26</v>
      </c>
      <c r="K203" s="5" t="s">
        <v>45</v>
      </c>
      <c r="L203" s="5" t="s">
        <v>20</v>
      </c>
      <c r="M203" s="7" t="s">
        <v>46</v>
      </c>
      <c r="N203" s="26">
        <f t="shared" si="21"/>
        <v>1</v>
      </c>
      <c r="O203" s="42">
        <f t="shared" si="22"/>
        <v>45171</v>
      </c>
      <c r="P203" s="5" t="str">
        <f t="shared" si="23"/>
        <v>Saturday</v>
      </c>
      <c r="Q203" s="5">
        <f t="shared" si="24"/>
        <v>8</v>
      </c>
      <c r="R203" s="28">
        <f t="shared" si="25"/>
        <v>1</v>
      </c>
      <c r="S203" s="29">
        <f t="shared" si="26"/>
        <v>100</v>
      </c>
      <c r="T203" s="5" t="str">
        <f>IF(Delivery_Data3[[#This Row],[Delays (min)]]&gt;0,"No","Yes")</f>
        <v>Yes</v>
      </c>
      <c r="W203" s="41">
        <f t="shared" si="27"/>
        <v>45171</v>
      </c>
      <c r="X203" s="5">
        <v>63</v>
      </c>
    </row>
    <row r="204" spans="1:24" ht="15.75" customHeight="1" x14ac:dyDescent="0.3">
      <c r="A204" s="4">
        <v>1203</v>
      </c>
      <c r="B204" s="5" t="s">
        <v>328</v>
      </c>
      <c r="C204" s="6">
        <v>45171.478472222225</v>
      </c>
      <c r="D204" s="5" t="s">
        <v>14</v>
      </c>
      <c r="E204" s="5" t="s">
        <v>200</v>
      </c>
      <c r="F204" s="5" t="s">
        <v>16</v>
      </c>
      <c r="G204" s="5" t="s">
        <v>39</v>
      </c>
      <c r="H204" s="5">
        <v>77</v>
      </c>
      <c r="I204" s="5">
        <v>1</v>
      </c>
      <c r="J204" s="5" t="s">
        <v>18</v>
      </c>
      <c r="K204" s="5" t="s">
        <v>45</v>
      </c>
      <c r="L204" s="5" t="s">
        <v>28</v>
      </c>
      <c r="M204" s="7" t="s">
        <v>46</v>
      </c>
      <c r="N204" s="26">
        <f t="shared" si="21"/>
        <v>0</v>
      </c>
      <c r="O204" s="42">
        <f t="shared" si="22"/>
        <v>45171</v>
      </c>
      <c r="P204" s="5" t="str">
        <f t="shared" si="23"/>
        <v>Saturday</v>
      </c>
      <c r="Q204" s="5">
        <f t="shared" si="24"/>
        <v>11</v>
      </c>
      <c r="R204" s="28">
        <f t="shared" si="25"/>
        <v>0.98717948717948723</v>
      </c>
      <c r="S204" s="29">
        <f t="shared" si="26"/>
        <v>98.71794871794873</v>
      </c>
      <c r="T204" s="5" t="str">
        <f>IF(Delivery_Data3[[#This Row],[Delays (min)]]&gt;0,"No","Yes")</f>
        <v>No</v>
      </c>
      <c r="W204" s="41">
        <f t="shared" si="27"/>
        <v>45171</v>
      </c>
      <c r="X204" s="5">
        <v>77</v>
      </c>
    </row>
    <row r="205" spans="1:24" ht="15.75" customHeight="1" x14ac:dyDescent="0.3">
      <c r="A205" s="4">
        <v>1204</v>
      </c>
      <c r="B205" s="5" t="s">
        <v>329</v>
      </c>
      <c r="C205" s="6">
        <v>45173.428472222222</v>
      </c>
      <c r="D205" s="5" t="s">
        <v>14</v>
      </c>
      <c r="E205" s="5" t="s">
        <v>202</v>
      </c>
      <c r="F205" s="5" t="s">
        <v>24</v>
      </c>
      <c r="G205" s="5" t="s">
        <v>56</v>
      </c>
      <c r="H205" s="5">
        <v>101</v>
      </c>
      <c r="I205" s="5">
        <v>24</v>
      </c>
      <c r="J205" s="5" t="s">
        <v>26</v>
      </c>
      <c r="K205" s="5" t="s">
        <v>49</v>
      </c>
      <c r="L205" s="5" t="s">
        <v>20</v>
      </c>
      <c r="M205" s="7" t="s">
        <v>41</v>
      </c>
      <c r="N205" s="26">
        <f t="shared" si="21"/>
        <v>1</v>
      </c>
      <c r="O205" s="42">
        <f t="shared" si="22"/>
        <v>45173</v>
      </c>
      <c r="P205" s="5" t="str">
        <f t="shared" si="23"/>
        <v>Monday</v>
      </c>
      <c r="Q205" s="5">
        <f t="shared" si="24"/>
        <v>10</v>
      </c>
      <c r="R205" s="28">
        <f t="shared" si="25"/>
        <v>0.80800000000000005</v>
      </c>
      <c r="S205" s="29">
        <f t="shared" si="26"/>
        <v>80.800000000000011</v>
      </c>
      <c r="T205" s="5" t="str">
        <f>IF(Delivery_Data3[[#This Row],[Delays (min)]]&gt;0,"No","Yes")</f>
        <v>No</v>
      </c>
      <c r="W205" s="41">
        <f t="shared" si="27"/>
        <v>45173</v>
      </c>
      <c r="X205" s="5">
        <v>101</v>
      </c>
    </row>
    <row r="206" spans="1:24" ht="15.75" customHeight="1" x14ac:dyDescent="0.3">
      <c r="A206" s="4">
        <v>1205</v>
      </c>
      <c r="B206" s="5" t="s">
        <v>330</v>
      </c>
      <c r="C206" s="6">
        <v>45175.624305555553</v>
      </c>
      <c r="D206" s="5" t="s">
        <v>14</v>
      </c>
      <c r="E206" s="5" t="s">
        <v>76</v>
      </c>
      <c r="F206" s="5" t="s">
        <v>24</v>
      </c>
      <c r="G206" s="5" t="s">
        <v>31</v>
      </c>
      <c r="H206" s="5">
        <v>171</v>
      </c>
      <c r="I206" s="5">
        <v>12</v>
      </c>
      <c r="J206" s="5" t="s">
        <v>32</v>
      </c>
      <c r="K206" s="5" t="s">
        <v>27</v>
      </c>
      <c r="L206" s="5" t="s">
        <v>40</v>
      </c>
      <c r="M206" s="7" t="s">
        <v>41</v>
      </c>
      <c r="N206" s="26">
        <f t="shared" si="21"/>
        <v>-1</v>
      </c>
      <c r="O206" s="42">
        <f t="shared" si="22"/>
        <v>45175</v>
      </c>
      <c r="P206" s="5" t="str">
        <f t="shared" si="23"/>
        <v>Wednesday</v>
      </c>
      <c r="Q206" s="5">
        <f t="shared" si="24"/>
        <v>14</v>
      </c>
      <c r="R206" s="28">
        <f t="shared" si="25"/>
        <v>0.93442622950819676</v>
      </c>
      <c r="S206" s="29">
        <f t="shared" si="26"/>
        <v>93.442622950819683</v>
      </c>
      <c r="T206" s="5" t="str">
        <f>IF(Delivery_Data3[[#This Row],[Delays (min)]]&gt;0,"No","Yes")</f>
        <v>No</v>
      </c>
      <c r="W206" s="41">
        <f t="shared" si="27"/>
        <v>45175</v>
      </c>
      <c r="X206" s="5">
        <v>171</v>
      </c>
    </row>
    <row r="207" spans="1:24" ht="15.75" customHeight="1" x14ac:dyDescent="0.3">
      <c r="A207" s="4">
        <v>1206</v>
      </c>
      <c r="B207" s="5" t="s">
        <v>331</v>
      </c>
      <c r="C207" s="6">
        <v>45175.680555555555</v>
      </c>
      <c r="D207" s="5" t="s">
        <v>43</v>
      </c>
      <c r="E207" s="5" t="s">
        <v>169</v>
      </c>
      <c r="F207" s="5" t="s">
        <v>38</v>
      </c>
      <c r="G207" s="5" t="s">
        <v>56</v>
      </c>
      <c r="H207" s="5">
        <v>161</v>
      </c>
      <c r="I207" s="5">
        <v>14</v>
      </c>
      <c r="J207" s="5" t="s">
        <v>32</v>
      </c>
      <c r="K207" s="5" t="s">
        <v>19</v>
      </c>
      <c r="L207" s="5" t="s">
        <v>40</v>
      </c>
      <c r="M207" s="7" t="s">
        <v>41</v>
      </c>
      <c r="N207" s="26">
        <f t="shared" si="21"/>
        <v>-1</v>
      </c>
      <c r="O207" s="42">
        <f t="shared" si="22"/>
        <v>45175</v>
      </c>
      <c r="P207" s="5" t="str">
        <f t="shared" si="23"/>
        <v>Wednesday</v>
      </c>
      <c r="Q207" s="5">
        <f t="shared" si="24"/>
        <v>16</v>
      </c>
      <c r="R207" s="28">
        <f t="shared" si="25"/>
        <v>0.92</v>
      </c>
      <c r="S207" s="29">
        <f t="shared" si="26"/>
        <v>92</v>
      </c>
      <c r="T207" s="5" t="str">
        <f>IF(Delivery_Data3[[#This Row],[Delays (min)]]&gt;0,"No","Yes")</f>
        <v>No</v>
      </c>
      <c r="W207" s="41">
        <f t="shared" si="27"/>
        <v>45175</v>
      </c>
      <c r="X207" s="5">
        <v>161</v>
      </c>
    </row>
    <row r="208" spans="1:24" ht="15.75" customHeight="1" x14ac:dyDescent="0.3">
      <c r="A208" s="4">
        <v>1207</v>
      </c>
      <c r="B208" s="5" t="s">
        <v>332</v>
      </c>
      <c r="C208" s="6">
        <v>45172.59652777778</v>
      </c>
      <c r="D208" s="5" t="s">
        <v>14</v>
      </c>
      <c r="E208" s="5" t="s">
        <v>333</v>
      </c>
      <c r="F208" s="5" t="s">
        <v>38</v>
      </c>
      <c r="G208" s="5" t="s">
        <v>17</v>
      </c>
      <c r="H208" s="5">
        <v>107</v>
      </c>
      <c r="I208" s="5">
        <v>11</v>
      </c>
      <c r="J208" s="5" t="s">
        <v>32</v>
      </c>
      <c r="K208" s="5" t="s">
        <v>45</v>
      </c>
      <c r="L208" s="5" t="s">
        <v>28</v>
      </c>
      <c r="M208" s="7" t="s">
        <v>41</v>
      </c>
      <c r="N208" s="26">
        <f t="shared" si="21"/>
        <v>-1</v>
      </c>
      <c r="O208" s="42">
        <f t="shared" si="22"/>
        <v>45172</v>
      </c>
      <c r="P208" s="5" t="str">
        <f t="shared" si="23"/>
        <v>Sunday</v>
      </c>
      <c r="Q208" s="5">
        <f t="shared" si="24"/>
        <v>14</v>
      </c>
      <c r="R208" s="28">
        <f t="shared" si="25"/>
        <v>0.90677966101694918</v>
      </c>
      <c r="S208" s="29">
        <f t="shared" si="26"/>
        <v>90.677966101694921</v>
      </c>
      <c r="T208" s="5" t="str">
        <f>IF(Delivery_Data3[[#This Row],[Delays (min)]]&gt;0,"No","Yes")</f>
        <v>No</v>
      </c>
      <c r="W208" s="41">
        <f t="shared" si="27"/>
        <v>45172</v>
      </c>
      <c r="X208" s="5">
        <v>107</v>
      </c>
    </row>
    <row r="209" spans="1:24" ht="15.75" customHeight="1" x14ac:dyDescent="0.3">
      <c r="A209" s="4">
        <v>1208</v>
      </c>
      <c r="B209" s="5" t="s">
        <v>334</v>
      </c>
      <c r="C209" s="6">
        <v>45170.495833333334</v>
      </c>
      <c r="D209" s="5" t="s">
        <v>14</v>
      </c>
      <c r="E209" s="5" t="s">
        <v>78</v>
      </c>
      <c r="F209" s="5" t="s">
        <v>16</v>
      </c>
      <c r="G209" s="5" t="s">
        <v>39</v>
      </c>
      <c r="H209" s="5">
        <v>135</v>
      </c>
      <c r="I209" s="5">
        <v>21</v>
      </c>
      <c r="J209" s="5" t="s">
        <v>18</v>
      </c>
      <c r="K209" s="5" t="s">
        <v>19</v>
      </c>
      <c r="L209" s="5" t="s">
        <v>28</v>
      </c>
      <c r="M209" s="7" t="s">
        <v>46</v>
      </c>
      <c r="N209" s="26">
        <f t="shared" si="21"/>
        <v>0</v>
      </c>
      <c r="O209" s="42">
        <f t="shared" si="22"/>
        <v>45170</v>
      </c>
      <c r="P209" s="5" t="str">
        <f t="shared" si="23"/>
        <v>Friday</v>
      </c>
      <c r="Q209" s="5">
        <f t="shared" si="24"/>
        <v>11</v>
      </c>
      <c r="R209" s="28">
        <f t="shared" si="25"/>
        <v>0.86538461538461542</v>
      </c>
      <c r="S209" s="29">
        <f t="shared" si="26"/>
        <v>86.538461538461547</v>
      </c>
      <c r="T209" s="5" t="str">
        <f>IF(Delivery_Data3[[#This Row],[Delays (min)]]&gt;0,"No","Yes")</f>
        <v>No</v>
      </c>
      <c r="W209" s="41">
        <f t="shared" si="27"/>
        <v>45170</v>
      </c>
      <c r="X209" s="5">
        <v>135</v>
      </c>
    </row>
    <row r="210" spans="1:24" ht="15.75" customHeight="1" x14ac:dyDescent="0.3">
      <c r="A210" s="4">
        <v>1209</v>
      </c>
      <c r="B210" s="5" t="s">
        <v>335</v>
      </c>
      <c r="C210" s="6">
        <v>45172.50277777778</v>
      </c>
      <c r="D210" s="5" t="s">
        <v>43</v>
      </c>
      <c r="E210" s="5" t="s">
        <v>182</v>
      </c>
      <c r="F210" s="5" t="s">
        <v>16</v>
      </c>
      <c r="G210" s="5" t="s">
        <v>39</v>
      </c>
      <c r="H210" s="5">
        <v>224</v>
      </c>
      <c r="I210" s="5">
        <v>9</v>
      </c>
      <c r="J210" s="5" t="s">
        <v>18</v>
      </c>
      <c r="K210" s="5" t="s">
        <v>19</v>
      </c>
      <c r="L210" s="5" t="s">
        <v>20</v>
      </c>
      <c r="M210" s="7" t="s">
        <v>21</v>
      </c>
      <c r="N210" s="26">
        <f t="shared" si="21"/>
        <v>0</v>
      </c>
      <c r="O210" s="42">
        <f t="shared" si="22"/>
        <v>45172</v>
      </c>
      <c r="P210" s="5" t="str">
        <f t="shared" si="23"/>
        <v>Sunday</v>
      </c>
      <c r="Q210" s="5">
        <f t="shared" si="24"/>
        <v>12</v>
      </c>
      <c r="R210" s="28">
        <f t="shared" si="25"/>
        <v>0.96137339055793991</v>
      </c>
      <c r="S210" s="29">
        <f t="shared" si="26"/>
        <v>96.137339055793987</v>
      </c>
      <c r="T210" s="5" t="str">
        <f>IF(Delivery_Data3[[#This Row],[Delays (min)]]&gt;0,"No","Yes")</f>
        <v>No</v>
      </c>
      <c r="W210" s="41">
        <f t="shared" si="27"/>
        <v>45172</v>
      </c>
      <c r="X210" s="5">
        <v>224</v>
      </c>
    </row>
    <row r="211" spans="1:24" ht="15.75" customHeight="1" x14ac:dyDescent="0.3">
      <c r="A211" s="4">
        <v>1210</v>
      </c>
      <c r="B211" s="5" t="s">
        <v>336</v>
      </c>
      <c r="C211" s="6">
        <v>45177.339583333334</v>
      </c>
      <c r="D211" s="5" t="s">
        <v>43</v>
      </c>
      <c r="E211" s="5" t="s">
        <v>177</v>
      </c>
      <c r="F211" s="5" t="s">
        <v>24</v>
      </c>
      <c r="G211" s="5" t="s">
        <v>56</v>
      </c>
      <c r="H211" s="5">
        <v>212</v>
      </c>
      <c r="I211" s="5">
        <v>23</v>
      </c>
      <c r="J211" s="5" t="s">
        <v>26</v>
      </c>
      <c r="K211" s="5" t="s">
        <v>35</v>
      </c>
      <c r="L211" s="5" t="s">
        <v>28</v>
      </c>
      <c r="M211" s="7" t="s">
        <v>21</v>
      </c>
      <c r="N211" s="26">
        <f t="shared" si="21"/>
        <v>1</v>
      </c>
      <c r="O211" s="42">
        <f t="shared" si="22"/>
        <v>45177</v>
      </c>
      <c r="P211" s="5" t="str">
        <f t="shared" si="23"/>
        <v>Friday</v>
      </c>
      <c r="Q211" s="5">
        <f t="shared" si="24"/>
        <v>8</v>
      </c>
      <c r="R211" s="28">
        <f t="shared" si="25"/>
        <v>0.90212765957446805</v>
      </c>
      <c r="S211" s="29">
        <f t="shared" si="26"/>
        <v>90.212765957446805</v>
      </c>
      <c r="T211" s="5" t="str">
        <f>IF(Delivery_Data3[[#This Row],[Delays (min)]]&gt;0,"No","Yes")</f>
        <v>No</v>
      </c>
      <c r="W211" s="41">
        <f t="shared" si="27"/>
        <v>45177</v>
      </c>
      <c r="X211" s="5">
        <v>212</v>
      </c>
    </row>
    <row r="212" spans="1:24" ht="15.75" customHeight="1" x14ac:dyDescent="0.3">
      <c r="A212" s="4">
        <v>1211</v>
      </c>
      <c r="B212" s="5" t="s">
        <v>337</v>
      </c>
      <c r="C212" s="6">
        <v>45171.352083333331</v>
      </c>
      <c r="D212" s="5" t="s">
        <v>43</v>
      </c>
      <c r="E212" s="5" t="s">
        <v>182</v>
      </c>
      <c r="F212" s="5" t="s">
        <v>16</v>
      </c>
      <c r="G212" s="5" t="s">
        <v>17</v>
      </c>
      <c r="H212" s="5">
        <v>212</v>
      </c>
      <c r="I212" s="5">
        <v>17</v>
      </c>
      <c r="J212" s="5" t="s">
        <v>32</v>
      </c>
      <c r="K212" s="5" t="s">
        <v>27</v>
      </c>
      <c r="L212" s="5" t="s">
        <v>40</v>
      </c>
      <c r="M212" s="7" t="s">
        <v>41</v>
      </c>
      <c r="N212" s="26">
        <f t="shared" si="21"/>
        <v>-1</v>
      </c>
      <c r="O212" s="42">
        <f t="shared" si="22"/>
        <v>45171</v>
      </c>
      <c r="P212" s="5" t="str">
        <f t="shared" si="23"/>
        <v>Saturday</v>
      </c>
      <c r="Q212" s="5">
        <f t="shared" si="24"/>
        <v>8</v>
      </c>
      <c r="R212" s="28">
        <f t="shared" si="25"/>
        <v>0.92576419213973804</v>
      </c>
      <c r="S212" s="29">
        <f t="shared" si="26"/>
        <v>92.576419213973807</v>
      </c>
      <c r="T212" s="5" t="str">
        <f>IF(Delivery_Data3[[#This Row],[Delays (min)]]&gt;0,"No","Yes")</f>
        <v>No</v>
      </c>
      <c r="W212" s="41">
        <f t="shared" si="27"/>
        <v>45171</v>
      </c>
      <c r="X212" s="5">
        <v>212</v>
      </c>
    </row>
    <row r="213" spans="1:24" ht="15.75" customHeight="1" x14ac:dyDescent="0.3">
      <c r="A213" s="4">
        <v>1212</v>
      </c>
      <c r="B213" s="5" t="s">
        <v>338</v>
      </c>
      <c r="C213" s="6">
        <v>45172.568749999999</v>
      </c>
      <c r="D213" s="5" t="s">
        <v>14</v>
      </c>
      <c r="E213" s="5" t="s">
        <v>164</v>
      </c>
      <c r="F213" s="5" t="s">
        <v>38</v>
      </c>
      <c r="G213" s="5" t="s">
        <v>31</v>
      </c>
      <c r="H213" s="5">
        <v>105</v>
      </c>
      <c r="I213" s="5">
        <v>6</v>
      </c>
      <c r="J213" s="5" t="s">
        <v>32</v>
      </c>
      <c r="K213" s="5" t="s">
        <v>27</v>
      </c>
      <c r="L213" s="5" t="s">
        <v>40</v>
      </c>
      <c r="M213" s="7" t="s">
        <v>46</v>
      </c>
      <c r="N213" s="26">
        <f t="shared" si="21"/>
        <v>-1</v>
      </c>
      <c r="O213" s="42">
        <f t="shared" si="22"/>
        <v>45172</v>
      </c>
      <c r="P213" s="5" t="str">
        <f t="shared" si="23"/>
        <v>Sunday</v>
      </c>
      <c r="Q213" s="5">
        <f t="shared" si="24"/>
        <v>13</v>
      </c>
      <c r="R213" s="28">
        <f t="shared" si="25"/>
        <v>0.94594594594594594</v>
      </c>
      <c r="S213" s="29">
        <f t="shared" si="26"/>
        <v>94.594594594594597</v>
      </c>
      <c r="T213" s="5" t="str">
        <f>IF(Delivery_Data3[[#This Row],[Delays (min)]]&gt;0,"No","Yes")</f>
        <v>No</v>
      </c>
      <c r="W213" s="41">
        <f t="shared" si="27"/>
        <v>45172</v>
      </c>
      <c r="X213" s="5">
        <v>105</v>
      </c>
    </row>
    <row r="214" spans="1:24" ht="15.75" customHeight="1" x14ac:dyDescent="0.3">
      <c r="A214" s="4">
        <v>1213</v>
      </c>
      <c r="B214" s="5" t="s">
        <v>339</v>
      </c>
      <c r="C214" s="6">
        <v>45177.634722222225</v>
      </c>
      <c r="D214" s="5" t="s">
        <v>43</v>
      </c>
      <c r="E214" s="5" t="s">
        <v>78</v>
      </c>
      <c r="F214" s="5" t="s">
        <v>38</v>
      </c>
      <c r="G214" s="5" t="s">
        <v>39</v>
      </c>
      <c r="H214" s="5">
        <v>129</v>
      </c>
      <c r="I214" s="5">
        <v>5</v>
      </c>
      <c r="J214" s="5" t="s">
        <v>26</v>
      </c>
      <c r="K214" s="5" t="s">
        <v>49</v>
      </c>
      <c r="L214" s="5" t="s">
        <v>20</v>
      </c>
      <c r="M214" s="7" t="s">
        <v>21</v>
      </c>
      <c r="N214" s="26">
        <f t="shared" si="21"/>
        <v>1</v>
      </c>
      <c r="O214" s="42">
        <f t="shared" si="22"/>
        <v>45177</v>
      </c>
      <c r="P214" s="5" t="str">
        <f t="shared" si="23"/>
        <v>Friday</v>
      </c>
      <c r="Q214" s="5">
        <f t="shared" si="24"/>
        <v>15</v>
      </c>
      <c r="R214" s="28">
        <f t="shared" si="25"/>
        <v>0.96268656716417911</v>
      </c>
      <c r="S214" s="29">
        <f t="shared" si="26"/>
        <v>96.268656716417908</v>
      </c>
      <c r="T214" s="5" t="str">
        <f>IF(Delivery_Data3[[#This Row],[Delays (min)]]&gt;0,"No","Yes")</f>
        <v>No</v>
      </c>
      <c r="W214" s="41">
        <f t="shared" si="27"/>
        <v>45177</v>
      </c>
      <c r="X214" s="5">
        <v>129</v>
      </c>
    </row>
    <row r="215" spans="1:24" ht="15.75" customHeight="1" x14ac:dyDescent="0.3">
      <c r="A215" s="4">
        <v>1214</v>
      </c>
      <c r="B215" s="5" t="s">
        <v>340</v>
      </c>
      <c r="C215" s="6">
        <v>45172.502083333333</v>
      </c>
      <c r="D215" s="5" t="s">
        <v>14</v>
      </c>
      <c r="E215" s="5" t="s">
        <v>151</v>
      </c>
      <c r="F215" s="5" t="s">
        <v>38</v>
      </c>
      <c r="G215" s="5" t="s">
        <v>17</v>
      </c>
      <c r="H215" s="5">
        <v>168</v>
      </c>
      <c r="I215" s="5">
        <v>12</v>
      </c>
      <c r="J215" s="5" t="s">
        <v>32</v>
      </c>
      <c r="K215" s="5" t="s">
        <v>19</v>
      </c>
      <c r="L215" s="5" t="s">
        <v>40</v>
      </c>
      <c r="M215" s="7" t="s">
        <v>41</v>
      </c>
      <c r="N215" s="26">
        <f t="shared" si="21"/>
        <v>-1</v>
      </c>
      <c r="O215" s="42">
        <f t="shared" si="22"/>
        <v>45172</v>
      </c>
      <c r="P215" s="5" t="str">
        <f t="shared" si="23"/>
        <v>Sunday</v>
      </c>
      <c r="Q215" s="5">
        <f t="shared" si="24"/>
        <v>12</v>
      </c>
      <c r="R215" s="28">
        <f t="shared" si="25"/>
        <v>0.93333333333333335</v>
      </c>
      <c r="S215" s="29">
        <f t="shared" si="26"/>
        <v>93.333333333333329</v>
      </c>
      <c r="T215" s="5" t="str">
        <f>IF(Delivery_Data3[[#This Row],[Delays (min)]]&gt;0,"No","Yes")</f>
        <v>No</v>
      </c>
      <c r="W215" s="41">
        <f t="shared" si="27"/>
        <v>45172</v>
      </c>
      <c r="X215" s="5">
        <v>168</v>
      </c>
    </row>
    <row r="216" spans="1:24" ht="15.75" customHeight="1" x14ac:dyDescent="0.3">
      <c r="A216" s="4">
        <v>1215</v>
      </c>
      <c r="B216" s="5" t="s">
        <v>341</v>
      </c>
      <c r="C216" s="6">
        <v>45171.352777777778</v>
      </c>
      <c r="D216" s="5" t="s">
        <v>14</v>
      </c>
      <c r="E216" s="5" t="s">
        <v>285</v>
      </c>
      <c r="F216" s="5" t="s">
        <v>38</v>
      </c>
      <c r="G216" s="5" t="s">
        <v>17</v>
      </c>
      <c r="H216" s="5">
        <v>162</v>
      </c>
      <c r="I216" s="5">
        <v>25</v>
      </c>
      <c r="J216" s="5" t="s">
        <v>26</v>
      </c>
      <c r="K216" s="5" t="s">
        <v>35</v>
      </c>
      <c r="L216" s="5" t="s">
        <v>20</v>
      </c>
      <c r="M216" s="7" t="s">
        <v>21</v>
      </c>
      <c r="N216" s="26">
        <f t="shared" si="21"/>
        <v>1</v>
      </c>
      <c r="O216" s="42">
        <f t="shared" si="22"/>
        <v>45171</v>
      </c>
      <c r="P216" s="5" t="str">
        <f t="shared" si="23"/>
        <v>Saturday</v>
      </c>
      <c r="Q216" s="5">
        <f t="shared" si="24"/>
        <v>8</v>
      </c>
      <c r="R216" s="28">
        <f t="shared" si="25"/>
        <v>0.86631016042780751</v>
      </c>
      <c r="S216" s="29">
        <f t="shared" si="26"/>
        <v>86.631016042780757</v>
      </c>
      <c r="T216" s="5" t="str">
        <f>IF(Delivery_Data3[[#This Row],[Delays (min)]]&gt;0,"No","Yes")</f>
        <v>No</v>
      </c>
      <c r="W216" s="41">
        <f t="shared" si="27"/>
        <v>45171</v>
      </c>
      <c r="X216" s="5">
        <v>162</v>
      </c>
    </row>
    <row r="217" spans="1:24" ht="15.75" customHeight="1" x14ac:dyDescent="0.3">
      <c r="A217" s="4">
        <v>1216</v>
      </c>
      <c r="B217" s="5" t="s">
        <v>342</v>
      </c>
      <c r="C217" s="6">
        <v>45170.602083333331</v>
      </c>
      <c r="D217" s="5" t="s">
        <v>43</v>
      </c>
      <c r="E217" s="5" t="s">
        <v>193</v>
      </c>
      <c r="F217" s="5" t="s">
        <v>16</v>
      </c>
      <c r="G217" s="5" t="s">
        <v>39</v>
      </c>
      <c r="H217" s="5">
        <v>136</v>
      </c>
      <c r="I217" s="5">
        <v>2</v>
      </c>
      <c r="J217" s="5" t="s">
        <v>18</v>
      </c>
      <c r="K217" s="5" t="s">
        <v>49</v>
      </c>
      <c r="L217" s="5" t="s">
        <v>40</v>
      </c>
      <c r="M217" s="7" t="s">
        <v>21</v>
      </c>
      <c r="N217" s="26">
        <f t="shared" si="21"/>
        <v>0</v>
      </c>
      <c r="O217" s="42">
        <f t="shared" si="22"/>
        <v>45170</v>
      </c>
      <c r="P217" s="5" t="str">
        <f t="shared" si="23"/>
        <v>Friday</v>
      </c>
      <c r="Q217" s="5">
        <f t="shared" si="24"/>
        <v>14</v>
      </c>
      <c r="R217" s="28">
        <f t="shared" si="25"/>
        <v>0.98550724637681164</v>
      </c>
      <c r="S217" s="29">
        <f t="shared" si="26"/>
        <v>98.550724637681171</v>
      </c>
      <c r="T217" s="5" t="str">
        <f>IF(Delivery_Data3[[#This Row],[Delays (min)]]&gt;0,"No","Yes")</f>
        <v>No</v>
      </c>
      <c r="W217" s="41">
        <f t="shared" si="27"/>
        <v>45170</v>
      </c>
      <c r="X217" s="5">
        <v>136</v>
      </c>
    </row>
    <row r="218" spans="1:24" ht="15.75" customHeight="1" x14ac:dyDescent="0.3">
      <c r="A218" s="4">
        <v>1217</v>
      </c>
      <c r="B218" s="5" t="s">
        <v>343</v>
      </c>
      <c r="C218" s="6">
        <v>45172.593055555553</v>
      </c>
      <c r="D218" s="5" t="s">
        <v>43</v>
      </c>
      <c r="E218" s="5" t="s">
        <v>130</v>
      </c>
      <c r="F218" s="5" t="s">
        <v>24</v>
      </c>
      <c r="G218" s="5" t="s">
        <v>25</v>
      </c>
      <c r="H218" s="5">
        <v>221</v>
      </c>
      <c r="I218" s="5">
        <v>7</v>
      </c>
      <c r="J218" s="5" t="s">
        <v>18</v>
      </c>
      <c r="K218" s="5" t="s">
        <v>27</v>
      </c>
      <c r="L218" s="5" t="s">
        <v>28</v>
      </c>
      <c r="M218" s="7" t="s">
        <v>41</v>
      </c>
      <c r="N218" s="26">
        <f t="shared" si="21"/>
        <v>0</v>
      </c>
      <c r="O218" s="42">
        <f t="shared" si="22"/>
        <v>45172</v>
      </c>
      <c r="P218" s="5" t="str">
        <f t="shared" si="23"/>
        <v>Sunday</v>
      </c>
      <c r="Q218" s="5">
        <f t="shared" si="24"/>
        <v>14</v>
      </c>
      <c r="R218" s="28">
        <f t="shared" si="25"/>
        <v>0.9692982456140351</v>
      </c>
      <c r="S218" s="29">
        <f t="shared" si="26"/>
        <v>96.929824561403507</v>
      </c>
      <c r="T218" s="5" t="str">
        <f>IF(Delivery_Data3[[#This Row],[Delays (min)]]&gt;0,"No","Yes")</f>
        <v>No</v>
      </c>
      <c r="W218" s="41">
        <f t="shared" si="27"/>
        <v>45172</v>
      </c>
      <c r="X218" s="5">
        <v>221</v>
      </c>
    </row>
    <row r="219" spans="1:24" ht="15.75" customHeight="1" x14ac:dyDescent="0.3">
      <c r="A219" s="4">
        <v>1218</v>
      </c>
      <c r="B219" s="5" t="s">
        <v>344</v>
      </c>
      <c r="C219" s="6">
        <v>45174.454861111109</v>
      </c>
      <c r="D219" s="5" t="s">
        <v>14</v>
      </c>
      <c r="E219" s="5" t="s">
        <v>30</v>
      </c>
      <c r="F219" s="5" t="s">
        <v>38</v>
      </c>
      <c r="G219" s="5" t="s">
        <v>31</v>
      </c>
      <c r="H219" s="5">
        <v>164</v>
      </c>
      <c r="I219" s="5">
        <v>6</v>
      </c>
      <c r="J219" s="5" t="s">
        <v>32</v>
      </c>
      <c r="K219" s="5" t="s">
        <v>45</v>
      </c>
      <c r="L219" s="5" t="s">
        <v>28</v>
      </c>
      <c r="M219" s="7" t="s">
        <v>46</v>
      </c>
      <c r="N219" s="26">
        <f t="shared" si="21"/>
        <v>-1</v>
      </c>
      <c r="O219" s="42">
        <f t="shared" si="22"/>
        <v>45174</v>
      </c>
      <c r="P219" s="5" t="str">
        <f t="shared" si="23"/>
        <v>Tuesday</v>
      </c>
      <c r="Q219" s="5">
        <f t="shared" si="24"/>
        <v>10</v>
      </c>
      <c r="R219" s="28">
        <f t="shared" si="25"/>
        <v>0.96470588235294119</v>
      </c>
      <c r="S219" s="29">
        <f t="shared" si="26"/>
        <v>96.470588235294116</v>
      </c>
      <c r="T219" s="5" t="str">
        <f>IF(Delivery_Data3[[#This Row],[Delays (min)]]&gt;0,"No","Yes")</f>
        <v>No</v>
      </c>
      <c r="W219" s="41">
        <f t="shared" si="27"/>
        <v>45174</v>
      </c>
      <c r="X219" s="5">
        <v>164</v>
      </c>
    </row>
    <row r="220" spans="1:24" ht="15.75" customHeight="1" x14ac:dyDescent="0.3">
      <c r="A220" s="4">
        <v>1219</v>
      </c>
      <c r="B220" s="5" t="s">
        <v>345</v>
      </c>
      <c r="C220" s="6">
        <v>45171.695138888892</v>
      </c>
      <c r="D220" s="5" t="s">
        <v>14</v>
      </c>
      <c r="E220" s="5" t="s">
        <v>151</v>
      </c>
      <c r="F220" s="5" t="s">
        <v>16</v>
      </c>
      <c r="G220" s="5" t="s">
        <v>25</v>
      </c>
      <c r="H220" s="5">
        <v>223</v>
      </c>
      <c r="I220" s="5">
        <v>13</v>
      </c>
      <c r="J220" s="5" t="s">
        <v>26</v>
      </c>
      <c r="K220" s="5" t="s">
        <v>49</v>
      </c>
      <c r="L220" s="5" t="s">
        <v>20</v>
      </c>
      <c r="M220" s="7" t="s">
        <v>41</v>
      </c>
      <c r="N220" s="26">
        <f t="shared" si="21"/>
        <v>1</v>
      </c>
      <c r="O220" s="42">
        <f t="shared" si="22"/>
        <v>45171</v>
      </c>
      <c r="P220" s="5" t="str">
        <f t="shared" si="23"/>
        <v>Saturday</v>
      </c>
      <c r="Q220" s="5">
        <f t="shared" si="24"/>
        <v>16</v>
      </c>
      <c r="R220" s="28">
        <f t="shared" si="25"/>
        <v>0.94491525423728817</v>
      </c>
      <c r="S220" s="29">
        <f t="shared" si="26"/>
        <v>94.491525423728817</v>
      </c>
      <c r="T220" s="5" t="str">
        <f>IF(Delivery_Data3[[#This Row],[Delays (min)]]&gt;0,"No","Yes")</f>
        <v>No</v>
      </c>
      <c r="W220" s="41">
        <f t="shared" si="27"/>
        <v>45171</v>
      </c>
      <c r="X220" s="5">
        <v>223</v>
      </c>
    </row>
    <row r="221" spans="1:24" ht="15.75" customHeight="1" x14ac:dyDescent="0.3">
      <c r="A221" s="4">
        <v>1220</v>
      </c>
      <c r="B221" s="5" t="s">
        <v>346</v>
      </c>
      <c r="C221" s="6">
        <v>45174.555555555555</v>
      </c>
      <c r="D221" s="5" t="s">
        <v>43</v>
      </c>
      <c r="E221" s="5" t="s">
        <v>113</v>
      </c>
      <c r="F221" s="5" t="s">
        <v>24</v>
      </c>
      <c r="G221" s="5" t="s">
        <v>17</v>
      </c>
      <c r="H221" s="5">
        <v>86</v>
      </c>
      <c r="I221" s="5">
        <v>0</v>
      </c>
      <c r="J221" s="5" t="s">
        <v>26</v>
      </c>
      <c r="K221" s="5" t="s">
        <v>49</v>
      </c>
      <c r="L221" s="5" t="s">
        <v>20</v>
      </c>
      <c r="M221" s="7" t="s">
        <v>21</v>
      </c>
      <c r="N221" s="26">
        <f t="shared" si="21"/>
        <v>1</v>
      </c>
      <c r="O221" s="42">
        <f t="shared" si="22"/>
        <v>45174</v>
      </c>
      <c r="P221" s="5" t="str">
        <f t="shared" si="23"/>
        <v>Tuesday</v>
      </c>
      <c r="Q221" s="5">
        <f t="shared" si="24"/>
        <v>13</v>
      </c>
      <c r="R221" s="28">
        <f t="shared" si="25"/>
        <v>1</v>
      </c>
      <c r="S221" s="29">
        <f t="shared" si="26"/>
        <v>100</v>
      </c>
      <c r="T221" s="5" t="str">
        <f>IF(Delivery_Data3[[#This Row],[Delays (min)]]&gt;0,"No","Yes")</f>
        <v>Yes</v>
      </c>
      <c r="W221" s="41">
        <f t="shared" si="27"/>
        <v>45174</v>
      </c>
      <c r="X221" s="5">
        <v>86</v>
      </c>
    </row>
    <row r="222" spans="1:24" ht="15.75" customHeight="1" x14ac:dyDescent="0.3">
      <c r="A222" s="4">
        <v>1221</v>
      </c>
      <c r="B222" s="5" t="s">
        <v>347</v>
      </c>
      <c r="C222" s="6">
        <v>45170.452777777777</v>
      </c>
      <c r="D222" s="5" t="s">
        <v>14</v>
      </c>
      <c r="E222" s="5" t="s">
        <v>243</v>
      </c>
      <c r="F222" s="5" t="s">
        <v>16</v>
      </c>
      <c r="G222" s="5" t="s">
        <v>17</v>
      </c>
      <c r="H222" s="5">
        <v>177</v>
      </c>
      <c r="I222" s="5">
        <v>19</v>
      </c>
      <c r="J222" s="5" t="s">
        <v>18</v>
      </c>
      <c r="K222" s="5" t="s">
        <v>35</v>
      </c>
      <c r="L222" s="5" t="s">
        <v>28</v>
      </c>
      <c r="M222" s="7" t="s">
        <v>46</v>
      </c>
      <c r="N222" s="26">
        <f t="shared" si="21"/>
        <v>0</v>
      </c>
      <c r="O222" s="42">
        <f t="shared" si="22"/>
        <v>45170</v>
      </c>
      <c r="P222" s="5" t="str">
        <f t="shared" si="23"/>
        <v>Friday</v>
      </c>
      <c r="Q222" s="5">
        <f t="shared" si="24"/>
        <v>10</v>
      </c>
      <c r="R222" s="28">
        <f t="shared" si="25"/>
        <v>0.90306122448979587</v>
      </c>
      <c r="S222" s="29">
        <f t="shared" si="26"/>
        <v>90.306122448979593</v>
      </c>
      <c r="T222" s="5" t="str">
        <f>IF(Delivery_Data3[[#This Row],[Delays (min)]]&gt;0,"No","Yes")</f>
        <v>No</v>
      </c>
      <c r="W222" s="41">
        <f t="shared" si="27"/>
        <v>45170</v>
      </c>
      <c r="X222" s="5">
        <v>177</v>
      </c>
    </row>
    <row r="223" spans="1:24" ht="15.75" customHeight="1" x14ac:dyDescent="0.3">
      <c r="A223" s="4">
        <v>1222</v>
      </c>
      <c r="B223" s="5" t="s">
        <v>348</v>
      </c>
      <c r="C223" s="6">
        <v>45174.488888888889</v>
      </c>
      <c r="D223" s="5" t="s">
        <v>14</v>
      </c>
      <c r="E223" s="5" t="s">
        <v>215</v>
      </c>
      <c r="F223" s="5" t="s">
        <v>38</v>
      </c>
      <c r="G223" s="5" t="s">
        <v>31</v>
      </c>
      <c r="H223" s="5">
        <v>194</v>
      </c>
      <c r="I223" s="5">
        <v>24</v>
      </c>
      <c r="J223" s="5" t="s">
        <v>26</v>
      </c>
      <c r="K223" s="5" t="s">
        <v>35</v>
      </c>
      <c r="L223" s="5" t="s">
        <v>40</v>
      </c>
      <c r="M223" s="7" t="s">
        <v>46</v>
      </c>
      <c r="N223" s="26">
        <f t="shared" si="21"/>
        <v>1</v>
      </c>
      <c r="O223" s="42">
        <f t="shared" si="22"/>
        <v>45174</v>
      </c>
      <c r="P223" s="5" t="str">
        <f t="shared" si="23"/>
        <v>Tuesday</v>
      </c>
      <c r="Q223" s="5">
        <f t="shared" si="24"/>
        <v>11</v>
      </c>
      <c r="R223" s="28">
        <f t="shared" si="25"/>
        <v>0.88990825688073394</v>
      </c>
      <c r="S223" s="29">
        <f t="shared" si="26"/>
        <v>88.9908256880734</v>
      </c>
      <c r="T223" s="5" t="str">
        <f>IF(Delivery_Data3[[#This Row],[Delays (min)]]&gt;0,"No","Yes")</f>
        <v>No</v>
      </c>
      <c r="W223" s="41">
        <f t="shared" si="27"/>
        <v>45174</v>
      </c>
      <c r="X223" s="5">
        <v>194</v>
      </c>
    </row>
    <row r="224" spans="1:24" ht="15.75" customHeight="1" x14ac:dyDescent="0.3">
      <c r="A224" s="4">
        <v>1223</v>
      </c>
      <c r="B224" s="5" t="s">
        <v>349</v>
      </c>
      <c r="C224" s="6">
        <v>45170.34375</v>
      </c>
      <c r="D224" s="5" t="s">
        <v>14</v>
      </c>
      <c r="E224" s="5" t="s">
        <v>234</v>
      </c>
      <c r="F224" s="5" t="s">
        <v>16</v>
      </c>
      <c r="G224" s="5" t="s">
        <v>39</v>
      </c>
      <c r="H224" s="5">
        <v>103</v>
      </c>
      <c r="I224" s="5">
        <v>15</v>
      </c>
      <c r="J224" s="5" t="s">
        <v>26</v>
      </c>
      <c r="K224" s="5" t="s">
        <v>19</v>
      </c>
      <c r="L224" s="5" t="s">
        <v>28</v>
      </c>
      <c r="M224" s="7" t="s">
        <v>46</v>
      </c>
      <c r="N224" s="26">
        <f t="shared" si="21"/>
        <v>1</v>
      </c>
      <c r="O224" s="42">
        <f t="shared" si="22"/>
        <v>45170</v>
      </c>
      <c r="P224" s="5" t="str">
        <f t="shared" si="23"/>
        <v>Friday</v>
      </c>
      <c r="Q224" s="5">
        <f t="shared" si="24"/>
        <v>8</v>
      </c>
      <c r="R224" s="28">
        <f t="shared" si="25"/>
        <v>0.8728813559322034</v>
      </c>
      <c r="S224" s="29">
        <f t="shared" si="26"/>
        <v>87.288135593220346</v>
      </c>
      <c r="T224" s="5" t="str">
        <f>IF(Delivery_Data3[[#This Row],[Delays (min)]]&gt;0,"No","Yes")</f>
        <v>No</v>
      </c>
      <c r="W224" s="41">
        <f t="shared" si="27"/>
        <v>45170</v>
      </c>
      <c r="X224" s="5">
        <v>103</v>
      </c>
    </row>
    <row r="225" spans="1:24" ht="15.75" customHeight="1" x14ac:dyDescent="0.3">
      <c r="A225" s="4">
        <v>1224</v>
      </c>
      <c r="B225" s="5" t="s">
        <v>350</v>
      </c>
      <c r="C225" s="6">
        <v>45175.375694444447</v>
      </c>
      <c r="D225" s="5" t="s">
        <v>14</v>
      </c>
      <c r="E225" s="5" t="s">
        <v>231</v>
      </c>
      <c r="F225" s="5" t="s">
        <v>24</v>
      </c>
      <c r="G225" s="5" t="s">
        <v>25</v>
      </c>
      <c r="H225" s="5">
        <v>61</v>
      </c>
      <c r="I225" s="5">
        <v>29</v>
      </c>
      <c r="J225" s="5" t="s">
        <v>18</v>
      </c>
      <c r="K225" s="5" t="s">
        <v>27</v>
      </c>
      <c r="L225" s="5" t="s">
        <v>40</v>
      </c>
      <c r="M225" s="7" t="s">
        <v>41</v>
      </c>
      <c r="N225" s="26">
        <f t="shared" si="21"/>
        <v>0</v>
      </c>
      <c r="O225" s="42">
        <f t="shared" si="22"/>
        <v>45175</v>
      </c>
      <c r="P225" s="5" t="str">
        <f t="shared" si="23"/>
        <v>Wednesday</v>
      </c>
      <c r="Q225" s="5">
        <f t="shared" si="24"/>
        <v>9</v>
      </c>
      <c r="R225" s="28">
        <f t="shared" si="25"/>
        <v>0.67777777777777781</v>
      </c>
      <c r="S225" s="29">
        <f t="shared" si="26"/>
        <v>67.777777777777786</v>
      </c>
      <c r="T225" s="5" t="str">
        <f>IF(Delivery_Data3[[#This Row],[Delays (min)]]&gt;0,"No","Yes")</f>
        <v>No</v>
      </c>
      <c r="W225" s="41">
        <f t="shared" si="27"/>
        <v>45175</v>
      </c>
      <c r="X225" s="5">
        <v>61</v>
      </c>
    </row>
    <row r="226" spans="1:24" ht="15.75" customHeight="1" x14ac:dyDescent="0.3">
      <c r="A226" s="4">
        <v>1225</v>
      </c>
      <c r="B226" s="5" t="s">
        <v>351</v>
      </c>
      <c r="C226" s="6">
        <v>45177.604861111111</v>
      </c>
      <c r="D226" s="5" t="s">
        <v>14</v>
      </c>
      <c r="E226" s="5" t="s">
        <v>83</v>
      </c>
      <c r="F226" s="5" t="s">
        <v>38</v>
      </c>
      <c r="G226" s="5" t="s">
        <v>31</v>
      </c>
      <c r="H226" s="5">
        <v>102</v>
      </c>
      <c r="I226" s="5">
        <v>29</v>
      </c>
      <c r="J226" s="5" t="s">
        <v>26</v>
      </c>
      <c r="K226" s="5" t="s">
        <v>49</v>
      </c>
      <c r="L226" s="5" t="s">
        <v>40</v>
      </c>
      <c r="M226" s="7" t="s">
        <v>46</v>
      </c>
      <c r="N226" s="26">
        <f t="shared" si="21"/>
        <v>1</v>
      </c>
      <c r="O226" s="42">
        <f t="shared" si="22"/>
        <v>45177</v>
      </c>
      <c r="P226" s="5" t="str">
        <f t="shared" si="23"/>
        <v>Friday</v>
      </c>
      <c r="Q226" s="5">
        <f t="shared" si="24"/>
        <v>14</v>
      </c>
      <c r="R226" s="28">
        <f t="shared" si="25"/>
        <v>0.77862595419847325</v>
      </c>
      <c r="S226" s="29">
        <f t="shared" si="26"/>
        <v>77.862595419847324</v>
      </c>
      <c r="T226" s="5" t="str">
        <f>IF(Delivery_Data3[[#This Row],[Delays (min)]]&gt;0,"No","Yes")</f>
        <v>No</v>
      </c>
      <c r="W226" s="41">
        <f t="shared" si="27"/>
        <v>45177</v>
      </c>
      <c r="X226" s="5">
        <v>102</v>
      </c>
    </row>
    <row r="227" spans="1:24" ht="15.75" customHeight="1" x14ac:dyDescent="0.3">
      <c r="A227" s="4">
        <v>1226</v>
      </c>
      <c r="B227" s="5" t="s">
        <v>352</v>
      </c>
      <c r="C227" s="6">
        <v>45174.560416666667</v>
      </c>
      <c r="D227" s="5" t="s">
        <v>14</v>
      </c>
      <c r="E227" s="5" t="s">
        <v>333</v>
      </c>
      <c r="F227" s="5" t="s">
        <v>38</v>
      </c>
      <c r="G227" s="5" t="s">
        <v>31</v>
      </c>
      <c r="H227" s="5">
        <v>88</v>
      </c>
      <c r="I227" s="5">
        <v>27</v>
      </c>
      <c r="J227" s="5" t="s">
        <v>18</v>
      </c>
      <c r="K227" s="5" t="s">
        <v>35</v>
      </c>
      <c r="L227" s="5" t="s">
        <v>28</v>
      </c>
      <c r="M227" s="7" t="s">
        <v>21</v>
      </c>
      <c r="N227" s="26">
        <f t="shared" si="21"/>
        <v>0</v>
      </c>
      <c r="O227" s="42">
        <f t="shared" si="22"/>
        <v>45174</v>
      </c>
      <c r="P227" s="5" t="str">
        <f t="shared" si="23"/>
        <v>Tuesday</v>
      </c>
      <c r="Q227" s="5">
        <f t="shared" si="24"/>
        <v>13</v>
      </c>
      <c r="R227" s="28">
        <f t="shared" si="25"/>
        <v>0.76521739130434785</v>
      </c>
      <c r="S227" s="29">
        <f t="shared" si="26"/>
        <v>76.521739130434781</v>
      </c>
      <c r="T227" s="5" t="str">
        <f>IF(Delivery_Data3[[#This Row],[Delays (min)]]&gt;0,"No","Yes")</f>
        <v>No</v>
      </c>
      <c r="W227" s="41">
        <f t="shared" si="27"/>
        <v>45174</v>
      </c>
      <c r="X227" s="5">
        <v>88</v>
      </c>
    </row>
    <row r="228" spans="1:24" ht="15.75" customHeight="1" x14ac:dyDescent="0.3">
      <c r="A228" s="4">
        <v>1227</v>
      </c>
      <c r="B228" s="5" t="s">
        <v>353</v>
      </c>
      <c r="C228" s="6">
        <v>45177.390972222223</v>
      </c>
      <c r="D228" s="5" t="s">
        <v>14</v>
      </c>
      <c r="E228" s="5" t="s">
        <v>89</v>
      </c>
      <c r="F228" s="5" t="s">
        <v>16</v>
      </c>
      <c r="G228" s="5" t="s">
        <v>39</v>
      </c>
      <c r="H228" s="5">
        <v>92</v>
      </c>
      <c r="I228" s="5">
        <v>21</v>
      </c>
      <c r="J228" s="5" t="s">
        <v>32</v>
      </c>
      <c r="K228" s="5" t="s">
        <v>19</v>
      </c>
      <c r="L228" s="5" t="s">
        <v>28</v>
      </c>
      <c r="M228" s="7" t="s">
        <v>46</v>
      </c>
      <c r="N228" s="26">
        <f t="shared" si="21"/>
        <v>-1</v>
      </c>
      <c r="O228" s="42">
        <f t="shared" si="22"/>
        <v>45177</v>
      </c>
      <c r="P228" s="5" t="str">
        <f t="shared" si="23"/>
        <v>Friday</v>
      </c>
      <c r="Q228" s="5">
        <f t="shared" si="24"/>
        <v>9</v>
      </c>
      <c r="R228" s="28">
        <f t="shared" si="25"/>
        <v>0.81415929203539827</v>
      </c>
      <c r="S228" s="29">
        <f t="shared" si="26"/>
        <v>81.415929203539832</v>
      </c>
      <c r="T228" s="5" t="str">
        <f>IF(Delivery_Data3[[#This Row],[Delays (min)]]&gt;0,"No","Yes")</f>
        <v>No</v>
      </c>
      <c r="W228" s="41">
        <f t="shared" si="27"/>
        <v>45177</v>
      </c>
      <c r="X228" s="5">
        <v>92</v>
      </c>
    </row>
    <row r="229" spans="1:24" ht="15.75" customHeight="1" x14ac:dyDescent="0.3">
      <c r="A229" s="4">
        <v>1228</v>
      </c>
      <c r="B229" s="5" t="s">
        <v>354</v>
      </c>
      <c r="C229" s="6">
        <v>45174.557638888888</v>
      </c>
      <c r="D229" s="5" t="s">
        <v>14</v>
      </c>
      <c r="E229" s="5" t="s">
        <v>355</v>
      </c>
      <c r="F229" s="5" t="s">
        <v>16</v>
      </c>
      <c r="G229" s="5" t="s">
        <v>31</v>
      </c>
      <c r="H229" s="5">
        <v>148</v>
      </c>
      <c r="I229" s="5">
        <v>9</v>
      </c>
      <c r="J229" s="5" t="s">
        <v>26</v>
      </c>
      <c r="K229" s="5" t="s">
        <v>35</v>
      </c>
      <c r="L229" s="5" t="s">
        <v>40</v>
      </c>
      <c r="M229" s="7" t="s">
        <v>21</v>
      </c>
      <c r="N229" s="26">
        <f t="shared" si="21"/>
        <v>1</v>
      </c>
      <c r="O229" s="42">
        <f t="shared" si="22"/>
        <v>45174</v>
      </c>
      <c r="P229" s="5" t="str">
        <f t="shared" si="23"/>
        <v>Tuesday</v>
      </c>
      <c r="Q229" s="5">
        <f t="shared" si="24"/>
        <v>13</v>
      </c>
      <c r="R229" s="28">
        <f t="shared" si="25"/>
        <v>0.9426751592356688</v>
      </c>
      <c r="S229" s="29">
        <f t="shared" si="26"/>
        <v>94.267515923566876</v>
      </c>
      <c r="T229" s="5" t="str">
        <f>IF(Delivery_Data3[[#This Row],[Delays (min)]]&gt;0,"No","Yes")</f>
        <v>No</v>
      </c>
      <c r="W229" s="41">
        <f t="shared" si="27"/>
        <v>45174</v>
      </c>
      <c r="X229" s="5">
        <v>148</v>
      </c>
    </row>
    <row r="230" spans="1:24" ht="15.75" customHeight="1" x14ac:dyDescent="0.3">
      <c r="A230" s="4">
        <v>1229</v>
      </c>
      <c r="B230" s="5" t="s">
        <v>317</v>
      </c>
      <c r="C230" s="6">
        <v>45172.620138888888</v>
      </c>
      <c r="D230" s="5" t="s">
        <v>43</v>
      </c>
      <c r="E230" s="5" t="s">
        <v>288</v>
      </c>
      <c r="F230" s="5" t="s">
        <v>24</v>
      </c>
      <c r="G230" s="5" t="s">
        <v>25</v>
      </c>
      <c r="H230" s="5">
        <v>75</v>
      </c>
      <c r="I230" s="5">
        <v>1</v>
      </c>
      <c r="J230" s="5" t="s">
        <v>32</v>
      </c>
      <c r="K230" s="5" t="s">
        <v>45</v>
      </c>
      <c r="L230" s="5" t="s">
        <v>28</v>
      </c>
      <c r="M230" s="7" t="s">
        <v>46</v>
      </c>
      <c r="N230" s="26">
        <f t="shared" si="21"/>
        <v>-1</v>
      </c>
      <c r="O230" s="42">
        <f t="shared" si="22"/>
        <v>45172</v>
      </c>
      <c r="P230" s="5" t="str">
        <f t="shared" si="23"/>
        <v>Sunday</v>
      </c>
      <c r="Q230" s="5">
        <f t="shared" si="24"/>
        <v>14</v>
      </c>
      <c r="R230" s="28">
        <f t="shared" si="25"/>
        <v>0.98684210526315785</v>
      </c>
      <c r="S230" s="29">
        <f t="shared" si="26"/>
        <v>98.68421052631578</v>
      </c>
      <c r="T230" s="5" t="str">
        <f>IF(Delivery_Data3[[#This Row],[Delays (min)]]&gt;0,"No","Yes")</f>
        <v>No</v>
      </c>
      <c r="W230" s="41">
        <f t="shared" si="27"/>
        <v>45172</v>
      </c>
      <c r="X230" s="5">
        <v>75</v>
      </c>
    </row>
    <row r="231" spans="1:24" ht="15.75" customHeight="1" x14ac:dyDescent="0.3">
      <c r="A231" s="4">
        <v>1230</v>
      </c>
      <c r="B231" s="5" t="s">
        <v>356</v>
      </c>
      <c r="C231" s="6">
        <v>45177.469444444447</v>
      </c>
      <c r="D231" s="5" t="s">
        <v>14</v>
      </c>
      <c r="E231" s="5" t="s">
        <v>204</v>
      </c>
      <c r="F231" s="5" t="s">
        <v>16</v>
      </c>
      <c r="G231" s="5" t="s">
        <v>56</v>
      </c>
      <c r="H231" s="5">
        <v>205</v>
      </c>
      <c r="I231" s="5">
        <v>3</v>
      </c>
      <c r="J231" s="5" t="s">
        <v>32</v>
      </c>
      <c r="K231" s="5" t="s">
        <v>49</v>
      </c>
      <c r="L231" s="5" t="s">
        <v>20</v>
      </c>
      <c r="M231" s="7" t="s">
        <v>46</v>
      </c>
      <c r="N231" s="26">
        <f t="shared" si="21"/>
        <v>-1</v>
      </c>
      <c r="O231" s="42">
        <f t="shared" si="22"/>
        <v>45177</v>
      </c>
      <c r="P231" s="5" t="str">
        <f t="shared" si="23"/>
        <v>Friday</v>
      </c>
      <c r="Q231" s="5">
        <f t="shared" si="24"/>
        <v>11</v>
      </c>
      <c r="R231" s="28">
        <f t="shared" si="25"/>
        <v>0.98557692307692313</v>
      </c>
      <c r="S231" s="29">
        <f t="shared" si="26"/>
        <v>98.557692307692307</v>
      </c>
      <c r="T231" s="5" t="str">
        <f>IF(Delivery_Data3[[#This Row],[Delays (min)]]&gt;0,"No","Yes")</f>
        <v>No</v>
      </c>
      <c r="W231" s="41">
        <f t="shared" si="27"/>
        <v>45177</v>
      </c>
      <c r="X231" s="5">
        <v>205</v>
      </c>
    </row>
    <row r="232" spans="1:24" ht="15.75" customHeight="1" x14ac:dyDescent="0.3">
      <c r="A232" s="4">
        <v>1231</v>
      </c>
      <c r="B232" s="5" t="s">
        <v>357</v>
      </c>
      <c r="C232" s="6">
        <v>45174.380555555559</v>
      </c>
      <c r="D232" s="5" t="s">
        <v>43</v>
      </c>
      <c r="E232" s="5" t="s">
        <v>249</v>
      </c>
      <c r="F232" s="5" t="s">
        <v>24</v>
      </c>
      <c r="G232" s="5" t="s">
        <v>25</v>
      </c>
      <c r="H232" s="5">
        <v>237</v>
      </c>
      <c r="I232" s="5">
        <v>8</v>
      </c>
      <c r="J232" s="5" t="s">
        <v>32</v>
      </c>
      <c r="K232" s="5" t="s">
        <v>27</v>
      </c>
      <c r="L232" s="5" t="s">
        <v>20</v>
      </c>
      <c r="M232" s="7" t="s">
        <v>41</v>
      </c>
      <c r="N232" s="26">
        <f t="shared" si="21"/>
        <v>-1</v>
      </c>
      <c r="O232" s="42">
        <f t="shared" si="22"/>
        <v>45174</v>
      </c>
      <c r="P232" s="5" t="str">
        <f t="shared" si="23"/>
        <v>Tuesday</v>
      </c>
      <c r="Q232" s="5">
        <f t="shared" si="24"/>
        <v>9</v>
      </c>
      <c r="R232" s="28">
        <f t="shared" si="25"/>
        <v>0.96734693877551026</v>
      </c>
      <c r="S232" s="29">
        <f t="shared" si="26"/>
        <v>96.734693877551024</v>
      </c>
      <c r="T232" s="5" t="str">
        <f>IF(Delivery_Data3[[#This Row],[Delays (min)]]&gt;0,"No","Yes")</f>
        <v>No</v>
      </c>
      <c r="W232" s="41">
        <f t="shared" si="27"/>
        <v>45174</v>
      </c>
      <c r="X232" s="5">
        <v>237</v>
      </c>
    </row>
    <row r="233" spans="1:24" ht="15.75" customHeight="1" x14ac:dyDescent="0.3">
      <c r="A233" s="4">
        <v>1232</v>
      </c>
      <c r="B233" s="5" t="s">
        <v>358</v>
      </c>
      <c r="C233" s="6">
        <v>45170.643750000003</v>
      </c>
      <c r="D233" s="5" t="s">
        <v>43</v>
      </c>
      <c r="E233" s="5" t="s">
        <v>285</v>
      </c>
      <c r="F233" s="5" t="s">
        <v>16</v>
      </c>
      <c r="G233" s="5" t="s">
        <v>17</v>
      </c>
      <c r="H233" s="5">
        <v>140</v>
      </c>
      <c r="I233" s="5">
        <v>17</v>
      </c>
      <c r="J233" s="5" t="s">
        <v>26</v>
      </c>
      <c r="K233" s="5" t="s">
        <v>35</v>
      </c>
      <c r="L233" s="5" t="s">
        <v>20</v>
      </c>
      <c r="M233" s="7" t="s">
        <v>46</v>
      </c>
      <c r="N233" s="26">
        <f t="shared" si="21"/>
        <v>1</v>
      </c>
      <c r="O233" s="42">
        <f t="shared" si="22"/>
        <v>45170</v>
      </c>
      <c r="P233" s="5" t="str">
        <f t="shared" si="23"/>
        <v>Friday</v>
      </c>
      <c r="Q233" s="5">
        <f t="shared" si="24"/>
        <v>15</v>
      </c>
      <c r="R233" s="28">
        <f t="shared" si="25"/>
        <v>0.89171974522292996</v>
      </c>
      <c r="S233" s="29">
        <f t="shared" si="26"/>
        <v>89.171974522292999</v>
      </c>
      <c r="T233" s="5" t="str">
        <f>IF(Delivery_Data3[[#This Row],[Delays (min)]]&gt;0,"No","Yes")</f>
        <v>No</v>
      </c>
      <c r="W233" s="41">
        <f t="shared" si="27"/>
        <v>45170</v>
      </c>
      <c r="X233" s="5">
        <v>140</v>
      </c>
    </row>
    <row r="234" spans="1:24" ht="15.75" customHeight="1" x14ac:dyDescent="0.3">
      <c r="A234" s="4">
        <v>1233</v>
      </c>
      <c r="B234" s="5" t="s">
        <v>359</v>
      </c>
      <c r="C234" s="6">
        <v>45170.376388888886</v>
      </c>
      <c r="D234" s="5" t="s">
        <v>43</v>
      </c>
      <c r="E234" s="5" t="s">
        <v>97</v>
      </c>
      <c r="F234" s="5" t="s">
        <v>24</v>
      </c>
      <c r="G234" s="5" t="s">
        <v>25</v>
      </c>
      <c r="H234" s="5">
        <v>63</v>
      </c>
      <c r="I234" s="5">
        <v>8</v>
      </c>
      <c r="J234" s="5" t="s">
        <v>26</v>
      </c>
      <c r="K234" s="5" t="s">
        <v>19</v>
      </c>
      <c r="L234" s="5" t="s">
        <v>28</v>
      </c>
      <c r="M234" s="7" t="s">
        <v>21</v>
      </c>
      <c r="N234" s="26">
        <f t="shared" si="21"/>
        <v>1</v>
      </c>
      <c r="O234" s="42">
        <f t="shared" si="22"/>
        <v>45170</v>
      </c>
      <c r="P234" s="5" t="str">
        <f t="shared" si="23"/>
        <v>Friday</v>
      </c>
      <c r="Q234" s="5">
        <f t="shared" si="24"/>
        <v>9</v>
      </c>
      <c r="R234" s="28">
        <f t="shared" si="25"/>
        <v>0.88732394366197187</v>
      </c>
      <c r="S234" s="29">
        <f t="shared" si="26"/>
        <v>88.732394366197184</v>
      </c>
      <c r="T234" s="5" t="str">
        <f>IF(Delivery_Data3[[#This Row],[Delays (min)]]&gt;0,"No","Yes")</f>
        <v>No</v>
      </c>
      <c r="W234" s="41">
        <f t="shared" si="27"/>
        <v>45170</v>
      </c>
      <c r="X234" s="5">
        <v>63</v>
      </c>
    </row>
    <row r="235" spans="1:24" ht="15.75" customHeight="1" x14ac:dyDescent="0.3">
      <c r="A235" s="4">
        <v>1234</v>
      </c>
      <c r="B235" s="5" t="s">
        <v>360</v>
      </c>
      <c r="C235" s="6">
        <v>45171.410416666666</v>
      </c>
      <c r="D235" s="5" t="s">
        <v>43</v>
      </c>
      <c r="E235" s="5" t="s">
        <v>135</v>
      </c>
      <c r="F235" s="5" t="s">
        <v>24</v>
      </c>
      <c r="G235" s="5" t="s">
        <v>25</v>
      </c>
      <c r="H235" s="5">
        <v>79</v>
      </c>
      <c r="I235" s="5">
        <v>4</v>
      </c>
      <c r="J235" s="5" t="s">
        <v>18</v>
      </c>
      <c r="K235" s="5" t="s">
        <v>49</v>
      </c>
      <c r="L235" s="5" t="s">
        <v>40</v>
      </c>
      <c r="M235" s="7" t="s">
        <v>46</v>
      </c>
      <c r="N235" s="26">
        <f t="shared" si="21"/>
        <v>0</v>
      </c>
      <c r="O235" s="42">
        <f t="shared" si="22"/>
        <v>45171</v>
      </c>
      <c r="P235" s="5" t="str">
        <f t="shared" si="23"/>
        <v>Saturday</v>
      </c>
      <c r="Q235" s="5">
        <f t="shared" si="24"/>
        <v>9</v>
      </c>
      <c r="R235" s="28">
        <f t="shared" si="25"/>
        <v>0.95180722891566261</v>
      </c>
      <c r="S235" s="29">
        <f t="shared" si="26"/>
        <v>95.180722891566262</v>
      </c>
      <c r="T235" s="5" t="str">
        <f>IF(Delivery_Data3[[#This Row],[Delays (min)]]&gt;0,"No","Yes")</f>
        <v>No</v>
      </c>
      <c r="W235" s="41">
        <f t="shared" si="27"/>
        <v>45171</v>
      </c>
      <c r="X235" s="5">
        <v>79</v>
      </c>
    </row>
    <row r="236" spans="1:24" ht="15.75" customHeight="1" x14ac:dyDescent="0.3">
      <c r="A236" s="4">
        <v>1235</v>
      </c>
      <c r="B236" s="5" t="s">
        <v>361</v>
      </c>
      <c r="C236" s="6">
        <v>45170.342361111114</v>
      </c>
      <c r="D236" s="5" t="s">
        <v>43</v>
      </c>
      <c r="E236" s="5" t="s">
        <v>135</v>
      </c>
      <c r="F236" s="5" t="s">
        <v>24</v>
      </c>
      <c r="G236" s="5" t="s">
        <v>17</v>
      </c>
      <c r="H236" s="5">
        <v>194</v>
      </c>
      <c r="I236" s="5">
        <v>19</v>
      </c>
      <c r="J236" s="5" t="s">
        <v>26</v>
      </c>
      <c r="K236" s="5" t="s">
        <v>27</v>
      </c>
      <c r="L236" s="5" t="s">
        <v>40</v>
      </c>
      <c r="M236" s="7" t="s">
        <v>21</v>
      </c>
      <c r="N236" s="26">
        <f t="shared" si="21"/>
        <v>1</v>
      </c>
      <c r="O236" s="42">
        <f t="shared" si="22"/>
        <v>45170</v>
      </c>
      <c r="P236" s="5" t="str">
        <f t="shared" si="23"/>
        <v>Friday</v>
      </c>
      <c r="Q236" s="5">
        <f t="shared" si="24"/>
        <v>8</v>
      </c>
      <c r="R236" s="28">
        <f t="shared" si="25"/>
        <v>0.91079812206572774</v>
      </c>
      <c r="S236" s="29">
        <f t="shared" si="26"/>
        <v>91.079812206572768</v>
      </c>
      <c r="T236" s="5" t="str">
        <f>IF(Delivery_Data3[[#This Row],[Delays (min)]]&gt;0,"No","Yes")</f>
        <v>No</v>
      </c>
      <c r="W236" s="41">
        <f t="shared" si="27"/>
        <v>45170</v>
      </c>
      <c r="X236" s="5">
        <v>194</v>
      </c>
    </row>
    <row r="237" spans="1:24" ht="15.75" customHeight="1" x14ac:dyDescent="0.3">
      <c r="A237" s="4">
        <v>1236</v>
      </c>
      <c r="B237" s="5" t="s">
        <v>362</v>
      </c>
      <c r="C237" s="6">
        <v>45173.607638888891</v>
      </c>
      <c r="D237" s="5" t="s">
        <v>14</v>
      </c>
      <c r="E237" s="5" t="s">
        <v>158</v>
      </c>
      <c r="F237" s="5" t="s">
        <v>38</v>
      </c>
      <c r="G237" s="5" t="s">
        <v>56</v>
      </c>
      <c r="H237" s="5">
        <v>232</v>
      </c>
      <c r="I237" s="5">
        <v>4</v>
      </c>
      <c r="J237" s="5" t="s">
        <v>26</v>
      </c>
      <c r="K237" s="5" t="s">
        <v>35</v>
      </c>
      <c r="L237" s="5" t="s">
        <v>28</v>
      </c>
      <c r="M237" s="7" t="s">
        <v>46</v>
      </c>
      <c r="N237" s="26">
        <f t="shared" si="21"/>
        <v>1</v>
      </c>
      <c r="O237" s="42">
        <f t="shared" si="22"/>
        <v>45173</v>
      </c>
      <c r="P237" s="5" t="str">
        <f t="shared" si="23"/>
        <v>Monday</v>
      </c>
      <c r="Q237" s="5">
        <f t="shared" si="24"/>
        <v>14</v>
      </c>
      <c r="R237" s="28">
        <f t="shared" si="25"/>
        <v>0.98305084745762716</v>
      </c>
      <c r="S237" s="29">
        <f t="shared" si="26"/>
        <v>98.305084745762713</v>
      </c>
      <c r="T237" s="5" t="str">
        <f>IF(Delivery_Data3[[#This Row],[Delays (min)]]&gt;0,"No","Yes")</f>
        <v>No</v>
      </c>
      <c r="W237" s="41">
        <f t="shared" si="27"/>
        <v>45173</v>
      </c>
      <c r="X237" s="5">
        <v>232</v>
      </c>
    </row>
    <row r="238" spans="1:24" ht="15.75" customHeight="1" x14ac:dyDescent="0.3">
      <c r="A238" s="4">
        <v>1237</v>
      </c>
      <c r="B238" s="5" t="s">
        <v>363</v>
      </c>
      <c r="C238" s="6">
        <v>45176.394444444442</v>
      </c>
      <c r="D238" s="5" t="s">
        <v>43</v>
      </c>
      <c r="E238" s="5" t="s">
        <v>202</v>
      </c>
      <c r="F238" s="5" t="s">
        <v>38</v>
      </c>
      <c r="G238" s="5" t="s">
        <v>17</v>
      </c>
      <c r="H238" s="5">
        <v>79</v>
      </c>
      <c r="I238" s="5">
        <v>19</v>
      </c>
      <c r="J238" s="5" t="s">
        <v>26</v>
      </c>
      <c r="K238" s="5" t="s">
        <v>45</v>
      </c>
      <c r="L238" s="5" t="s">
        <v>28</v>
      </c>
      <c r="M238" s="7" t="s">
        <v>21</v>
      </c>
      <c r="N238" s="26">
        <f t="shared" si="21"/>
        <v>1</v>
      </c>
      <c r="O238" s="42">
        <f t="shared" si="22"/>
        <v>45176</v>
      </c>
      <c r="P238" s="5" t="str">
        <f t="shared" si="23"/>
        <v>Thursday</v>
      </c>
      <c r="Q238" s="5">
        <f t="shared" si="24"/>
        <v>9</v>
      </c>
      <c r="R238" s="28">
        <f t="shared" si="25"/>
        <v>0.80612244897959184</v>
      </c>
      <c r="S238" s="29">
        <f t="shared" si="26"/>
        <v>80.612244897959187</v>
      </c>
      <c r="T238" s="5" t="str">
        <f>IF(Delivery_Data3[[#This Row],[Delays (min)]]&gt;0,"No","Yes")</f>
        <v>No</v>
      </c>
      <c r="W238" s="41">
        <f t="shared" si="27"/>
        <v>45176</v>
      </c>
      <c r="X238" s="5">
        <v>79</v>
      </c>
    </row>
    <row r="239" spans="1:24" ht="15.75" customHeight="1" x14ac:dyDescent="0.3">
      <c r="A239" s="4">
        <v>1238</v>
      </c>
      <c r="B239" s="5" t="s">
        <v>364</v>
      </c>
      <c r="C239" s="6">
        <v>45171.533333333333</v>
      </c>
      <c r="D239" s="5" t="s">
        <v>43</v>
      </c>
      <c r="E239" s="5" t="s">
        <v>34</v>
      </c>
      <c r="F239" s="5" t="s">
        <v>24</v>
      </c>
      <c r="G239" s="5" t="s">
        <v>25</v>
      </c>
      <c r="H239" s="5">
        <v>111</v>
      </c>
      <c r="I239" s="5">
        <v>19</v>
      </c>
      <c r="J239" s="5" t="s">
        <v>18</v>
      </c>
      <c r="K239" s="5" t="s">
        <v>49</v>
      </c>
      <c r="L239" s="5" t="s">
        <v>28</v>
      </c>
      <c r="M239" s="7" t="s">
        <v>46</v>
      </c>
      <c r="N239" s="26">
        <f t="shared" si="21"/>
        <v>0</v>
      </c>
      <c r="O239" s="42">
        <f t="shared" si="22"/>
        <v>45171</v>
      </c>
      <c r="P239" s="5" t="str">
        <f t="shared" si="23"/>
        <v>Saturday</v>
      </c>
      <c r="Q239" s="5">
        <f t="shared" si="24"/>
        <v>12</v>
      </c>
      <c r="R239" s="28">
        <f t="shared" si="25"/>
        <v>0.85384615384615381</v>
      </c>
      <c r="S239" s="29">
        <f t="shared" si="26"/>
        <v>85.384615384615387</v>
      </c>
      <c r="T239" s="5" t="str">
        <f>IF(Delivery_Data3[[#This Row],[Delays (min)]]&gt;0,"No","Yes")</f>
        <v>No</v>
      </c>
      <c r="W239" s="41">
        <f t="shared" si="27"/>
        <v>45171</v>
      </c>
      <c r="X239" s="5">
        <v>111</v>
      </c>
    </row>
    <row r="240" spans="1:24" ht="15.75" customHeight="1" x14ac:dyDescent="0.3">
      <c r="A240" s="4">
        <v>1239</v>
      </c>
      <c r="B240" s="5" t="s">
        <v>365</v>
      </c>
      <c r="C240" s="6">
        <v>45176.631944444445</v>
      </c>
      <c r="D240" s="5" t="s">
        <v>14</v>
      </c>
      <c r="E240" s="5" t="s">
        <v>93</v>
      </c>
      <c r="F240" s="5" t="s">
        <v>38</v>
      </c>
      <c r="G240" s="5" t="s">
        <v>56</v>
      </c>
      <c r="H240" s="5">
        <v>89</v>
      </c>
      <c r="I240" s="5">
        <v>26</v>
      </c>
      <c r="J240" s="5" t="s">
        <v>26</v>
      </c>
      <c r="K240" s="5" t="s">
        <v>49</v>
      </c>
      <c r="L240" s="5" t="s">
        <v>28</v>
      </c>
      <c r="M240" s="7" t="s">
        <v>46</v>
      </c>
      <c r="N240" s="26">
        <f t="shared" si="21"/>
        <v>1</v>
      </c>
      <c r="O240" s="42">
        <f t="shared" si="22"/>
        <v>45176</v>
      </c>
      <c r="P240" s="5" t="str">
        <f t="shared" si="23"/>
        <v>Thursday</v>
      </c>
      <c r="Q240" s="5">
        <f t="shared" si="24"/>
        <v>15</v>
      </c>
      <c r="R240" s="28">
        <f t="shared" si="25"/>
        <v>0.77391304347826084</v>
      </c>
      <c r="S240" s="29">
        <f t="shared" si="26"/>
        <v>77.391304347826079</v>
      </c>
      <c r="T240" s="5" t="str">
        <f>IF(Delivery_Data3[[#This Row],[Delays (min)]]&gt;0,"No","Yes")</f>
        <v>No</v>
      </c>
      <c r="W240" s="41">
        <f t="shared" si="27"/>
        <v>45176</v>
      </c>
      <c r="X240" s="5">
        <v>89</v>
      </c>
    </row>
    <row r="241" spans="1:24" ht="15.75" customHeight="1" x14ac:dyDescent="0.3">
      <c r="A241" s="4">
        <v>1240</v>
      </c>
      <c r="B241" s="5" t="s">
        <v>366</v>
      </c>
      <c r="C241" s="6">
        <v>45170.668055555558</v>
      </c>
      <c r="D241" s="5" t="s">
        <v>43</v>
      </c>
      <c r="E241" s="5" t="s">
        <v>23</v>
      </c>
      <c r="F241" s="5" t="s">
        <v>16</v>
      </c>
      <c r="G241" s="5" t="s">
        <v>56</v>
      </c>
      <c r="H241" s="5">
        <v>201</v>
      </c>
      <c r="I241" s="5">
        <v>14</v>
      </c>
      <c r="J241" s="5" t="s">
        <v>18</v>
      </c>
      <c r="K241" s="5" t="s">
        <v>19</v>
      </c>
      <c r="L241" s="5" t="s">
        <v>40</v>
      </c>
      <c r="M241" s="7" t="s">
        <v>41</v>
      </c>
      <c r="N241" s="26">
        <f t="shared" si="21"/>
        <v>0</v>
      </c>
      <c r="O241" s="42">
        <f t="shared" si="22"/>
        <v>45170</v>
      </c>
      <c r="P241" s="5" t="str">
        <f t="shared" si="23"/>
        <v>Friday</v>
      </c>
      <c r="Q241" s="5">
        <f t="shared" si="24"/>
        <v>16</v>
      </c>
      <c r="R241" s="28">
        <f t="shared" si="25"/>
        <v>0.93488372093023253</v>
      </c>
      <c r="S241" s="29">
        <f t="shared" si="26"/>
        <v>93.488372093023258</v>
      </c>
      <c r="T241" s="5" t="str">
        <f>IF(Delivery_Data3[[#This Row],[Delays (min)]]&gt;0,"No","Yes")</f>
        <v>No</v>
      </c>
      <c r="W241" s="41">
        <f t="shared" si="27"/>
        <v>45170</v>
      </c>
      <c r="X241" s="5">
        <v>201</v>
      </c>
    </row>
    <row r="242" spans="1:24" ht="15.75" customHeight="1" x14ac:dyDescent="0.3">
      <c r="A242" s="4">
        <v>1241</v>
      </c>
      <c r="B242" s="5" t="s">
        <v>367</v>
      </c>
      <c r="C242" s="6">
        <v>45175.67083333333</v>
      </c>
      <c r="D242" s="5" t="s">
        <v>14</v>
      </c>
      <c r="E242" s="5" t="s">
        <v>164</v>
      </c>
      <c r="F242" s="5" t="s">
        <v>16</v>
      </c>
      <c r="G242" s="5" t="s">
        <v>25</v>
      </c>
      <c r="H242" s="5">
        <v>225</v>
      </c>
      <c r="I242" s="5">
        <v>5</v>
      </c>
      <c r="J242" s="5" t="s">
        <v>26</v>
      </c>
      <c r="K242" s="5" t="s">
        <v>27</v>
      </c>
      <c r="L242" s="5" t="s">
        <v>28</v>
      </c>
      <c r="M242" s="7" t="s">
        <v>21</v>
      </c>
      <c r="N242" s="26">
        <f t="shared" si="21"/>
        <v>1</v>
      </c>
      <c r="O242" s="42">
        <f t="shared" si="22"/>
        <v>45175</v>
      </c>
      <c r="P242" s="5" t="str">
        <f t="shared" si="23"/>
        <v>Wednesday</v>
      </c>
      <c r="Q242" s="5">
        <f t="shared" si="24"/>
        <v>16</v>
      </c>
      <c r="R242" s="28">
        <f t="shared" si="25"/>
        <v>0.97826086956521741</v>
      </c>
      <c r="S242" s="29">
        <f t="shared" si="26"/>
        <v>97.826086956521735</v>
      </c>
      <c r="T242" s="5" t="str">
        <f>IF(Delivery_Data3[[#This Row],[Delays (min)]]&gt;0,"No","Yes")</f>
        <v>No</v>
      </c>
      <c r="W242" s="41">
        <f t="shared" si="27"/>
        <v>45175</v>
      </c>
      <c r="X242" s="5">
        <v>225</v>
      </c>
    </row>
    <row r="243" spans="1:24" ht="15.75" customHeight="1" x14ac:dyDescent="0.3">
      <c r="A243" s="4">
        <v>1242</v>
      </c>
      <c r="B243" s="5" t="s">
        <v>368</v>
      </c>
      <c r="C243" s="6">
        <v>45172.629166666666</v>
      </c>
      <c r="D243" s="5" t="s">
        <v>43</v>
      </c>
      <c r="E243" s="5" t="s">
        <v>272</v>
      </c>
      <c r="F243" s="5" t="s">
        <v>24</v>
      </c>
      <c r="G243" s="5" t="s">
        <v>39</v>
      </c>
      <c r="H243" s="5">
        <v>186</v>
      </c>
      <c r="I243" s="5">
        <v>24</v>
      </c>
      <c r="J243" s="5" t="s">
        <v>32</v>
      </c>
      <c r="K243" s="5" t="s">
        <v>19</v>
      </c>
      <c r="L243" s="5" t="s">
        <v>40</v>
      </c>
      <c r="M243" s="7" t="s">
        <v>41</v>
      </c>
      <c r="N243" s="26">
        <f t="shared" si="21"/>
        <v>-1</v>
      </c>
      <c r="O243" s="42">
        <f t="shared" si="22"/>
        <v>45172</v>
      </c>
      <c r="P243" s="5" t="str">
        <f t="shared" si="23"/>
        <v>Sunday</v>
      </c>
      <c r="Q243" s="5">
        <f t="shared" si="24"/>
        <v>15</v>
      </c>
      <c r="R243" s="28">
        <f t="shared" si="25"/>
        <v>0.88571428571428568</v>
      </c>
      <c r="S243" s="29">
        <f t="shared" si="26"/>
        <v>88.571428571428569</v>
      </c>
      <c r="T243" s="5" t="str">
        <f>IF(Delivery_Data3[[#This Row],[Delays (min)]]&gt;0,"No","Yes")</f>
        <v>No</v>
      </c>
      <c r="W243" s="41">
        <f t="shared" si="27"/>
        <v>45172</v>
      </c>
      <c r="X243" s="5">
        <v>186</v>
      </c>
    </row>
    <row r="244" spans="1:24" ht="15.75" customHeight="1" x14ac:dyDescent="0.3">
      <c r="A244" s="4">
        <v>1243</v>
      </c>
      <c r="B244" s="5" t="s">
        <v>369</v>
      </c>
      <c r="C244" s="6">
        <v>45171.371527777781</v>
      </c>
      <c r="D244" s="5" t="s">
        <v>43</v>
      </c>
      <c r="E244" s="5" t="s">
        <v>370</v>
      </c>
      <c r="F244" s="5" t="s">
        <v>16</v>
      </c>
      <c r="G244" s="5" t="s">
        <v>39</v>
      </c>
      <c r="H244" s="5">
        <v>180</v>
      </c>
      <c r="I244" s="5">
        <v>2</v>
      </c>
      <c r="J244" s="5" t="s">
        <v>32</v>
      </c>
      <c r="K244" s="5" t="s">
        <v>27</v>
      </c>
      <c r="L244" s="5" t="s">
        <v>28</v>
      </c>
      <c r="M244" s="7" t="s">
        <v>21</v>
      </c>
      <c r="N244" s="26">
        <f t="shared" si="21"/>
        <v>-1</v>
      </c>
      <c r="O244" s="42">
        <f t="shared" si="22"/>
        <v>45171</v>
      </c>
      <c r="P244" s="5" t="str">
        <f t="shared" si="23"/>
        <v>Saturday</v>
      </c>
      <c r="Q244" s="5">
        <f t="shared" si="24"/>
        <v>8</v>
      </c>
      <c r="R244" s="28">
        <f t="shared" si="25"/>
        <v>0.98901098901098905</v>
      </c>
      <c r="S244" s="29">
        <f t="shared" si="26"/>
        <v>98.901098901098905</v>
      </c>
      <c r="T244" s="5" t="str">
        <f>IF(Delivery_Data3[[#This Row],[Delays (min)]]&gt;0,"No","Yes")</f>
        <v>No</v>
      </c>
      <c r="W244" s="41">
        <f t="shared" si="27"/>
        <v>45171</v>
      </c>
      <c r="X244" s="5">
        <v>180</v>
      </c>
    </row>
    <row r="245" spans="1:24" ht="15.75" customHeight="1" x14ac:dyDescent="0.3">
      <c r="A245" s="4">
        <v>1244</v>
      </c>
      <c r="B245" s="5" t="s">
        <v>371</v>
      </c>
      <c r="C245" s="6">
        <v>45170.572916666664</v>
      </c>
      <c r="D245" s="5" t="s">
        <v>14</v>
      </c>
      <c r="E245" s="5" t="s">
        <v>122</v>
      </c>
      <c r="F245" s="5" t="s">
        <v>16</v>
      </c>
      <c r="G245" s="5" t="s">
        <v>56</v>
      </c>
      <c r="H245" s="5">
        <v>74</v>
      </c>
      <c r="I245" s="5">
        <v>26</v>
      </c>
      <c r="J245" s="5" t="s">
        <v>18</v>
      </c>
      <c r="K245" s="5" t="s">
        <v>45</v>
      </c>
      <c r="L245" s="5" t="s">
        <v>28</v>
      </c>
      <c r="M245" s="7" t="s">
        <v>41</v>
      </c>
      <c r="N245" s="26">
        <f t="shared" si="21"/>
        <v>0</v>
      </c>
      <c r="O245" s="42">
        <f t="shared" si="22"/>
        <v>45170</v>
      </c>
      <c r="P245" s="5" t="str">
        <f t="shared" si="23"/>
        <v>Friday</v>
      </c>
      <c r="Q245" s="5">
        <f t="shared" si="24"/>
        <v>13</v>
      </c>
      <c r="R245" s="28">
        <f t="shared" si="25"/>
        <v>0.74</v>
      </c>
      <c r="S245" s="29">
        <f t="shared" si="26"/>
        <v>74</v>
      </c>
      <c r="T245" s="5" t="str">
        <f>IF(Delivery_Data3[[#This Row],[Delays (min)]]&gt;0,"No","Yes")</f>
        <v>No</v>
      </c>
      <c r="W245" s="41">
        <f t="shared" si="27"/>
        <v>45170</v>
      </c>
      <c r="X245" s="5">
        <v>74</v>
      </c>
    </row>
    <row r="246" spans="1:24" ht="15.75" customHeight="1" x14ac:dyDescent="0.3">
      <c r="A246" s="4">
        <v>1245</v>
      </c>
      <c r="B246" s="5" t="s">
        <v>372</v>
      </c>
      <c r="C246" s="6">
        <v>45173.628472222219</v>
      </c>
      <c r="D246" s="5" t="s">
        <v>14</v>
      </c>
      <c r="E246" s="5" t="s">
        <v>261</v>
      </c>
      <c r="F246" s="5" t="s">
        <v>24</v>
      </c>
      <c r="G246" s="5" t="s">
        <v>17</v>
      </c>
      <c r="H246" s="5">
        <v>64</v>
      </c>
      <c r="I246" s="5">
        <v>8</v>
      </c>
      <c r="J246" s="5" t="s">
        <v>32</v>
      </c>
      <c r="K246" s="5" t="s">
        <v>49</v>
      </c>
      <c r="L246" s="5" t="s">
        <v>20</v>
      </c>
      <c r="M246" s="7" t="s">
        <v>46</v>
      </c>
      <c r="N246" s="26">
        <f t="shared" si="21"/>
        <v>-1</v>
      </c>
      <c r="O246" s="42">
        <f t="shared" si="22"/>
        <v>45173</v>
      </c>
      <c r="P246" s="5" t="str">
        <f t="shared" si="23"/>
        <v>Monday</v>
      </c>
      <c r="Q246" s="5">
        <f t="shared" si="24"/>
        <v>15</v>
      </c>
      <c r="R246" s="28">
        <f t="shared" si="25"/>
        <v>0.88888888888888884</v>
      </c>
      <c r="S246" s="29">
        <f t="shared" si="26"/>
        <v>88.888888888888886</v>
      </c>
      <c r="T246" s="5" t="str">
        <f>IF(Delivery_Data3[[#This Row],[Delays (min)]]&gt;0,"No","Yes")</f>
        <v>No</v>
      </c>
      <c r="W246" s="41">
        <f t="shared" si="27"/>
        <v>45173</v>
      </c>
      <c r="X246" s="5">
        <v>64</v>
      </c>
    </row>
    <row r="247" spans="1:24" ht="15.75" customHeight="1" x14ac:dyDescent="0.3">
      <c r="A247" s="4">
        <v>1246</v>
      </c>
      <c r="B247" s="5" t="s">
        <v>373</v>
      </c>
      <c r="C247" s="6">
        <v>45176.668055555558</v>
      </c>
      <c r="D247" s="5" t="s">
        <v>14</v>
      </c>
      <c r="E247" s="5" t="s">
        <v>374</v>
      </c>
      <c r="F247" s="5" t="s">
        <v>24</v>
      </c>
      <c r="G247" s="5" t="s">
        <v>25</v>
      </c>
      <c r="H247" s="5">
        <v>66</v>
      </c>
      <c r="I247" s="5">
        <v>21</v>
      </c>
      <c r="J247" s="5" t="s">
        <v>32</v>
      </c>
      <c r="K247" s="5" t="s">
        <v>35</v>
      </c>
      <c r="L247" s="5" t="s">
        <v>40</v>
      </c>
      <c r="M247" s="7" t="s">
        <v>41</v>
      </c>
      <c r="N247" s="26">
        <f t="shared" si="21"/>
        <v>-1</v>
      </c>
      <c r="O247" s="42">
        <f t="shared" si="22"/>
        <v>45176</v>
      </c>
      <c r="P247" s="5" t="str">
        <f t="shared" si="23"/>
        <v>Thursday</v>
      </c>
      <c r="Q247" s="5">
        <f t="shared" si="24"/>
        <v>16</v>
      </c>
      <c r="R247" s="28">
        <f t="shared" si="25"/>
        <v>0.75862068965517238</v>
      </c>
      <c r="S247" s="29">
        <f t="shared" si="26"/>
        <v>75.862068965517238</v>
      </c>
      <c r="T247" s="5" t="str">
        <f>IF(Delivery_Data3[[#This Row],[Delays (min)]]&gt;0,"No","Yes")</f>
        <v>No</v>
      </c>
      <c r="W247" s="41">
        <f t="shared" si="27"/>
        <v>45176</v>
      </c>
      <c r="X247" s="5">
        <v>66</v>
      </c>
    </row>
    <row r="248" spans="1:24" ht="15.75" customHeight="1" x14ac:dyDescent="0.3">
      <c r="A248" s="4">
        <v>1247</v>
      </c>
      <c r="B248" s="5" t="s">
        <v>375</v>
      </c>
      <c r="C248" s="6">
        <v>45173.629166666666</v>
      </c>
      <c r="D248" s="5" t="s">
        <v>14</v>
      </c>
      <c r="E248" s="5" t="s">
        <v>220</v>
      </c>
      <c r="F248" s="5" t="s">
        <v>38</v>
      </c>
      <c r="G248" s="5" t="s">
        <v>39</v>
      </c>
      <c r="H248" s="5">
        <v>156</v>
      </c>
      <c r="I248" s="5">
        <v>17</v>
      </c>
      <c r="J248" s="5" t="s">
        <v>26</v>
      </c>
      <c r="K248" s="5" t="s">
        <v>49</v>
      </c>
      <c r="L248" s="5" t="s">
        <v>40</v>
      </c>
      <c r="M248" s="7" t="s">
        <v>21</v>
      </c>
      <c r="N248" s="26">
        <f t="shared" si="21"/>
        <v>1</v>
      </c>
      <c r="O248" s="42">
        <f t="shared" si="22"/>
        <v>45173</v>
      </c>
      <c r="P248" s="5" t="str">
        <f t="shared" si="23"/>
        <v>Monday</v>
      </c>
      <c r="Q248" s="5">
        <f t="shared" si="24"/>
        <v>15</v>
      </c>
      <c r="R248" s="28">
        <f t="shared" si="25"/>
        <v>0.90173410404624277</v>
      </c>
      <c r="S248" s="29">
        <f t="shared" si="26"/>
        <v>90.173410404624278</v>
      </c>
      <c r="T248" s="5" t="str">
        <f>IF(Delivery_Data3[[#This Row],[Delays (min)]]&gt;0,"No","Yes")</f>
        <v>No</v>
      </c>
      <c r="W248" s="41">
        <f t="shared" si="27"/>
        <v>45173</v>
      </c>
      <c r="X248" s="5">
        <v>156</v>
      </c>
    </row>
    <row r="249" spans="1:24" ht="15.75" customHeight="1" x14ac:dyDescent="0.3">
      <c r="A249" s="4">
        <v>1248</v>
      </c>
      <c r="B249" s="5" t="s">
        <v>376</v>
      </c>
      <c r="C249" s="6">
        <v>45173.353472222225</v>
      </c>
      <c r="D249" s="5" t="s">
        <v>43</v>
      </c>
      <c r="E249" s="5" t="s">
        <v>240</v>
      </c>
      <c r="F249" s="5" t="s">
        <v>38</v>
      </c>
      <c r="G249" s="5" t="s">
        <v>39</v>
      </c>
      <c r="H249" s="5">
        <v>175</v>
      </c>
      <c r="I249" s="5">
        <v>20</v>
      </c>
      <c r="J249" s="5" t="s">
        <v>18</v>
      </c>
      <c r="K249" s="5" t="s">
        <v>27</v>
      </c>
      <c r="L249" s="5" t="s">
        <v>20</v>
      </c>
      <c r="M249" s="7" t="s">
        <v>21</v>
      </c>
      <c r="N249" s="26">
        <f t="shared" si="21"/>
        <v>0</v>
      </c>
      <c r="O249" s="42">
        <f t="shared" si="22"/>
        <v>45173</v>
      </c>
      <c r="P249" s="5" t="str">
        <f t="shared" si="23"/>
        <v>Monday</v>
      </c>
      <c r="Q249" s="5">
        <f t="shared" si="24"/>
        <v>8</v>
      </c>
      <c r="R249" s="28">
        <f t="shared" si="25"/>
        <v>0.89743589743589747</v>
      </c>
      <c r="S249" s="29">
        <f t="shared" si="26"/>
        <v>89.743589743589752</v>
      </c>
      <c r="T249" s="5" t="str">
        <f>IF(Delivery_Data3[[#This Row],[Delays (min)]]&gt;0,"No","Yes")</f>
        <v>No</v>
      </c>
      <c r="W249" s="41">
        <f t="shared" si="27"/>
        <v>45173</v>
      </c>
      <c r="X249" s="5">
        <v>175</v>
      </c>
    </row>
    <row r="250" spans="1:24" ht="15.75" customHeight="1" x14ac:dyDescent="0.3">
      <c r="A250" s="4">
        <v>1249</v>
      </c>
      <c r="B250" s="5" t="s">
        <v>377</v>
      </c>
      <c r="C250" s="6">
        <v>45170.545138888891</v>
      </c>
      <c r="D250" s="5" t="s">
        <v>43</v>
      </c>
      <c r="E250" s="5" t="s">
        <v>73</v>
      </c>
      <c r="F250" s="5" t="s">
        <v>16</v>
      </c>
      <c r="G250" s="5" t="s">
        <v>17</v>
      </c>
      <c r="H250" s="5">
        <v>180</v>
      </c>
      <c r="I250" s="5">
        <v>25</v>
      </c>
      <c r="J250" s="5" t="s">
        <v>18</v>
      </c>
      <c r="K250" s="5" t="s">
        <v>35</v>
      </c>
      <c r="L250" s="5" t="s">
        <v>20</v>
      </c>
      <c r="M250" s="7" t="s">
        <v>46</v>
      </c>
      <c r="N250" s="26">
        <f t="shared" si="21"/>
        <v>0</v>
      </c>
      <c r="O250" s="42">
        <f t="shared" si="22"/>
        <v>45170</v>
      </c>
      <c r="P250" s="5" t="str">
        <f t="shared" si="23"/>
        <v>Friday</v>
      </c>
      <c r="Q250" s="5">
        <f t="shared" si="24"/>
        <v>13</v>
      </c>
      <c r="R250" s="28">
        <f t="shared" si="25"/>
        <v>0.87804878048780488</v>
      </c>
      <c r="S250" s="29">
        <f t="shared" si="26"/>
        <v>87.804878048780495</v>
      </c>
      <c r="T250" s="5" t="str">
        <f>IF(Delivery_Data3[[#This Row],[Delays (min)]]&gt;0,"No","Yes")</f>
        <v>No</v>
      </c>
      <c r="W250" s="41">
        <f t="shared" si="27"/>
        <v>45170</v>
      </c>
      <c r="X250" s="5">
        <v>180</v>
      </c>
    </row>
    <row r="251" spans="1:24" ht="15.75" customHeight="1" x14ac:dyDescent="0.3">
      <c r="A251" s="4">
        <v>1250</v>
      </c>
      <c r="B251" s="5" t="s">
        <v>378</v>
      </c>
      <c r="C251" s="6">
        <v>45174.515972222223</v>
      </c>
      <c r="D251" s="5" t="s">
        <v>14</v>
      </c>
      <c r="E251" s="5" t="s">
        <v>171</v>
      </c>
      <c r="F251" s="5" t="s">
        <v>24</v>
      </c>
      <c r="G251" s="5" t="s">
        <v>17</v>
      </c>
      <c r="H251" s="5">
        <v>97</v>
      </c>
      <c r="I251" s="5">
        <v>5</v>
      </c>
      <c r="J251" s="5" t="s">
        <v>26</v>
      </c>
      <c r="K251" s="5" t="s">
        <v>35</v>
      </c>
      <c r="L251" s="5" t="s">
        <v>20</v>
      </c>
      <c r="M251" s="7" t="s">
        <v>46</v>
      </c>
      <c r="N251" s="26">
        <f t="shared" si="21"/>
        <v>1</v>
      </c>
      <c r="O251" s="42">
        <f t="shared" si="22"/>
        <v>45174</v>
      </c>
      <c r="P251" s="5" t="str">
        <f t="shared" si="23"/>
        <v>Tuesday</v>
      </c>
      <c r="Q251" s="5">
        <f t="shared" si="24"/>
        <v>12</v>
      </c>
      <c r="R251" s="28">
        <f t="shared" si="25"/>
        <v>0.9509803921568627</v>
      </c>
      <c r="S251" s="29">
        <f t="shared" si="26"/>
        <v>95.098039215686271</v>
      </c>
      <c r="T251" s="5" t="str">
        <f>IF(Delivery_Data3[[#This Row],[Delays (min)]]&gt;0,"No","Yes")</f>
        <v>No</v>
      </c>
      <c r="W251" s="41">
        <f t="shared" si="27"/>
        <v>45174</v>
      </c>
      <c r="X251" s="5">
        <v>97</v>
      </c>
    </row>
    <row r="252" spans="1:24" ht="15.75" customHeight="1" x14ac:dyDescent="0.3">
      <c r="A252" s="4">
        <v>1251</v>
      </c>
      <c r="B252" s="5" t="s">
        <v>379</v>
      </c>
      <c r="C252" s="6">
        <v>45173.638194444444</v>
      </c>
      <c r="D252" s="5" t="s">
        <v>14</v>
      </c>
      <c r="E252" s="5" t="s">
        <v>55</v>
      </c>
      <c r="F252" s="5" t="s">
        <v>16</v>
      </c>
      <c r="G252" s="5" t="s">
        <v>25</v>
      </c>
      <c r="H252" s="5">
        <v>79</v>
      </c>
      <c r="I252" s="5">
        <v>26</v>
      </c>
      <c r="J252" s="5" t="s">
        <v>32</v>
      </c>
      <c r="K252" s="5" t="s">
        <v>19</v>
      </c>
      <c r="L252" s="5" t="s">
        <v>40</v>
      </c>
      <c r="M252" s="7" t="s">
        <v>41</v>
      </c>
      <c r="N252" s="26">
        <f t="shared" si="21"/>
        <v>-1</v>
      </c>
      <c r="O252" s="42">
        <f t="shared" si="22"/>
        <v>45173</v>
      </c>
      <c r="P252" s="5" t="str">
        <f t="shared" si="23"/>
        <v>Monday</v>
      </c>
      <c r="Q252" s="5">
        <f t="shared" si="24"/>
        <v>15</v>
      </c>
      <c r="R252" s="28">
        <f t="shared" si="25"/>
        <v>0.75238095238095237</v>
      </c>
      <c r="S252" s="29">
        <f t="shared" si="26"/>
        <v>75.238095238095241</v>
      </c>
      <c r="T252" s="5" t="str">
        <f>IF(Delivery_Data3[[#This Row],[Delays (min)]]&gt;0,"No","Yes")</f>
        <v>No</v>
      </c>
      <c r="W252" s="41">
        <f t="shared" si="27"/>
        <v>45173</v>
      </c>
      <c r="X252" s="5">
        <v>79</v>
      </c>
    </row>
    <row r="253" spans="1:24" ht="15.75" customHeight="1" x14ac:dyDescent="0.3">
      <c r="A253" s="4">
        <v>1252</v>
      </c>
      <c r="B253" s="5" t="s">
        <v>380</v>
      </c>
      <c r="C253" s="6">
        <v>45171.59097222222</v>
      </c>
      <c r="D253" s="5" t="s">
        <v>14</v>
      </c>
      <c r="E253" s="5" t="s">
        <v>99</v>
      </c>
      <c r="F253" s="5" t="s">
        <v>24</v>
      </c>
      <c r="G253" s="5" t="s">
        <v>17</v>
      </c>
      <c r="H253" s="5">
        <v>141</v>
      </c>
      <c r="I253" s="5">
        <v>18</v>
      </c>
      <c r="J253" s="5" t="s">
        <v>18</v>
      </c>
      <c r="K253" s="5" t="s">
        <v>19</v>
      </c>
      <c r="L253" s="5" t="s">
        <v>28</v>
      </c>
      <c r="M253" s="7" t="s">
        <v>41</v>
      </c>
      <c r="N253" s="26">
        <f t="shared" si="21"/>
        <v>0</v>
      </c>
      <c r="O253" s="42">
        <f t="shared" si="22"/>
        <v>45171</v>
      </c>
      <c r="P253" s="5" t="str">
        <f t="shared" si="23"/>
        <v>Saturday</v>
      </c>
      <c r="Q253" s="5">
        <f t="shared" si="24"/>
        <v>14</v>
      </c>
      <c r="R253" s="28">
        <f t="shared" si="25"/>
        <v>0.8867924528301887</v>
      </c>
      <c r="S253" s="29">
        <f t="shared" si="26"/>
        <v>88.679245283018872</v>
      </c>
      <c r="T253" s="5" t="str">
        <f>IF(Delivery_Data3[[#This Row],[Delays (min)]]&gt;0,"No","Yes")</f>
        <v>No</v>
      </c>
      <c r="W253" s="41">
        <f t="shared" si="27"/>
        <v>45171</v>
      </c>
      <c r="X253" s="5">
        <v>141</v>
      </c>
    </row>
    <row r="254" spans="1:24" ht="15.75" customHeight="1" x14ac:dyDescent="0.3">
      <c r="A254" s="4">
        <v>1253</v>
      </c>
      <c r="B254" s="5" t="s">
        <v>381</v>
      </c>
      <c r="C254" s="6">
        <v>45170.459027777775</v>
      </c>
      <c r="D254" s="5" t="s">
        <v>14</v>
      </c>
      <c r="E254" s="5" t="s">
        <v>301</v>
      </c>
      <c r="F254" s="5" t="s">
        <v>16</v>
      </c>
      <c r="G254" s="5" t="s">
        <v>56</v>
      </c>
      <c r="H254" s="5">
        <v>128</v>
      </c>
      <c r="I254" s="5">
        <v>16</v>
      </c>
      <c r="J254" s="5" t="s">
        <v>18</v>
      </c>
      <c r="K254" s="5" t="s">
        <v>19</v>
      </c>
      <c r="L254" s="5" t="s">
        <v>20</v>
      </c>
      <c r="M254" s="7" t="s">
        <v>21</v>
      </c>
      <c r="N254" s="26">
        <f t="shared" si="21"/>
        <v>0</v>
      </c>
      <c r="O254" s="42">
        <f t="shared" si="22"/>
        <v>45170</v>
      </c>
      <c r="P254" s="5" t="str">
        <f t="shared" si="23"/>
        <v>Friday</v>
      </c>
      <c r="Q254" s="5">
        <f t="shared" si="24"/>
        <v>11</v>
      </c>
      <c r="R254" s="28">
        <f t="shared" si="25"/>
        <v>0.88888888888888884</v>
      </c>
      <c r="S254" s="29">
        <f t="shared" si="26"/>
        <v>88.888888888888886</v>
      </c>
      <c r="T254" s="5" t="str">
        <f>IF(Delivery_Data3[[#This Row],[Delays (min)]]&gt;0,"No","Yes")</f>
        <v>No</v>
      </c>
      <c r="W254" s="41">
        <f t="shared" si="27"/>
        <v>45170</v>
      </c>
      <c r="X254" s="5">
        <v>128</v>
      </c>
    </row>
    <row r="255" spans="1:24" ht="15.75" customHeight="1" x14ac:dyDescent="0.3">
      <c r="A255" s="4">
        <v>1254</v>
      </c>
      <c r="B255" s="5" t="s">
        <v>382</v>
      </c>
      <c r="C255" s="6">
        <v>45175.59097222222</v>
      </c>
      <c r="D255" s="5" t="s">
        <v>14</v>
      </c>
      <c r="E255" s="5" t="s">
        <v>66</v>
      </c>
      <c r="F255" s="5" t="s">
        <v>24</v>
      </c>
      <c r="G255" s="5" t="s">
        <v>56</v>
      </c>
      <c r="H255" s="5">
        <v>64</v>
      </c>
      <c r="I255" s="5">
        <v>9</v>
      </c>
      <c r="J255" s="5" t="s">
        <v>32</v>
      </c>
      <c r="K255" s="5" t="s">
        <v>27</v>
      </c>
      <c r="L255" s="5" t="s">
        <v>28</v>
      </c>
      <c r="M255" s="7" t="s">
        <v>41</v>
      </c>
      <c r="N255" s="26">
        <f t="shared" si="21"/>
        <v>-1</v>
      </c>
      <c r="O255" s="42">
        <f t="shared" si="22"/>
        <v>45175</v>
      </c>
      <c r="P255" s="5" t="str">
        <f t="shared" si="23"/>
        <v>Wednesday</v>
      </c>
      <c r="Q255" s="5">
        <f t="shared" si="24"/>
        <v>14</v>
      </c>
      <c r="R255" s="28">
        <f t="shared" si="25"/>
        <v>0.87671232876712324</v>
      </c>
      <c r="S255" s="29">
        <f t="shared" si="26"/>
        <v>87.671232876712324</v>
      </c>
      <c r="T255" s="5" t="str">
        <f>IF(Delivery_Data3[[#This Row],[Delays (min)]]&gt;0,"No","Yes")</f>
        <v>No</v>
      </c>
      <c r="W255" s="41">
        <f t="shared" si="27"/>
        <v>45175</v>
      </c>
      <c r="X255" s="5">
        <v>64</v>
      </c>
    </row>
    <row r="256" spans="1:24" ht="15.75" customHeight="1" x14ac:dyDescent="0.3">
      <c r="A256" s="4">
        <v>1255</v>
      </c>
      <c r="B256" s="5" t="s">
        <v>383</v>
      </c>
      <c r="C256" s="6">
        <v>45175.704861111109</v>
      </c>
      <c r="D256" s="5" t="s">
        <v>43</v>
      </c>
      <c r="E256" s="5" t="s">
        <v>113</v>
      </c>
      <c r="F256" s="5" t="s">
        <v>16</v>
      </c>
      <c r="G256" s="5" t="s">
        <v>56</v>
      </c>
      <c r="H256" s="5">
        <v>69</v>
      </c>
      <c r="I256" s="5">
        <v>29</v>
      </c>
      <c r="J256" s="5" t="s">
        <v>32</v>
      </c>
      <c r="K256" s="5" t="s">
        <v>19</v>
      </c>
      <c r="L256" s="5" t="s">
        <v>20</v>
      </c>
      <c r="M256" s="7" t="s">
        <v>46</v>
      </c>
      <c r="N256" s="26">
        <f t="shared" si="21"/>
        <v>-1</v>
      </c>
      <c r="O256" s="42">
        <f t="shared" si="22"/>
        <v>45175</v>
      </c>
      <c r="P256" s="5" t="str">
        <f t="shared" si="23"/>
        <v>Wednesday</v>
      </c>
      <c r="Q256" s="5">
        <f t="shared" si="24"/>
        <v>16</v>
      </c>
      <c r="R256" s="28">
        <f t="shared" si="25"/>
        <v>0.70408163265306123</v>
      </c>
      <c r="S256" s="29">
        <f t="shared" si="26"/>
        <v>70.408163265306129</v>
      </c>
      <c r="T256" s="5" t="str">
        <f>IF(Delivery_Data3[[#This Row],[Delays (min)]]&gt;0,"No","Yes")</f>
        <v>No</v>
      </c>
      <c r="W256" s="41">
        <f t="shared" si="27"/>
        <v>45175</v>
      </c>
      <c r="X256" s="5">
        <v>69</v>
      </c>
    </row>
    <row r="257" spans="1:24" ht="15.75" customHeight="1" x14ac:dyDescent="0.3">
      <c r="A257" s="4">
        <v>1256</v>
      </c>
      <c r="B257" s="5" t="s">
        <v>384</v>
      </c>
      <c r="C257" s="6">
        <v>45176.643750000003</v>
      </c>
      <c r="D257" s="5" t="s">
        <v>43</v>
      </c>
      <c r="E257" s="5" t="s">
        <v>70</v>
      </c>
      <c r="F257" s="5" t="s">
        <v>24</v>
      </c>
      <c r="G257" s="5" t="s">
        <v>39</v>
      </c>
      <c r="H257" s="5">
        <v>67</v>
      </c>
      <c r="I257" s="5">
        <v>22</v>
      </c>
      <c r="J257" s="5" t="s">
        <v>26</v>
      </c>
      <c r="K257" s="5" t="s">
        <v>19</v>
      </c>
      <c r="L257" s="5" t="s">
        <v>28</v>
      </c>
      <c r="M257" s="7" t="s">
        <v>46</v>
      </c>
      <c r="N257" s="26">
        <f t="shared" si="21"/>
        <v>1</v>
      </c>
      <c r="O257" s="42">
        <f t="shared" si="22"/>
        <v>45176</v>
      </c>
      <c r="P257" s="5" t="str">
        <f t="shared" si="23"/>
        <v>Thursday</v>
      </c>
      <c r="Q257" s="5">
        <f t="shared" si="24"/>
        <v>15</v>
      </c>
      <c r="R257" s="28">
        <f t="shared" si="25"/>
        <v>0.7528089887640449</v>
      </c>
      <c r="S257" s="29">
        <f t="shared" si="26"/>
        <v>75.280898876404493</v>
      </c>
      <c r="T257" s="5" t="str">
        <f>IF(Delivery_Data3[[#This Row],[Delays (min)]]&gt;0,"No","Yes")</f>
        <v>No</v>
      </c>
      <c r="W257" s="41">
        <f t="shared" si="27"/>
        <v>45176</v>
      </c>
      <c r="X257" s="5">
        <v>67</v>
      </c>
    </row>
    <row r="258" spans="1:24" ht="15.75" customHeight="1" x14ac:dyDescent="0.3">
      <c r="A258" s="4">
        <v>1257</v>
      </c>
      <c r="B258" s="5" t="s">
        <v>385</v>
      </c>
      <c r="C258" s="6">
        <v>45170.521527777775</v>
      </c>
      <c r="D258" s="5" t="s">
        <v>43</v>
      </c>
      <c r="E258" s="5" t="s">
        <v>177</v>
      </c>
      <c r="F258" s="5" t="s">
        <v>24</v>
      </c>
      <c r="G258" s="5" t="s">
        <v>56</v>
      </c>
      <c r="H258" s="5">
        <v>218</v>
      </c>
      <c r="I258" s="5">
        <v>25</v>
      </c>
      <c r="J258" s="5" t="s">
        <v>26</v>
      </c>
      <c r="K258" s="5" t="s">
        <v>35</v>
      </c>
      <c r="L258" s="5" t="s">
        <v>40</v>
      </c>
      <c r="M258" s="7" t="s">
        <v>41</v>
      </c>
      <c r="N258" s="26">
        <f t="shared" ref="N258:N321" si="28">IF(J258="Positive",1,IF(J258="Neutral",0,IF(J258="Negative",-1,"")))</f>
        <v>1</v>
      </c>
      <c r="O258" s="42">
        <f t="shared" ref="O258:O321" si="29">INT(C258)</f>
        <v>45170</v>
      </c>
      <c r="P258" s="5" t="str">
        <f t="shared" ref="P258:P321" si="30">TEXT(C258,"dddd")</f>
        <v>Friday</v>
      </c>
      <c r="Q258" s="5">
        <f t="shared" ref="Q258:Q321" si="31">HOUR(C258)</f>
        <v>12</v>
      </c>
      <c r="R258" s="28">
        <f t="shared" ref="R258:R321" si="32">H258/(H258+I258)</f>
        <v>0.89711934156378603</v>
      </c>
      <c r="S258" s="29">
        <f t="shared" si="26"/>
        <v>89.711934156378604</v>
      </c>
      <c r="T258" s="5" t="str">
        <f>IF(Delivery_Data3[[#This Row],[Delays (min)]]&gt;0,"No","Yes")</f>
        <v>No</v>
      </c>
      <c r="W258" s="41">
        <f t="shared" si="27"/>
        <v>45170</v>
      </c>
      <c r="X258" s="5">
        <v>218</v>
      </c>
    </row>
    <row r="259" spans="1:24" ht="15.75" customHeight="1" x14ac:dyDescent="0.3">
      <c r="A259" s="4">
        <v>1258</v>
      </c>
      <c r="B259" s="5" t="s">
        <v>386</v>
      </c>
      <c r="C259" s="6">
        <v>45170.463194444441</v>
      </c>
      <c r="D259" s="5" t="s">
        <v>43</v>
      </c>
      <c r="E259" s="5" t="s">
        <v>106</v>
      </c>
      <c r="F259" s="5" t="s">
        <v>16</v>
      </c>
      <c r="G259" s="5" t="s">
        <v>56</v>
      </c>
      <c r="H259" s="5">
        <v>75</v>
      </c>
      <c r="I259" s="5">
        <v>22</v>
      </c>
      <c r="J259" s="5" t="s">
        <v>26</v>
      </c>
      <c r="K259" s="5" t="s">
        <v>45</v>
      </c>
      <c r="L259" s="5" t="s">
        <v>40</v>
      </c>
      <c r="M259" s="7" t="s">
        <v>46</v>
      </c>
      <c r="N259" s="26">
        <f t="shared" si="28"/>
        <v>1</v>
      </c>
      <c r="O259" s="42">
        <f t="shared" si="29"/>
        <v>45170</v>
      </c>
      <c r="P259" s="5" t="str">
        <f t="shared" si="30"/>
        <v>Friday</v>
      </c>
      <c r="Q259" s="5">
        <f t="shared" si="31"/>
        <v>11</v>
      </c>
      <c r="R259" s="28">
        <f t="shared" si="32"/>
        <v>0.77319587628865982</v>
      </c>
      <c r="S259" s="29">
        <f t="shared" ref="S259:S322" si="33">IF(H259+I259=0,0,(H259/(H259+I259))*100) + (IFERROR(--J259,0)*10)</f>
        <v>77.319587628865989</v>
      </c>
      <c r="T259" s="5" t="str">
        <f>IF(Delivery_Data3[[#This Row],[Delays (min)]]&gt;0,"No","Yes")</f>
        <v>No</v>
      </c>
      <c r="W259" s="41">
        <f t="shared" ref="W259:W322" si="34">INT(C259)</f>
        <v>45170</v>
      </c>
      <c r="X259" s="5">
        <v>75</v>
      </c>
    </row>
    <row r="260" spans="1:24" ht="15.75" customHeight="1" x14ac:dyDescent="0.3">
      <c r="A260" s="4">
        <v>1259</v>
      </c>
      <c r="B260" s="5" t="s">
        <v>387</v>
      </c>
      <c r="C260" s="6">
        <v>45173.55</v>
      </c>
      <c r="D260" s="5" t="s">
        <v>43</v>
      </c>
      <c r="E260" s="5" t="s">
        <v>135</v>
      </c>
      <c r="F260" s="5" t="s">
        <v>16</v>
      </c>
      <c r="G260" s="5" t="s">
        <v>56</v>
      </c>
      <c r="H260" s="5">
        <v>226</v>
      </c>
      <c r="I260" s="5">
        <v>14</v>
      </c>
      <c r="J260" s="5" t="s">
        <v>26</v>
      </c>
      <c r="K260" s="5" t="s">
        <v>49</v>
      </c>
      <c r="L260" s="5" t="s">
        <v>28</v>
      </c>
      <c r="M260" s="7" t="s">
        <v>21</v>
      </c>
      <c r="N260" s="26">
        <f t="shared" si="28"/>
        <v>1</v>
      </c>
      <c r="O260" s="42">
        <f t="shared" si="29"/>
        <v>45173</v>
      </c>
      <c r="P260" s="5" t="str">
        <f t="shared" si="30"/>
        <v>Monday</v>
      </c>
      <c r="Q260" s="5">
        <f t="shared" si="31"/>
        <v>13</v>
      </c>
      <c r="R260" s="28">
        <f t="shared" si="32"/>
        <v>0.94166666666666665</v>
      </c>
      <c r="S260" s="29">
        <f t="shared" si="33"/>
        <v>94.166666666666671</v>
      </c>
      <c r="T260" s="5" t="str">
        <f>IF(Delivery_Data3[[#This Row],[Delays (min)]]&gt;0,"No","Yes")</f>
        <v>No</v>
      </c>
      <c r="W260" s="41">
        <f t="shared" si="34"/>
        <v>45173</v>
      </c>
      <c r="X260" s="5">
        <v>226</v>
      </c>
    </row>
    <row r="261" spans="1:24" ht="15.75" customHeight="1" x14ac:dyDescent="0.3">
      <c r="A261" s="4">
        <v>1260</v>
      </c>
      <c r="B261" s="5" t="s">
        <v>388</v>
      </c>
      <c r="C261" s="6">
        <v>45177.590277777781</v>
      </c>
      <c r="D261" s="5" t="s">
        <v>14</v>
      </c>
      <c r="E261" s="5" t="s">
        <v>301</v>
      </c>
      <c r="F261" s="5" t="s">
        <v>24</v>
      </c>
      <c r="G261" s="5" t="s">
        <v>56</v>
      </c>
      <c r="H261" s="5">
        <v>193</v>
      </c>
      <c r="I261" s="5">
        <v>5</v>
      </c>
      <c r="J261" s="5" t="s">
        <v>32</v>
      </c>
      <c r="K261" s="5" t="s">
        <v>19</v>
      </c>
      <c r="L261" s="5" t="s">
        <v>20</v>
      </c>
      <c r="M261" s="7" t="s">
        <v>21</v>
      </c>
      <c r="N261" s="26">
        <f t="shared" si="28"/>
        <v>-1</v>
      </c>
      <c r="O261" s="42">
        <f t="shared" si="29"/>
        <v>45177</v>
      </c>
      <c r="P261" s="5" t="str">
        <f t="shared" si="30"/>
        <v>Friday</v>
      </c>
      <c r="Q261" s="5">
        <f t="shared" si="31"/>
        <v>14</v>
      </c>
      <c r="R261" s="28">
        <f t="shared" si="32"/>
        <v>0.9747474747474747</v>
      </c>
      <c r="S261" s="29">
        <f t="shared" si="33"/>
        <v>97.474747474747474</v>
      </c>
      <c r="T261" s="5" t="str">
        <f>IF(Delivery_Data3[[#This Row],[Delays (min)]]&gt;0,"No","Yes")</f>
        <v>No</v>
      </c>
      <c r="W261" s="41">
        <f t="shared" si="34"/>
        <v>45177</v>
      </c>
      <c r="X261" s="5">
        <v>193</v>
      </c>
    </row>
    <row r="262" spans="1:24" ht="15.75" customHeight="1" x14ac:dyDescent="0.3">
      <c r="A262" s="4">
        <v>1261</v>
      </c>
      <c r="B262" s="5" t="s">
        <v>389</v>
      </c>
      <c r="C262" s="6">
        <v>45176.536805555559</v>
      </c>
      <c r="D262" s="5" t="s">
        <v>14</v>
      </c>
      <c r="E262" s="5" t="s">
        <v>64</v>
      </c>
      <c r="F262" s="5" t="s">
        <v>24</v>
      </c>
      <c r="G262" s="5" t="s">
        <v>25</v>
      </c>
      <c r="H262" s="5">
        <v>91</v>
      </c>
      <c r="I262" s="5">
        <v>10</v>
      </c>
      <c r="J262" s="5" t="s">
        <v>32</v>
      </c>
      <c r="K262" s="5" t="s">
        <v>19</v>
      </c>
      <c r="L262" s="5" t="s">
        <v>40</v>
      </c>
      <c r="M262" s="7" t="s">
        <v>41</v>
      </c>
      <c r="N262" s="26">
        <f t="shared" si="28"/>
        <v>-1</v>
      </c>
      <c r="O262" s="42">
        <f t="shared" si="29"/>
        <v>45176</v>
      </c>
      <c r="P262" s="5" t="str">
        <f t="shared" si="30"/>
        <v>Thursday</v>
      </c>
      <c r="Q262" s="5">
        <f t="shared" si="31"/>
        <v>12</v>
      </c>
      <c r="R262" s="28">
        <f t="shared" si="32"/>
        <v>0.90099009900990101</v>
      </c>
      <c r="S262" s="29">
        <f t="shared" si="33"/>
        <v>90.099009900990097</v>
      </c>
      <c r="T262" s="5" t="str">
        <f>IF(Delivery_Data3[[#This Row],[Delays (min)]]&gt;0,"No","Yes")</f>
        <v>No</v>
      </c>
      <c r="W262" s="41">
        <f t="shared" si="34"/>
        <v>45176</v>
      </c>
      <c r="X262" s="5">
        <v>91</v>
      </c>
    </row>
    <row r="263" spans="1:24" ht="15.75" customHeight="1" x14ac:dyDescent="0.3">
      <c r="A263" s="4">
        <v>1262</v>
      </c>
      <c r="B263" s="5" t="s">
        <v>390</v>
      </c>
      <c r="C263" s="6">
        <v>45172.602083333331</v>
      </c>
      <c r="D263" s="5" t="s">
        <v>14</v>
      </c>
      <c r="E263" s="5" t="s">
        <v>132</v>
      </c>
      <c r="F263" s="5" t="s">
        <v>24</v>
      </c>
      <c r="G263" s="5" t="s">
        <v>56</v>
      </c>
      <c r="H263" s="5">
        <v>66</v>
      </c>
      <c r="I263" s="5">
        <v>22</v>
      </c>
      <c r="J263" s="5" t="s">
        <v>32</v>
      </c>
      <c r="K263" s="5" t="s">
        <v>19</v>
      </c>
      <c r="L263" s="5" t="s">
        <v>28</v>
      </c>
      <c r="M263" s="7" t="s">
        <v>46</v>
      </c>
      <c r="N263" s="26">
        <f t="shared" si="28"/>
        <v>-1</v>
      </c>
      <c r="O263" s="42">
        <f t="shared" si="29"/>
        <v>45172</v>
      </c>
      <c r="P263" s="5" t="str">
        <f t="shared" si="30"/>
        <v>Sunday</v>
      </c>
      <c r="Q263" s="5">
        <f t="shared" si="31"/>
        <v>14</v>
      </c>
      <c r="R263" s="28">
        <f t="shared" si="32"/>
        <v>0.75</v>
      </c>
      <c r="S263" s="29">
        <f t="shared" si="33"/>
        <v>75</v>
      </c>
      <c r="T263" s="5" t="str">
        <f>IF(Delivery_Data3[[#This Row],[Delays (min)]]&gt;0,"No","Yes")</f>
        <v>No</v>
      </c>
      <c r="W263" s="41">
        <f t="shared" si="34"/>
        <v>45172</v>
      </c>
      <c r="X263" s="5">
        <v>66</v>
      </c>
    </row>
    <row r="264" spans="1:24" ht="15.75" customHeight="1" x14ac:dyDescent="0.3">
      <c r="A264" s="4">
        <v>1263</v>
      </c>
      <c r="B264" s="5" t="s">
        <v>391</v>
      </c>
      <c r="C264" s="6">
        <v>45171.390277777777</v>
      </c>
      <c r="D264" s="5" t="s">
        <v>43</v>
      </c>
      <c r="E264" s="5" t="s">
        <v>109</v>
      </c>
      <c r="F264" s="5" t="s">
        <v>16</v>
      </c>
      <c r="G264" s="5" t="s">
        <v>56</v>
      </c>
      <c r="H264" s="5">
        <v>75</v>
      </c>
      <c r="I264" s="5">
        <v>15</v>
      </c>
      <c r="J264" s="5" t="s">
        <v>32</v>
      </c>
      <c r="K264" s="5" t="s">
        <v>19</v>
      </c>
      <c r="L264" s="5" t="s">
        <v>40</v>
      </c>
      <c r="M264" s="7" t="s">
        <v>46</v>
      </c>
      <c r="N264" s="26">
        <f t="shared" si="28"/>
        <v>-1</v>
      </c>
      <c r="O264" s="42">
        <f t="shared" si="29"/>
        <v>45171</v>
      </c>
      <c r="P264" s="5" t="str">
        <f t="shared" si="30"/>
        <v>Saturday</v>
      </c>
      <c r="Q264" s="5">
        <f t="shared" si="31"/>
        <v>9</v>
      </c>
      <c r="R264" s="28">
        <f t="shared" si="32"/>
        <v>0.83333333333333337</v>
      </c>
      <c r="S264" s="29">
        <f t="shared" si="33"/>
        <v>83.333333333333343</v>
      </c>
      <c r="T264" s="5" t="str">
        <f>IF(Delivery_Data3[[#This Row],[Delays (min)]]&gt;0,"No","Yes")</f>
        <v>No</v>
      </c>
      <c r="W264" s="41">
        <f t="shared" si="34"/>
        <v>45171</v>
      </c>
      <c r="X264" s="5">
        <v>75</v>
      </c>
    </row>
    <row r="265" spans="1:24" ht="15.75" customHeight="1" x14ac:dyDescent="0.3">
      <c r="A265" s="4">
        <v>1264</v>
      </c>
      <c r="B265" s="5" t="s">
        <v>392</v>
      </c>
      <c r="C265" s="6">
        <v>45172.677083333336</v>
      </c>
      <c r="D265" s="5" t="s">
        <v>14</v>
      </c>
      <c r="E265" s="5" t="s">
        <v>182</v>
      </c>
      <c r="F265" s="5" t="s">
        <v>16</v>
      </c>
      <c r="G265" s="5" t="s">
        <v>39</v>
      </c>
      <c r="H265" s="5">
        <v>76</v>
      </c>
      <c r="I265" s="5">
        <v>14</v>
      </c>
      <c r="J265" s="5" t="s">
        <v>18</v>
      </c>
      <c r="K265" s="5" t="s">
        <v>45</v>
      </c>
      <c r="L265" s="5" t="s">
        <v>28</v>
      </c>
      <c r="M265" s="7" t="s">
        <v>21</v>
      </c>
      <c r="N265" s="26">
        <f t="shared" si="28"/>
        <v>0</v>
      </c>
      <c r="O265" s="42">
        <f t="shared" si="29"/>
        <v>45172</v>
      </c>
      <c r="P265" s="5" t="str">
        <f t="shared" si="30"/>
        <v>Sunday</v>
      </c>
      <c r="Q265" s="5">
        <f t="shared" si="31"/>
        <v>16</v>
      </c>
      <c r="R265" s="28">
        <f t="shared" si="32"/>
        <v>0.84444444444444444</v>
      </c>
      <c r="S265" s="29">
        <f t="shared" si="33"/>
        <v>84.444444444444443</v>
      </c>
      <c r="T265" s="5" t="str">
        <f>IF(Delivery_Data3[[#This Row],[Delays (min)]]&gt;0,"No","Yes")</f>
        <v>No</v>
      </c>
      <c r="W265" s="41">
        <f t="shared" si="34"/>
        <v>45172</v>
      </c>
      <c r="X265" s="5">
        <v>76</v>
      </c>
    </row>
    <row r="266" spans="1:24" ht="15.75" customHeight="1" x14ac:dyDescent="0.3">
      <c r="A266" s="4">
        <v>1265</v>
      </c>
      <c r="B266" s="5" t="s">
        <v>393</v>
      </c>
      <c r="C266" s="6">
        <v>45170.625694444447</v>
      </c>
      <c r="D266" s="5" t="s">
        <v>14</v>
      </c>
      <c r="E266" s="5" t="s">
        <v>231</v>
      </c>
      <c r="F266" s="5" t="s">
        <v>16</v>
      </c>
      <c r="G266" s="5" t="s">
        <v>25</v>
      </c>
      <c r="H266" s="5">
        <v>123</v>
      </c>
      <c r="I266" s="5">
        <v>2</v>
      </c>
      <c r="J266" s="5" t="s">
        <v>32</v>
      </c>
      <c r="K266" s="5" t="s">
        <v>35</v>
      </c>
      <c r="L266" s="5" t="s">
        <v>40</v>
      </c>
      <c r="M266" s="7" t="s">
        <v>41</v>
      </c>
      <c r="N266" s="26">
        <f t="shared" si="28"/>
        <v>-1</v>
      </c>
      <c r="O266" s="42">
        <f t="shared" si="29"/>
        <v>45170</v>
      </c>
      <c r="P266" s="5" t="str">
        <f t="shared" si="30"/>
        <v>Friday</v>
      </c>
      <c r="Q266" s="5">
        <f t="shared" si="31"/>
        <v>15</v>
      </c>
      <c r="R266" s="28">
        <f t="shared" si="32"/>
        <v>0.98399999999999999</v>
      </c>
      <c r="S266" s="29">
        <f t="shared" si="33"/>
        <v>98.4</v>
      </c>
      <c r="T266" s="5" t="str">
        <f>IF(Delivery_Data3[[#This Row],[Delays (min)]]&gt;0,"No","Yes")</f>
        <v>No</v>
      </c>
      <c r="W266" s="41">
        <f t="shared" si="34"/>
        <v>45170</v>
      </c>
      <c r="X266" s="5">
        <v>123</v>
      </c>
    </row>
    <row r="267" spans="1:24" ht="15.75" customHeight="1" x14ac:dyDescent="0.3">
      <c r="A267" s="4">
        <v>1266</v>
      </c>
      <c r="B267" s="5" t="s">
        <v>394</v>
      </c>
      <c r="C267" s="6">
        <v>45176.345138888886</v>
      </c>
      <c r="D267" s="5" t="s">
        <v>43</v>
      </c>
      <c r="E267" s="5" t="s">
        <v>149</v>
      </c>
      <c r="F267" s="5" t="s">
        <v>38</v>
      </c>
      <c r="G267" s="5" t="s">
        <v>25</v>
      </c>
      <c r="H267" s="5">
        <v>225</v>
      </c>
      <c r="I267" s="5">
        <v>4</v>
      </c>
      <c r="J267" s="5" t="s">
        <v>18</v>
      </c>
      <c r="K267" s="5" t="s">
        <v>45</v>
      </c>
      <c r="L267" s="5" t="s">
        <v>20</v>
      </c>
      <c r="M267" s="7" t="s">
        <v>46</v>
      </c>
      <c r="N267" s="26">
        <f t="shared" si="28"/>
        <v>0</v>
      </c>
      <c r="O267" s="42">
        <f t="shared" si="29"/>
        <v>45176</v>
      </c>
      <c r="P267" s="5" t="str">
        <f t="shared" si="30"/>
        <v>Thursday</v>
      </c>
      <c r="Q267" s="5">
        <f t="shared" si="31"/>
        <v>8</v>
      </c>
      <c r="R267" s="28">
        <f t="shared" si="32"/>
        <v>0.98253275109170302</v>
      </c>
      <c r="S267" s="29">
        <f t="shared" si="33"/>
        <v>98.253275109170303</v>
      </c>
      <c r="T267" s="5" t="str">
        <f>IF(Delivery_Data3[[#This Row],[Delays (min)]]&gt;0,"No","Yes")</f>
        <v>No</v>
      </c>
      <c r="W267" s="41">
        <f t="shared" si="34"/>
        <v>45176</v>
      </c>
      <c r="X267" s="5">
        <v>225</v>
      </c>
    </row>
    <row r="268" spans="1:24" ht="15.75" customHeight="1" x14ac:dyDescent="0.3">
      <c r="A268" s="4">
        <v>1267</v>
      </c>
      <c r="B268" s="5" t="s">
        <v>395</v>
      </c>
      <c r="C268" s="6">
        <v>45171.602083333331</v>
      </c>
      <c r="D268" s="5" t="s">
        <v>14</v>
      </c>
      <c r="E268" s="5" t="s">
        <v>130</v>
      </c>
      <c r="F268" s="5" t="s">
        <v>24</v>
      </c>
      <c r="G268" s="5" t="s">
        <v>56</v>
      </c>
      <c r="H268" s="5">
        <v>221</v>
      </c>
      <c r="I268" s="5">
        <v>2</v>
      </c>
      <c r="J268" s="5" t="s">
        <v>18</v>
      </c>
      <c r="K268" s="5" t="s">
        <v>19</v>
      </c>
      <c r="L268" s="5" t="s">
        <v>40</v>
      </c>
      <c r="M268" s="7" t="s">
        <v>21</v>
      </c>
      <c r="N268" s="26">
        <f t="shared" si="28"/>
        <v>0</v>
      </c>
      <c r="O268" s="42">
        <f t="shared" si="29"/>
        <v>45171</v>
      </c>
      <c r="P268" s="5" t="str">
        <f t="shared" si="30"/>
        <v>Saturday</v>
      </c>
      <c r="Q268" s="5">
        <f t="shared" si="31"/>
        <v>14</v>
      </c>
      <c r="R268" s="28">
        <f t="shared" si="32"/>
        <v>0.99103139013452912</v>
      </c>
      <c r="S268" s="29">
        <f t="shared" si="33"/>
        <v>99.103139013452918</v>
      </c>
      <c r="T268" s="5" t="str">
        <f>IF(Delivery_Data3[[#This Row],[Delays (min)]]&gt;0,"No","Yes")</f>
        <v>No</v>
      </c>
      <c r="W268" s="41">
        <f t="shared" si="34"/>
        <v>45171</v>
      </c>
      <c r="X268" s="5">
        <v>221</v>
      </c>
    </row>
    <row r="269" spans="1:24" ht="15.75" customHeight="1" x14ac:dyDescent="0.3">
      <c r="A269" s="4">
        <v>1268</v>
      </c>
      <c r="B269" s="5" t="s">
        <v>396</v>
      </c>
      <c r="C269" s="6">
        <v>45170.51458333333</v>
      </c>
      <c r="D269" s="5" t="s">
        <v>14</v>
      </c>
      <c r="E269" s="5" t="s">
        <v>66</v>
      </c>
      <c r="F269" s="5" t="s">
        <v>38</v>
      </c>
      <c r="G269" s="5" t="s">
        <v>39</v>
      </c>
      <c r="H269" s="5">
        <v>109</v>
      </c>
      <c r="I269" s="5">
        <v>10</v>
      </c>
      <c r="J269" s="5" t="s">
        <v>26</v>
      </c>
      <c r="K269" s="5" t="s">
        <v>45</v>
      </c>
      <c r="L269" s="5" t="s">
        <v>40</v>
      </c>
      <c r="M269" s="7" t="s">
        <v>41</v>
      </c>
      <c r="N269" s="26">
        <f t="shared" si="28"/>
        <v>1</v>
      </c>
      <c r="O269" s="42">
        <f t="shared" si="29"/>
        <v>45170</v>
      </c>
      <c r="P269" s="5" t="str">
        <f t="shared" si="30"/>
        <v>Friday</v>
      </c>
      <c r="Q269" s="5">
        <f t="shared" si="31"/>
        <v>12</v>
      </c>
      <c r="R269" s="28">
        <f t="shared" si="32"/>
        <v>0.91596638655462181</v>
      </c>
      <c r="S269" s="29">
        <f t="shared" si="33"/>
        <v>91.596638655462186</v>
      </c>
      <c r="T269" s="5" t="str">
        <f>IF(Delivery_Data3[[#This Row],[Delays (min)]]&gt;0,"No","Yes")</f>
        <v>No</v>
      </c>
      <c r="W269" s="41">
        <f t="shared" si="34"/>
        <v>45170</v>
      </c>
      <c r="X269" s="5">
        <v>109</v>
      </c>
    </row>
    <row r="270" spans="1:24" ht="15.75" customHeight="1" x14ac:dyDescent="0.3">
      <c r="A270" s="4">
        <v>1269</v>
      </c>
      <c r="B270" s="5" t="s">
        <v>397</v>
      </c>
      <c r="C270" s="6">
        <v>45171.409722222219</v>
      </c>
      <c r="D270" s="5" t="s">
        <v>43</v>
      </c>
      <c r="E270" s="5" t="s">
        <v>44</v>
      </c>
      <c r="F270" s="5" t="s">
        <v>38</v>
      </c>
      <c r="G270" s="5" t="s">
        <v>39</v>
      </c>
      <c r="H270" s="5">
        <v>237</v>
      </c>
      <c r="I270" s="5">
        <v>20</v>
      </c>
      <c r="J270" s="5" t="s">
        <v>18</v>
      </c>
      <c r="K270" s="5" t="s">
        <v>35</v>
      </c>
      <c r="L270" s="5" t="s">
        <v>40</v>
      </c>
      <c r="M270" s="7" t="s">
        <v>41</v>
      </c>
      <c r="N270" s="26">
        <f t="shared" si="28"/>
        <v>0</v>
      </c>
      <c r="O270" s="42">
        <f t="shared" si="29"/>
        <v>45171</v>
      </c>
      <c r="P270" s="5" t="str">
        <f t="shared" si="30"/>
        <v>Saturday</v>
      </c>
      <c r="Q270" s="5">
        <f t="shared" si="31"/>
        <v>9</v>
      </c>
      <c r="R270" s="28">
        <f t="shared" si="32"/>
        <v>0.9221789883268483</v>
      </c>
      <c r="S270" s="29">
        <f t="shared" si="33"/>
        <v>92.217898832684824</v>
      </c>
      <c r="T270" s="5" t="str">
        <f>IF(Delivery_Data3[[#This Row],[Delays (min)]]&gt;0,"No","Yes")</f>
        <v>No</v>
      </c>
      <c r="W270" s="41">
        <f t="shared" si="34"/>
        <v>45171</v>
      </c>
      <c r="X270" s="5">
        <v>237</v>
      </c>
    </row>
    <row r="271" spans="1:24" ht="15.75" customHeight="1" x14ac:dyDescent="0.3">
      <c r="A271" s="4">
        <v>1270</v>
      </c>
      <c r="B271" s="5" t="s">
        <v>398</v>
      </c>
      <c r="C271" s="6">
        <v>45177.352777777778</v>
      </c>
      <c r="D271" s="5" t="s">
        <v>43</v>
      </c>
      <c r="E271" s="5" t="s">
        <v>285</v>
      </c>
      <c r="F271" s="5" t="s">
        <v>24</v>
      </c>
      <c r="G271" s="5" t="s">
        <v>39</v>
      </c>
      <c r="H271" s="5">
        <v>132</v>
      </c>
      <c r="I271" s="5">
        <v>2</v>
      </c>
      <c r="J271" s="5" t="s">
        <v>18</v>
      </c>
      <c r="K271" s="5" t="s">
        <v>35</v>
      </c>
      <c r="L271" s="5" t="s">
        <v>40</v>
      </c>
      <c r="M271" s="7" t="s">
        <v>21</v>
      </c>
      <c r="N271" s="26">
        <f t="shared" si="28"/>
        <v>0</v>
      </c>
      <c r="O271" s="42">
        <f t="shared" si="29"/>
        <v>45177</v>
      </c>
      <c r="P271" s="5" t="str">
        <f t="shared" si="30"/>
        <v>Friday</v>
      </c>
      <c r="Q271" s="5">
        <f t="shared" si="31"/>
        <v>8</v>
      </c>
      <c r="R271" s="28">
        <f t="shared" si="32"/>
        <v>0.9850746268656716</v>
      </c>
      <c r="S271" s="29">
        <f t="shared" si="33"/>
        <v>98.507462686567166</v>
      </c>
      <c r="T271" s="5" t="str">
        <f>IF(Delivery_Data3[[#This Row],[Delays (min)]]&gt;0,"No","Yes")</f>
        <v>No</v>
      </c>
      <c r="W271" s="41">
        <f t="shared" si="34"/>
        <v>45177</v>
      </c>
      <c r="X271" s="5">
        <v>132</v>
      </c>
    </row>
    <row r="272" spans="1:24" ht="15.75" customHeight="1" x14ac:dyDescent="0.3">
      <c r="A272" s="4">
        <v>1271</v>
      </c>
      <c r="B272" s="5" t="s">
        <v>399</v>
      </c>
      <c r="C272" s="6">
        <v>45174.629861111112</v>
      </c>
      <c r="D272" s="5" t="s">
        <v>43</v>
      </c>
      <c r="E272" s="5" t="s">
        <v>87</v>
      </c>
      <c r="F272" s="5" t="s">
        <v>16</v>
      </c>
      <c r="G272" s="5" t="s">
        <v>25</v>
      </c>
      <c r="H272" s="5">
        <v>187</v>
      </c>
      <c r="I272" s="5">
        <v>16</v>
      </c>
      <c r="J272" s="5" t="s">
        <v>26</v>
      </c>
      <c r="K272" s="5" t="s">
        <v>35</v>
      </c>
      <c r="L272" s="5" t="s">
        <v>28</v>
      </c>
      <c r="M272" s="7" t="s">
        <v>21</v>
      </c>
      <c r="N272" s="26">
        <f t="shared" si="28"/>
        <v>1</v>
      </c>
      <c r="O272" s="42">
        <f t="shared" si="29"/>
        <v>45174</v>
      </c>
      <c r="P272" s="5" t="str">
        <f t="shared" si="30"/>
        <v>Tuesday</v>
      </c>
      <c r="Q272" s="5">
        <f t="shared" si="31"/>
        <v>15</v>
      </c>
      <c r="R272" s="28">
        <f t="shared" si="32"/>
        <v>0.9211822660098522</v>
      </c>
      <c r="S272" s="29">
        <f t="shared" si="33"/>
        <v>92.118226600985224</v>
      </c>
      <c r="T272" s="5" t="str">
        <f>IF(Delivery_Data3[[#This Row],[Delays (min)]]&gt;0,"No","Yes")</f>
        <v>No</v>
      </c>
      <c r="W272" s="41">
        <f t="shared" si="34"/>
        <v>45174</v>
      </c>
      <c r="X272" s="5">
        <v>187</v>
      </c>
    </row>
    <row r="273" spans="1:24" ht="15.75" customHeight="1" x14ac:dyDescent="0.3">
      <c r="A273" s="4">
        <v>1272</v>
      </c>
      <c r="B273" s="5" t="s">
        <v>400</v>
      </c>
      <c r="C273" s="6">
        <v>45174.334027777775</v>
      </c>
      <c r="D273" s="5" t="s">
        <v>43</v>
      </c>
      <c r="E273" s="5" t="s">
        <v>103</v>
      </c>
      <c r="F273" s="5" t="s">
        <v>24</v>
      </c>
      <c r="G273" s="5" t="s">
        <v>25</v>
      </c>
      <c r="H273" s="5">
        <v>235</v>
      </c>
      <c r="I273" s="5">
        <v>18</v>
      </c>
      <c r="J273" s="5" t="s">
        <v>32</v>
      </c>
      <c r="K273" s="5" t="s">
        <v>35</v>
      </c>
      <c r="L273" s="5" t="s">
        <v>28</v>
      </c>
      <c r="M273" s="7" t="s">
        <v>41</v>
      </c>
      <c r="N273" s="26">
        <f t="shared" si="28"/>
        <v>-1</v>
      </c>
      <c r="O273" s="42">
        <f t="shared" si="29"/>
        <v>45174</v>
      </c>
      <c r="P273" s="5" t="str">
        <f t="shared" si="30"/>
        <v>Tuesday</v>
      </c>
      <c r="Q273" s="5">
        <f t="shared" si="31"/>
        <v>8</v>
      </c>
      <c r="R273" s="28">
        <f t="shared" si="32"/>
        <v>0.92885375494071143</v>
      </c>
      <c r="S273" s="29">
        <f t="shared" si="33"/>
        <v>92.885375494071141</v>
      </c>
      <c r="T273" s="5" t="str">
        <f>IF(Delivery_Data3[[#This Row],[Delays (min)]]&gt;0,"No","Yes")</f>
        <v>No</v>
      </c>
      <c r="W273" s="41">
        <f t="shared" si="34"/>
        <v>45174</v>
      </c>
      <c r="X273" s="5">
        <v>235</v>
      </c>
    </row>
    <row r="274" spans="1:24" ht="15.75" customHeight="1" x14ac:dyDescent="0.3">
      <c r="A274" s="4">
        <v>1273</v>
      </c>
      <c r="B274" s="5" t="s">
        <v>401</v>
      </c>
      <c r="C274" s="6">
        <v>45171.481944444444</v>
      </c>
      <c r="D274" s="5" t="s">
        <v>43</v>
      </c>
      <c r="E274" s="5" t="s">
        <v>89</v>
      </c>
      <c r="F274" s="5" t="s">
        <v>24</v>
      </c>
      <c r="G274" s="5" t="s">
        <v>17</v>
      </c>
      <c r="H274" s="5">
        <v>221</v>
      </c>
      <c r="I274" s="5">
        <v>24</v>
      </c>
      <c r="J274" s="5" t="s">
        <v>18</v>
      </c>
      <c r="K274" s="5" t="s">
        <v>35</v>
      </c>
      <c r="L274" s="5" t="s">
        <v>28</v>
      </c>
      <c r="M274" s="7" t="s">
        <v>21</v>
      </c>
      <c r="N274" s="26">
        <f t="shared" si="28"/>
        <v>0</v>
      </c>
      <c r="O274" s="42">
        <f t="shared" si="29"/>
        <v>45171</v>
      </c>
      <c r="P274" s="5" t="str">
        <f t="shared" si="30"/>
        <v>Saturday</v>
      </c>
      <c r="Q274" s="5">
        <f t="shared" si="31"/>
        <v>11</v>
      </c>
      <c r="R274" s="28">
        <f t="shared" si="32"/>
        <v>0.90204081632653066</v>
      </c>
      <c r="S274" s="29">
        <f t="shared" si="33"/>
        <v>90.204081632653072</v>
      </c>
      <c r="T274" s="5" t="str">
        <f>IF(Delivery_Data3[[#This Row],[Delays (min)]]&gt;0,"No","Yes")</f>
        <v>No</v>
      </c>
      <c r="W274" s="41">
        <f t="shared" si="34"/>
        <v>45171</v>
      </c>
      <c r="X274" s="5">
        <v>221</v>
      </c>
    </row>
    <row r="275" spans="1:24" ht="15.75" customHeight="1" x14ac:dyDescent="0.3">
      <c r="A275" s="4">
        <v>1274</v>
      </c>
      <c r="B275" s="5" t="s">
        <v>402</v>
      </c>
      <c r="C275" s="6">
        <v>45170.525000000001</v>
      </c>
      <c r="D275" s="5" t="s">
        <v>43</v>
      </c>
      <c r="E275" s="5" t="s">
        <v>403</v>
      </c>
      <c r="F275" s="5" t="s">
        <v>16</v>
      </c>
      <c r="G275" s="5" t="s">
        <v>56</v>
      </c>
      <c r="H275" s="5">
        <v>163</v>
      </c>
      <c r="I275" s="5">
        <v>10</v>
      </c>
      <c r="J275" s="5" t="s">
        <v>18</v>
      </c>
      <c r="K275" s="5" t="s">
        <v>35</v>
      </c>
      <c r="L275" s="5" t="s">
        <v>20</v>
      </c>
      <c r="M275" s="7" t="s">
        <v>41</v>
      </c>
      <c r="N275" s="26">
        <f t="shared" si="28"/>
        <v>0</v>
      </c>
      <c r="O275" s="42">
        <f t="shared" si="29"/>
        <v>45170</v>
      </c>
      <c r="P275" s="5" t="str">
        <f t="shared" si="30"/>
        <v>Friday</v>
      </c>
      <c r="Q275" s="5">
        <f t="shared" si="31"/>
        <v>12</v>
      </c>
      <c r="R275" s="28">
        <f t="shared" si="32"/>
        <v>0.94219653179190754</v>
      </c>
      <c r="S275" s="29">
        <f t="shared" si="33"/>
        <v>94.219653179190757</v>
      </c>
      <c r="T275" s="5" t="str">
        <f>IF(Delivery_Data3[[#This Row],[Delays (min)]]&gt;0,"No","Yes")</f>
        <v>No</v>
      </c>
      <c r="W275" s="41">
        <f t="shared" si="34"/>
        <v>45170</v>
      </c>
      <c r="X275" s="5">
        <v>163</v>
      </c>
    </row>
    <row r="276" spans="1:24" ht="15.75" customHeight="1" x14ac:dyDescent="0.3">
      <c r="A276" s="4">
        <v>1275</v>
      </c>
      <c r="B276" s="5" t="s">
        <v>404</v>
      </c>
      <c r="C276" s="6">
        <v>45171.552083333336</v>
      </c>
      <c r="D276" s="5" t="s">
        <v>43</v>
      </c>
      <c r="E276" s="5" t="s">
        <v>85</v>
      </c>
      <c r="F276" s="5" t="s">
        <v>24</v>
      </c>
      <c r="G276" s="5" t="s">
        <v>39</v>
      </c>
      <c r="H276" s="5">
        <v>114</v>
      </c>
      <c r="I276" s="5">
        <v>9</v>
      </c>
      <c r="J276" s="5" t="s">
        <v>18</v>
      </c>
      <c r="K276" s="5" t="s">
        <v>19</v>
      </c>
      <c r="L276" s="5" t="s">
        <v>20</v>
      </c>
      <c r="M276" s="7" t="s">
        <v>46</v>
      </c>
      <c r="N276" s="26">
        <f t="shared" si="28"/>
        <v>0</v>
      </c>
      <c r="O276" s="42">
        <f t="shared" si="29"/>
        <v>45171</v>
      </c>
      <c r="P276" s="5" t="str">
        <f t="shared" si="30"/>
        <v>Saturday</v>
      </c>
      <c r="Q276" s="5">
        <f t="shared" si="31"/>
        <v>13</v>
      </c>
      <c r="R276" s="28">
        <f t="shared" si="32"/>
        <v>0.92682926829268297</v>
      </c>
      <c r="S276" s="29">
        <f t="shared" si="33"/>
        <v>92.682926829268297</v>
      </c>
      <c r="T276" s="5" t="str">
        <f>IF(Delivery_Data3[[#This Row],[Delays (min)]]&gt;0,"No","Yes")</f>
        <v>No</v>
      </c>
      <c r="W276" s="41">
        <f t="shared" si="34"/>
        <v>45171</v>
      </c>
      <c r="X276" s="5">
        <v>114</v>
      </c>
    </row>
    <row r="277" spans="1:24" ht="15.75" customHeight="1" x14ac:dyDescent="0.3">
      <c r="A277" s="4">
        <v>1276</v>
      </c>
      <c r="B277" s="5" t="s">
        <v>405</v>
      </c>
      <c r="C277" s="6">
        <v>45172.576388888891</v>
      </c>
      <c r="D277" s="5" t="s">
        <v>43</v>
      </c>
      <c r="E277" s="5" t="s">
        <v>118</v>
      </c>
      <c r="F277" s="5" t="s">
        <v>24</v>
      </c>
      <c r="G277" s="5" t="s">
        <v>39</v>
      </c>
      <c r="H277" s="5">
        <v>148</v>
      </c>
      <c r="I277" s="5">
        <v>29</v>
      </c>
      <c r="J277" s="5" t="s">
        <v>26</v>
      </c>
      <c r="K277" s="5" t="s">
        <v>27</v>
      </c>
      <c r="L277" s="5" t="s">
        <v>20</v>
      </c>
      <c r="M277" s="7" t="s">
        <v>46</v>
      </c>
      <c r="N277" s="26">
        <f t="shared" si="28"/>
        <v>1</v>
      </c>
      <c r="O277" s="42">
        <f t="shared" si="29"/>
        <v>45172</v>
      </c>
      <c r="P277" s="5" t="str">
        <f t="shared" si="30"/>
        <v>Sunday</v>
      </c>
      <c r="Q277" s="5">
        <f t="shared" si="31"/>
        <v>13</v>
      </c>
      <c r="R277" s="28">
        <f t="shared" si="32"/>
        <v>0.83615819209039544</v>
      </c>
      <c r="S277" s="29">
        <f t="shared" si="33"/>
        <v>83.615819209039543</v>
      </c>
      <c r="T277" s="5" t="str">
        <f>IF(Delivery_Data3[[#This Row],[Delays (min)]]&gt;0,"No","Yes")</f>
        <v>No</v>
      </c>
      <c r="W277" s="41">
        <f t="shared" si="34"/>
        <v>45172</v>
      </c>
      <c r="X277" s="5">
        <v>148</v>
      </c>
    </row>
    <row r="278" spans="1:24" ht="15.75" customHeight="1" x14ac:dyDescent="0.3">
      <c r="A278" s="4">
        <v>1277</v>
      </c>
      <c r="B278" s="5" t="s">
        <v>406</v>
      </c>
      <c r="C278" s="6">
        <v>45170.344444444447</v>
      </c>
      <c r="D278" s="5" t="s">
        <v>14</v>
      </c>
      <c r="E278" s="5" t="s">
        <v>249</v>
      </c>
      <c r="F278" s="5" t="s">
        <v>38</v>
      </c>
      <c r="G278" s="5" t="s">
        <v>39</v>
      </c>
      <c r="H278" s="5">
        <v>149</v>
      </c>
      <c r="I278" s="5">
        <v>26</v>
      </c>
      <c r="J278" s="5" t="s">
        <v>32</v>
      </c>
      <c r="K278" s="5" t="s">
        <v>19</v>
      </c>
      <c r="L278" s="5" t="s">
        <v>20</v>
      </c>
      <c r="M278" s="7" t="s">
        <v>21</v>
      </c>
      <c r="N278" s="26">
        <f t="shared" si="28"/>
        <v>-1</v>
      </c>
      <c r="O278" s="42">
        <f t="shared" si="29"/>
        <v>45170</v>
      </c>
      <c r="P278" s="5" t="str">
        <f t="shared" si="30"/>
        <v>Friday</v>
      </c>
      <c r="Q278" s="5">
        <f t="shared" si="31"/>
        <v>8</v>
      </c>
      <c r="R278" s="28">
        <f t="shared" si="32"/>
        <v>0.85142857142857142</v>
      </c>
      <c r="S278" s="29">
        <f t="shared" si="33"/>
        <v>85.142857142857139</v>
      </c>
      <c r="T278" s="5" t="str">
        <f>IF(Delivery_Data3[[#This Row],[Delays (min)]]&gt;0,"No","Yes")</f>
        <v>No</v>
      </c>
      <c r="W278" s="41">
        <f t="shared" si="34"/>
        <v>45170</v>
      </c>
      <c r="X278" s="5">
        <v>149</v>
      </c>
    </row>
    <row r="279" spans="1:24" ht="15.75" customHeight="1" x14ac:dyDescent="0.3">
      <c r="A279" s="4">
        <v>1278</v>
      </c>
      <c r="B279" s="5" t="s">
        <v>407</v>
      </c>
      <c r="C279" s="6">
        <v>45177.52847222222</v>
      </c>
      <c r="D279" s="5" t="s">
        <v>14</v>
      </c>
      <c r="E279" s="5" t="s">
        <v>53</v>
      </c>
      <c r="F279" s="5" t="s">
        <v>38</v>
      </c>
      <c r="G279" s="5" t="s">
        <v>25</v>
      </c>
      <c r="H279" s="5">
        <v>106</v>
      </c>
      <c r="I279" s="5">
        <v>2</v>
      </c>
      <c r="J279" s="5" t="s">
        <v>32</v>
      </c>
      <c r="K279" s="5" t="s">
        <v>45</v>
      </c>
      <c r="L279" s="5" t="s">
        <v>40</v>
      </c>
      <c r="M279" s="7" t="s">
        <v>41</v>
      </c>
      <c r="N279" s="26">
        <f t="shared" si="28"/>
        <v>-1</v>
      </c>
      <c r="O279" s="42">
        <f t="shared" si="29"/>
        <v>45177</v>
      </c>
      <c r="P279" s="5" t="str">
        <f t="shared" si="30"/>
        <v>Friday</v>
      </c>
      <c r="Q279" s="5">
        <f t="shared" si="31"/>
        <v>12</v>
      </c>
      <c r="R279" s="28">
        <f t="shared" si="32"/>
        <v>0.98148148148148151</v>
      </c>
      <c r="S279" s="29">
        <f t="shared" si="33"/>
        <v>98.148148148148152</v>
      </c>
      <c r="T279" s="5" t="str">
        <f>IF(Delivery_Data3[[#This Row],[Delays (min)]]&gt;0,"No","Yes")</f>
        <v>No</v>
      </c>
      <c r="W279" s="41">
        <f t="shared" si="34"/>
        <v>45177</v>
      </c>
      <c r="X279" s="5">
        <v>106</v>
      </c>
    </row>
    <row r="280" spans="1:24" ht="15.75" customHeight="1" x14ac:dyDescent="0.3">
      <c r="A280" s="4">
        <v>1279</v>
      </c>
      <c r="B280" s="5" t="s">
        <v>408</v>
      </c>
      <c r="C280" s="6">
        <v>45177.618055555555</v>
      </c>
      <c r="D280" s="5" t="s">
        <v>43</v>
      </c>
      <c r="E280" s="5" t="s">
        <v>156</v>
      </c>
      <c r="F280" s="5" t="s">
        <v>24</v>
      </c>
      <c r="G280" s="5" t="s">
        <v>56</v>
      </c>
      <c r="H280" s="5">
        <v>227</v>
      </c>
      <c r="I280" s="5">
        <v>1</v>
      </c>
      <c r="J280" s="5" t="s">
        <v>26</v>
      </c>
      <c r="K280" s="5" t="s">
        <v>49</v>
      </c>
      <c r="L280" s="5" t="s">
        <v>40</v>
      </c>
      <c r="M280" s="7" t="s">
        <v>41</v>
      </c>
      <c r="N280" s="26">
        <f t="shared" si="28"/>
        <v>1</v>
      </c>
      <c r="O280" s="42">
        <f t="shared" si="29"/>
        <v>45177</v>
      </c>
      <c r="P280" s="5" t="str">
        <f t="shared" si="30"/>
        <v>Friday</v>
      </c>
      <c r="Q280" s="5">
        <f t="shared" si="31"/>
        <v>14</v>
      </c>
      <c r="R280" s="28">
        <f t="shared" si="32"/>
        <v>0.99561403508771928</v>
      </c>
      <c r="S280" s="29">
        <f t="shared" si="33"/>
        <v>99.561403508771932</v>
      </c>
      <c r="T280" s="5" t="str">
        <f>IF(Delivery_Data3[[#This Row],[Delays (min)]]&gt;0,"No","Yes")</f>
        <v>No</v>
      </c>
      <c r="W280" s="41">
        <f t="shared" si="34"/>
        <v>45177</v>
      </c>
      <c r="X280" s="5">
        <v>227</v>
      </c>
    </row>
    <row r="281" spans="1:24" ht="15.75" customHeight="1" x14ac:dyDescent="0.3">
      <c r="A281" s="4">
        <v>1280</v>
      </c>
      <c r="B281" s="5" t="s">
        <v>409</v>
      </c>
      <c r="C281" s="6">
        <v>45171.486805555556</v>
      </c>
      <c r="D281" s="5" t="s">
        <v>14</v>
      </c>
      <c r="E281" s="5" t="s">
        <v>410</v>
      </c>
      <c r="F281" s="5" t="s">
        <v>24</v>
      </c>
      <c r="G281" s="5" t="s">
        <v>31</v>
      </c>
      <c r="H281" s="5">
        <v>98</v>
      </c>
      <c r="I281" s="5">
        <v>25</v>
      </c>
      <c r="J281" s="5" t="s">
        <v>18</v>
      </c>
      <c r="K281" s="5" t="s">
        <v>45</v>
      </c>
      <c r="L281" s="5" t="s">
        <v>40</v>
      </c>
      <c r="M281" s="7" t="s">
        <v>41</v>
      </c>
      <c r="N281" s="26">
        <f t="shared" si="28"/>
        <v>0</v>
      </c>
      <c r="O281" s="42">
        <f t="shared" si="29"/>
        <v>45171</v>
      </c>
      <c r="P281" s="5" t="str">
        <f t="shared" si="30"/>
        <v>Saturday</v>
      </c>
      <c r="Q281" s="5">
        <f t="shared" si="31"/>
        <v>11</v>
      </c>
      <c r="R281" s="28">
        <f t="shared" si="32"/>
        <v>0.7967479674796748</v>
      </c>
      <c r="S281" s="29">
        <f t="shared" si="33"/>
        <v>79.674796747967477</v>
      </c>
      <c r="T281" s="5" t="str">
        <f>IF(Delivery_Data3[[#This Row],[Delays (min)]]&gt;0,"No","Yes")</f>
        <v>No</v>
      </c>
      <c r="W281" s="41">
        <f t="shared" si="34"/>
        <v>45171</v>
      </c>
      <c r="X281" s="5">
        <v>98</v>
      </c>
    </row>
    <row r="282" spans="1:24" ht="15.75" customHeight="1" x14ac:dyDescent="0.3">
      <c r="A282" s="4">
        <v>1281</v>
      </c>
      <c r="B282" s="5" t="s">
        <v>411</v>
      </c>
      <c r="C282" s="6">
        <v>45177.478472222225</v>
      </c>
      <c r="D282" s="5" t="s">
        <v>43</v>
      </c>
      <c r="E282" s="5" t="s">
        <v>285</v>
      </c>
      <c r="F282" s="5" t="s">
        <v>38</v>
      </c>
      <c r="G282" s="5" t="s">
        <v>17</v>
      </c>
      <c r="H282" s="5">
        <v>220</v>
      </c>
      <c r="I282" s="5">
        <v>27</v>
      </c>
      <c r="J282" s="5" t="s">
        <v>18</v>
      </c>
      <c r="K282" s="5" t="s">
        <v>45</v>
      </c>
      <c r="L282" s="5" t="s">
        <v>28</v>
      </c>
      <c r="M282" s="7" t="s">
        <v>46</v>
      </c>
      <c r="N282" s="26">
        <f t="shared" si="28"/>
        <v>0</v>
      </c>
      <c r="O282" s="42">
        <f t="shared" si="29"/>
        <v>45177</v>
      </c>
      <c r="P282" s="5" t="str">
        <f t="shared" si="30"/>
        <v>Friday</v>
      </c>
      <c r="Q282" s="5">
        <f t="shared" si="31"/>
        <v>11</v>
      </c>
      <c r="R282" s="28">
        <f t="shared" si="32"/>
        <v>0.89068825910931171</v>
      </c>
      <c r="S282" s="29">
        <f t="shared" si="33"/>
        <v>89.068825910931167</v>
      </c>
      <c r="T282" s="5" t="str">
        <f>IF(Delivery_Data3[[#This Row],[Delays (min)]]&gt;0,"No","Yes")</f>
        <v>No</v>
      </c>
      <c r="W282" s="41">
        <f t="shared" si="34"/>
        <v>45177</v>
      </c>
      <c r="X282" s="5">
        <v>220</v>
      </c>
    </row>
    <row r="283" spans="1:24" ht="15.75" customHeight="1" x14ac:dyDescent="0.3">
      <c r="A283" s="4">
        <v>1282</v>
      </c>
      <c r="B283" s="5" t="s">
        <v>412</v>
      </c>
      <c r="C283" s="6">
        <v>45176.411111111112</v>
      </c>
      <c r="D283" s="5" t="s">
        <v>43</v>
      </c>
      <c r="E283" s="5" t="s">
        <v>182</v>
      </c>
      <c r="F283" s="5" t="s">
        <v>38</v>
      </c>
      <c r="G283" s="5" t="s">
        <v>17</v>
      </c>
      <c r="H283" s="5">
        <v>102</v>
      </c>
      <c r="I283" s="5">
        <v>3</v>
      </c>
      <c r="J283" s="5" t="s">
        <v>18</v>
      </c>
      <c r="K283" s="5" t="s">
        <v>19</v>
      </c>
      <c r="L283" s="5" t="s">
        <v>20</v>
      </c>
      <c r="M283" s="7" t="s">
        <v>41</v>
      </c>
      <c r="N283" s="26">
        <f t="shared" si="28"/>
        <v>0</v>
      </c>
      <c r="O283" s="42">
        <f t="shared" si="29"/>
        <v>45176</v>
      </c>
      <c r="P283" s="5" t="str">
        <f t="shared" si="30"/>
        <v>Thursday</v>
      </c>
      <c r="Q283" s="5">
        <f t="shared" si="31"/>
        <v>9</v>
      </c>
      <c r="R283" s="28">
        <f t="shared" si="32"/>
        <v>0.97142857142857142</v>
      </c>
      <c r="S283" s="29">
        <f t="shared" si="33"/>
        <v>97.142857142857139</v>
      </c>
      <c r="T283" s="5" t="str">
        <f>IF(Delivery_Data3[[#This Row],[Delays (min)]]&gt;0,"No","Yes")</f>
        <v>No</v>
      </c>
      <c r="W283" s="41">
        <f t="shared" si="34"/>
        <v>45176</v>
      </c>
      <c r="X283" s="5">
        <v>102</v>
      </c>
    </row>
    <row r="284" spans="1:24" ht="15.75" customHeight="1" x14ac:dyDescent="0.3">
      <c r="A284" s="4">
        <v>1283</v>
      </c>
      <c r="B284" s="5" t="s">
        <v>413</v>
      </c>
      <c r="C284" s="6">
        <v>45174.609722222223</v>
      </c>
      <c r="D284" s="5" t="s">
        <v>14</v>
      </c>
      <c r="E284" s="5" t="s">
        <v>53</v>
      </c>
      <c r="F284" s="5" t="s">
        <v>16</v>
      </c>
      <c r="G284" s="5" t="s">
        <v>17</v>
      </c>
      <c r="H284" s="5">
        <v>60</v>
      </c>
      <c r="I284" s="5">
        <v>21</v>
      </c>
      <c r="J284" s="5" t="s">
        <v>32</v>
      </c>
      <c r="K284" s="5" t="s">
        <v>45</v>
      </c>
      <c r="L284" s="5" t="s">
        <v>28</v>
      </c>
      <c r="M284" s="7" t="s">
        <v>21</v>
      </c>
      <c r="N284" s="26">
        <f t="shared" si="28"/>
        <v>-1</v>
      </c>
      <c r="O284" s="42">
        <f t="shared" si="29"/>
        <v>45174</v>
      </c>
      <c r="P284" s="5" t="str">
        <f t="shared" si="30"/>
        <v>Tuesday</v>
      </c>
      <c r="Q284" s="5">
        <f t="shared" si="31"/>
        <v>14</v>
      </c>
      <c r="R284" s="28">
        <f t="shared" si="32"/>
        <v>0.7407407407407407</v>
      </c>
      <c r="S284" s="29">
        <f t="shared" si="33"/>
        <v>74.074074074074076</v>
      </c>
      <c r="T284" s="5" t="str">
        <f>IF(Delivery_Data3[[#This Row],[Delays (min)]]&gt;0,"No","Yes")</f>
        <v>No</v>
      </c>
      <c r="W284" s="41">
        <f t="shared" si="34"/>
        <v>45174</v>
      </c>
      <c r="X284" s="5">
        <v>60</v>
      </c>
    </row>
    <row r="285" spans="1:24" ht="15.75" customHeight="1" x14ac:dyDescent="0.3">
      <c r="A285" s="4">
        <v>1284</v>
      </c>
      <c r="B285" s="5" t="s">
        <v>414</v>
      </c>
      <c r="C285" s="6">
        <v>45176.393055555556</v>
      </c>
      <c r="D285" s="5" t="s">
        <v>14</v>
      </c>
      <c r="E285" s="5" t="s">
        <v>130</v>
      </c>
      <c r="F285" s="5" t="s">
        <v>16</v>
      </c>
      <c r="G285" s="5" t="s">
        <v>17</v>
      </c>
      <c r="H285" s="5">
        <v>199</v>
      </c>
      <c r="I285" s="5">
        <v>29</v>
      </c>
      <c r="J285" s="5" t="s">
        <v>18</v>
      </c>
      <c r="K285" s="5" t="s">
        <v>45</v>
      </c>
      <c r="L285" s="5" t="s">
        <v>20</v>
      </c>
      <c r="M285" s="7" t="s">
        <v>21</v>
      </c>
      <c r="N285" s="26">
        <f t="shared" si="28"/>
        <v>0</v>
      </c>
      <c r="O285" s="42">
        <f t="shared" si="29"/>
        <v>45176</v>
      </c>
      <c r="P285" s="5" t="str">
        <f t="shared" si="30"/>
        <v>Thursday</v>
      </c>
      <c r="Q285" s="5">
        <f t="shared" si="31"/>
        <v>9</v>
      </c>
      <c r="R285" s="28">
        <f t="shared" si="32"/>
        <v>0.8728070175438597</v>
      </c>
      <c r="S285" s="29">
        <f t="shared" si="33"/>
        <v>87.280701754385973</v>
      </c>
      <c r="T285" s="5" t="str">
        <f>IF(Delivery_Data3[[#This Row],[Delays (min)]]&gt;0,"No","Yes")</f>
        <v>No</v>
      </c>
      <c r="W285" s="41">
        <f t="shared" si="34"/>
        <v>45176</v>
      </c>
      <c r="X285" s="5">
        <v>199</v>
      </c>
    </row>
    <row r="286" spans="1:24" ht="15.75" customHeight="1" x14ac:dyDescent="0.3">
      <c r="A286" s="4">
        <v>1285</v>
      </c>
      <c r="B286" s="5" t="s">
        <v>415</v>
      </c>
      <c r="C286" s="6">
        <v>45173.381249999999</v>
      </c>
      <c r="D286" s="5" t="s">
        <v>14</v>
      </c>
      <c r="E286" s="5" t="s">
        <v>403</v>
      </c>
      <c r="F286" s="5" t="s">
        <v>24</v>
      </c>
      <c r="G286" s="5" t="s">
        <v>39</v>
      </c>
      <c r="H286" s="5">
        <v>159</v>
      </c>
      <c r="I286" s="5">
        <v>6</v>
      </c>
      <c r="J286" s="5" t="s">
        <v>26</v>
      </c>
      <c r="K286" s="5" t="s">
        <v>45</v>
      </c>
      <c r="L286" s="5" t="s">
        <v>28</v>
      </c>
      <c r="M286" s="7" t="s">
        <v>21</v>
      </c>
      <c r="N286" s="26">
        <f t="shared" si="28"/>
        <v>1</v>
      </c>
      <c r="O286" s="42">
        <f t="shared" si="29"/>
        <v>45173</v>
      </c>
      <c r="P286" s="5" t="str">
        <f t="shared" si="30"/>
        <v>Monday</v>
      </c>
      <c r="Q286" s="5">
        <f t="shared" si="31"/>
        <v>9</v>
      </c>
      <c r="R286" s="28">
        <f t="shared" si="32"/>
        <v>0.96363636363636362</v>
      </c>
      <c r="S286" s="29">
        <f t="shared" si="33"/>
        <v>96.36363636363636</v>
      </c>
      <c r="T286" s="5" t="str">
        <f>IF(Delivery_Data3[[#This Row],[Delays (min)]]&gt;0,"No","Yes")</f>
        <v>No</v>
      </c>
      <c r="W286" s="41">
        <f t="shared" si="34"/>
        <v>45173</v>
      </c>
      <c r="X286" s="5">
        <v>159</v>
      </c>
    </row>
    <row r="287" spans="1:24" ht="15.75" customHeight="1" x14ac:dyDescent="0.3">
      <c r="A287" s="4">
        <v>1286</v>
      </c>
      <c r="B287" s="5" t="s">
        <v>416</v>
      </c>
      <c r="C287" s="6">
        <v>45170.637499999997</v>
      </c>
      <c r="D287" s="5" t="s">
        <v>43</v>
      </c>
      <c r="E287" s="5" t="s">
        <v>261</v>
      </c>
      <c r="F287" s="5" t="s">
        <v>24</v>
      </c>
      <c r="G287" s="5" t="s">
        <v>56</v>
      </c>
      <c r="H287" s="5">
        <v>104</v>
      </c>
      <c r="I287" s="5">
        <v>22</v>
      </c>
      <c r="J287" s="5" t="s">
        <v>32</v>
      </c>
      <c r="K287" s="5" t="s">
        <v>19</v>
      </c>
      <c r="L287" s="5" t="s">
        <v>20</v>
      </c>
      <c r="M287" s="7" t="s">
        <v>21</v>
      </c>
      <c r="N287" s="26">
        <f t="shared" si="28"/>
        <v>-1</v>
      </c>
      <c r="O287" s="42">
        <f t="shared" si="29"/>
        <v>45170</v>
      </c>
      <c r="P287" s="5" t="str">
        <f t="shared" si="30"/>
        <v>Friday</v>
      </c>
      <c r="Q287" s="5">
        <f t="shared" si="31"/>
        <v>15</v>
      </c>
      <c r="R287" s="28">
        <f t="shared" si="32"/>
        <v>0.82539682539682535</v>
      </c>
      <c r="S287" s="29">
        <f t="shared" si="33"/>
        <v>82.539682539682531</v>
      </c>
      <c r="T287" s="5" t="str">
        <f>IF(Delivery_Data3[[#This Row],[Delays (min)]]&gt;0,"No","Yes")</f>
        <v>No</v>
      </c>
      <c r="W287" s="41">
        <f t="shared" si="34"/>
        <v>45170</v>
      </c>
      <c r="X287" s="5">
        <v>104</v>
      </c>
    </row>
    <row r="288" spans="1:24" ht="15.75" customHeight="1" x14ac:dyDescent="0.3">
      <c r="A288" s="4">
        <v>1287</v>
      </c>
      <c r="B288" s="5" t="s">
        <v>417</v>
      </c>
      <c r="C288" s="6">
        <v>45174.645833333336</v>
      </c>
      <c r="D288" s="5" t="s">
        <v>43</v>
      </c>
      <c r="E288" s="5" t="s">
        <v>132</v>
      </c>
      <c r="F288" s="5" t="s">
        <v>16</v>
      </c>
      <c r="G288" s="5" t="s">
        <v>17</v>
      </c>
      <c r="H288" s="5">
        <v>205</v>
      </c>
      <c r="I288" s="5">
        <v>18</v>
      </c>
      <c r="J288" s="5" t="s">
        <v>26</v>
      </c>
      <c r="K288" s="5" t="s">
        <v>49</v>
      </c>
      <c r="L288" s="5" t="s">
        <v>40</v>
      </c>
      <c r="M288" s="7" t="s">
        <v>41</v>
      </c>
      <c r="N288" s="26">
        <f t="shared" si="28"/>
        <v>1</v>
      </c>
      <c r="O288" s="42">
        <f t="shared" si="29"/>
        <v>45174</v>
      </c>
      <c r="P288" s="5" t="str">
        <f t="shared" si="30"/>
        <v>Tuesday</v>
      </c>
      <c r="Q288" s="5">
        <f t="shared" si="31"/>
        <v>15</v>
      </c>
      <c r="R288" s="28">
        <f t="shared" si="32"/>
        <v>0.91928251121076232</v>
      </c>
      <c r="S288" s="29">
        <f t="shared" si="33"/>
        <v>91.928251121076229</v>
      </c>
      <c r="T288" s="5" t="str">
        <f>IF(Delivery_Data3[[#This Row],[Delays (min)]]&gt;0,"No","Yes")</f>
        <v>No</v>
      </c>
      <c r="W288" s="41">
        <f t="shared" si="34"/>
        <v>45174</v>
      </c>
      <c r="X288" s="5">
        <v>205</v>
      </c>
    </row>
    <row r="289" spans="1:24" ht="15.75" customHeight="1" x14ac:dyDescent="0.3">
      <c r="A289" s="4">
        <v>1288</v>
      </c>
      <c r="B289" s="5" t="s">
        <v>418</v>
      </c>
      <c r="C289" s="6">
        <v>45172.468055555553</v>
      </c>
      <c r="D289" s="5" t="s">
        <v>43</v>
      </c>
      <c r="E289" s="5" t="s">
        <v>374</v>
      </c>
      <c r="F289" s="5" t="s">
        <v>16</v>
      </c>
      <c r="G289" s="5" t="s">
        <v>56</v>
      </c>
      <c r="H289" s="5">
        <v>125</v>
      </c>
      <c r="I289" s="5">
        <v>24</v>
      </c>
      <c r="J289" s="5" t="s">
        <v>32</v>
      </c>
      <c r="K289" s="5" t="s">
        <v>19</v>
      </c>
      <c r="L289" s="5" t="s">
        <v>28</v>
      </c>
      <c r="M289" s="7" t="s">
        <v>21</v>
      </c>
      <c r="N289" s="26">
        <f t="shared" si="28"/>
        <v>-1</v>
      </c>
      <c r="O289" s="42">
        <f t="shared" si="29"/>
        <v>45172</v>
      </c>
      <c r="P289" s="5" t="str">
        <f t="shared" si="30"/>
        <v>Sunday</v>
      </c>
      <c r="Q289" s="5">
        <f t="shared" si="31"/>
        <v>11</v>
      </c>
      <c r="R289" s="28">
        <f t="shared" si="32"/>
        <v>0.83892617449664431</v>
      </c>
      <c r="S289" s="29">
        <f t="shared" si="33"/>
        <v>83.892617449664428</v>
      </c>
      <c r="T289" s="5" t="str">
        <f>IF(Delivery_Data3[[#This Row],[Delays (min)]]&gt;0,"No","Yes")</f>
        <v>No</v>
      </c>
      <c r="W289" s="41">
        <f t="shared" si="34"/>
        <v>45172</v>
      </c>
      <c r="X289" s="5">
        <v>125</v>
      </c>
    </row>
    <row r="290" spans="1:24" ht="15.75" customHeight="1" x14ac:dyDescent="0.3">
      <c r="A290" s="4">
        <v>1289</v>
      </c>
      <c r="B290" s="5" t="s">
        <v>419</v>
      </c>
      <c r="C290" s="6">
        <v>45172.560416666667</v>
      </c>
      <c r="D290" s="5" t="s">
        <v>43</v>
      </c>
      <c r="E290" s="5" t="s">
        <v>34</v>
      </c>
      <c r="F290" s="5" t="s">
        <v>24</v>
      </c>
      <c r="G290" s="5" t="s">
        <v>56</v>
      </c>
      <c r="H290" s="5">
        <v>145</v>
      </c>
      <c r="I290" s="5">
        <v>13</v>
      </c>
      <c r="J290" s="5" t="s">
        <v>26</v>
      </c>
      <c r="K290" s="5" t="s">
        <v>49</v>
      </c>
      <c r="L290" s="5" t="s">
        <v>28</v>
      </c>
      <c r="M290" s="7" t="s">
        <v>46</v>
      </c>
      <c r="N290" s="26">
        <f t="shared" si="28"/>
        <v>1</v>
      </c>
      <c r="O290" s="42">
        <f t="shared" si="29"/>
        <v>45172</v>
      </c>
      <c r="P290" s="5" t="str">
        <f t="shared" si="30"/>
        <v>Sunday</v>
      </c>
      <c r="Q290" s="5">
        <f t="shared" si="31"/>
        <v>13</v>
      </c>
      <c r="R290" s="28">
        <f t="shared" si="32"/>
        <v>0.91772151898734178</v>
      </c>
      <c r="S290" s="29">
        <f t="shared" si="33"/>
        <v>91.77215189873418</v>
      </c>
      <c r="T290" s="5" t="str">
        <f>IF(Delivery_Data3[[#This Row],[Delays (min)]]&gt;0,"No","Yes")</f>
        <v>No</v>
      </c>
      <c r="W290" s="41">
        <f t="shared" si="34"/>
        <v>45172</v>
      </c>
      <c r="X290" s="5">
        <v>145</v>
      </c>
    </row>
    <row r="291" spans="1:24" ht="15.75" customHeight="1" x14ac:dyDescent="0.3">
      <c r="A291" s="4">
        <v>1290</v>
      </c>
      <c r="B291" s="5" t="s">
        <v>420</v>
      </c>
      <c r="C291" s="6">
        <v>45174.490972222222</v>
      </c>
      <c r="D291" s="5" t="s">
        <v>14</v>
      </c>
      <c r="E291" s="5" t="s">
        <v>179</v>
      </c>
      <c r="F291" s="5" t="s">
        <v>16</v>
      </c>
      <c r="G291" s="5" t="s">
        <v>56</v>
      </c>
      <c r="H291" s="5">
        <v>193</v>
      </c>
      <c r="I291" s="5">
        <v>26</v>
      </c>
      <c r="J291" s="5" t="s">
        <v>18</v>
      </c>
      <c r="K291" s="5" t="s">
        <v>27</v>
      </c>
      <c r="L291" s="5" t="s">
        <v>40</v>
      </c>
      <c r="M291" s="7" t="s">
        <v>21</v>
      </c>
      <c r="N291" s="26">
        <f t="shared" si="28"/>
        <v>0</v>
      </c>
      <c r="O291" s="42">
        <f t="shared" si="29"/>
        <v>45174</v>
      </c>
      <c r="P291" s="5" t="str">
        <f t="shared" si="30"/>
        <v>Tuesday</v>
      </c>
      <c r="Q291" s="5">
        <f t="shared" si="31"/>
        <v>11</v>
      </c>
      <c r="R291" s="28">
        <f t="shared" si="32"/>
        <v>0.88127853881278539</v>
      </c>
      <c r="S291" s="29">
        <f t="shared" si="33"/>
        <v>88.12785388127854</v>
      </c>
      <c r="T291" s="5" t="str">
        <f>IF(Delivery_Data3[[#This Row],[Delays (min)]]&gt;0,"No","Yes")</f>
        <v>No</v>
      </c>
      <c r="W291" s="41">
        <f t="shared" si="34"/>
        <v>45174</v>
      </c>
      <c r="X291" s="5">
        <v>193</v>
      </c>
    </row>
    <row r="292" spans="1:24" ht="15.75" customHeight="1" x14ac:dyDescent="0.3">
      <c r="A292" s="4">
        <v>1291</v>
      </c>
      <c r="B292" s="5" t="s">
        <v>421</v>
      </c>
      <c r="C292" s="6">
        <v>45177.402083333334</v>
      </c>
      <c r="D292" s="5" t="s">
        <v>14</v>
      </c>
      <c r="E292" s="5" t="s">
        <v>281</v>
      </c>
      <c r="F292" s="5" t="s">
        <v>24</v>
      </c>
      <c r="G292" s="5" t="s">
        <v>56</v>
      </c>
      <c r="H292" s="5">
        <v>161</v>
      </c>
      <c r="I292" s="5">
        <v>11</v>
      </c>
      <c r="J292" s="5" t="s">
        <v>32</v>
      </c>
      <c r="K292" s="5" t="s">
        <v>49</v>
      </c>
      <c r="L292" s="5" t="s">
        <v>28</v>
      </c>
      <c r="M292" s="7" t="s">
        <v>41</v>
      </c>
      <c r="N292" s="26">
        <f t="shared" si="28"/>
        <v>-1</v>
      </c>
      <c r="O292" s="42">
        <f t="shared" si="29"/>
        <v>45177</v>
      </c>
      <c r="P292" s="5" t="str">
        <f t="shared" si="30"/>
        <v>Friday</v>
      </c>
      <c r="Q292" s="5">
        <f t="shared" si="31"/>
        <v>9</v>
      </c>
      <c r="R292" s="28">
        <f t="shared" si="32"/>
        <v>0.93604651162790697</v>
      </c>
      <c r="S292" s="29">
        <f t="shared" si="33"/>
        <v>93.604651162790702</v>
      </c>
      <c r="T292" s="5" t="str">
        <f>IF(Delivery_Data3[[#This Row],[Delays (min)]]&gt;0,"No","Yes")</f>
        <v>No</v>
      </c>
      <c r="W292" s="41">
        <f t="shared" si="34"/>
        <v>45177</v>
      </c>
      <c r="X292" s="5">
        <v>161</v>
      </c>
    </row>
    <row r="293" spans="1:24" ht="15.75" customHeight="1" x14ac:dyDescent="0.3">
      <c r="A293" s="4">
        <v>1292</v>
      </c>
      <c r="B293" s="5" t="s">
        <v>422</v>
      </c>
      <c r="C293" s="6">
        <v>45174.336111111108</v>
      </c>
      <c r="D293" s="5" t="s">
        <v>14</v>
      </c>
      <c r="E293" s="5" t="s">
        <v>182</v>
      </c>
      <c r="F293" s="5" t="s">
        <v>16</v>
      </c>
      <c r="G293" s="5" t="s">
        <v>39</v>
      </c>
      <c r="H293" s="5">
        <v>163</v>
      </c>
      <c r="I293" s="5">
        <v>0</v>
      </c>
      <c r="J293" s="5" t="s">
        <v>18</v>
      </c>
      <c r="K293" s="5" t="s">
        <v>49</v>
      </c>
      <c r="L293" s="5" t="s">
        <v>40</v>
      </c>
      <c r="M293" s="7" t="s">
        <v>21</v>
      </c>
      <c r="N293" s="26">
        <f t="shared" si="28"/>
        <v>0</v>
      </c>
      <c r="O293" s="42">
        <f t="shared" si="29"/>
        <v>45174</v>
      </c>
      <c r="P293" s="5" t="str">
        <f t="shared" si="30"/>
        <v>Tuesday</v>
      </c>
      <c r="Q293" s="5">
        <f t="shared" si="31"/>
        <v>8</v>
      </c>
      <c r="R293" s="28">
        <f t="shared" si="32"/>
        <v>1</v>
      </c>
      <c r="S293" s="29">
        <f t="shared" si="33"/>
        <v>100</v>
      </c>
      <c r="T293" s="5" t="str">
        <f>IF(Delivery_Data3[[#This Row],[Delays (min)]]&gt;0,"No","Yes")</f>
        <v>Yes</v>
      </c>
      <c r="W293" s="41">
        <f t="shared" si="34"/>
        <v>45174</v>
      </c>
      <c r="X293" s="5">
        <v>163</v>
      </c>
    </row>
    <row r="294" spans="1:24" ht="15.75" customHeight="1" x14ac:dyDescent="0.3">
      <c r="A294" s="4">
        <v>1293</v>
      </c>
      <c r="B294" s="5" t="s">
        <v>423</v>
      </c>
      <c r="C294" s="6">
        <v>45176.455555555556</v>
      </c>
      <c r="D294" s="5" t="s">
        <v>14</v>
      </c>
      <c r="E294" s="5" t="s">
        <v>51</v>
      </c>
      <c r="F294" s="5" t="s">
        <v>24</v>
      </c>
      <c r="G294" s="5" t="s">
        <v>56</v>
      </c>
      <c r="H294" s="5">
        <v>236</v>
      </c>
      <c r="I294" s="5">
        <v>6</v>
      </c>
      <c r="J294" s="5" t="s">
        <v>32</v>
      </c>
      <c r="K294" s="5" t="s">
        <v>45</v>
      </c>
      <c r="L294" s="5" t="s">
        <v>28</v>
      </c>
      <c r="M294" s="7" t="s">
        <v>21</v>
      </c>
      <c r="N294" s="26">
        <f t="shared" si="28"/>
        <v>-1</v>
      </c>
      <c r="O294" s="42">
        <f t="shared" si="29"/>
        <v>45176</v>
      </c>
      <c r="P294" s="5" t="str">
        <f t="shared" si="30"/>
        <v>Thursday</v>
      </c>
      <c r="Q294" s="5">
        <f t="shared" si="31"/>
        <v>10</v>
      </c>
      <c r="R294" s="28">
        <f t="shared" si="32"/>
        <v>0.97520661157024791</v>
      </c>
      <c r="S294" s="29">
        <f t="shared" si="33"/>
        <v>97.52066115702479</v>
      </c>
      <c r="T294" s="5" t="str">
        <f>IF(Delivery_Data3[[#This Row],[Delays (min)]]&gt;0,"No","Yes")</f>
        <v>No</v>
      </c>
      <c r="W294" s="41">
        <f t="shared" si="34"/>
        <v>45176</v>
      </c>
      <c r="X294" s="5">
        <v>236</v>
      </c>
    </row>
    <row r="295" spans="1:24" ht="15.75" customHeight="1" x14ac:dyDescent="0.3">
      <c r="A295" s="4">
        <v>1294</v>
      </c>
      <c r="B295" s="5" t="s">
        <v>424</v>
      </c>
      <c r="C295" s="6">
        <v>45173.417361111111</v>
      </c>
      <c r="D295" s="5" t="s">
        <v>43</v>
      </c>
      <c r="E295" s="5" t="s">
        <v>311</v>
      </c>
      <c r="F295" s="5" t="s">
        <v>16</v>
      </c>
      <c r="G295" s="5" t="s">
        <v>31</v>
      </c>
      <c r="H295" s="5">
        <v>77</v>
      </c>
      <c r="I295" s="5">
        <v>8</v>
      </c>
      <c r="J295" s="5" t="s">
        <v>18</v>
      </c>
      <c r="K295" s="5" t="s">
        <v>49</v>
      </c>
      <c r="L295" s="5" t="s">
        <v>20</v>
      </c>
      <c r="M295" s="7" t="s">
        <v>21</v>
      </c>
      <c r="N295" s="26">
        <f t="shared" si="28"/>
        <v>0</v>
      </c>
      <c r="O295" s="42">
        <f t="shared" si="29"/>
        <v>45173</v>
      </c>
      <c r="P295" s="5" t="str">
        <f t="shared" si="30"/>
        <v>Monday</v>
      </c>
      <c r="Q295" s="5">
        <f t="shared" si="31"/>
        <v>10</v>
      </c>
      <c r="R295" s="28">
        <f t="shared" si="32"/>
        <v>0.90588235294117647</v>
      </c>
      <c r="S295" s="29">
        <f t="shared" si="33"/>
        <v>90.588235294117652</v>
      </c>
      <c r="T295" s="5" t="str">
        <f>IF(Delivery_Data3[[#This Row],[Delays (min)]]&gt;0,"No","Yes")</f>
        <v>No</v>
      </c>
      <c r="W295" s="41">
        <f t="shared" si="34"/>
        <v>45173</v>
      </c>
      <c r="X295" s="5">
        <v>77</v>
      </c>
    </row>
    <row r="296" spans="1:24" ht="15.75" customHeight="1" x14ac:dyDescent="0.3">
      <c r="A296" s="4">
        <v>1295</v>
      </c>
      <c r="B296" s="5" t="s">
        <v>425</v>
      </c>
      <c r="C296" s="6">
        <v>45177.627083333333</v>
      </c>
      <c r="D296" s="5" t="s">
        <v>14</v>
      </c>
      <c r="E296" s="5" t="s">
        <v>333</v>
      </c>
      <c r="F296" s="5" t="s">
        <v>16</v>
      </c>
      <c r="G296" s="5" t="s">
        <v>56</v>
      </c>
      <c r="H296" s="5">
        <v>99</v>
      </c>
      <c r="I296" s="5">
        <v>12</v>
      </c>
      <c r="J296" s="5" t="s">
        <v>26</v>
      </c>
      <c r="K296" s="5" t="s">
        <v>45</v>
      </c>
      <c r="L296" s="5" t="s">
        <v>40</v>
      </c>
      <c r="M296" s="7" t="s">
        <v>41</v>
      </c>
      <c r="N296" s="26">
        <f t="shared" si="28"/>
        <v>1</v>
      </c>
      <c r="O296" s="42">
        <f t="shared" si="29"/>
        <v>45177</v>
      </c>
      <c r="P296" s="5" t="str">
        <f t="shared" si="30"/>
        <v>Friday</v>
      </c>
      <c r="Q296" s="5">
        <f t="shared" si="31"/>
        <v>15</v>
      </c>
      <c r="R296" s="28">
        <f t="shared" si="32"/>
        <v>0.89189189189189189</v>
      </c>
      <c r="S296" s="29">
        <f t="shared" si="33"/>
        <v>89.189189189189193</v>
      </c>
      <c r="T296" s="5" t="str">
        <f>IF(Delivery_Data3[[#This Row],[Delays (min)]]&gt;0,"No","Yes")</f>
        <v>No</v>
      </c>
      <c r="W296" s="41">
        <f t="shared" si="34"/>
        <v>45177</v>
      </c>
      <c r="X296" s="5">
        <v>99</v>
      </c>
    </row>
    <row r="297" spans="1:24" ht="15.75" customHeight="1" x14ac:dyDescent="0.3">
      <c r="A297" s="4">
        <v>1296</v>
      </c>
      <c r="B297" s="5" t="s">
        <v>426</v>
      </c>
      <c r="C297" s="6">
        <v>45172.70416666667</v>
      </c>
      <c r="D297" s="5" t="s">
        <v>14</v>
      </c>
      <c r="E297" s="5" t="s">
        <v>374</v>
      </c>
      <c r="F297" s="5" t="s">
        <v>24</v>
      </c>
      <c r="G297" s="5" t="s">
        <v>17</v>
      </c>
      <c r="H297" s="5">
        <v>177</v>
      </c>
      <c r="I297" s="5">
        <v>25</v>
      </c>
      <c r="J297" s="5" t="s">
        <v>26</v>
      </c>
      <c r="K297" s="5" t="s">
        <v>27</v>
      </c>
      <c r="L297" s="5" t="s">
        <v>20</v>
      </c>
      <c r="M297" s="7" t="s">
        <v>46</v>
      </c>
      <c r="N297" s="26">
        <f t="shared" si="28"/>
        <v>1</v>
      </c>
      <c r="O297" s="42">
        <f t="shared" si="29"/>
        <v>45172</v>
      </c>
      <c r="P297" s="5" t="str">
        <f t="shared" si="30"/>
        <v>Sunday</v>
      </c>
      <c r="Q297" s="5">
        <f t="shared" si="31"/>
        <v>16</v>
      </c>
      <c r="R297" s="28">
        <f t="shared" si="32"/>
        <v>0.87623762376237624</v>
      </c>
      <c r="S297" s="29">
        <f t="shared" si="33"/>
        <v>87.623762376237622</v>
      </c>
      <c r="T297" s="5" t="str">
        <f>IF(Delivery_Data3[[#This Row],[Delays (min)]]&gt;0,"No","Yes")</f>
        <v>No</v>
      </c>
      <c r="W297" s="41">
        <f t="shared" si="34"/>
        <v>45172</v>
      </c>
      <c r="X297" s="5">
        <v>177</v>
      </c>
    </row>
    <row r="298" spans="1:24" ht="15.75" customHeight="1" x14ac:dyDescent="0.3">
      <c r="A298" s="4">
        <v>1297</v>
      </c>
      <c r="B298" s="5" t="s">
        <v>427</v>
      </c>
      <c r="C298" s="6">
        <v>45176.378472222219</v>
      </c>
      <c r="D298" s="5" t="s">
        <v>43</v>
      </c>
      <c r="E298" s="5" t="s">
        <v>243</v>
      </c>
      <c r="F298" s="5" t="s">
        <v>24</v>
      </c>
      <c r="G298" s="5" t="s">
        <v>31</v>
      </c>
      <c r="H298" s="5">
        <v>175</v>
      </c>
      <c r="I298" s="5">
        <v>0</v>
      </c>
      <c r="J298" s="5" t="s">
        <v>26</v>
      </c>
      <c r="K298" s="5" t="s">
        <v>49</v>
      </c>
      <c r="L298" s="5" t="s">
        <v>40</v>
      </c>
      <c r="M298" s="7" t="s">
        <v>21</v>
      </c>
      <c r="N298" s="26">
        <f t="shared" si="28"/>
        <v>1</v>
      </c>
      <c r="O298" s="42">
        <f t="shared" si="29"/>
        <v>45176</v>
      </c>
      <c r="P298" s="5" t="str">
        <f t="shared" si="30"/>
        <v>Thursday</v>
      </c>
      <c r="Q298" s="5">
        <f t="shared" si="31"/>
        <v>9</v>
      </c>
      <c r="R298" s="28">
        <f t="shared" si="32"/>
        <v>1</v>
      </c>
      <c r="S298" s="29">
        <f t="shared" si="33"/>
        <v>100</v>
      </c>
      <c r="T298" s="5" t="str">
        <f>IF(Delivery_Data3[[#This Row],[Delays (min)]]&gt;0,"No","Yes")</f>
        <v>Yes</v>
      </c>
      <c r="W298" s="41">
        <f t="shared" si="34"/>
        <v>45176</v>
      </c>
      <c r="X298" s="5">
        <v>175</v>
      </c>
    </row>
    <row r="299" spans="1:24" ht="15.75" customHeight="1" x14ac:dyDescent="0.3">
      <c r="A299" s="4">
        <v>1298</v>
      </c>
      <c r="B299" s="5" t="s">
        <v>428</v>
      </c>
      <c r="C299" s="6">
        <v>45172.370138888888</v>
      </c>
      <c r="D299" s="5" t="s">
        <v>43</v>
      </c>
      <c r="E299" s="5" t="s">
        <v>85</v>
      </c>
      <c r="F299" s="5" t="s">
        <v>16</v>
      </c>
      <c r="G299" s="5" t="s">
        <v>56</v>
      </c>
      <c r="H299" s="5">
        <v>155</v>
      </c>
      <c r="I299" s="5">
        <v>3</v>
      </c>
      <c r="J299" s="5" t="s">
        <v>26</v>
      </c>
      <c r="K299" s="5" t="s">
        <v>27</v>
      </c>
      <c r="L299" s="5" t="s">
        <v>28</v>
      </c>
      <c r="M299" s="7" t="s">
        <v>46</v>
      </c>
      <c r="N299" s="26">
        <f t="shared" si="28"/>
        <v>1</v>
      </c>
      <c r="O299" s="42">
        <f t="shared" si="29"/>
        <v>45172</v>
      </c>
      <c r="P299" s="5" t="str">
        <f t="shared" si="30"/>
        <v>Sunday</v>
      </c>
      <c r="Q299" s="5">
        <f t="shared" si="31"/>
        <v>8</v>
      </c>
      <c r="R299" s="28">
        <f t="shared" si="32"/>
        <v>0.98101265822784811</v>
      </c>
      <c r="S299" s="29">
        <f t="shared" si="33"/>
        <v>98.101265822784811</v>
      </c>
      <c r="T299" s="5" t="str">
        <f>IF(Delivery_Data3[[#This Row],[Delays (min)]]&gt;0,"No","Yes")</f>
        <v>No</v>
      </c>
      <c r="W299" s="41">
        <f t="shared" si="34"/>
        <v>45172</v>
      </c>
      <c r="X299" s="5">
        <v>155</v>
      </c>
    </row>
    <row r="300" spans="1:24" ht="15.75" customHeight="1" x14ac:dyDescent="0.3">
      <c r="A300" s="4">
        <v>1299</v>
      </c>
      <c r="B300" s="5" t="s">
        <v>429</v>
      </c>
      <c r="C300" s="6">
        <v>45174.361111111109</v>
      </c>
      <c r="D300" s="5" t="s">
        <v>14</v>
      </c>
      <c r="E300" s="5" t="s">
        <v>85</v>
      </c>
      <c r="F300" s="5" t="s">
        <v>38</v>
      </c>
      <c r="G300" s="5" t="s">
        <v>25</v>
      </c>
      <c r="H300" s="5">
        <v>153</v>
      </c>
      <c r="I300" s="5">
        <v>2</v>
      </c>
      <c r="J300" s="5" t="s">
        <v>26</v>
      </c>
      <c r="K300" s="5" t="s">
        <v>45</v>
      </c>
      <c r="L300" s="5" t="s">
        <v>28</v>
      </c>
      <c r="M300" s="7" t="s">
        <v>21</v>
      </c>
      <c r="N300" s="26">
        <f t="shared" si="28"/>
        <v>1</v>
      </c>
      <c r="O300" s="42">
        <f t="shared" si="29"/>
        <v>45174</v>
      </c>
      <c r="P300" s="5" t="str">
        <f t="shared" si="30"/>
        <v>Tuesday</v>
      </c>
      <c r="Q300" s="5">
        <f t="shared" si="31"/>
        <v>8</v>
      </c>
      <c r="R300" s="28">
        <f t="shared" si="32"/>
        <v>0.98709677419354835</v>
      </c>
      <c r="S300" s="29">
        <f t="shared" si="33"/>
        <v>98.709677419354833</v>
      </c>
      <c r="T300" s="5" t="str">
        <f>IF(Delivery_Data3[[#This Row],[Delays (min)]]&gt;0,"No","Yes")</f>
        <v>No</v>
      </c>
      <c r="W300" s="41">
        <f t="shared" si="34"/>
        <v>45174</v>
      </c>
      <c r="X300" s="5">
        <v>153</v>
      </c>
    </row>
    <row r="301" spans="1:24" ht="15.75" customHeight="1" x14ac:dyDescent="0.3">
      <c r="A301" s="4">
        <v>1300</v>
      </c>
      <c r="B301" s="5" t="s">
        <v>430</v>
      </c>
      <c r="C301" s="6">
        <v>45171.412499999999</v>
      </c>
      <c r="D301" s="5" t="s">
        <v>43</v>
      </c>
      <c r="E301" s="5" t="s">
        <v>37</v>
      </c>
      <c r="F301" s="5" t="s">
        <v>16</v>
      </c>
      <c r="G301" s="5" t="s">
        <v>17</v>
      </c>
      <c r="H301" s="5">
        <v>178</v>
      </c>
      <c r="I301" s="5">
        <v>29</v>
      </c>
      <c r="J301" s="5" t="s">
        <v>18</v>
      </c>
      <c r="K301" s="5" t="s">
        <v>49</v>
      </c>
      <c r="L301" s="5" t="s">
        <v>20</v>
      </c>
      <c r="M301" s="7" t="s">
        <v>46</v>
      </c>
      <c r="N301" s="26">
        <f t="shared" si="28"/>
        <v>0</v>
      </c>
      <c r="O301" s="42">
        <f t="shared" si="29"/>
        <v>45171</v>
      </c>
      <c r="P301" s="5" t="str">
        <f t="shared" si="30"/>
        <v>Saturday</v>
      </c>
      <c r="Q301" s="5">
        <f t="shared" si="31"/>
        <v>9</v>
      </c>
      <c r="R301" s="28">
        <f t="shared" si="32"/>
        <v>0.85990338164251212</v>
      </c>
      <c r="S301" s="29">
        <f t="shared" si="33"/>
        <v>85.990338164251213</v>
      </c>
      <c r="T301" s="5" t="str">
        <f>IF(Delivery_Data3[[#This Row],[Delays (min)]]&gt;0,"No","Yes")</f>
        <v>No</v>
      </c>
      <c r="W301" s="41">
        <f t="shared" si="34"/>
        <v>45171</v>
      </c>
      <c r="X301" s="5">
        <v>178</v>
      </c>
    </row>
    <row r="302" spans="1:24" ht="15.75" customHeight="1" x14ac:dyDescent="0.3">
      <c r="A302" s="4">
        <v>1301</v>
      </c>
      <c r="B302" s="5" t="s">
        <v>431</v>
      </c>
      <c r="C302" s="6">
        <v>45177.474305555559</v>
      </c>
      <c r="D302" s="5" t="s">
        <v>14</v>
      </c>
      <c r="E302" s="5" t="s">
        <v>101</v>
      </c>
      <c r="F302" s="5" t="s">
        <v>24</v>
      </c>
      <c r="G302" s="5" t="s">
        <v>25</v>
      </c>
      <c r="H302" s="5">
        <v>178</v>
      </c>
      <c r="I302" s="5">
        <v>11</v>
      </c>
      <c r="J302" s="5" t="s">
        <v>26</v>
      </c>
      <c r="K302" s="5" t="s">
        <v>27</v>
      </c>
      <c r="L302" s="5" t="s">
        <v>20</v>
      </c>
      <c r="M302" s="7" t="s">
        <v>21</v>
      </c>
      <c r="N302" s="26">
        <f t="shared" si="28"/>
        <v>1</v>
      </c>
      <c r="O302" s="42">
        <f t="shared" si="29"/>
        <v>45177</v>
      </c>
      <c r="P302" s="5" t="str">
        <f t="shared" si="30"/>
        <v>Friday</v>
      </c>
      <c r="Q302" s="5">
        <f t="shared" si="31"/>
        <v>11</v>
      </c>
      <c r="R302" s="28">
        <f t="shared" si="32"/>
        <v>0.94179894179894175</v>
      </c>
      <c r="S302" s="29">
        <f t="shared" si="33"/>
        <v>94.179894179894177</v>
      </c>
      <c r="T302" s="5" t="str">
        <f>IF(Delivery_Data3[[#This Row],[Delays (min)]]&gt;0,"No","Yes")</f>
        <v>No</v>
      </c>
      <c r="W302" s="41">
        <f t="shared" si="34"/>
        <v>45177</v>
      </c>
      <c r="X302" s="5">
        <v>178</v>
      </c>
    </row>
    <row r="303" spans="1:24" ht="15.75" customHeight="1" x14ac:dyDescent="0.3">
      <c r="A303" s="4">
        <v>1302</v>
      </c>
      <c r="B303" s="5" t="s">
        <v>432</v>
      </c>
      <c r="C303" s="6">
        <v>45171.456250000003</v>
      </c>
      <c r="D303" s="5" t="s">
        <v>43</v>
      </c>
      <c r="E303" s="5" t="s">
        <v>243</v>
      </c>
      <c r="F303" s="5" t="s">
        <v>24</v>
      </c>
      <c r="G303" s="5" t="s">
        <v>39</v>
      </c>
      <c r="H303" s="5">
        <v>237</v>
      </c>
      <c r="I303" s="5">
        <v>1</v>
      </c>
      <c r="J303" s="5" t="s">
        <v>26</v>
      </c>
      <c r="K303" s="5" t="s">
        <v>19</v>
      </c>
      <c r="L303" s="5" t="s">
        <v>40</v>
      </c>
      <c r="M303" s="7" t="s">
        <v>21</v>
      </c>
      <c r="N303" s="26">
        <f t="shared" si="28"/>
        <v>1</v>
      </c>
      <c r="O303" s="42">
        <f t="shared" si="29"/>
        <v>45171</v>
      </c>
      <c r="P303" s="5" t="str">
        <f t="shared" si="30"/>
        <v>Saturday</v>
      </c>
      <c r="Q303" s="5">
        <f t="shared" si="31"/>
        <v>10</v>
      </c>
      <c r="R303" s="28">
        <f t="shared" si="32"/>
        <v>0.99579831932773111</v>
      </c>
      <c r="S303" s="29">
        <f t="shared" si="33"/>
        <v>99.579831932773118</v>
      </c>
      <c r="T303" s="5" t="str">
        <f>IF(Delivery_Data3[[#This Row],[Delays (min)]]&gt;0,"No","Yes")</f>
        <v>No</v>
      </c>
      <c r="W303" s="41">
        <f t="shared" si="34"/>
        <v>45171</v>
      </c>
      <c r="X303" s="5">
        <v>237</v>
      </c>
    </row>
    <row r="304" spans="1:24" ht="15.75" customHeight="1" x14ac:dyDescent="0.3">
      <c r="A304" s="4">
        <v>1303</v>
      </c>
      <c r="B304" s="5" t="s">
        <v>433</v>
      </c>
      <c r="C304" s="6">
        <v>45170.394444444442</v>
      </c>
      <c r="D304" s="5" t="s">
        <v>43</v>
      </c>
      <c r="E304" s="5" t="s">
        <v>215</v>
      </c>
      <c r="F304" s="5" t="s">
        <v>38</v>
      </c>
      <c r="G304" s="5" t="s">
        <v>17</v>
      </c>
      <c r="H304" s="5">
        <v>115</v>
      </c>
      <c r="I304" s="5">
        <v>17</v>
      </c>
      <c r="J304" s="5" t="s">
        <v>32</v>
      </c>
      <c r="K304" s="5" t="s">
        <v>19</v>
      </c>
      <c r="L304" s="5" t="s">
        <v>40</v>
      </c>
      <c r="M304" s="7" t="s">
        <v>21</v>
      </c>
      <c r="N304" s="26">
        <f t="shared" si="28"/>
        <v>-1</v>
      </c>
      <c r="O304" s="42">
        <f t="shared" si="29"/>
        <v>45170</v>
      </c>
      <c r="P304" s="5" t="str">
        <f t="shared" si="30"/>
        <v>Friday</v>
      </c>
      <c r="Q304" s="5">
        <f t="shared" si="31"/>
        <v>9</v>
      </c>
      <c r="R304" s="28">
        <f t="shared" si="32"/>
        <v>0.87121212121212122</v>
      </c>
      <c r="S304" s="29">
        <f t="shared" si="33"/>
        <v>87.121212121212125</v>
      </c>
      <c r="T304" s="5" t="str">
        <f>IF(Delivery_Data3[[#This Row],[Delays (min)]]&gt;0,"No","Yes")</f>
        <v>No</v>
      </c>
      <c r="W304" s="41">
        <f t="shared" si="34"/>
        <v>45170</v>
      </c>
      <c r="X304" s="5">
        <v>115</v>
      </c>
    </row>
    <row r="305" spans="1:24" ht="15.75" customHeight="1" x14ac:dyDescent="0.3">
      <c r="A305" s="4">
        <v>1304</v>
      </c>
      <c r="B305" s="5" t="s">
        <v>434</v>
      </c>
      <c r="C305" s="6">
        <v>45174.688888888886</v>
      </c>
      <c r="D305" s="5" t="s">
        <v>43</v>
      </c>
      <c r="E305" s="5" t="s">
        <v>306</v>
      </c>
      <c r="F305" s="5" t="s">
        <v>16</v>
      </c>
      <c r="G305" s="5" t="s">
        <v>17</v>
      </c>
      <c r="H305" s="5">
        <v>185</v>
      </c>
      <c r="I305" s="5">
        <v>5</v>
      </c>
      <c r="J305" s="5" t="s">
        <v>32</v>
      </c>
      <c r="K305" s="5" t="s">
        <v>19</v>
      </c>
      <c r="L305" s="5" t="s">
        <v>20</v>
      </c>
      <c r="M305" s="7" t="s">
        <v>41</v>
      </c>
      <c r="N305" s="26">
        <f t="shared" si="28"/>
        <v>-1</v>
      </c>
      <c r="O305" s="42">
        <f t="shared" si="29"/>
        <v>45174</v>
      </c>
      <c r="P305" s="5" t="str">
        <f t="shared" si="30"/>
        <v>Tuesday</v>
      </c>
      <c r="Q305" s="5">
        <f t="shared" si="31"/>
        <v>16</v>
      </c>
      <c r="R305" s="28">
        <f t="shared" si="32"/>
        <v>0.97368421052631582</v>
      </c>
      <c r="S305" s="29">
        <f t="shared" si="33"/>
        <v>97.368421052631575</v>
      </c>
      <c r="T305" s="5" t="str">
        <f>IF(Delivery_Data3[[#This Row],[Delays (min)]]&gt;0,"No","Yes")</f>
        <v>No</v>
      </c>
      <c r="W305" s="41">
        <f t="shared" si="34"/>
        <v>45174</v>
      </c>
      <c r="X305" s="5">
        <v>185</v>
      </c>
    </row>
    <row r="306" spans="1:24" ht="15.75" customHeight="1" x14ac:dyDescent="0.3">
      <c r="A306" s="4">
        <v>1305</v>
      </c>
      <c r="B306" s="5" t="s">
        <v>435</v>
      </c>
      <c r="C306" s="6">
        <v>45171.667361111111</v>
      </c>
      <c r="D306" s="5" t="s">
        <v>43</v>
      </c>
      <c r="E306" s="5" t="s">
        <v>44</v>
      </c>
      <c r="F306" s="5" t="s">
        <v>16</v>
      </c>
      <c r="G306" s="5" t="s">
        <v>56</v>
      </c>
      <c r="H306" s="5">
        <v>200</v>
      </c>
      <c r="I306" s="5">
        <v>2</v>
      </c>
      <c r="J306" s="5" t="s">
        <v>26</v>
      </c>
      <c r="K306" s="5" t="s">
        <v>27</v>
      </c>
      <c r="L306" s="5" t="s">
        <v>40</v>
      </c>
      <c r="M306" s="7" t="s">
        <v>21</v>
      </c>
      <c r="N306" s="26">
        <f t="shared" si="28"/>
        <v>1</v>
      </c>
      <c r="O306" s="42">
        <f t="shared" si="29"/>
        <v>45171</v>
      </c>
      <c r="P306" s="5" t="str">
        <f t="shared" si="30"/>
        <v>Saturday</v>
      </c>
      <c r="Q306" s="5">
        <f t="shared" si="31"/>
        <v>16</v>
      </c>
      <c r="R306" s="28">
        <f t="shared" si="32"/>
        <v>0.99009900990099009</v>
      </c>
      <c r="S306" s="29">
        <f t="shared" si="33"/>
        <v>99.009900990099013</v>
      </c>
      <c r="T306" s="5" t="str">
        <f>IF(Delivery_Data3[[#This Row],[Delays (min)]]&gt;0,"No","Yes")</f>
        <v>No</v>
      </c>
      <c r="W306" s="41">
        <f t="shared" si="34"/>
        <v>45171</v>
      </c>
      <c r="X306" s="5">
        <v>200</v>
      </c>
    </row>
    <row r="307" spans="1:24" ht="15.75" customHeight="1" x14ac:dyDescent="0.3">
      <c r="A307" s="4">
        <v>1306</v>
      </c>
      <c r="B307" s="5" t="s">
        <v>436</v>
      </c>
      <c r="C307" s="6">
        <v>45176.707638888889</v>
      </c>
      <c r="D307" s="5" t="s">
        <v>43</v>
      </c>
      <c r="E307" s="5" t="s">
        <v>245</v>
      </c>
      <c r="F307" s="5" t="s">
        <v>16</v>
      </c>
      <c r="G307" s="5" t="s">
        <v>25</v>
      </c>
      <c r="H307" s="5">
        <v>171</v>
      </c>
      <c r="I307" s="5">
        <v>15</v>
      </c>
      <c r="J307" s="5" t="s">
        <v>26</v>
      </c>
      <c r="K307" s="5" t="s">
        <v>49</v>
      </c>
      <c r="L307" s="5" t="s">
        <v>20</v>
      </c>
      <c r="M307" s="7" t="s">
        <v>21</v>
      </c>
      <c r="N307" s="26">
        <f t="shared" si="28"/>
        <v>1</v>
      </c>
      <c r="O307" s="42">
        <f t="shared" si="29"/>
        <v>45176</v>
      </c>
      <c r="P307" s="5" t="str">
        <f t="shared" si="30"/>
        <v>Thursday</v>
      </c>
      <c r="Q307" s="5">
        <f t="shared" si="31"/>
        <v>16</v>
      </c>
      <c r="R307" s="28">
        <f t="shared" si="32"/>
        <v>0.91935483870967738</v>
      </c>
      <c r="S307" s="29">
        <f t="shared" si="33"/>
        <v>91.935483870967744</v>
      </c>
      <c r="T307" s="5" t="str">
        <f>IF(Delivery_Data3[[#This Row],[Delays (min)]]&gt;0,"No","Yes")</f>
        <v>No</v>
      </c>
      <c r="W307" s="41">
        <f t="shared" si="34"/>
        <v>45176</v>
      </c>
      <c r="X307" s="5">
        <v>171</v>
      </c>
    </row>
    <row r="308" spans="1:24" ht="15.75" customHeight="1" x14ac:dyDescent="0.3">
      <c r="A308" s="4">
        <v>1307</v>
      </c>
      <c r="B308" s="5" t="s">
        <v>437</v>
      </c>
      <c r="C308" s="6">
        <v>45172.513194444444</v>
      </c>
      <c r="D308" s="5" t="s">
        <v>43</v>
      </c>
      <c r="E308" s="5" t="s">
        <v>126</v>
      </c>
      <c r="F308" s="5" t="s">
        <v>38</v>
      </c>
      <c r="G308" s="5" t="s">
        <v>56</v>
      </c>
      <c r="H308" s="5">
        <v>164</v>
      </c>
      <c r="I308" s="5">
        <v>3</v>
      </c>
      <c r="J308" s="5" t="s">
        <v>32</v>
      </c>
      <c r="K308" s="5" t="s">
        <v>19</v>
      </c>
      <c r="L308" s="5" t="s">
        <v>40</v>
      </c>
      <c r="M308" s="7" t="s">
        <v>41</v>
      </c>
      <c r="N308" s="26">
        <f t="shared" si="28"/>
        <v>-1</v>
      </c>
      <c r="O308" s="42">
        <f t="shared" si="29"/>
        <v>45172</v>
      </c>
      <c r="P308" s="5" t="str">
        <f t="shared" si="30"/>
        <v>Sunday</v>
      </c>
      <c r="Q308" s="5">
        <f t="shared" si="31"/>
        <v>12</v>
      </c>
      <c r="R308" s="28">
        <f t="shared" si="32"/>
        <v>0.98203592814371254</v>
      </c>
      <c r="S308" s="29">
        <f t="shared" si="33"/>
        <v>98.203592814371248</v>
      </c>
      <c r="T308" s="5" t="str">
        <f>IF(Delivery_Data3[[#This Row],[Delays (min)]]&gt;0,"No","Yes")</f>
        <v>No</v>
      </c>
      <c r="W308" s="41">
        <f t="shared" si="34"/>
        <v>45172</v>
      </c>
      <c r="X308" s="5">
        <v>164</v>
      </c>
    </row>
    <row r="309" spans="1:24" ht="15.75" customHeight="1" x14ac:dyDescent="0.3">
      <c r="A309" s="4">
        <v>1308</v>
      </c>
      <c r="B309" s="5" t="s">
        <v>438</v>
      </c>
      <c r="C309" s="6">
        <v>45171.45</v>
      </c>
      <c r="D309" s="5" t="s">
        <v>14</v>
      </c>
      <c r="E309" s="5" t="s">
        <v>76</v>
      </c>
      <c r="F309" s="5" t="s">
        <v>38</v>
      </c>
      <c r="G309" s="5" t="s">
        <v>39</v>
      </c>
      <c r="H309" s="5">
        <v>62</v>
      </c>
      <c r="I309" s="5">
        <v>1</v>
      </c>
      <c r="J309" s="5" t="s">
        <v>32</v>
      </c>
      <c r="K309" s="5" t="s">
        <v>45</v>
      </c>
      <c r="L309" s="5" t="s">
        <v>40</v>
      </c>
      <c r="M309" s="7" t="s">
        <v>41</v>
      </c>
      <c r="N309" s="26">
        <f t="shared" si="28"/>
        <v>-1</v>
      </c>
      <c r="O309" s="42">
        <f t="shared" si="29"/>
        <v>45171</v>
      </c>
      <c r="P309" s="5" t="str">
        <f t="shared" si="30"/>
        <v>Saturday</v>
      </c>
      <c r="Q309" s="5">
        <f t="shared" si="31"/>
        <v>10</v>
      </c>
      <c r="R309" s="28">
        <f t="shared" si="32"/>
        <v>0.98412698412698407</v>
      </c>
      <c r="S309" s="29">
        <f t="shared" si="33"/>
        <v>98.412698412698404</v>
      </c>
      <c r="T309" s="5" t="str">
        <f>IF(Delivery_Data3[[#This Row],[Delays (min)]]&gt;0,"No","Yes")</f>
        <v>No</v>
      </c>
      <c r="W309" s="41">
        <f t="shared" si="34"/>
        <v>45171</v>
      </c>
      <c r="X309" s="5">
        <v>62</v>
      </c>
    </row>
    <row r="310" spans="1:24" ht="15.75" customHeight="1" x14ac:dyDescent="0.3">
      <c r="A310" s="4">
        <v>1309</v>
      </c>
      <c r="B310" s="5" t="s">
        <v>439</v>
      </c>
      <c r="C310" s="6">
        <v>45175.663888888892</v>
      </c>
      <c r="D310" s="5" t="s">
        <v>14</v>
      </c>
      <c r="E310" s="5" t="s">
        <v>171</v>
      </c>
      <c r="F310" s="5" t="s">
        <v>16</v>
      </c>
      <c r="G310" s="5" t="s">
        <v>39</v>
      </c>
      <c r="H310" s="5">
        <v>201</v>
      </c>
      <c r="I310" s="5">
        <v>11</v>
      </c>
      <c r="J310" s="5" t="s">
        <v>26</v>
      </c>
      <c r="K310" s="5" t="s">
        <v>19</v>
      </c>
      <c r="L310" s="5" t="s">
        <v>20</v>
      </c>
      <c r="M310" s="7" t="s">
        <v>21</v>
      </c>
      <c r="N310" s="26">
        <f t="shared" si="28"/>
        <v>1</v>
      </c>
      <c r="O310" s="42">
        <f t="shared" si="29"/>
        <v>45175</v>
      </c>
      <c r="P310" s="5" t="str">
        <f t="shared" si="30"/>
        <v>Wednesday</v>
      </c>
      <c r="Q310" s="5">
        <f t="shared" si="31"/>
        <v>15</v>
      </c>
      <c r="R310" s="28">
        <f t="shared" si="32"/>
        <v>0.94811320754716977</v>
      </c>
      <c r="S310" s="29">
        <f t="shared" si="33"/>
        <v>94.811320754716974</v>
      </c>
      <c r="T310" s="5" t="str">
        <f>IF(Delivery_Data3[[#This Row],[Delays (min)]]&gt;0,"No","Yes")</f>
        <v>No</v>
      </c>
      <c r="W310" s="41">
        <f t="shared" si="34"/>
        <v>45175</v>
      </c>
      <c r="X310" s="5">
        <v>201</v>
      </c>
    </row>
    <row r="311" spans="1:24" ht="15.75" customHeight="1" x14ac:dyDescent="0.3">
      <c r="A311" s="4">
        <v>1310</v>
      </c>
      <c r="B311" s="5" t="s">
        <v>440</v>
      </c>
      <c r="C311" s="6">
        <v>45173.688888888886</v>
      </c>
      <c r="D311" s="5" t="s">
        <v>43</v>
      </c>
      <c r="E311" s="5" t="s">
        <v>441</v>
      </c>
      <c r="F311" s="5" t="s">
        <v>16</v>
      </c>
      <c r="G311" s="5" t="s">
        <v>25</v>
      </c>
      <c r="H311" s="5">
        <v>227</v>
      </c>
      <c r="I311" s="5">
        <v>12</v>
      </c>
      <c r="J311" s="5" t="s">
        <v>26</v>
      </c>
      <c r="K311" s="5" t="s">
        <v>27</v>
      </c>
      <c r="L311" s="5" t="s">
        <v>20</v>
      </c>
      <c r="M311" s="7" t="s">
        <v>46</v>
      </c>
      <c r="N311" s="26">
        <f t="shared" si="28"/>
        <v>1</v>
      </c>
      <c r="O311" s="42">
        <f t="shared" si="29"/>
        <v>45173</v>
      </c>
      <c r="P311" s="5" t="str">
        <f t="shared" si="30"/>
        <v>Monday</v>
      </c>
      <c r="Q311" s="5">
        <f t="shared" si="31"/>
        <v>16</v>
      </c>
      <c r="R311" s="28">
        <f t="shared" si="32"/>
        <v>0.94979079497907948</v>
      </c>
      <c r="S311" s="29">
        <f t="shared" si="33"/>
        <v>94.979079497907946</v>
      </c>
      <c r="T311" s="5" t="str">
        <f>IF(Delivery_Data3[[#This Row],[Delays (min)]]&gt;0,"No","Yes")</f>
        <v>No</v>
      </c>
      <c r="W311" s="41">
        <f t="shared" si="34"/>
        <v>45173</v>
      </c>
      <c r="X311" s="5">
        <v>227</v>
      </c>
    </row>
    <row r="312" spans="1:24" ht="15.75" customHeight="1" x14ac:dyDescent="0.3">
      <c r="A312" s="4">
        <v>1311</v>
      </c>
      <c r="B312" s="5" t="s">
        <v>442</v>
      </c>
      <c r="C312" s="6">
        <v>45175.647222222222</v>
      </c>
      <c r="D312" s="5" t="s">
        <v>14</v>
      </c>
      <c r="E312" s="5" t="s">
        <v>228</v>
      </c>
      <c r="F312" s="5" t="s">
        <v>38</v>
      </c>
      <c r="G312" s="5" t="s">
        <v>56</v>
      </c>
      <c r="H312" s="5">
        <v>174</v>
      </c>
      <c r="I312" s="5">
        <v>29</v>
      </c>
      <c r="J312" s="5" t="s">
        <v>18</v>
      </c>
      <c r="K312" s="5" t="s">
        <v>19</v>
      </c>
      <c r="L312" s="5" t="s">
        <v>40</v>
      </c>
      <c r="M312" s="7" t="s">
        <v>46</v>
      </c>
      <c r="N312" s="26">
        <f t="shared" si="28"/>
        <v>0</v>
      </c>
      <c r="O312" s="42">
        <f t="shared" si="29"/>
        <v>45175</v>
      </c>
      <c r="P312" s="5" t="str">
        <f t="shared" si="30"/>
        <v>Wednesday</v>
      </c>
      <c r="Q312" s="5">
        <f t="shared" si="31"/>
        <v>15</v>
      </c>
      <c r="R312" s="28">
        <f t="shared" si="32"/>
        <v>0.8571428571428571</v>
      </c>
      <c r="S312" s="29">
        <f t="shared" si="33"/>
        <v>85.714285714285708</v>
      </c>
      <c r="T312" s="5" t="str">
        <f>IF(Delivery_Data3[[#This Row],[Delays (min)]]&gt;0,"No","Yes")</f>
        <v>No</v>
      </c>
      <c r="W312" s="41">
        <f t="shared" si="34"/>
        <v>45175</v>
      </c>
      <c r="X312" s="5">
        <v>174</v>
      </c>
    </row>
    <row r="313" spans="1:24" ht="15.75" customHeight="1" x14ac:dyDescent="0.3">
      <c r="A313" s="4">
        <v>1312</v>
      </c>
      <c r="B313" s="5" t="s">
        <v>443</v>
      </c>
      <c r="C313" s="6">
        <v>45170.665972222225</v>
      </c>
      <c r="D313" s="5" t="s">
        <v>43</v>
      </c>
      <c r="E313" s="5" t="s">
        <v>55</v>
      </c>
      <c r="F313" s="5" t="s">
        <v>38</v>
      </c>
      <c r="G313" s="5" t="s">
        <v>17</v>
      </c>
      <c r="H313" s="5">
        <v>69</v>
      </c>
      <c r="I313" s="5">
        <v>20</v>
      </c>
      <c r="J313" s="5" t="s">
        <v>32</v>
      </c>
      <c r="K313" s="5" t="s">
        <v>35</v>
      </c>
      <c r="L313" s="5" t="s">
        <v>20</v>
      </c>
      <c r="M313" s="7" t="s">
        <v>41</v>
      </c>
      <c r="N313" s="26">
        <f t="shared" si="28"/>
        <v>-1</v>
      </c>
      <c r="O313" s="42">
        <f t="shared" si="29"/>
        <v>45170</v>
      </c>
      <c r="P313" s="5" t="str">
        <f t="shared" si="30"/>
        <v>Friday</v>
      </c>
      <c r="Q313" s="5">
        <f t="shared" si="31"/>
        <v>15</v>
      </c>
      <c r="R313" s="28">
        <f t="shared" si="32"/>
        <v>0.7752808988764045</v>
      </c>
      <c r="S313" s="29">
        <f t="shared" si="33"/>
        <v>77.528089887640448</v>
      </c>
      <c r="T313" s="5" t="str">
        <f>IF(Delivery_Data3[[#This Row],[Delays (min)]]&gt;0,"No","Yes")</f>
        <v>No</v>
      </c>
      <c r="W313" s="41">
        <f t="shared" si="34"/>
        <v>45170</v>
      </c>
      <c r="X313" s="5">
        <v>69</v>
      </c>
    </row>
    <row r="314" spans="1:24" ht="15.75" customHeight="1" x14ac:dyDescent="0.3">
      <c r="A314" s="4">
        <v>1313</v>
      </c>
      <c r="B314" s="5" t="s">
        <v>444</v>
      </c>
      <c r="C314" s="6">
        <v>45170.674305555556</v>
      </c>
      <c r="D314" s="5" t="s">
        <v>14</v>
      </c>
      <c r="E314" s="5" t="s">
        <v>34</v>
      </c>
      <c r="F314" s="5" t="s">
        <v>24</v>
      </c>
      <c r="G314" s="5" t="s">
        <v>25</v>
      </c>
      <c r="H314" s="5">
        <v>182</v>
      </c>
      <c r="I314" s="5">
        <v>15</v>
      </c>
      <c r="J314" s="5" t="s">
        <v>26</v>
      </c>
      <c r="K314" s="5" t="s">
        <v>27</v>
      </c>
      <c r="L314" s="5" t="s">
        <v>20</v>
      </c>
      <c r="M314" s="7" t="s">
        <v>21</v>
      </c>
      <c r="N314" s="26">
        <f t="shared" si="28"/>
        <v>1</v>
      </c>
      <c r="O314" s="42">
        <f t="shared" si="29"/>
        <v>45170</v>
      </c>
      <c r="P314" s="5" t="str">
        <f t="shared" si="30"/>
        <v>Friday</v>
      </c>
      <c r="Q314" s="5">
        <f t="shared" si="31"/>
        <v>16</v>
      </c>
      <c r="R314" s="28">
        <f t="shared" si="32"/>
        <v>0.92385786802030456</v>
      </c>
      <c r="S314" s="29">
        <f t="shared" si="33"/>
        <v>92.385786802030452</v>
      </c>
      <c r="T314" s="5" t="str">
        <f>IF(Delivery_Data3[[#This Row],[Delays (min)]]&gt;0,"No","Yes")</f>
        <v>No</v>
      </c>
      <c r="W314" s="41">
        <f t="shared" si="34"/>
        <v>45170</v>
      </c>
      <c r="X314" s="5">
        <v>182</v>
      </c>
    </row>
    <row r="315" spans="1:24" ht="15.75" customHeight="1" x14ac:dyDescent="0.3">
      <c r="A315" s="4">
        <v>1314</v>
      </c>
      <c r="B315" s="5" t="s">
        <v>445</v>
      </c>
      <c r="C315" s="6">
        <v>45170.344444444447</v>
      </c>
      <c r="D315" s="5" t="s">
        <v>14</v>
      </c>
      <c r="E315" s="5" t="s">
        <v>160</v>
      </c>
      <c r="F315" s="5" t="s">
        <v>38</v>
      </c>
      <c r="G315" s="5" t="s">
        <v>31</v>
      </c>
      <c r="H315" s="5">
        <v>96</v>
      </c>
      <c r="I315" s="5">
        <v>4</v>
      </c>
      <c r="J315" s="5" t="s">
        <v>18</v>
      </c>
      <c r="K315" s="5" t="s">
        <v>35</v>
      </c>
      <c r="L315" s="5" t="s">
        <v>28</v>
      </c>
      <c r="M315" s="7" t="s">
        <v>41</v>
      </c>
      <c r="N315" s="26">
        <f t="shared" si="28"/>
        <v>0</v>
      </c>
      <c r="O315" s="42">
        <f t="shared" si="29"/>
        <v>45170</v>
      </c>
      <c r="P315" s="5" t="str">
        <f t="shared" si="30"/>
        <v>Friday</v>
      </c>
      <c r="Q315" s="5">
        <f t="shared" si="31"/>
        <v>8</v>
      </c>
      <c r="R315" s="28">
        <f t="shared" si="32"/>
        <v>0.96</v>
      </c>
      <c r="S315" s="29">
        <f t="shared" si="33"/>
        <v>96</v>
      </c>
      <c r="T315" s="5" t="str">
        <f>IF(Delivery_Data3[[#This Row],[Delays (min)]]&gt;0,"No","Yes")</f>
        <v>No</v>
      </c>
      <c r="W315" s="41">
        <f t="shared" si="34"/>
        <v>45170</v>
      </c>
      <c r="X315" s="5">
        <v>96</v>
      </c>
    </row>
    <row r="316" spans="1:24" ht="15.75" customHeight="1" x14ac:dyDescent="0.3">
      <c r="A316" s="4">
        <v>1315</v>
      </c>
      <c r="B316" s="5" t="s">
        <v>446</v>
      </c>
      <c r="C316" s="6">
        <v>45175.604166666664</v>
      </c>
      <c r="D316" s="5" t="s">
        <v>14</v>
      </c>
      <c r="E316" s="5" t="s">
        <v>23</v>
      </c>
      <c r="F316" s="5" t="s">
        <v>16</v>
      </c>
      <c r="G316" s="5" t="s">
        <v>39</v>
      </c>
      <c r="H316" s="5">
        <v>171</v>
      </c>
      <c r="I316" s="5">
        <v>2</v>
      </c>
      <c r="J316" s="5" t="s">
        <v>18</v>
      </c>
      <c r="K316" s="5" t="s">
        <v>45</v>
      </c>
      <c r="L316" s="5" t="s">
        <v>20</v>
      </c>
      <c r="M316" s="7" t="s">
        <v>21</v>
      </c>
      <c r="N316" s="26">
        <f t="shared" si="28"/>
        <v>0</v>
      </c>
      <c r="O316" s="42">
        <f t="shared" si="29"/>
        <v>45175</v>
      </c>
      <c r="P316" s="5" t="str">
        <f t="shared" si="30"/>
        <v>Wednesday</v>
      </c>
      <c r="Q316" s="5">
        <f t="shared" si="31"/>
        <v>14</v>
      </c>
      <c r="R316" s="28">
        <f t="shared" si="32"/>
        <v>0.98843930635838151</v>
      </c>
      <c r="S316" s="29">
        <f t="shared" si="33"/>
        <v>98.843930635838149</v>
      </c>
      <c r="T316" s="5" t="str">
        <f>IF(Delivery_Data3[[#This Row],[Delays (min)]]&gt;0,"No","Yes")</f>
        <v>No</v>
      </c>
      <c r="W316" s="41">
        <f t="shared" si="34"/>
        <v>45175</v>
      </c>
      <c r="X316" s="5">
        <v>171</v>
      </c>
    </row>
    <row r="317" spans="1:24" ht="15.75" customHeight="1" x14ac:dyDescent="0.3">
      <c r="A317" s="4">
        <v>1316</v>
      </c>
      <c r="B317" s="5" t="s">
        <v>447</v>
      </c>
      <c r="C317" s="6">
        <v>45171.654166666667</v>
      </c>
      <c r="D317" s="5" t="s">
        <v>14</v>
      </c>
      <c r="E317" s="5" t="s">
        <v>132</v>
      </c>
      <c r="F317" s="5" t="s">
        <v>38</v>
      </c>
      <c r="G317" s="5" t="s">
        <v>17</v>
      </c>
      <c r="H317" s="5">
        <v>193</v>
      </c>
      <c r="I317" s="5">
        <v>3</v>
      </c>
      <c r="J317" s="5" t="s">
        <v>18</v>
      </c>
      <c r="K317" s="5" t="s">
        <v>45</v>
      </c>
      <c r="L317" s="5" t="s">
        <v>20</v>
      </c>
      <c r="M317" s="7" t="s">
        <v>41</v>
      </c>
      <c r="N317" s="26">
        <f t="shared" si="28"/>
        <v>0</v>
      </c>
      <c r="O317" s="42">
        <f t="shared" si="29"/>
        <v>45171</v>
      </c>
      <c r="P317" s="5" t="str">
        <f t="shared" si="30"/>
        <v>Saturday</v>
      </c>
      <c r="Q317" s="5">
        <f t="shared" si="31"/>
        <v>15</v>
      </c>
      <c r="R317" s="28">
        <f t="shared" si="32"/>
        <v>0.98469387755102045</v>
      </c>
      <c r="S317" s="29">
        <f t="shared" si="33"/>
        <v>98.469387755102048</v>
      </c>
      <c r="T317" s="5" t="str">
        <f>IF(Delivery_Data3[[#This Row],[Delays (min)]]&gt;0,"No","Yes")</f>
        <v>No</v>
      </c>
      <c r="W317" s="41">
        <f t="shared" si="34"/>
        <v>45171</v>
      </c>
      <c r="X317" s="5">
        <v>193</v>
      </c>
    </row>
    <row r="318" spans="1:24" ht="15.75" customHeight="1" x14ac:dyDescent="0.3">
      <c r="A318" s="4">
        <v>1317</v>
      </c>
      <c r="B318" s="5" t="s">
        <v>448</v>
      </c>
      <c r="C318" s="6">
        <v>45173.453472222223</v>
      </c>
      <c r="D318" s="5" t="s">
        <v>43</v>
      </c>
      <c r="E318" s="5" t="s">
        <v>60</v>
      </c>
      <c r="F318" s="5" t="s">
        <v>38</v>
      </c>
      <c r="G318" s="5" t="s">
        <v>31</v>
      </c>
      <c r="H318" s="5">
        <v>176</v>
      </c>
      <c r="I318" s="5">
        <v>27</v>
      </c>
      <c r="J318" s="5" t="s">
        <v>32</v>
      </c>
      <c r="K318" s="5" t="s">
        <v>27</v>
      </c>
      <c r="L318" s="5" t="s">
        <v>20</v>
      </c>
      <c r="M318" s="7" t="s">
        <v>46</v>
      </c>
      <c r="N318" s="26">
        <f t="shared" si="28"/>
        <v>-1</v>
      </c>
      <c r="O318" s="42">
        <f t="shared" si="29"/>
        <v>45173</v>
      </c>
      <c r="P318" s="5" t="str">
        <f t="shared" si="30"/>
        <v>Monday</v>
      </c>
      <c r="Q318" s="5">
        <f t="shared" si="31"/>
        <v>10</v>
      </c>
      <c r="R318" s="28">
        <f t="shared" si="32"/>
        <v>0.86699507389162567</v>
      </c>
      <c r="S318" s="29">
        <f t="shared" si="33"/>
        <v>86.699507389162562</v>
      </c>
      <c r="T318" s="5" t="str">
        <f>IF(Delivery_Data3[[#This Row],[Delays (min)]]&gt;0,"No","Yes")</f>
        <v>No</v>
      </c>
      <c r="W318" s="41">
        <f t="shared" si="34"/>
        <v>45173</v>
      </c>
      <c r="X318" s="5">
        <v>176</v>
      </c>
    </row>
    <row r="319" spans="1:24" ht="15.75" customHeight="1" x14ac:dyDescent="0.3">
      <c r="A319" s="4">
        <v>1318</v>
      </c>
      <c r="B319" s="5" t="s">
        <v>449</v>
      </c>
      <c r="C319" s="6">
        <v>45171.60833333333</v>
      </c>
      <c r="D319" s="5" t="s">
        <v>14</v>
      </c>
      <c r="E319" s="5" t="s">
        <v>93</v>
      </c>
      <c r="F319" s="5" t="s">
        <v>38</v>
      </c>
      <c r="G319" s="5" t="s">
        <v>39</v>
      </c>
      <c r="H319" s="5">
        <v>135</v>
      </c>
      <c r="I319" s="5">
        <v>11</v>
      </c>
      <c r="J319" s="5" t="s">
        <v>32</v>
      </c>
      <c r="K319" s="5" t="s">
        <v>45</v>
      </c>
      <c r="L319" s="5" t="s">
        <v>28</v>
      </c>
      <c r="M319" s="7" t="s">
        <v>46</v>
      </c>
      <c r="N319" s="26">
        <f t="shared" si="28"/>
        <v>-1</v>
      </c>
      <c r="O319" s="42">
        <f t="shared" si="29"/>
        <v>45171</v>
      </c>
      <c r="P319" s="5" t="str">
        <f t="shared" si="30"/>
        <v>Saturday</v>
      </c>
      <c r="Q319" s="5">
        <f t="shared" si="31"/>
        <v>14</v>
      </c>
      <c r="R319" s="28">
        <f t="shared" si="32"/>
        <v>0.92465753424657537</v>
      </c>
      <c r="S319" s="29">
        <f t="shared" si="33"/>
        <v>92.465753424657535</v>
      </c>
      <c r="T319" s="5" t="str">
        <f>IF(Delivery_Data3[[#This Row],[Delays (min)]]&gt;0,"No","Yes")</f>
        <v>No</v>
      </c>
      <c r="W319" s="41">
        <f t="shared" si="34"/>
        <v>45171</v>
      </c>
      <c r="X319" s="5">
        <v>135</v>
      </c>
    </row>
    <row r="320" spans="1:24" ht="15.75" customHeight="1" x14ac:dyDescent="0.3">
      <c r="A320" s="4">
        <v>1319</v>
      </c>
      <c r="B320" s="5" t="s">
        <v>450</v>
      </c>
      <c r="C320" s="6">
        <v>45176.526388888888</v>
      </c>
      <c r="D320" s="5" t="s">
        <v>14</v>
      </c>
      <c r="E320" s="5" t="s">
        <v>261</v>
      </c>
      <c r="F320" s="5" t="s">
        <v>38</v>
      </c>
      <c r="G320" s="5" t="s">
        <v>17</v>
      </c>
      <c r="H320" s="5">
        <v>197</v>
      </c>
      <c r="I320" s="5">
        <v>25</v>
      </c>
      <c r="J320" s="5" t="s">
        <v>26</v>
      </c>
      <c r="K320" s="5" t="s">
        <v>19</v>
      </c>
      <c r="L320" s="5" t="s">
        <v>20</v>
      </c>
      <c r="M320" s="7" t="s">
        <v>41</v>
      </c>
      <c r="N320" s="26">
        <f t="shared" si="28"/>
        <v>1</v>
      </c>
      <c r="O320" s="42">
        <f t="shared" si="29"/>
        <v>45176</v>
      </c>
      <c r="P320" s="5" t="str">
        <f t="shared" si="30"/>
        <v>Thursday</v>
      </c>
      <c r="Q320" s="5">
        <f t="shared" si="31"/>
        <v>12</v>
      </c>
      <c r="R320" s="28">
        <f t="shared" si="32"/>
        <v>0.88738738738738743</v>
      </c>
      <c r="S320" s="29">
        <f t="shared" si="33"/>
        <v>88.738738738738746</v>
      </c>
      <c r="T320" s="5" t="str">
        <f>IF(Delivery_Data3[[#This Row],[Delays (min)]]&gt;0,"No","Yes")</f>
        <v>No</v>
      </c>
      <c r="W320" s="41">
        <f t="shared" si="34"/>
        <v>45176</v>
      </c>
      <c r="X320" s="5">
        <v>197</v>
      </c>
    </row>
    <row r="321" spans="1:24" ht="15.75" customHeight="1" x14ac:dyDescent="0.3">
      <c r="A321" s="4">
        <v>1320</v>
      </c>
      <c r="B321" s="5" t="s">
        <v>451</v>
      </c>
      <c r="C321" s="6">
        <v>45171.408333333333</v>
      </c>
      <c r="D321" s="5" t="s">
        <v>14</v>
      </c>
      <c r="E321" s="5" t="s">
        <v>187</v>
      </c>
      <c r="F321" s="5" t="s">
        <v>16</v>
      </c>
      <c r="G321" s="5" t="s">
        <v>17</v>
      </c>
      <c r="H321" s="5">
        <v>102</v>
      </c>
      <c r="I321" s="5">
        <v>9</v>
      </c>
      <c r="J321" s="5" t="s">
        <v>26</v>
      </c>
      <c r="K321" s="5" t="s">
        <v>27</v>
      </c>
      <c r="L321" s="5" t="s">
        <v>28</v>
      </c>
      <c r="M321" s="7" t="s">
        <v>41</v>
      </c>
      <c r="N321" s="26">
        <f t="shared" si="28"/>
        <v>1</v>
      </c>
      <c r="O321" s="42">
        <f t="shared" si="29"/>
        <v>45171</v>
      </c>
      <c r="P321" s="5" t="str">
        <f t="shared" si="30"/>
        <v>Saturday</v>
      </c>
      <c r="Q321" s="5">
        <f t="shared" si="31"/>
        <v>9</v>
      </c>
      <c r="R321" s="28">
        <f t="shared" si="32"/>
        <v>0.91891891891891897</v>
      </c>
      <c r="S321" s="29">
        <f t="shared" si="33"/>
        <v>91.891891891891902</v>
      </c>
      <c r="T321" s="5" t="str">
        <f>IF(Delivery_Data3[[#This Row],[Delays (min)]]&gt;0,"No","Yes")</f>
        <v>No</v>
      </c>
      <c r="W321" s="41">
        <f t="shared" si="34"/>
        <v>45171</v>
      </c>
      <c r="X321" s="5">
        <v>102</v>
      </c>
    </row>
    <row r="322" spans="1:24" ht="15.75" customHeight="1" x14ac:dyDescent="0.3">
      <c r="A322" s="4">
        <v>1321</v>
      </c>
      <c r="B322" s="5" t="s">
        <v>452</v>
      </c>
      <c r="C322" s="6">
        <v>45177.438888888886</v>
      </c>
      <c r="D322" s="5" t="s">
        <v>43</v>
      </c>
      <c r="E322" s="5" t="s">
        <v>166</v>
      </c>
      <c r="F322" s="5" t="s">
        <v>16</v>
      </c>
      <c r="G322" s="5" t="s">
        <v>17</v>
      </c>
      <c r="H322" s="5">
        <v>196</v>
      </c>
      <c r="I322" s="5">
        <v>23</v>
      </c>
      <c r="J322" s="5" t="s">
        <v>32</v>
      </c>
      <c r="K322" s="5" t="s">
        <v>49</v>
      </c>
      <c r="L322" s="5" t="s">
        <v>40</v>
      </c>
      <c r="M322" s="7" t="s">
        <v>41</v>
      </c>
      <c r="N322" s="26">
        <f t="shared" ref="N322:N385" si="35">IF(J322="Positive",1,IF(J322="Neutral",0,IF(J322="Negative",-1,"")))</f>
        <v>-1</v>
      </c>
      <c r="O322" s="42">
        <f t="shared" ref="O322:O385" si="36">INT(C322)</f>
        <v>45177</v>
      </c>
      <c r="P322" s="5" t="str">
        <f t="shared" ref="P322:P385" si="37">TEXT(C322,"dddd")</f>
        <v>Friday</v>
      </c>
      <c r="Q322" s="5">
        <f t="shared" ref="Q322:Q385" si="38">HOUR(C322)</f>
        <v>10</v>
      </c>
      <c r="R322" s="28">
        <f t="shared" ref="R322:R385" si="39">H322/(H322+I322)</f>
        <v>0.89497716894977164</v>
      </c>
      <c r="S322" s="29">
        <f t="shared" si="33"/>
        <v>89.49771689497716</v>
      </c>
      <c r="T322" s="5" t="str">
        <f>IF(Delivery_Data3[[#This Row],[Delays (min)]]&gt;0,"No","Yes")</f>
        <v>No</v>
      </c>
      <c r="W322" s="41">
        <f t="shared" si="34"/>
        <v>45177</v>
      </c>
      <c r="X322" s="5">
        <v>196</v>
      </c>
    </row>
    <row r="323" spans="1:24" ht="15.75" customHeight="1" x14ac:dyDescent="0.3">
      <c r="A323" s="4">
        <v>1322</v>
      </c>
      <c r="B323" s="5" t="s">
        <v>453</v>
      </c>
      <c r="C323" s="6">
        <v>45172.534722222219</v>
      </c>
      <c r="D323" s="5" t="s">
        <v>14</v>
      </c>
      <c r="E323" s="5" t="s">
        <v>23</v>
      </c>
      <c r="F323" s="5" t="s">
        <v>38</v>
      </c>
      <c r="G323" s="5" t="s">
        <v>56</v>
      </c>
      <c r="H323" s="5">
        <v>76</v>
      </c>
      <c r="I323" s="5">
        <v>26</v>
      </c>
      <c r="J323" s="5" t="s">
        <v>26</v>
      </c>
      <c r="K323" s="5" t="s">
        <v>27</v>
      </c>
      <c r="L323" s="5" t="s">
        <v>20</v>
      </c>
      <c r="M323" s="7" t="s">
        <v>46</v>
      </c>
      <c r="N323" s="26">
        <f t="shared" si="35"/>
        <v>1</v>
      </c>
      <c r="O323" s="42">
        <f t="shared" si="36"/>
        <v>45172</v>
      </c>
      <c r="P323" s="5" t="str">
        <f t="shared" si="37"/>
        <v>Sunday</v>
      </c>
      <c r="Q323" s="5">
        <f t="shared" si="38"/>
        <v>12</v>
      </c>
      <c r="R323" s="28">
        <f t="shared" si="39"/>
        <v>0.74509803921568629</v>
      </c>
      <c r="S323" s="29">
        <f t="shared" ref="S323:S386" si="40">IF(H323+I323=0,0,(H323/(H323+I323))*100) + (IFERROR(--J323,0)*10)</f>
        <v>74.509803921568633</v>
      </c>
      <c r="T323" s="5" t="str">
        <f>IF(Delivery_Data3[[#This Row],[Delays (min)]]&gt;0,"No","Yes")</f>
        <v>No</v>
      </c>
      <c r="W323" s="41">
        <f t="shared" ref="W323:W386" si="41">INT(C323)</f>
        <v>45172</v>
      </c>
      <c r="X323" s="5">
        <v>76</v>
      </c>
    </row>
    <row r="324" spans="1:24" ht="15.75" customHeight="1" x14ac:dyDescent="0.3">
      <c r="A324" s="4">
        <v>1323</v>
      </c>
      <c r="B324" s="5" t="s">
        <v>454</v>
      </c>
      <c r="C324" s="6">
        <v>45172.607638888891</v>
      </c>
      <c r="D324" s="5" t="s">
        <v>14</v>
      </c>
      <c r="E324" s="5" t="s">
        <v>333</v>
      </c>
      <c r="F324" s="5" t="s">
        <v>24</v>
      </c>
      <c r="G324" s="5" t="s">
        <v>25</v>
      </c>
      <c r="H324" s="5">
        <v>213</v>
      </c>
      <c r="I324" s="5">
        <v>4</v>
      </c>
      <c r="J324" s="5" t="s">
        <v>18</v>
      </c>
      <c r="K324" s="5" t="s">
        <v>27</v>
      </c>
      <c r="L324" s="5" t="s">
        <v>40</v>
      </c>
      <c r="M324" s="7" t="s">
        <v>21</v>
      </c>
      <c r="N324" s="26">
        <f t="shared" si="35"/>
        <v>0</v>
      </c>
      <c r="O324" s="42">
        <f t="shared" si="36"/>
        <v>45172</v>
      </c>
      <c r="P324" s="5" t="str">
        <f t="shared" si="37"/>
        <v>Sunday</v>
      </c>
      <c r="Q324" s="5">
        <f t="shared" si="38"/>
        <v>14</v>
      </c>
      <c r="R324" s="28">
        <f t="shared" si="39"/>
        <v>0.98156682027649766</v>
      </c>
      <c r="S324" s="29">
        <f t="shared" si="40"/>
        <v>98.156682027649765</v>
      </c>
      <c r="T324" s="5" t="str">
        <f>IF(Delivery_Data3[[#This Row],[Delays (min)]]&gt;0,"No","Yes")</f>
        <v>No</v>
      </c>
      <c r="W324" s="41">
        <f t="shared" si="41"/>
        <v>45172</v>
      </c>
      <c r="X324" s="5">
        <v>213</v>
      </c>
    </row>
    <row r="325" spans="1:24" ht="15.75" customHeight="1" x14ac:dyDescent="0.3">
      <c r="A325" s="4">
        <v>1324</v>
      </c>
      <c r="B325" s="5" t="s">
        <v>455</v>
      </c>
      <c r="C325" s="6">
        <v>45176.656944444447</v>
      </c>
      <c r="D325" s="5" t="s">
        <v>43</v>
      </c>
      <c r="E325" s="5" t="s">
        <v>285</v>
      </c>
      <c r="F325" s="5" t="s">
        <v>16</v>
      </c>
      <c r="G325" s="5" t="s">
        <v>25</v>
      </c>
      <c r="H325" s="5">
        <v>119</v>
      </c>
      <c r="I325" s="5">
        <v>10</v>
      </c>
      <c r="J325" s="5" t="s">
        <v>18</v>
      </c>
      <c r="K325" s="5" t="s">
        <v>19</v>
      </c>
      <c r="L325" s="5" t="s">
        <v>20</v>
      </c>
      <c r="M325" s="7" t="s">
        <v>21</v>
      </c>
      <c r="N325" s="26">
        <f t="shared" si="35"/>
        <v>0</v>
      </c>
      <c r="O325" s="42">
        <f t="shared" si="36"/>
        <v>45176</v>
      </c>
      <c r="P325" s="5" t="str">
        <f t="shared" si="37"/>
        <v>Thursday</v>
      </c>
      <c r="Q325" s="5">
        <f t="shared" si="38"/>
        <v>15</v>
      </c>
      <c r="R325" s="28">
        <f t="shared" si="39"/>
        <v>0.92248062015503873</v>
      </c>
      <c r="S325" s="29">
        <f t="shared" si="40"/>
        <v>92.248062015503876</v>
      </c>
      <c r="T325" s="5" t="str">
        <f>IF(Delivery_Data3[[#This Row],[Delays (min)]]&gt;0,"No","Yes")</f>
        <v>No</v>
      </c>
      <c r="W325" s="41">
        <f t="shared" si="41"/>
        <v>45176</v>
      </c>
      <c r="X325" s="5">
        <v>119</v>
      </c>
    </row>
    <row r="326" spans="1:24" ht="15.75" customHeight="1" x14ac:dyDescent="0.3">
      <c r="A326" s="4">
        <v>1325</v>
      </c>
      <c r="B326" s="5" t="s">
        <v>456</v>
      </c>
      <c r="C326" s="6">
        <v>45170.654166666667</v>
      </c>
      <c r="D326" s="5" t="s">
        <v>14</v>
      </c>
      <c r="E326" s="5" t="s">
        <v>177</v>
      </c>
      <c r="F326" s="5" t="s">
        <v>16</v>
      </c>
      <c r="G326" s="5" t="s">
        <v>56</v>
      </c>
      <c r="H326" s="5">
        <v>201</v>
      </c>
      <c r="I326" s="5">
        <v>7</v>
      </c>
      <c r="J326" s="5" t="s">
        <v>26</v>
      </c>
      <c r="K326" s="5" t="s">
        <v>27</v>
      </c>
      <c r="L326" s="5" t="s">
        <v>28</v>
      </c>
      <c r="M326" s="7" t="s">
        <v>41</v>
      </c>
      <c r="N326" s="26">
        <f t="shared" si="35"/>
        <v>1</v>
      </c>
      <c r="O326" s="42">
        <f t="shared" si="36"/>
        <v>45170</v>
      </c>
      <c r="P326" s="5" t="str">
        <f t="shared" si="37"/>
        <v>Friday</v>
      </c>
      <c r="Q326" s="5">
        <f t="shared" si="38"/>
        <v>15</v>
      </c>
      <c r="R326" s="28">
        <f t="shared" si="39"/>
        <v>0.96634615384615385</v>
      </c>
      <c r="S326" s="29">
        <f t="shared" si="40"/>
        <v>96.634615384615387</v>
      </c>
      <c r="T326" s="5" t="str">
        <f>IF(Delivery_Data3[[#This Row],[Delays (min)]]&gt;0,"No","Yes")</f>
        <v>No</v>
      </c>
      <c r="W326" s="41">
        <f t="shared" si="41"/>
        <v>45170</v>
      </c>
      <c r="X326" s="5">
        <v>201</v>
      </c>
    </row>
    <row r="327" spans="1:24" ht="15.75" customHeight="1" x14ac:dyDescent="0.3">
      <c r="A327" s="4">
        <v>1326</v>
      </c>
      <c r="B327" s="5" t="s">
        <v>457</v>
      </c>
      <c r="C327" s="6">
        <v>45175.501388888886</v>
      </c>
      <c r="D327" s="5" t="s">
        <v>14</v>
      </c>
      <c r="E327" s="5" t="s">
        <v>62</v>
      </c>
      <c r="F327" s="5" t="s">
        <v>38</v>
      </c>
      <c r="G327" s="5" t="s">
        <v>56</v>
      </c>
      <c r="H327" s="5">
        <v>122</v>
      </c>
      <c r="I327" s="5">
        <v>8</v>
      </c>
      <c r="J327" s="5" t="s">
        <v>32</v>
      </c>
      <c r="K327" s="5" t="s">
        <v>19</v>
      </c>
      <c r="L327" s="5" t="s">
        <v>28</v>
      </c>
      <c r="M327" s="7" t="s">
        <v>46</v>
      </c>
      <c r="N327" s="26">
        <f t="shared" si="35"/>
        <v>-1</v>
      </c>
      <c r="O327" s="42">
        <f t="shared" si="36"/>
        <v>45175</v>
      </c>
      <c r="P327" s="5" t="str">
        <f t="shared" si="37"/>
        <v>Wednesday</v>
      </c>
      <c r="Q327" s="5">
        <f t="shared" si="38"/>
        <v>12</v>
      </c>
      <c r="R327" s="28">
        <f t="shared" si="39"/>
        <v>0.93846153846153846</v>
      </c>
      <c r="S327" s="29">
        <f t="shared" si="40"/>
        <v>93.84615384615384</v>
      </c>
      <c r="T327" s="5" t="str">
        <f>IF(Delivery_Data3[[#This Row],[Delays (min)]]&gt;0,"No","Yes")</f>
        <v>No</v>
      </c>
      <c r="W327" s="41">
        <f t="shared" si="41"/>
        <v>45175</v>
      </c>
      <c r="X327" s="5">
        <v>122</v>
      </c>
    </row>
    <row r="328" spans="1:24" ht="15.75" customHeight="1" x14ac:dyDescent="0.3">
      <c r="A328" s="4">
        <v>1327</v>
      </c>
      <c r="B328" s="5" t="s">
        <v>458</v>
      </c>
      <c r="C328" s="6">
        <v>45171.489583333336</v>
      </c>
      <c r="D328" s="5" t="s">
        <v>43</v>
      </c>
      <c r="E328" s="5" t="s">
        <v>126</v>
      </c>
      <c r="F328" s="5" t="s">
        <v>16</v>
      </c>
      <c r="G328" s="5" t="s">
        <v>31</v>
      </c>
      <c r="H328" s="5">
        <v>178</v>
      </c>
      <c r="I328" s="5">
        <v>24</v>
      </c>
      <c r="J328" s="5" t="s">
        <v>32</v>
      </c>
      <c r="K328" s="5" t="s">
        <v>27</v>
      </c>
      <c r="L328" s="5" t="s">
        <v>28</v>
      </c>
      <c r="M328" s="7" t="s">
        <v>41</v>
      </c>
      <c r="N328" s="26">
        <f t="shared" si="35"/>
        <v>-1</v>
      </c>
      <c r="O328" s="42">
        <f t="shared" si="36"/>
        <v>45171</v>
      </c>
      <c r="P328" s="5" t="str">
        <f t="shared" si="37"/>
        <v>Saturday</v>
      </c>
      <c r="Q328" s="5">
        <f t="shared" si="38"/>
        <v>11</v>
      </c>
      <c r="R328" s="28">
        <f t="shared" si="39"/>
        <v>0.88118811881188119</v>
      </c>
      <c r="S328" s="29">
        <f t="shared" si="40"/>
        <v>88.118811881188122</v>
      </c>
      <c r="T328" s="5" t="str">
        <f>IF(Delivery_Data3[[#This Row],[Delays (min)]]&gt;0,"No","Yes")</f>
        <v>No</v>
      </c>
      <c r="W328" s="41">
        <f t="shared" si="41"/>
        <v>45171</v>
      </c>
      <c r="X328" s="5">
        <v>178</v>
      </c>
    </row>
    <row r="329" spans="1:24" ht="15.75" customHeight="1" x14ac:dyDescent="0.3">
      <c r="A329" s="4">
        <v>1328</v>
      </c>
      <c r="B329" s="5" t="s">
        <v>459</v>
      </c>
      <c r="C329" s="6">
        <v>45171.539583333331</v>
      </c>
      <c r="D329" s="5" t="s">
        <v>43</v>
      </c>
      <c r="E329" s="5" t="s">
        <v>101</v>
      </c>
      <c r="F329" s="5" t="s">
        <v>24</v>
      </c>
      <c r="G329" s="5" t="s">
        <v>31</v>
      </c>
      <c r="H329" s="5">
        <v>143</v>
      </c>
      <c r="I329" s="5">
        <v>14</v>
      </c>
      <c r="J329" s="5" t="s">
        <v>18</v>
      </c>
      <c r="K329" s="5" t="s">
        <v>49</v>
      </c>
      <c r="L329" s="5" t="s">
        <v>20</v>
      </c>
      <c r="M329" s="7" t="s">
        <v>21</v>
      </c>
      <c r="N329" s="26">
        <f t="shared" si="35"/>
        <v>0</v>
      </c>
      <c r="O329" s="42">
        <f t="shared" si="36"/>
        <v>45171</v>
      </c>
      <c r="P329" s="5" t="str">
        <f t="shared" si="37"/>
        <v>Saturday</v>
      </c>
      <c r="Q329" s="5">
        <f t="shared" si="38"/>
        <v>12</v>
      </c>
      <c r="R329" s="28">
        <f t="shared" si="39"/>
        <v>0.91082802547770703</v>
      </c>
      <c r="S329" s="29">
        <f t="shared" si="40"/>
        <v>91.082802547770697</v>
      </c>
      <c r="T329" s="5" t="str">
        <f>IF(Delivery_Data3[[#This Row],[Delays (min)]]&gt;0,"No","Yes")</f>
        <v>No</v>
      </c>
      <c r="W329" s="41">
        <f t="shared" si="41"/>
        <v>45171</v>
      </c>
      <c r="X329" s="5">
        <v>143</v>
      </c>
    </row>
    <row r="330" spans="1:24" ht="15.75" customHeight="1" x14ac:dyDescent="0.3">
      <c r="A330" s="4">
        <v>1329</v>
      </c>
      <c r="B330" s="5" t="s">
        <v>460</v>
      </c>
      <c r="C330" s="6">
        <v>45175.588194444441</v>
      </c>
      <c r="D330" s="5" t="s">
        <v>14</v>
      </c>
      <c r="E330" s="5" t="s">
        <v>193</v>
      </c>
      <c r="F330" s="5" t="s">
        <v>16</v>
      </c>
      <c r="G330" s="5" t="s">
        <v>56</v>
      </c>
      <c r="H330" s="5">
        <v>191</v>
      </c>
      <c r="I330" s="5">
        <v>9</v>
      </c>
      <c r="J330" s="5" t="s">
        <v>26</v>
      </c>
      <c r="K330" s="5" t="s">
        <v>27</v>
      </c>
      <c r="L330" s="5" t="s">
        <v>40</v>
      </c>
      <c r="M330" s="7" t="s">
        <v>46</v>
      </c>
      <c r="N330" s="26">
        <f t="shared" si="35"/>
        <v>1</v>
      </c>
      <c r="O330" s="42">
        <f t="shared" si="36"/>
        <v>45175</v>
      </c>
      <c r="P330" s="5" t="str">
        <f t="shared" si="37"/>
        <v>Wednesday</v>
      </c>
      <c r="Q330" s="5">
        <f t="shared" si="38"/>
        <v>14</v>
      </c>
      <c r="R330" s="28">
        <f t="shared" si="39"/>
        <v>0.95499999999999996</v>
      </c>
      <c r="S330" s="29">
        <f t="shared" si="40"/>
        <v>95.5</v>
      </c>
      <c r="T330" s="5" t="str">
        <f>IF(Delivery_Data3[[#This Row],[Delays (min)]]&gt;0,"No","Yes")</f>
        <v>No</v>
      </c>
      <c r="W330" s="41">
        <f t="shared" si="41"/>
        <v>45175</v>
      </c>
      <c r="X330" s="5">
        <v>191</v>
      </c>
    </row>
    <row r="331" spans="1:24" ht="15.75" customHeight="1" x14ac:dyDescent="0.3">
      <c r="A331" s="4">
        <v>1330</v>
      </c>
      <c r="B331" s="5" t="s">
        <v>461</v>
      </c>
      <c r="C331" s="6">
        <v>45177.584722222222</v>
      </c>
      <c r="D331" s="5" t="s">
        <v>43</v>
      </c>
      <c r="E331" s="5" t="s">
        <v>132</v>
      </c>
      <c r="F331" s="5" t="s">
        <v>16</v>
      </c>
      <c r="G331" s="5" t="s">
        <v>25</v>
      </c>
      <c r="H331" s="5">
        <v>84</v>
      </c>
      <c r="I331" s="5">
        <v>15</v>
      </c>
      <c r="J331" s="5" t="s">
        <v>26</v>
      </c>
      <c r="K331" s="5" t="s">
        <v>49</v>
      </c>
      <c r="L331" s="5" t="s">
        <v>20</v>
      </c>
      <c r="M331" s="7" t="s">
        <v>46</v>
      </c>
      <c r="N331" s="26">
        <f t="shared" si="35"/>
        <v>1</v>
      </c>
      <c r="O331" s="42">
        <f t="shared" si="36"/>
        <v>45177</v>
      </c>
      <c r="P331" s="5" t="str">
        <f t="shared" si="37"/>
        <v>Friday</v>
      </c>
      <c r="Q331" s="5">
        <f t="shared" si="38"/>
        <v>14</v>
      </c>
      <c r="R331" s="28">
        <f t="shared" si="39"/>
        <v>0.84848484848484851</v>
      </c>
      <c r="S331" s="29">
        <f t="shared" si="40"/>
        <v>84.848484848484844</v>
      </c>
      <c r="T331" s="5" t="str">
        <f>IF(Delivery_Data3[[#This Row],[Delays (min)]]&gt;0,"No","Yes")</f>
        <v>No</v>
      </c>
      <c r="W331" s="41">
        <f t="shared" si="41"/>
        <v>45177</v>
      </c>
      <c r="X331" s="5">
        <v>84</v>
      </c>
    </row>
    <row r="332" spans="1:24" ht="15.75" customHeight="1" x14ac:dyDescent="0.3">
      <c r="A332" s="4">
        <v>1331</v>
      </c>
      <c r="B332" s="5" t="s">
        <v>462</v>
      </c>
      <c r="C332" s="6">
        <v>45173.695138888892</v>
      </c>
      <c r="D332" s="5" t="s">
        <v>43</v>
      </c>
      <c r="E332" s="5" t="s">
        <v>23</v>
      </c>
      <c r="F332" s="5" t="s">
        <v>24</v>
      </c>
      <c r="G332" s="5" t="s">
        <v>31</v>
      </c>
      <c r="H332" s="5">
        <v>91</v>
      </c>
      <c r="I332" s="5">
        <v>17</v>
      </c>
      <c r="J332" s="5" t="s">
        <v>18</v>
      </c>
      <c r="K332" s="5" t="s">
        <v>35</v>
      </c>
      <c r="L332" s="5" t="s">
        <v>20</v>
      </c>
      <c r="M332" s="7" t="s">
        <v>46</v>
      </c>
      <c r="N332" s="26">
        <f t="shared" si="35"/>
        <v>0</v>
      </c>
      <c r="O332" s="42">
        <f t="shared" si="36"/>
        <v>45173</v>
      </c>
      <c r="P332" s="5" t="str">
        <f t="shared" si="37"/>
        <v>Monday</v>
      </c>
      <c r="Q332" s="5">
        <f t="shared" si="38"/>
        <v>16</v>
      </c>
      <c r="R332" s="28">
        <f t="shared" si="39"/>
        <v>0.84259259259259256</v>
      </c>
      <c r="S332" s="29">
        <f t="shared" si="40"/>
        <v>84.259259259259252</v>
      </c>
      <c r="T332" s="5" t="str">
        <f>IF(Delivery_Data3[[#This Row],[Delays (min)]]&gt;0,"No","Yes")</f>
        <v>No</v>
      </c>
      <c r="W332" s="41">
        <f t="shared" si="41"/>
        <v>45173</v>
      </c>
      <c r="X332" s="5">
        <v>91</v>
      </c>
    </row>
    <row r="333" spans="1:24" ht="15.75" customHeight="1" x14ac:dyDescent="0.3">
      <c r="A333" s="4">
        <v>1332</v>
      </c>
      <c r="B333" s="5" t="s">
        <v>463</v>
      </c>
      <c r="C333" s="6">
        <v>45174.438194444447</v>
      </c>
      <c r="D333" s="5" t="s">
        <v>43</v>
      </c>
      <c r="E333" s="5" t="s">
        <v>93</v>
      </c>
      <c r="F333" s="5" t="s">
        <v>38</v>
      </c>
      <c r="G333" s="5" t="s">
        <v>31</v>
      </c>
      <c r="H333" s="5">
        <v>90</v>
      </c>
      <c r="I333" s="5">
        <v>9</v>
      </c>
      <c r="J333" s="5" t="s">
        <v>26</v>
      </c>
      <c r="K333" s="5" t="s">
        <v>45</v>
      </c>
      <c r="L333" s="5" t="s">
        <v>20</v>
      </c>
      <c r="M333" s="7" t="s">
        <v>21</v>
      </c>
      <c r="N333" s="26">
        <f t="shared" si="35"/>
        <v>1</v>
      </c>
      <c r="O333" s="42">
        <f t="shared" si="36"/>
        <v>45174</v>
      </c>
      <c r="P333" s="5" t="str">
        <f t="shared" si="37"/>
        <v>Tuesday</v>
      </c>
      <c r="Q333" s="5">
        <f t="shared" si="38"/>
        <v>10</v>
      </c>
      <c r="R333" s="28">
        <f t="shared" si="39"/>
        <v>0.90909090909090906</v>
      </c>
      <c r="S333" s="29">
        <f t="shared" si="40"/>
        <v>90.909090909090907</v>
      </c>
      <c r="T333" s="5" t="str">
        <f>IF(Delivery_Data3[[#This Row],[Delays (min)]]&gt;0,"No","Yes")</f>
        <v>No</v>
      </c>
      <c r="W333" s="41">
        <f t="shared" si="41"/>
        <v>45174</v>
      </c>
      <c r="X333" s="5">
        <v>90</v>
      </c>
    </row>
    <row r="334" spans="1:24" ht="15.75" customHeight="1" x14ac:dyDescent="0.3">
      <c r="A334" s="4">
        <v>1333</v>
      </c>
      <c r="B334" s="5" t="s">
        <v>464</v>
      </c>
      <c r="C334" s="6">
        <v>45173.690972222219</v>
      </c>
      <c r="D334" s="5" t="s">
        <v>14</v>
      </c>
      <c r="E334" s="5" t="s">
        <v>130</v>
      </c>
      <c r="F334" s="5" t="s">
        <v>24</v>
      </c>
      <c r="G334" s="5" t="s">
        <v>39</v>
      </c>
      <c r="H334" s="5">
        <v>185</v>
      </c>
      <c r="I334" s="5">
        <v>13</v>
      </c>
      <c r="J334" s="5" t="s">
        <v>32</v>
      </c>
      <c r="K334" s="5" t="s">
        <v>45</v>
      </c>
      <c r="L334" s="5" t="s">
        <v>40</v>
      </c>
      <c r="M334" s="7" t="s">
        <v>21</v>
      </c>
      <c r="N334" s="26">
        <f t="shared" si="35"/>
        <v>-1</v>
      </c>
      <c r="O334" s="42">
        <f t="shared" si="36"/>
        <v>45173</v>
      </c>
      <c r="P334" s="5" t="str">
        <f t="shared" si="37"/>
        <v>Monday</v>
      </c>
      <c r="Q334" s="5">
        <f t="shared" si="38"/>
        <v>16</v>
      </c>
      <c r="R334" s="28">
        <f t="shared" si="39"/>
        <v>0.93434343434343436</v>
      </c>
      <c r="S334" s="29">
        <f t="shared" si="40"/>
        <v>93.434343434343432</v>
      </c>
      <c r="T334" s="5" t="str">
        <f>IF(Delivery_Data3[[#This Row],[Delays (min)]]&gt;0,"No","Yes")</f>
        <v>No</v>
      </c>
      <c r="W334" s="41">
        <f t="shared" si="41"/>
        <v>45173</v>
      </c>
      <c r="X334" s="5">
        <v>185</v>
      </c>
    </row>
    <row r="335" spans="1:24" ht="15.75" customHeight="1" x14ac:dyDescent="0.3">
      <c r="A335" s="4">
        <v>1334</v>
      </c>
      <c r="B335" s="5" t="s">
        <v>465</v>
      </c>
      <c r="C335" s="6">
        <v>45176.573611111111</v>
      </c>
      <c r="D335" s="5" t="s">
        <v>14</v>
      </c>
      <c r="E335" s="5" t="s">
        <v>204</v>
      </c>
      <c r="F335" s="5" t="s">
        <v>16</v>
      </c>
      <c r="G335" s="5" t="s">
        <v>17</v>
      </c>
      <c r="H335" s="5">
        <v>190</v>
      </c>
      <c r="I335" s="5">
        <v>28</v>
      </c>
      <c r="J335" s="5" t="s">
        <v>32</v>
      </c>
      <c r="K335" s="5" t="s">
        <v>35</v>
      </c>
      <c r="L335" s="5" t="s">
        <v>28</v>
      </c>
      <c r="M335" s="7" t="s">
        <v>41</v>
      </c>
      <c r="N335" s="26">
        <f t="shared" si="35"/>
        <v>-1</v>
      </c>
      <c r="O335" s="42">
        <f t="shared" si="36"/>
        <v>45176</v>
      </c>
      <c r="P335" s="5" t="str">
        <f t="shared" si="37"/>
        <v>Thursday</v>
      </c>
      <c r="Q335" s="5">
        <f t="shared" si="38"/>
        <v>13</v>
      </c>
      <c r="R335" s="28">
        <f t="shared" si="39"/>
        <v>0.87155963302752293</v>
      </c>
      <c r="S335" s="29">
        <f t="shared" si="40"/>
        <v>87.155963302752298</v>
      </c>
      <c r="T335" s="5" t="str">
        <f>IF(Delivery_Data3[[#This Row],[Delays (min)]]&gt;0,"No","Yes")</f>
        <v>No</v>
      </c>
      <c r="W335" s="41">
        <f t="shared" si="41"/>
        <v>45176</v>
      </c>
      <c r="X335" s="5">
        <v>190</v>
      </c>
    </row>
    <row r="336" spans="1:24" ht="15.75" customHeight="1" x14ac:dyDescent="0.3">
      <c r="A336" s="4">
        <v>1335</v>
      </c>
      <c r="B336" s="5" t="s">
        <v>466</v>
      </c>
      <c r="C336" s="6">
        <v>45177.54583333333</v>
      </c>
      <c r="D336" s="5" t="s">
        <v>43</v>
      </c>
      <c r="E336" s="5" t="s">
        <v>93</v>
      </c>
      <c r="F336" s="5" t="s">
        <v>16</v>
      </c>
      <c r="G336" s="5" t="s">
        <v>39</v>
      </c>
      <c r="H336" s="5">
        <v>118</v>
      </c>
      <c r="I336" s="5">
        <v>18</v>
      </c>
      <c r="J336" s="5" t="s">
        <v>32</v>
      </c>
      <c r="K336" s="5" t="s">
        <v>49</v>
      </c>
      <c r="L336" s="5" t="s">
        <v>28</v>
      </c>
      <c r="M336" s="7" t="s">
        <v>21</v>
      </c>
      <c r="N336" s="26">
        <f t="shared" si="35"/>
        <v>-1</v>
      </c>
      <c r="O336" s="42">
        <f t="shared" si="36"/>
        <v>45177</v>
      </c>
      <c r="P336" s="5" t="str">
        <f t="shared" si="37"/>
        <v>Friday</v>
      </c>
      <c r="Q336" s="5">
        <f t="shared" si="38"/>
        <v>13</v>
      </c>
      <c r="R336" s="28">
        <f t="shared" si="39"/>
        <v>0.86764705882352944</v>
      </c>
      <c r="S336" s="29">
        <f t="shared" si="40"/>
        <v>86.764705882352942</v>
      </c>
      <c r="T336" s="5" t="str">
        <f>IF(Delivery_Data3[[#This Row],[Delays (min)]]&gt;0,"No","Yes")</f>
        <v>No</v>
      </c>
      <c r="W336" s="41">
        <f t="shared" si="41"/>
        <v>45177</v>
      </c>
      <c r="X336" s="5">
        <v>118</v>
      </c>
    </row>
    <row r="337" spans="1:24" ht="15.75" customHeight="1" x14ac:dyDescent="0.3">
      <c r="A337" s="4">
        <v>1336</v>
      </c>
      <c r="B337" s="5" t="s">
        <v>467</v>
      </c>
      <c r="C337" s="6">
        <v>45174.59097222222</v>
      </c>
      <c r="D337" s="5" t="s">
        <v>43</v>
      </c>
      <c r="E337" s="5" t="s">
        <v>468</v>
      </c>
      <c r="F337" s="5" t="s">
        <v>24</v>
      </c>
      <c r="G337" s="5" t="s">
        <v>39</v>
      </c>
      <c r="H337" s="5">
        <v>237</v>
      </c>
      <c r="I337" s="5">
        <v>9</v>
      </c>
      <c r="J337" s="5" t="s">
        <v>26</v>
      </c>
      <c r="K337" s="5" t="s">
        <v>27</v>
      </c>
      <c r="L337" s="5" t="s">
        <v>28</v>
      </c>
      <c r="M337" s="7" t="s">
        <v>21</v>
      </c>
      <c r="N337" s="26">
        <f t="shared" si="35"/>
        <v>1</v>
      </c>
      <c r="O337" s="42">
        <f t="shared" si="36"/>
        <v>45174</v>
      </c>
      <c r="P337" s="5" t="str">
        <f t="shared" si="37"/>
        <v>Tuesday</v>
      </c>
      <c r="Q337" s="5">
        <f t="shared" si="38"/>
        <v>14</v>
      </c>
      <c r="R337" s="28">
        <f t="shared" si="39"/>
        <v>0.96341463414634143</v>
      </c>
      <c r="S337" s="29">
        <f t="shared" si="40"/>
        <v>96.341463414634148</v>
      </c>
      <c r="T337" s="5" t="str">
        <f>IF(Delivery_Data3[[#This Row],[Delays (min)]]&gt;0,"No","Yes")</f>
        <v>No</v>
      </c>
      <c r="W337" s="41">
        <f t="shared" si="41"/>
        <v>45174</v>
      </c>
      <c r="X337" s="5">
        <v>237</v>
      </c>
    </row>
    <row r="338" spans="1:24" ht="15.75" customHeight="1" x14ac:dyDescent="0.3">
      <c r="A338" s="4">
        <v>1337</v>
      </c>
      <c r="B338" s="5" t="s">
        <v>469</v>
      </c>
      <c r="C338" s="6">
        <v>45176.37222222222</v>
      </c>
      <c r="D338" s="5" t="s">
        <v>14</v>
      </c>
      <c r="E338" s="5" t="s">
        <v>118</v>
      </c>
      <c r="F338" s="5" t="s">
        <v>16</v>
      </c>
      <c r="G338" s="5" t="s">
        <v>56</v>
      </c>
      <c r="H338" s="5">
        <v>67</v>
      </c>
      <c r="I338" s="5">
        <v>2</v>
      </c>
      <c r="J338" s="5" t="s">
        <v>26</v>
      </c>
      <c r="K338" s="5" t="s">
        <v>45</v>
      </c>
      <c r="L338" s="5" t="s">
        <v>40</v>
      </c>
      <c r="M338" s="7" t="s">
        <v>21</v>
      </c>
      <c r="N338" s="26">
        <f t="shared" si="35"/>
        <v>1</v>
      </c>
      <c r="O338" s="42">
        <f t="shared" si="36"/>
        <v>45176</v>
      </c>
      <c r="P338" s="5" t="str">
        <f t="shared" si="37"/>
        <v>Thursday</v>
      </c>
      <c r="Q338" s="5">
        <f t="shared" si="38"/>
        <v>8</v>
      </c>
      <c r="R338" s="28">
        <f t="shared" si="39"/>
        <v>0.97101449275362317</v>
      </c>
      <c r="S338" s="29">
        <f t="shared" si="40"/>
        <v>97.101449275362313</v>
      </c>
      <c r="T338" s="5" t="str">
        <f>IF(Delivery_Data3[[#This Row],[Delays (min)]]&gt;0,"No","Yes")</f>
        <v>No</v>
      </c>
      <c r="W338" s="41">
        <f t="shared" si="41"/>
        <v>45176</v>
      </c>
      <c r="X338" s="5">
        <v>67</v>
      </c>
    </row>
    <row r="339" spans="1:24" ht="15.75" customHeight="1" x14ac:dyDescent="0.3">
      <c r="A339" s="4">
        <v>1338</v>
      </c>
      <c r="B339" s="5" t="s">
        <v>470</v>
      </c>
      <c r="C339" s="6">
        <v>45176.536805555559</v>
      </c>
      <c r="D339" s="5" t="s">
        <v>43</v>
      </c>
      <c r="E339" s="5" t="s">
        <v>158</v>
      </c>
      <c r="F339" s="5" t="s">
        <v>24</v>
      </c>
      <c r="G339" s="5" t="s">
        <v>25</v>
      </c>
      <c r="H339" s="5">
        <v>191</v>
      </c>
      <c r="I339" s="5">
        <v>10</v>
      </c>
      <c r="J339" s="5" t="s">
        <v>32</v>
      </c>
      <c r="K339" s="5" t="s">
        <v>45</v>
      </c>
      <c r="L339" s="5" t="s">
        <v>40</v>
      </c>
      <c r="M339" s="7" t="s">
        <v>46</v>
      </c>
      <c r="N339" s="26">
        <f t="shared" si="35"/>
        <v>-1</v>
      </c>
      <c r="O339" s="42">
        <f t="shared" si="36"/>
        <v>45176</v>
      </c>
      <c r="P339" s="5" t="str">
        <f t="shared" si="37"/>
        <v>Thursday</v>
      </c>
      <c r="Q339" s="5">
        <f t="shared" si="38"/>
        <v>12</v>
      </c>
      <c r="R339" s="28">
        <f t="shared" si="39"/>
        <v>0.95024875621890548</v>
      </c>
      <c r="S339" s="29">
        <f t="shared" si="40"/>
        <v>95.024875621890544</v>
      </c>
      <c r="T339" s="5" t="str">
        <f>IF(Delivery_Data3[[#This Row],[Delays (min)]]&gt;0,"No","Yes")</f>
        <v>No</v>
      </c>
      <c r="W339" s="41">
        <f t="shared" si="41"/>
        <v>45176</v>
      </c>
      <c r="X339" s="5">
        <v>191</v>
      </c>
    </row>
    <row r="340" spans="1:24" ht="15.75" customHeight="1" x14ac:dyDescent="0.3">
      <c r="A340" s="4">
        <v>1339</v>
      </c>
      <c r="B340" s="5" t="s">
        <v>471</v>
      </c>
      <c r="C340" s="6">
        <v>45173.606944444444</v>
      </c>
      <c r="D340" s="5" t="s">
        <v>14</v>
      </c>
      <c r="E340" s="5" t="s">
        <v>243</v>
      </c>
      <c r="F340" s="5" t="s">
        <v>38</v>
      </c>
      <c r="G340" s="5" t="s">
        <v>25</v>
      </c>
      <c r="H340" s="5">
        <v>149</v>
      </c>
      <c r="I340" s="5">
        <v>7</v>
      </c>
      <c r="J340" s="5" t="s">
        <v>32</v>
      </c>
      <c r="K340" s="5" t="s">
        <v>19</v>
      </c>
      <c r="L340" s="5" t="s">
        <v>20</v>
      </c>
      <c r="M340" s="7" t="s">
        <v>21</v>
      </c>
      <c r="N340" s="26">
        <f t="shared" si="35"/>
        <v>-1</v>
      </c>
      <c r="O340" s="42">
        <f t="shared" si="36"/>
        <v>45173</v>
      </c>
      <c r="P340" s="5" t="str">
        <f t="shared" si="37"/>
        <v>Monday</v>
      </c>
      <c r="Q340" s="5">
        <f t="shared" si="38"/>
        <v>14</v>
      </c>
      <c r="R340" s="28">
        <f t="shared" si="39"/>
        <v>0.95512820512820518</v>
      </c>
      <c r="S340" s="29">
        <f t="shared" si="40"/>
        <v>95.512820512820511</v>
      </c>
      <c r="T340" s="5" t="str">
        <f>IF(Delivery_Data3[[#This Row],[Delays (min)]]&gt;0,"No","Yes")</f>
        <v>No</v>
      </c>
      <c r="W340" s="41">
        <f t="shared" si="41"/>
        <v>45173</v>
      </c>
      <c r="X340" s="5">
        <v>149</v>
      </c>
    </row>
    <row r="341" spans="1:24" ht="15.75" customHeight="1" x14ac:dyDescent="0.3">
      <c r="A341" s="4">
        <v>1340</v>
      </c>
      <c r="B341" s="5" t="s">
        <v>472</v>
      </c>
      <c r="C341" s="6">
        <v>45176.540972222225</v>
      </c>
      <c r="D341" s="5" t="s">
        <v>43</v>
      </c>
      <c r="E341" s="5" t="s">
        <v>85</v>
      </c>
      <c r="F341" s="5" t="s">
        <v>38</v>
      </c>
      <c r="G341" s="5" t="s">
        <v>31</v>
      </c>
      <c r="H341" s="5">
        <v>215</v>
      </c>
      <c r="I341" s="5">
        <v>9</v>
      </c>
      <c r="J341" s="5" t="s">
        <v>32</v>
      </c>
      <c r="K341" s="5" t="s">
        <v>19</v>
      </c>
      <c r="L341" s="5" t="s">
        <v>28</v>
      </c>
      <c r="M341" s="7" t="s">
        <v>21</v>
      </c>
      <c r="N341" s="26">
        <f t="shared" si="35"/>
        <v>-1</v>
      </c>
      <c r="O341" s="42">
        <f t="shared" si="36"/>
        <v>45176</v>
      </c>
      <c r="P341" s="5" t="str">
        <f t="shared" si="37"/>
        <v>Thursday</v>
      </c>
      <c r="Q341" s="5">
        <f t="shared" si="38"/>
        <v>12</v>
      </c>
      <c r="R341" s="28">
        <f t="shared" si="39"/>
        <v>0.9598214285714286</v>
      </c>
      <c r="S341" s="29">
        <f t="shared" si="40"/>
        <v>95.982142857142861</v>
      </c>
      <c r="T341" s="5" t="str">
        <f>IF(Delivery_Data3[[#This Row],[Delays (min)]]&gt;0,"No","Yes")</f>
        <v>No</v>
      </c>
      <c r="W341" s="41">
        <f t="shared" si="41"/>
        <v>45176</v>
      </c>
      <c r="X341" s="5">
        <v>215</v>
      </c>
    </row>
    <row r="342" spans="1:24" ht="15.75" customHeight="1" x14ac:dyDescent="0.3">
      <c r="A342" s="4">
        <v>1341</v>
      </c>
      <c r="B342" s="5" t="s">
        <v>473</v>
      </c>
      <c r="C342" s="6">
        <v>45177.345138888886</v>
      </c>
      <c r="D342" s="5" t="s">
        <v>43</v>
      </c>
      <c r="E342" s="5" t="s">
        <v>51</v>
      </c>
      <c r="F342" s="5" t="s">
        <v>38</v>
      </c>
      <c r="G342" s="5" t="s">
        <v>56</v>
      </c>
      <c r="H342" s="5">
        <v>211</v>
      </c>
      <c r="I342" s="5">
        <v>8</v>
      </c>
      <c r="J342" s="5" t="s">
        <v>18</v>
      </c>
      <c r="K342" s="5" t="s">
        <v>27</v>
      </c>
      <c r="L342" s="5" t="s">
        <v>40</v>
      </c>
      <c r="M342" s="7" t="s">
        <v>41</v>
      </c>
      <c r="N342" s="26">
        <f t="shared" si="35"/>
        <v>0</v>
      </c>
      <c r="O342" s="42">
        <f t="shared" si="36"/>
        <v>45177</v>
      </c>
      <c r="P342" s="5" t="str">
        <f t="shared" si="37"/>
        <v>Friday</v>
      </c>
      <c r="Q342" s="5">
        <f t="shared" si="38"/>
        <v>8</v>
      </c>
      <c r="R342" s="28">
        <f t="shared" si="39"/>
        <v>0.9634703196347032</v>
      </c>
      <c r="S342" s="29">
        <f t="shared" si="40"/>
        <v>96.347031963470315</v>
      </c>
      <c r="T342" s="5" t="str">
        <f>IF(Delivery_Data3[[#This Row],[Delays (min)]]&gt;0,"No","Yes")</f>
        <v>No</v>
      </c>
      <c r="W342" s="41">
        <f t="shared" si="41"/>
        <v>45177</v>
      </c>
      <c r="X342" s="5">
        <v>211</v>
      </c>
    </row>
    <row r="343" spans="1:24" ht="15.75" customHeight="1" x14ac:dyDescent="0.3">
      <c r="A343" s="4">
        <v>1342</v>
      </c>
      <c r="B343" s="5" t="s">
        <v>474</v>
      </c>
      <c r="C343" s="6">
        <v>45172.679861111108</v>
      </c>
      <c r="D343" s="5" t="s">
        <v>43</v>
      </c>
      <c r="E343" s="5" t="s">
        <v>281</v>
      </c>
      <c r="F343" s="5" t="s">
        <v>16</v>
      </c>
      <c r="G343" s="5" t="s">
        <v>17</v>
      </c>
      <c r="H343" s="5">
        <v>185</v>
      </c>
      <c r="I343" s="5">
        <v>26</v>
      </c>
      <c r="J343" s="5" t="s">
        <v>26</v>
      </c>
      <c r="K343" s="5" t="s">
        <v>27</v>
      </c>
      <c r="L343" s="5" t="s">
        <v>28</v>
      </c>
      <c r="M343" s="7" t="s">
        <v>46</v>
      </c>
      <c r="N343" s="26">
        <f t="shared" si="35"/>
        <v>1</v>
      </c>
      <c r="O343" s="42">
        <f t="shared" si="36"/>
        <v>45172</v>
      </c>
      <c r="P343" s="5" t="str">
        <f t="shared" si="37"/>
        <v>Sunday</v>
      </c>
      <c r="Q343" s="5">
        <f t="shared" si="38"/>
        <v>16</v>
      </c>
      <c r="R343" s="28">
        <f t="shared" si="39"/>
        <v>0.87677725118483407</v>
      </c>
      <c r="S343" s="29">
        <f t="shared" si="40"/>
        <v>87.677725118483409</v>
      </c>
      <c r="T343" s="5" t="str">
        <f>IF(Delivery_Data3[[#This Row],[Delays (min)]]&gt;0,"No","Yes")</f>
        <v>No</v>
      </c>
      <c r="W343" s="41">
        <f t="shared" si="41"/>
        <v>45172</v>
      </c>
      <c r="X343" s="5">
        <v>185</v>
      </c>
    </row>
    <row r="344" spans="1:24" ht="15.75" customHeight="1" x14ac:dyDescent="0.3">
      <c r="A344" s="4">
        <v>1343</v>
      </c>
      <c r="B344" s="5" t="s">
        <v>475</v>
      </c>
      <c r="C344" s="6">
        <v>45170.394444444442</v>
      </c>
      <c r="D344" s="5" t="s">
        <v>14</v>
      </c>
      <c r="E344" s="5" t="s">
        <v>311</v>
      </c>
      <c r="F344" s="5" t="s">
        <v>16</v>
      </c>
      <c r="G344" s="5" t="s">
        <v>39</v>
      </c>
      <c r="H344" s="5">
        <v>106</v>
      </c>
      <c r="I344" s="5">
        <v>24</v>
      </c>
      <c r="J344" s="5" t="s">
        <v>18</v>
      </c>
      <c r="K344" s="5" t="s">
        <v>27</v>
      </c>
      <c r="L344" s="5" t="s">
        <v>28</v>
      </c>
      <c r="M344" s="7" t="s">
        <v>41</v>
      </c>
      <c r="N344" s="26">
        <f t="shared" si="35"/>
        <v>0</v>
      </c>
      <c r="O344" s="42">
        <f t="shared" si="36"/>
        <v>45170</v>
      </c>
      <c r="P344" s="5" t="str">
        <f t="shared" si="37"/>
        <v>Friday</v>
      </c>
      <c r="Q344" s="5">
        <f t="shared" si="38"/>
        <v>9</v>
      </c>
      <c r="R344" s="28">
        <f t="shared" si="39"/>
        <v>0.81538461538461537</v>
      </c>
      <c r="S344" s="29">
        <f t="shared" si="40"/>
        <v>81.538461538461533</v>
      </c>
      <c r="T344" s="5" t="str">
        <f>IF(Delivery_Data3[[#This Row],[Delays (min)]]&gt;0,"No","Yes")</f>
        <v>No</v>
      </c>
      <c r="W344" s="41">
        <f t="shared" si="41"/>
        <v>45170</v>
      </c>
      <c r="X344" s="5">
        <v>106</v>
      </c>
    </row>
    <row r="345" spans="1:24" ht="15.75" customHeight="1" x14ac:dyDescent="0.3">
      <c r="A345" s="4">
        <v>1344</v>
      </c>
      <c r="B345" s="5" t="s">
        <v>476</v>
      </c>
      <c r="C345" s="6">
        <v>45175.440972222219</v>
      </c>
      <c r="D345" s="5" t="s">
        <v>43</v>
      </c>
      <c r="E345" s="5" t="s">
        <v>30</v>
      </c>
      <c r="F345" s="5" t="s">
        <v>24</v>
      </c>
      <c r="G345" s="5" t="s">
        <v>25</v>
      </c>
      <c r="H345" s="5">
        <v>156</v>
      </c>
      <c r="I345" s="5">
        <v>15</v>
      </c>
      <c r="J345" s="5" t="s">
        <v>32</v>
      </c>
      <c r="K345" s="5" t="s">
        <v>45</v>
      </c>
      <c r="L345" s="5" t="s">
        <v>20</v>
      </c>
      <c r="M345" s="7" t="s">
        <v>46</v>
      </c>
      <c r="N345" s="26">
        <f t="shared" si="35"/>
        <v>-1</v>
      </c>
      <c r="O345" s="42">
        <f t="shared" si="36"/>
        <v>45175</v>
      </c>
      <c r="P345" s="5" t="str">
        <f t="shared" si="37"/>
        <v>Wednesday</v>
      </c>
      <c r="Q345" s="5">
        <f t="shared" si="38"/>
        <v>10</v>
      </c>
      <c r="R345" s="28">
        <f t="shared" si="39"/>
        <v>0.91228070175438591</v>
      </c>
      <c r="S345" s="29">
        <f t="shared" si="40"/>
        <v>91.228070175438589</v>
      </c>
      <c r="T345" s="5" t="str">
        <f>IF(Delivery_Data3[[#This Row],[Delays (min)]]&gt;0,"No","Yes")</f>
        <v>No</v>
      </c>
      <c r="W345" s="41">
        <f t="shared" si="41"/>
        <v>45175</v>
      </c>
      <c r="X345" s="5">
        <v>156</v>
      </c>
    </row>
    <row r="346" spans="1:24" ht="15.75" customHeight="1" x14ac:dyDescent="0.3">
      <c r="A346" s="4">
        <v>1345</v>
      </c>
      <c r="B346" s="5" t="s">
        <v>477</v>
      </c>
      <c r="C346" s="6">
        <v>45172.39166666667</v>
      </c>
      <c r="D346" s="5" t="s">
        <v>43</v>
      </c>
      <c r="E346" s="5" t="s">
        <v>468</v>
      </c>
      <c r="F346" s="5" t="s">
        <v>38</v>
      </c>
      <c r="G346" s="5" t="s">
        <v>17</v>
      </c>
      <c r="H346" s="5">
        <v>203</v>
      </c>
      <c r="I346" s="5">
        <v>1</v>
      </c>
      <c r="J346" s="5" t="s">
        <v>32</v>
      </c>
      <c r="K346" s="5" t="s">
        <v>27</v>
      </c>
      <c r="L346" s="5" t="s">
        <v>20</v>
      </c>
      <c r="M346" s="7" t="s">
        <v>21</v>
      </c>
      <c r="N346" s="26">
        <f t="shared" si="35"/>
        <v>-1</v>
      </c>
      <c r="O346" s="42">
        <f t="shared" si="36"/>
        <v>45172</v>
      </c>
      <c r="P346" s="5" t="str">
        <f t="shared" si="37"/>
        <v>Sunday</v>
      </c>
      <c r="Q346" s="5">
        <f t="shared" si="38"/>
        <v>9</v>
      </c>
      <c r="R346" s="28">
        <f t="shared" si="39"/>
        <v>0.99509803921568629</v>
      </c>
      <c r="S346" s="29">
        <f t="shared" si="40"/>
        <v>99.509803921568633</v>
      </c>
      <c r="T346" s="5" t="str">
        <f>IF(Delivery_Data3[[#This Row],[Delays (min)]]&gt;0,"No","Yes")</f>
        <v>No</v>
      </c>
      <c r="W346" s="41">
        <f t="shared" si="41"/>
        <v>45172</v>
      </c>
      <c r="X346" s="5">
        <v>203</v>
      </c>
    </row>
    <row r="347" spans="1:24" ht="15.75" customHeight="1" x14ac:dyDescent="0.3">
      <c r="A347" s="4">
        <v>1346</v>
      </c>
      <c r="B347" s="5" t="s">
        <v>478</v>
      </c>
      <c r="C347" s="6">
        <v>45175.457638888889</v>
      </c>
      <c r="D347" s="5" t="s">
        <v>14</v>
      </c>
      <c r="E347" s="5" t="s">
        <v>87</v>
      </c>
      <c r="F347" s="5" t="s">
        <v>24</v>
      </c>
      <c r="G347" s="5" t="s">
        <v>56</v>
      </c>
      <c r="H347" s="5">
        <v>110</v>
      </c>
      <c r="I347" s="5">
        <v>12</v>
      </c>
      <c r="J347" s="5" t="s">
        <v>32</v>
      </c>
      <c r="K347" s="5" t="s">
        <v>35</v>
      </c>
      <c r="L347" s="5" t="s">
        <v>20</v>
      </c>
      <c r="M347" s="7" t="s">
        <v>21</v>
      </c>
      <c r="N347" s="26">
        <f t="shared" si="35"/>
        <v>-1</v>
      </c>
      <c r="O347" s="42">
        <f t="shared" si="36"/>
        <v>45175</v>
      </c>
      <c r="P347" s="5" t="str">
        <f t="shared" si="37"/>
        <v>Wednesday</v>
      </c>
      <c r="Q347" s="5">
        <f t="shared" si="38"/>
        <v>10</v>
      </c>
      <c r="R347" s="28">
        <f t="shared" si="39"/>
        <v>0.90163934426229508</v>
      </c>
      <c r="S347" s="29">
        <f t="shared" si="40"/>
        <v>90.163934426229503</v>
      </c>
      <c r="T347" s="5" t="str">
        <f>IF(Delivery_Data3[[#This Row],[Delays (min)]]&gt;0,"No","Yes")</f>
        <v>No</v>
      </c>
      <c r="W347" s="41">
        <f t="shared" si="41"/>
        <v>45175</v>
      </c>
      <c r="X347" s="5">
        <v>110</v>
      </c>
    </row>
    <row r="348" spans="1:24" ht="15.75" customHeight="1" x14ac:dyDescent="0.3">
      <c r="A348" s="4">
        <v>1347</v>
      </c>
      <c r="B348" s="5" t="s">
        <v>479</v>
      </c>
      <c r="C348" s="6">
        <v>45176.494444444441</v>
      </c>
      <c r="D348" s="5" t="s">
        <v>14</v>
      </c>
      <c r="E348" s="5" t="s">
        <v>99</v>
      </c>
      <c r="F348" s="5" t="s">
        <v>38</v>
      </c>
      <c r="G348" s="5" t="s">
        <v>31</v>
      </c>
      <c r="H348" s="5">
        <v>185</v>
      </c>
      <c r="I348" s="5">
        <v>12</v>
      </c>
      <c r="J348" s="5" t="s">
        <v>26</v>
      </c>
      <c r="K348" s="5" t="s">
        <v>35</v>
      </c>
      <c r="L348" s="5" t="s">
        <v>28</v>
      </c>
      <c r="M348" s="7" t="s">
        <v>46</v>
      </c>
      <c r="N348" s="26">
        <f t="shared" si="35"/>
        <v>1</v>
      </c>
      <c r="O348" s="42">
        <f t="shared" si="36"/>
        <v>45176</v>
      </c>
      <c r="P348" s="5" t="str">
        <f t="shared" si="37"/>
        <v>Thursday</v>
      </c>
      <c r="Q348" s="5">
        <f t="shared" si="38"/>
        <v>11</v>
      </c>
      <c r="R348" s="28">
        <f t="shared" si="39"/>
        <v>0.93908629441624369</v>
      </c>
      <c r="S348" s="29">
        <f t="shared" si="40"/>
        <v>93.90862944162437</v>
      </c>
      <c r="T348" s="5" t="str">
        <f>IF(Delivery_Data3[[#This Row],[Delays (min)]]&gt;0,"No","Yes")</f>
        <v>No</v>
      </c>
      <c r="W348" s="41">
        <f t="shared" si="41"/>
        <v>45176</v>
      </c>
      <c r="X348" s="5">
        <v>185</v>
      </c>
    </row>
    <row r="349" spans="1:24" ht="15.75" customHeight="1" x14ac:dyDescent="0.3">
      <c r="A349" s="4">
        <v>1348</v>
      </c>
      <c r="B349" s="5" t="s">
        <v>480</v>
      </c>
      <c r="C349" s="6">
        <v>45172.523611111108</v>
      </c>
      <c r="D349" s="5" t="s">
        <v>14</v>
      </c>
      <c r="E349" s="5" t="s">
        <v>34</v>
      </c>
      <c r="F349" s="5" t="s">
        <v>24</v>
      </c>
      <c r="G349" s="5" t="s">
        <v>39</v>
      </c>
      <c r="H349" s="5">
        <v>156</v>
      </c>
      <c r="I349" s="5">
        <v>1</v>
      </c>
      <c r="J349" s="5" t="s">
        <v>32</v>
      </c>
      <c r="K349" s="5" t="s">
        <v>27</v>
      </c>
      <c r="L349" s="5" t="s">
        <v>40</v>
      </c>
      <c r="M349" s="7" t="s">
        <v>41</v>
      </c>
      <c r="N349" s="26">
        <f t="shared" si="35"/>
        <v>-1</v>
      </c>
      <c r="O349" s="42">
        <f t="shared" si="36"/>
        <v>45172</v>
      </c>
      <c r="P349" s="5" t="str">
        <f t="shared" si="37"/>
        <v>Sunday</v>
      </c>
      <c r="Q349" s="5">
        <f t="shared" si="38"/>
        <v>12</v>
      </c>
      <c r="R349" s="28">
        <f t="shared" si="39"/>
        <v>0.99363057324840764</v>
      </c>
      <c r="S349" s="29">
        <f t="shared" si="40"/>
        <v>99.363057324840767</v>
      </c>
      <c r="T349" s="5" t="str">
        <f>IF(Delivery_Data3[[#This Row],[Delays (min)]]&gt;0,"No","Yes")</f>
        <v>No</v>
      </c>
      <c r="W349" s="41">
        <f t="shared" si="41"/>
        <v>45172</v>
      </c>
      <c r="X349" s="5">
        <v>156</v>
      </c>
    </row>
    <row r="350" spans="1:24" ht="15.75" customHeight="1" x14ac:dyDescent="0.3">
      <c r="A350" s="4">
        <v>1349</v>
      </c>
      <c r="B350" s="5" t="s">
        <v>481</v>
      </c>
      <c r="C350" s="6">
        <v>45173.355555555558</v>
      </c>
      <c r="D350" s="5" t="s">
        <v>43</v>
      </c>
      <c r="E350" s="5" t="s">
        <v>53</v>
      </c>
      <c r="F350" s="5" t="s">
        <v>24</v>
      </c>
      <c r="G350" s="5" t="s">
        <v>17</v>
      </c>
      <c r="H350" s="5">
        <v>237</v>
      </c>
      <c r="I350" s="5">
        <v>6</v>
      </c>
      <c r="J350" s="5" t="s">
        <v>32</v>
      </c>
      <c r="K350" s="5" t="s">
        <v>19</v>
      </c>
      <c r="L350" s="5" t="s">
        <v>20</v>
      </c>
      <c r="M350" s="7" t="s">
        <v>21</v>
      </c>
      <c r="N350" s="26">
        <f t="shared" si="35"/>
        <v>-1</v>
      </c>
      <c r="O350" s="42">
        <f t="shared" si="36"/>
        <v>45173</v>
      </c>
      <c r="P350" s="5" t="str">
        <f t="shared" si="37"/>
        <v>Monday</v>
      </c>
      <c r="Q350" s="5">
        <f t="shared" si="38"/>
        <v>8</v>
      </c>
      <c r="R350" s="28">
        <f t="shared" si="39"/>
        <v>0.97530864197530864</v>
      </c>
      <c r="S350" s="29">
        <f t="shared" si="40"/>
        <v>97.53086419753086</v>
      </c>
      <c r="T350" s="5" t="str">
        <f>IF(Delivery_Data3[[#This Row],[Delays (min)]]&gt;0,"No","Yes")</f>
        <v>No</v>
      </c>
      <c r="W350" s="41">
        <f t="shared" si="41"/>
        <v>45173</v>
      </c>
      <c r="X350" s="5">
        <v>237</v>
      </c>
    </row>
    <row r="351" spans="1:24" ht="15.75" customHeight="1" x14ac:dyDescent="0.3">
      <c r="A351" s="4">
        <v>1350</v>
      </c>
      <c r="B351" s="5" t="s">
        <v>482</v>
      </c>
      <c r="C351" s="6">
        <v>45176.523611111108</v>
      </c>
      <c r="D351" s="5" t="s">
        <v>43</v>
      </c>
      <c r="E351" s="5" t="s">
        <v>193</v>
      </c>
      <c r="F351" s="5" t="s">
        <v>24</v>
      </c>
      <c r="G351" s="5" t="s">
        <v>25</v>
      </c>
      <c r="H351" s="5">
        <v>107</v>
      </c>
      <c r="I351" s="5">
        <v>26</v>
      </c>
      <c r="J351" s="5" t="s">
        <v>32</v>
      </c>
      <c r="K351" s="5" t="s">
        <v>27</v>
      </c>
      <c r="L351" s="5" t="s">
        <v>28</v>
      </c>
      <c r="M351" s="7" t="s">
        <v>41</v>
      </c>
      <c r="N351" s="26">
        <f t="shared" si="35"/>
        <v>-1</v>
      </c>
      <c r="O351" s="42">
        <f t="shared" si="36"/>
        <v>45176</v>
      </c>
      <c r="P351" s="5" t="str">
        <f t="shared" si="37"/>
        <v>Thursday</v>
      </c>
      <c r="Q351" s="5">
        <f t="shared" si="38"/>
        <v>12</v>
      </c>
      <c r="R351" s="28">
        <f t="shared" si="39"/>
        <v>0.80451127819548873</v>
      </c>
      <c r="S351" s="29">
        <f t="shared" si="40"/>
        <v>80.451127819548873</v>
      </c>
      <c r="T351" s="5" t="str">
        <f>IF(Delivery_Data3[[#This Row],[Delays (min)]]&gt;0,"No","Yes")</f>
        <v>No</v>
      </c>
      <c r="W351" s="41">
        <f t="shared" si="41"/>
        <v>45176</v>
      </c>
      <c r="X351" s="5">
        <v>107</v>
      </c>
    </row>
    <row r="352" spans="1:24" ht="15.75" customHeight="1" x14ac:dyDescent="0.3">
      <c r="A352" s="4">
        <v>1351</v>
      </c>
      <c r="B352" s="5" t="s">
        <v>483</v>
      </c>
      <c r="C352" s="6">
        <v>45173.697222222225</v>
      </c>
      <c r="D352" s="5" t="s">
        <v>14</v>
      </c>
      <c r="E352" s="5" t="s">
        <v>111</v>
      </c>
      <c r="F352" s="5" t="s">
        <v>38</v>
      </c>
      <c r="G352" s="5" t="s">
        <v>17</v>
      </c>
      <c r="H352" s="5">
        <v>176</v>
      </c>
      <c r="I352" s="5">
        <v>16</v>
      </c>
      <c r="J352" s="5" t="s">
        <v>26</v>
      </c>
      <c r="K352" s="5" t="s">
        <v>49</v>
      </c>
      <c r="L352" s="5" t="s">
        <v>28</v>
      </c>
      <c r="M352" s="7" t="s">
        <v>41</v>
      </c>
      <c r="N352" s="26">
        <f t="shared" si="35"/>
        <v>1</v>
      </c>
      <c r="O352" s="42">
        <f t="shared" si="36"/>
        <v>45173</v>
      </c>
      <c r="P352" s="5" t="str">
        <f t="shared" si="37"/>
        <v>Monday</v>
      </c>
      <c r="Q352" s="5">
        <f t="shared" si="38"/>
        <v>16</v>
      </c>
      <c r="R352" s="28">
        <f t="shared" si="39"/>
        <v>0.91666666666666663</v>
      </c>
      <c r="S352" s="29">
        <f t="shared" si="40"/>
        <v>91.666666666666657</v>
      </c>
      <c r="T352" s="5" t="str">
        <f>IF(Delivery_Data3[[#This Row],[Delays (min)]]&gt;0,"No","Yes")</f>
        <v>No</v>
      </c>
      <c r="W352" s="41">
        <f t="shared" si="41"/>
        <v>45173</v>
      </c>
      <c r="X352" s="5">
        <v>176</v>
      </c>
    </row>
    <row r="353" spans="1:24" ht="15.75" customHeight="1" x14ac:dyDescent="0.3">
      <c r="A353" s="4">
        <v>1352</v>
      </c>
      <c r="B353" s="5" t="s">
        <v>484</v>
      </c>
      <c r="C353" s="6">
        <v>45176.37222222222</v>
      </c>
      <c r="D353" s="5" t="s">
        <v>14</v>
      </c>
      <c r="E353" s="5" t="s">
        <v>220</v>
      </c>
      <c r="F353" s="5" t="s">
        <v>24</v>
      </c>
      <c r="G353" s="5" t="s">
        <v>56</v>
      </c>
      <c r="H353" s="5">
        <v>130</v>
      </c>
      <c r="I353" s="5">
        <v>14</v>
      </c>
      <c r="J353" s="5" t="s">
        <v>26</v>
      </c>
      <c r="K353" s="5" t="s">
        <v>35</v>
      </c>
      <c r="L353" s="5" t="s">
        <v>40</v>
      </c>
      <c r="M353" s="7" t="s">
        <v>46</v>
      </c>
      <c r="N353" s="26">
        <f t="shared" si="35"/>
        <v>1</v>
      </c>
      <c r="O353" s="42">
        <f t="shared" si="36"/>
        <v>45176</v>
      </c>
      <c r="P353" s="5" t="str">
        <f t="shared" si="37"/>
        <v>Thursday</v>
      </c>
      <c r="Q353" s="5">
        <f t="shared" si="38"/>
        <v>8</v>
      </c>
      <c r="R353" s="28">
        <f t="shared" si="39"/>
        <v>0.90277777777777779</v>
      </c>
      <c r="S353" s="29">
        <f t="shared" si="40"/>
        <v>90.277777777777786</v>
      </c>
      <c r="T353" s="5" t="str">
        <f>IF(Delivery_Data3[[#This Row],[Delays (min)]]&gt;0,"No","Yes")</f>
        <v>No</v>
      </c>
      <c r="W353" s="41">
        <f t="shared" si="41"/>
        <v>45176</v>
      </c>
      <c r="X353" s="5">
        <v>130</v>
      </c>
    </row>
    <row r="354" spans="1:24" ht="15.75" customHeight="1" x14ac:dyDescent="0.3">
      <c r="A354" s="4">
        <v>1353</v>
      </c>
      <c r="B354" s="5" t="s">
        <v>485</v>
      </c>
      <c r="C354" s="6">
        <v>45176.427777777775</v>
      </c>
      <c r="D354" s="5" t="s">
        <v>14</v>
      </c>
      <c r="E354" s="5" t="s">
        <v>143</v>
      </c>
      <c r="F354" s="5" t="s">
        <v>16</v>
      </c>
      <c r="G354" s="5" t="s">
        <v>56</v>
      </c>
      <c r="H354" s="5">
        <v>83</v>
      </c>
      <c r="I354" s="5">
        <v>19</v>
      </c>
      <c r="J354" s="5" t="s">
        <v>18</v>
      </c>
      <c r="K354" s="5" t="s">
        <v>35</v>
      </c>
      <c r="L354" s="5" t="s">
        <v>20</v>
      </c>
      <c r="M354" s="7" t="s">
        <v>41</v>
      </c>
      <c r="N354" s="26">
        <f t="shared" si="35"/>
        <v>0</v>
      </c>
      <c r="O354" s="42">
        <f t="shared" si="36"/>
        <v>45176</v>
      </c>
      <c r="P354" s="5" t="str">
        <f t="shared" si="37"/>
        <v>Thursday</v>
      </c>
      <c r="Q354" s="5">
        <f t="shared" si="38"/>
        <v>10</v>
      </c>
      <c r="R354" s="28">
        <f t="shared" si="39"/>
        <v>0.81372549019607843</v>
      </c>
      <c r="S354" s="29">
        <f t="shared" si="40"/>
        <v>81.372549019607845</v>
      </c>
      <c r="T354" s="5" t="str">
        <f>IF(Delivery_Data3[[#This Row],[Delays (min)]]&gt;0,"No","Yes")</f>
        <v>No</v>
      </c>
      <c r="W354" s="41">
        <f t="shared" si="41"/>
        <v>45176</v>
      </c>
      <c r="X354" s="5">
        <v>83</v>
      </c>
    </row>
    <row r="355" spans="1:24" ht="15.75" customHeight="1" x14ac:dyDescent="0.3">
      <c r="A355" s="4">
        <v>1354</v>
      </c>
      <c r="B355" s="5" t="s">
        <v>486</v>
      </c>
      <c r="C355" s="6">
        <v>45177.631249999999</v>
      </c>
      <c r="D355" s="5" t="s">
        <v>43</v>
      </c>
      <c r="E355" s="5" t="s">
        <v>261</v>
      </c>
      <c r="F355" s="5" t="s">
        <v>24</v>
      </c>
      <c r="G355" s="5" t="s">
        <v>31</v>
      </c>
      <c r="H355" s="5">
        <v>146</v>
      </c>
      <c r="I355" s="5">
        <v>17</v>
      </c>
      <c r="J355" s="5" t="s">
        <v>32</v>
      </c>
      <c r="K355" s="5" t="s">
        <v>49</v>
      </c>
      <c r="L355" s="5" t="s">
        <v>28</v>
      </c>
      <c r="M355" s="7" t="s">
        <v>21</v>
      </c>
      <c r="N355" s="26">
        <f t="shared" si="35"/>
        <v>-1</v>
      </c>
      <c r="O355" s="42">
        <f t="shared" si="36"/>
        <v>45177</v>
      </c>
      <c r="P355" s="5" t="str">
        <f t="shared" si="37"/>
        <v>Friday</v>
      </c>
      <c r="Q355" s="5">
        <f t="shared" si="38"/>
        <v>15</v>
      </c>
      <c r="R355" s="28">
        <f t="shared" si="39"/>
        <v>0.89570552147239269</v>
      </c>
      <c r="S355" s="29">
        <f t="shared" si="40"/>
        <v>89.570552147239269</v>
      </c>
      <c r="T355" s="5" t="str">
        <f>IF(Delivery_Data3[[#This Row],[Delays (min)]]&gt;0,"No","Yes")</f>
        <v>No</v>
      </c>
      <c r="W355" s="41">
        <f t="shared" si="41"/>
        <v>45177</v>
      </c>
      <c r="X355" s="5">
        <v>146</v>
      </c>
    </row>
    <row r="356" spans="1:24" ht="15.75" customHeight="1" x14ac:dyDescent="0.3">
      <c r="A356" s="4">
        <v>1355</v>
      </c>
      <c r="B356" s="5" t="s">
        <v>487</v>
      </c>
      <c r="C356" s="6">
        <v>45170.393750000003</v>
      </c>
      <c r="D356" s="5" t="s">
        <v>14</v>
      </c>
      <c r="E356" s="5" t="s">
        <v>83</v>
      </c>
      <c r="F356" s="5" t="s">
        <v>24</v>
      </c>
      <c r="G356" s="5" t="s">
        <v>31</v>
      </c>
      <c r="H356" s="5">
        <v>126</v>
      </c>
      <c r="I356" s="5">
        <v>9</v>
      </c>
      <c r="J356" s="5" t="s">
        <v>26</v>
      </c>
      <c r="K356" s="5" t="s">
        <v>35</v>
      </c>
      <c r="L356" s="5" t="s">
        <v>20</v>
      </c>
      <c r="M356" s="7" t="s">
        <v>21</v>
      </c>
      <c r="N356" s="26">
        <f t="shared" si="35"/>
        <v>1</v>
      </c>
      <c r="O356" s="42">
        <f t="shared" si="36"/>
        <v>45170</v>
      </c>
      <c r="P356" s="5" t="str">
        <f t="shared" si="37"/>
        <v>Friday</v>
      </c>
      <c r="Q356" s="5">
        <f t="shared" si="38"/>
        <v>9</v>
      </c>
      <c r="R356" s="28">
        <f t="shared" si="39"/>
        <v>0.93333333333333335</v>
      </c>
      <c r="S356" s="29">
        <f t="shared" si="40"/>
        <v>93.333333333333329</v>
      </c>
      <c r="T356" s="5" t="str">
        <f>IF(Delivery_Data3[[#This Row],[Delays (min)]]&gt;0,"No","Yes")</f>
        <v>No</v>
      </c>
      <c r="W356" s="41">
        <f t="shared" si="41"/>
        <v>45170</v>
      </c>
      <c r="X356" s="5">
        <v>126</v>
      </c>
    </row>
    <row r="357" spans="1:24" ht="15.75" customHeight="1" x14ac:dyDescent="0.3">
      <c r="A357" s="4">
        <v>1356</v>
      </c>
      <c r="B357" s="5" t="s">
        <v>488</v>
      </c>
      <c r="C357" s="6">
        <v>45174.378472222219</v>
      </c>
      <c r="D357" s="5" t="s">
        <v>43</v>
      </c>
      <c r="E357" s="5" t="s">
        <v>51</v>
      </c>
      <c r="F357" s="5" t="s">
        <v>38</v>
      </c>
      <c r="G357" s="5" t="s">
        <v>25</v>
      </c>
      <c r="H357" s="5">
        <v>81</v>
      </c>
      <c r="I357" s="5">
        <v>3</v>
      </c>
      <c r="J357" s="5" t="s">
        <v>32</v>
      </c>
      <c r="K357" s="5" t="s">
        <v>49</v>
      </c>
      <c r="L357" s="5" t="s">
        <v>20</v>
      </c>
      <c r="M357" s="7" t="s">
        <v>41</v>
      </c>
      <c r="N357" s="26">
        <f t="shared" si="35"/>
        <v>-1</v>
      </c>
      <c r="O357" s="42">
        <f t="shared" si="36"/>
        <v>45174</v>
      </c>
      <c r="P357" s="5" t="str">
        <f t="shared" si="37"/>
        <v>Tuesday</v>
      </c>
      <c r="Q357" s="5">
        <f t="shared" si="38"/>
        <v>9</v>
      </c>
      <c r="R357" s="28">
        <f t="shared" si="39"/>
        <v>0.9642857142857143</v>
      </c>
      <c r="S357" s="29">
        <f t="shared" si="40"/>
        <v>96.428571428571431</v>
      </c>
      <c r="T357" s="5" t="str">
        <f>IF(Delivery_Data3[[#This Row],[Delays (min)]]&gt;0,"No","Yes")</f>
        <v>No</v>
      </c>
      <c r="W357" s="41">
        <f t="shared" si="41"/>
        <v>45174</v>
      </c>
      <c r="X357" s="5">
        <v>81</v>
      </c>
    </row>
    <row r="358" spans="1:24" ht="15.75" customHeight="1" x14ac:dyDescent="0.3">
      <c r="A358" s="4">
        <v>1357</v>
      </c>
      <c r="B358" s="5" t="s">
        <v>489</v>
      </c>
      <c r="C358" s="6">
        <v>45171.384027777778</v>
      </c>
      <c r="D358" s="5" t="s">
        <v>14</v>
      </c>
      <c r="E358" s="5" t="s">
        <v>240</v>
      </c>
      <c r="F358" s="5" t="s">
        <v>24</v>
      </c>
      <c r="G358" s="5" t="s">
        <v>56</v>
      </c>
      <c r="H358" s="5">
        <v>152</v>
      </c>
      <c r="I358" s="5">
        <v>18</v>
      </c>
      <c r="J358" s="5" t="s">
        <v>32</v>
      </c>
      <c r="K358" s="5" t="s">
        <v>49</v>
      </c>
      <c r="L358" s="5" t="s">
        <v>20</v>
      </c>
      <c r="M358" s="7" t="s">
        <v>46</v>
      </c>
      <c r="N358" s="26">
        <f t="shared" si="35"/>
        <v>-1</v>
      </c>
      <c r="O358" s="42">
        <f t="shared" si="36"/>
        <v>45171</v>
      </c>
      <c r="P358" s="5" t="str">
        <f t="shared" si="37"/>
        <v>Saturday</v>
      </c>
      <c r="Q358" s="5">
        <f t="shared" si="38"/>
        <v>9</v>
      </c>
      <c r="R358" s="28">
        <f t="shared" si="39"/>
        <v>0.89411764705882357</v>
      </c>
      <c r="S358" s="29">
        <f t="shared" si="40"/>
        <v>89.411764705882362</v>
      </c>
      <c r="T358" s="5" t="str">
        <f>IF(Delivery_Data3[[#This Row],[Delays (min)]]&gt;0,"No","Yes")</f>
        <v>No</v>
      </c>
      <c r="W358" s="41">
        <f t="shared" si="41"/>
        <v>45171</v>
      </c>
      <c r="X358" s="5">
        <v>152</v>
      </c>
    </row>
    <row r="359" spans="1:24" ht="15.75" customHeight="1" x14ac:dyDescent="0.3">
      <c r="A359" s="4">
        <v>1358</v>
      </c>
      <c r="B359" s="5" t="s">
        <v>490</v>
      </c>
      <c r="C359" s="6">
        <v>45172.473611111112</v>
      </c>
      <c r="D359" s="5" t="s">
        <v>14</v>
      </c>
      <c r="E359" s="5" t="s">
        <v>177</v>
      </c>
      <c r="F359" s="5" t="s">
        <v>24</v>
      </c>
      <c r="G359" s="5" t="s">
        <v>25</v>
      </c>
      <c r="H359" s="5">
        <v>110</v>
      </c>
      <c r="I359" s="5">
        <v>15</v>
      </c>
      <c r="J359" s="5" t="s">
        <v>32</v>
      </c>
      <c r="K359" s="5" t="s">
        <v>49</v>
      </c>
      <c r="L359" s="5" t="s">
        <v>40</v>
      </c>
      <c r="M359" s="7" t="s">
        <v>41</v>
      </c>
      <c r="N359" s="26">
        <f t="shared" si="35"/>
        <v>-1</v>
      </c>
      <c r="O359" s="42">
        <f t="shared" si="36"/>
        <v>45172</v>
      </c>
      <c r="P359" s="5" t="str">
        <f t="shared" si="37"/>
        <v>Sunday</v>
      </c>
      <c r="Q359" s="5">
        <f t="shared" si="38"/>
        <v>11</v>
      </c>
      <c r="R359" s="28">
        <f t="shared" si="39"/>
        <v>0.88</v>
      </c>
      <c r="S359" s="29">
        <f t="shared" si="40"/>
        <v>88</v>
      </c>
      <c r="T359" s="5" t="str">
        <f>IF(Delivery_Data3[[#This Row],[Delays (min)]]&gt;0,"No","Yes")</f>
        <v>No</v>
      </c>
      <c r="W359" s="41">
        <f t="shared" si="41"/>
        <v>45172</v>
      </c>
      <c r="X359" s="5">
        <v>110</v>
      </c>
    </row>
    <row r="360" spans="1:24" ht="15.75" customHeight="1" x14ac:dyDescent="0.3">
      <c r="A360" s="4">
        <v>1359</v>
      </c>
      <c r="B360" s="5" t="s">
        <v>491</v>
      </c>
      <c r="C360" s="6">
        <v>45176.489583333336</v>
      </c>
      <c r="D360" s="5" t="s">
        <v>14</v>
      </c>
      <c r="E360" s="5" t="s">
        <v>135</v>
      </c>
      <c r="F360" s="5" t="s">
        <v>38</v>
      </c>
      <c r="G360" s="5" t="s">
        <v>31</v>
      </c>
      <c r="H360" s="5">
        <v>164</v>
      </c>
      <c r="I360" s="5">
        <v>1</v>
      </c>
      <c r="J360" s="5" t="s">
        <v>26</v>
      </c>
      <c r="K360" s="5" t="s">
        <v>35</v>
      </c>
      <c r="L360" s="5" t="s">
        <v>20</v>
      </c>
      <c r="M360" s="7" t="s">
        <v>46</v>
      </c>
      <c r="N360" s="26">
        <f t="shared" si="35"/>
        <v>1</v>
      </c>
      <c r="O360" s="42">
        <f t="shared" si="36"/>
        <v>45176</v>
      </c>
      <c r="P360" s="5" t="str">
        <f t="shared" si="37"/>
        <v>Thursday</v>
      </c>
      <c r="Q360" s="5">
        <f t="shared" si="38"/>
        <v>11</v>
      </c>
      <c r="R360" s="28">
        <f t="shared" si="39"/>
        <v>0.9939393939393939</v>
      </c>
      <c r="S360" s="29">
        <f t="shared" si="40"/>
        <v>99.393939393939391</v>
      </c>
      <c r="T360" s="5" t="str">
        <f>IF(Delivery_Data3[[#This Row],[Delays (min)]]&gt;0,"No","Yes")</f>
        <v>No</v>
      </c>
      <c r="W360" s="41">
        <f t="shared" si="41"/>
        <v>45176</v>
      </c>
      <c r="X360" s="5">
        <v>164</v>
      </c>
    </row>
    <row r="361" spans="1:24" ht="15.75" customHeight="1" x14ac:dyDescent="0.3">
      <c r="A361" s="4">
        <v>1360</v>
      </c>
      <c r="B361" s="5" t="s">
        <v>492</v>
      </c>
      <c r="C361" s="6">
        <v>45173.384722222225</v>
      </c>
      <c r="D361" s="5" t="s">
        <v>14</v>
      </c>
      <c r="E361" s="5" t="s">
        <v>301</v>
      </c>
      <c r="F361" s="5" t="s">
        <v>16</v>
      </c>
      <c r="G361" s="5" t="s">
        <v>39</v>
      </c>
      <c r="H361" s="5">
        <v>171</v>
      </c>
      <c r="I361" s="5">
        <v>27</v>
      </c>
      <c r="J361" s="5" t="s">
        <v>32</v>
      </c>
      <c r="K361" s="5" t="s">
        <v>35</v>
      </c>
      <c r="L361" s="5" t="s">
        <v>28</v>
      </c>
      <c r="M361" s="7" t="s">
        <v>41</v>
      </c>
      <c r="N361" s="26">
        <f t="shared" si="35"/>
        <v>-1</v>
      </c>
      <c r="O361" s="42">
        <f t="shared" si="36"/>
        <v>45173</v>
      </c>
      <c r="P361" s="5" t="str">
        <f t="shared" si="37"/>
        <v>Monday</v>
      </c>
      <c r="Q361" s="5">
        <f t="shared" si="38"/>
        <v>9</v>
      </c>
      <c r="R361" s="28">
        <f t="shared" si="39"/>
        <v>0.86363636363636365</v>
      </c>
      <c r="S361" s="29">
        <f t="shared" si="40"/>
        <v>86.36363636363636</v>
      </c>
      <c r="T361" s="5" t="str">
        <f>IF(Delivery_Data3[[#This Row],[Delays (min)]]&gt;0,"No","Yes")</f>
        <v>No</v>
      </c>
      <c r="W361" s="41">
        <f t="shared" si="41"/>
        <v>45173</v>
      </c>
      <c r="X361" s="5">
        <v>171</v>
      </c>
    </row>
    <row r="362" spans="1:24" ht="15.75" customHeight="1" x14ac:dyDescent="0.3">
      <c r="A362" s="4">
        <v>1361</v>
      </c>
      <c r="B362" s="5" t="s">
        <v>493</v>
      </c>
      <c r="C362" s="6">
        <v>45176.656944444447</v>
      </c>
      <c r="D362" s="5" t="s">
        <v>14</v>
      </c>
      <c r="E362" s="5" t="s">
        <v>115</v>
      </c>
      <c r="F362" s="5" t="s">
        <v>16</v>
      </c>
      <c r="G362" s="5" t="s">
        <v>56</v>
      </c>
      <c r="H362" s="5">
        <v>189</v>
      </c>
      <c r="I362" s="5">
        <v>3</v>
      </c>
      <c r="J362" s="5" t="s">
        <v>26</v>
      </c>
      <c r="K362" s="5" t="s">
        <v>19</v>
      </c>
      <c r="L362" s="5" t="s">
        <v>40</v>
      </c>
      <c r="M362" s="7" t="s">
        <v>21</v>
      </c>
      <c r="N362" s="26">
        <f t="shared" si="35"/>
        <v>1</v>
      </c>
      <c r="O362" s="42">
        <f t="shared" si="36"/>
        <v>45176</v>
      </c>
      <c r="P362" s="5" t="str">
        <f t="shared" si="37"/>
        <v>Thursday</v>
      </c>
      <c r="Q362" s="5">
        <f t="shared" si="38"/>
        <v>15</v>
      </c>
      <c r="R362" s="28">
        <f t="shared" si="39"/>
        <v>0.984375</v>
      </c>
      <c r="S362" s="29">
        <f t="shared" si="40"/>
        <v>98.4375</v>
      </c>
      <c r="T362" s="5" t="str">
        <f>IF(Delivery_Data3[[#This Row],[Delays (min)]]&gt;0,"No","Yes")</f>
        <v>No</v>
      </c>
      <c r="W362" s="41">
        <f t="shared" si="41"/>
        <v>45176</v>
      </c>
      <c r="X362" s="5">
        <v>189</v>
      </c>
    </row>
    <row r="363" spans="1:24" ht="15.75" customHeight="1" x14ac:dyDescent="0.3">
      <c r="A363" s="4">
        <v>1362</v>
      </c>
      <c r="B363" s="5" t="s">
        <v>494</v>
      </c>
      <c r="C363" s="6">
        <v>45172.347916666666</v>
      </c>
      <c r="D363" s="5" t="s">
        <v>14</v>
      </c>
      <c r="E363" s="5" t="s">
        <v>23</v>
      </c>
      <c r="F363" s="5" t="s">
        <v>16</v>
      </c>
      <c r="G363" s="5" t="s">
        <v>31</v>
      </c>
      <c r="H363" s="5">
        <v>136</v>
      </c>
      <c r="I363" s="5">
        <v>14</v>
      </c>
      <c r="J363" s="5" t="s">
        <v>32</v>
      </c>
      <c r="K363" s="5" t="s">
        <v>19</v>
      </c>
      <c r="L363" s="5" t="s">
        <v>28</v>
      </c>
      <c r="M363" s="7" t="s">
        <v>21</v>
      </c>
      <c r="N363" s="26">
        <f t="shared" si="35"/>
        <v>-1</v>
      </c>
      <c r="O363" s="42">
        <f t="shared" si="36"/>
        <v>45172</v>
      </c>
      <c r="P363" s="5" t="str">
        <f t="shared" si="37"/>
        <v>Sunday</v>
      </c>
      <c r="Q363" s="5">
        <f t="shared" si="38"/>
        <v>8</v>
      </c>
      <c r="R363" s="28">
        <f t="shared" si="39"/>
        <v>0.90666666666666662</v>
      </c>
      <c r="S363" s="29">
        <f t="shared" si="40"/>
        <v>90.666666666666657</v>
      </c>
      <c r="T363" s="5" t="str">
        <f>IF(Delivery_Data3[[#This Row],[Delays (min)]]&gt;0,"No","Yes")</f>
        <v>No</v>
      </c>
      <c r="W363" s="41">
        <f t="shared" si="41"/>
        <v>45172</v>
      </c>
      <c r="X363" s="5">
        <v>136</v>
      </c>
    </row>
    <row r="364" spans="1:24" ht="15.75" customHeight="1" x14ac:dyDescent="0.3">
      <c r="A364" s="4">
        <v>1363</v>
      </c>
      <c r="B364" s="5" t="s">
        <v>495</v>
      </c>
      <c r="C364" s="6">
        <v>45174.459722222222</v>
      </c>
      <c r="D364" s="5" t="s">
        <v>14</v>
      </c>
      <c r="E364" s="5" t="s">
        <v>73</v>
      </c>
      <c r="F364" s="5" t="s">
        <v>38</v>
      </c>
      <c r="G364" s="5" t="s">
        <v>56</v>
      </c>
      <c r="H364" s="5">
        <v>67</v>
      </c>
      <c r="I364" s="5">
        <v>20</v>
      </c>
      <c r="J364" s="5" t="s">
        <v>32</v>
      </c>
      <c r="K364" s="5" t="s">
        <v>49</v>
      </c>
      <c r="L364" s="5" t="s">
        <v>40</v>
      </c>
      <c r="M364" s="7" t="s">
        <v>46</v>
      </c>
      <c r="N364" s="26">
        <f t="shared" si="35"/>
        <v>-1</v>
      </c>
      <c r="O364" s="42">
        <f t="shared" si="36"/>
        <v>45174</v>
      </c>
      <c r="P364" s="5" t="str">
        <f t="shared" si="37"/>
        <v>Tuesday</v>
      </c>
      <c r="Q364" s="5">
        <f t="shared" si="38"/>
        <v>11</v>
      </c>
      <c r="R364" s="28">
        <f t="shared" si="39"/>
        <v>0.77011494252873558</v>
      </c>
      <c r="S364" s="29">
        <f t="shared" si="40"/>
        <v>77.011494252873561</v>
      </c>
      <c r="T364" s="5" t="str">
        <f>IF(Delivery_Data3[[#This Row],[Delays (min)]]&gt;0,"No","Yes")</f>
        <v>No</v>
      </c>
      <c r="W364" s="41">
        <f t="shared" si="41"/>
        <v>45174</v>
      </c>
      <c r="X364" s="5">
        <v>67</v>
      </c>
    </row>
    <row r="365" spans="1:24" ht="15.75" customHeight="1" x14ac:dyDescent="0.3">
      <c r="A365" s="4">
        <v>1364</v>
      </c>
      <c r="B365" s="5" t="s">
        <v>496</v>
      </c>
      <c r="C365" s="6">
        <v>45171.565972222219</v>
      </c>
      <c r="D365" s="5" t="s">
        <v>14</v>
      </c>
      <c r="E365" s="5" t="s">
        <v>166</v>
      </c>
      <c r="F365" s="5" t="s">
        <v>16</v>
      </c>
      <c r="G365" s="5" t="s">
        <v>31</v>
      </c>
      <c r="H365" s="5">
        <v>171</v>
      </c>
      <c r="I365" s="5">
        <v>20</v>
      </c>
      <c r="J365" s="5" t="s">
        <v>32</v>
      </c>
      <c r="K365" s="5" t="s">
        <v>27</v>
      </c>
      <c r="L365" s="5" t="s">
        <v>28</v>
      </c>
      <c r="M365" s="7" t="s">
        <v>41</v>
      </c>
      <c r="N365" s="26">
        <f t="shared" si="35"/>
        <v>-1</v>
      </c>
      <c r="O365" s="42">
        <f t="shared" si="36"/>
        <v>45171</v>
      </c>
      <c r="P365" s="5" t="str">
        <f t="shared" si="37"/>
        <v>Saturday</v>
      </c>
      <c r="Q365" s="5">
        <f t="shared" si="38"/>
        <v>13</v>
      </c>
      <c r="R365" s="28">
        <f t="shared" si="39"/>
        <v>0.89528795811518325</v>
      </c>
      <c r="S365" s="29">
        <f t="shared" si="40"/>
        <v>89.528795811518322</v>
      </c>
      <c r="T365" s="5" t="str">
        <f>IF(Delivery_Data3[[#This Row],[Delays (min)]]&gt;0,"No","Yes")</f>
        <v>No</v>
      </c>
      <c r="W365" s="41">
        <f t="shared" si="41"/>
        <v>45171</v>
      </c>
      <c r="X365" s="5">
        <v>171</v>
      </c>
    </row>
    <row r="366" spans="1:24" ht="15.75" customHeight="1" x14ac:dyDescent="0.3">
      <c r="A366" s="4">
        <v>1365</v>
      </c>
      <c r="B366" s="5" t="s">
        <v>497</v>
      </c>
      <c r="C366" s="6">
        <v>45170.597916666666</v>
      </c>
      <c r="D366" s="5" t="s">
        <v>43</v>
      </c>
      <c r="E366" s="5" t="s">
        <v>78</v>
      </c>
      <c r="F366" s="5" t="s">
        <v>24</v>
      </c>
      <c r="G366" s="5" t="s">
        <v>39</v>
      </c>
      <c r="H366" s="5">
        <v>85</v>
      </c>
      <c r="I366" s="5">
        <v>9</v>
      </c>
      <c r="J366" s="5" t="s">
        <v>18</v>
      </c>
      <c r="K366" s="5" t="s">
        <v>45</v>
      </c>
      <c r="L366" s="5" t="s">
        <v>20</v>
      </c>
      <c r="M366" s="7" t="s">
        <v>21</v>
      </c>
      <c r="N366" s="26">
        <f t="shared" si="35"/>
        <v>0</v>
      </c>
      <c r="O366" s="42">
        <f t="shared" si="36"/>
        <v>45170</v>
      </c>
      <c r="P366" s="5" t="str">
        <f t="shared" si="37"/>
        <v>Friday</v>
      </c>
      <c r="Q366" s="5">
        <f t="shared" si="38"/>
        <v>14</v>
      </c>
      <c r="R366" s="28">
        <f t="shared" si="39"/>
        <v>0.9042553191489362</v>
      </c>
      <c r="S366" s="29">
        <f t="shared" si="40"/>
        <v>90.425531914893625</v>
      </c>
      <c r="T366" s="5" t="str">
        <f>IF(Delivery_Data3[[#This Row],[Delays (min)]]&gt;0,"No","Yes")</f>
        <v>No</v>
      </c>
      <c r="W366" s="41">
        <f t="shared" si="41"/>
        <v>45170</v>
      </c>
      <c r="X366" s="5">
        <v>85</v>
      </c>
    </row>
    <row r="367" spans="1:24" ht="15.75" customHeight="1" x14ac:dyDescent="0.3">
      <c r="A367" s="4">
        <v>1366</v>
      </c>
      <c r="B367" s="5" t="s">
        <v>498</v>
      </c>
      <c r="C367" s="6">
        <v>45174.432638888888</v>
      </c>
      <c r="D367" s="5" t="s">
        <v>43</v>
      </c>
      <c r="E367" s="5" t="s">
        <v>243</v>
      </c>
      <c r="F367" s="5" t="s">
        <v>16</v>
      </c>
      <c r="G367" s="5" t="s">
        <v>31</v>
      </c>
      <c r="H367" s="5">
        <v>62</v>
      </c>
      <c r="I367" s="5">
        <v>19</v>
      </c>
      <c r="J367" s="5" t="s">
        <v>18</v>
      </c>
      <c r="K367" s="5" t="s">
        <v>35</v>
      </c>
      <c r="L367" s="5" t="s">
        <v>40</v>
      </c>
      <c r="M367" s="7" t="s">
        <v>46</v>
      </c>
      <c r="N367" s="26">
        <f t="shared" si="35"/>
        <v>0</v>
      </c>
      <c r="O367" s="42">
        <f t="shared" si="36"/>
        <v>45174</v>
      </c>
      <c r="P367" s="5" t="str">
        <f t="shared" si="37"/>
        <v>Tuesday</v>
      </c>
      <c r="Q367" s="5">
        <f t="shared" si="38"/>
        <v>10</v>
      </c>
      <c r="R367" s="28">
        <f t="shared" si="39"/>
        <v>0.76543209876543206</v>
      </c>
      <c r="S367" s="29">
        <f t="shared" si="40"/>
        <v>76.543209876543202</v>
      </c>
      <c r="T367" s="5" t="str">
        <f>IF(Delivery_Data3[[#This Row],[Delays (min)]]&gt;0,"No","Yes")</f>
        <v>No</v>
      </c>
      <c r="W367" s="41">
        <f t="shared" si="41"/>
        <v>45174</v>
      </c>
      <c r="X367" s="5">
        <v>62</v>
      </c>
    </row>
    <row r="368" spans="1:24" ht="15.75" customHeight="1" x14ac:dyDescent="0.3">
      <c r="A368" s="4">
        <v>1367</v>
      </c>
      <c r="B368" s="5" t="s">
        <v>499</v>
      </c>
      <c r="C368" s="6">
        <v>45172.521527777775</v>
      </c>
      <c r="D368" s="5" t="s">
        <v>14</v>
      </c>
      <c r="E368" s="5" t="s">
        <v>202</v>
      </c>
      <c r="F368" s="5" t="s">
        <v>16</v>
      </c>
      <c r="G368" s="5" t="s">
        <v>39</v>
      </c>
      <c r="H368" s="5">
        <v>222</v>
      </c>
      <c r="I368" s="5">
        <v>5</v>
      </c>
      <c r="J368" s="5" t="s">
        <v>18</v>
      </c>
      <c r="K368" s="5" t="s">
        <v>45</v>
      </c>
      <c r="L368" s="5" t="s">
        <v>28</v>
      </c>
      <c r="M368" s="7" t="s">
        <v>21</v>
      </c>
      <c r="N368" s="26">
        <f t="shared" si="35"/>
        <v>0</v>
      </c>
      <c r="O368" s="42">
        <f t="shared" si="36"/>
        <v>45172</v>
      </c>
      <c r="P368" s="5" t="str">
        <f t="shared" si="37"/>
        <v>Sunday</v>
      </c>
      <c r="Q368" s="5">
        <f t="shared" si="38"/>
        <v>12</v>
      </c>
      <c r="R368" s="28">
        <f t="shared" si="39"/>
        <v>0.97797356828193838</v>
      </c>
      <c r="S368" s="29">
        <f t="shared" si="40"/>
        <v>97.797356828193841</v>
      </c>
      <c r="T368" s="5" t="str">
        <f>IF(Delivery_Data3[[#This Row],[Delays (min)]]&gt;0,"No","Yes")</f>
        <v>No</v>
      </c>
      <c r="W368" s="41">
        <f t="shared" si="41"/>
        <v>45172</v>
      </c>
      <c r="X368" s="5">
        <v>222</v>
      </c>
    </row>
    <row r="369" spans="1:24" ht="15.75" customHeight="1" x14ac:dyDescent="0.3">
      <c r="A369" s="4">
        <v>1368</v>
      </c>
      <c r="B369" s="5" t="s">
        <v>500</v>
      </c>
      <c r="C369" s="6">
        <v>45171.504861111112</v>
      </c>
      <c r="D369" s="5" t="s">
        <v>14</v>
      </c>
      <c r="E369" s="5" t="s">
        <v>220</v>
      </c>
      <c r="F369" s="5" t="s">
        <v>38</v>
      </c>
      <c r="G369" s="5" t="s">
        <v>56</v>
      </c>
      <c r="H369" s="5">
        <v>101</v>
      </c>
      <c r="I369" s="5">
        <v>25</v>
      </c>
      <c r="J369" s="5" t="s">
        <v>32</v>
      </c>
      <c r="K369" s="5" t="s">
        <v>49</v>
      </c>
      <c r="L369" s="5" t="s">
        <v>20</v>
      </c>
      <c r="M369" s="7" t="s">
        <v>46</v>
      </c>
      <c r="N369" s="26">
        <f t="shared" si="35"/>
        <v>-1</v>
      </c>
      <c r="O369" s="42">
        <f t="shared" si="36"/>
        <v>45171</v>
      </c>
      <c r="P369" s="5" t="str">
        <f t="shared" si="37"/>
        <v>Saturday</v>
      </c>
      <c r="Q369" s="5">
        <f t="shared" si="38"/>
        <v>12</v>
      </c>
      <c r="R369" s="28">
        <f t="shared" si="39"/>
        <v>0.80158730158730163</v>
      </c>
      <c r="S369" s="29">
        <f t="shared" si="40"/>
        <v>80.158730158730165</v>
      </c>
      <c r="T369" s="5" t="str">
        <f>IF(Delivery_Data3[[#This Row],[Delays (min)]]&gt;0,"No","Yes")</f>
        <v>No</v>
      </c>
      <c r="W369" s="41">
        <f t="shared" si="41"/>
        <v>45171</v>
      </c>
      <c r="X369" s="5">
        <v>101</v>
      </c>
    </row>
    <row r="370" spans="1:24" ht="15.75" customHeight="1" x14ac:dyDescent="0.3">
      <c r="A370" s="4">
        <v>1369</v>
      </c>
      <c r="B370" s="5" t="s">
        <v>501</v>
      </c>
      <c r="C370" s="6">
        <v>45170.597222222219</v>
      </c>
      <c r="D370" s="5" t="s">
        <v>14</v>
      </c>
      <c r="E370" s="5" t="s">
        <v>55</v>
      </c>
      <c r="F370" s="5" t="s">
        <v>24</v>
      </c>
      <c r="G370" s="5" t="s">
        <v>17</v>
      </c>
      <c r="H370" s="5">
        <v>155</v>
      </c>
      <c r="I370" s="5">
        <v>2</v>
      </c>
      <c r="J370" s="5" t="s">
        <v>32</v>
      </c>
      <c r="K370" s="5" t="s">
        <v>27</v>
      </c>
      <c r="L370" s="5" t="s">
        <v>40</v>
      </c>
      <c r="M370" s="7" t="s">
        <v>46</v>
      </c>
      <c r="N370" s="26">
        <f t="shared" si="35"/>
        <v>-1</v>
      </c>
      <c r="O370" s="42">
        <f t="shared" si="36"/>
        <v>45170</v>
      </c>
      <c r="P370" s="5" t="str">
        <f t="shared" si="37"/>
        <v>Friday</v>
      </c>
      <c r="Q370" s="5">
        <f t="shared" si="38"/>
        <v>14</v>
      </c>
      <c r="R370" s="28">
        <f t="shared" si="39"/>
        <v>0.98726114649681529</v>
      </c>
      <c r="S370" s="29">
        <f t="shared" si="40"/>
        <v>98.726114649681534</v>
      </c>
      <c r="T370" s="5" t="str">
        <f>IF(Delivery_Data3[[#This Row],[Delays (min)]]&gt;0,"No","Yes")</f>
        <v>No</v>
      </c>
      <c r="W370" s="41">
        <f t="shared" si="41"/>
        <v>45170</v>
      </c>
      <c r="X370" s="5">
        <v>155</v>
      </c>
    </row>
    <row r="371" spans="1:24" ht="15.75" customHeight="1" x14ac:dyDescent="0.3">
      <c r="A371" s="4">
        <v>1370</v>
      </c>
      <c r="B371" s="5" t="s">
        <v>502</v>
      </c>
      <c r="C371" s="6">
        <v>45174.488888888889</v>
      </c>
      <c r="D371" s="5" t="s">
        <v>14</v>
      </c>
      <c r="E371" s="5" t="s">
        <v>154</v>
      </c>
      <c r="F371" s="5" t="s">
        <v>38</v>
      </c>
      <c r="G371" s="5" t="s">
        <v>31</v>
      </c>
      <c r="H371" s="5">
        <v>69</v>
      </c>
      <c r="I371" s="5">
        <v>29</v>
      </c>
      <c r="J371" s="5" t="s">
        <v>32</v>
      </c>
      <c r="K371" s="5" t="s">
        <v>19</v>
      </c>
      <c r="L371" s="5" t="s">
        <v>28</v>
      </c>
      <c r="M371" s="7" t="s">
        <v>46</v>
      </c>
      <c r="N371" s="26">
        <f t="shared" si="35"/>
        <v>-1</v>
      </c>
      <c r="O371" s="42">
        <f t="shared" si="36"/>
        <v>45174</v>
      </c>
      <c r="P371" s="5" t="str">
        <f t="shared" si="37"/>
        <v>Tuesday</v>
      </c>
      <c r="Q371" s="5">
        <f t="shared" si="38"/>
        <v>11</v>
      </c>
      <c r="R371" s="28">
        <f t="shared" si="39"/>
        <v>0.70408163265306123</v>
      </c>
      <c r="S371" s="29">
        <f t="shared" si="40"/>
        <v>70.408163265306129</v>
      </c>
      <c r="T371" s="5" t="str">
        <f>IF(Delivery_Data3[[#This Row],[Delays (min)]]&gt;0,"No","Yes")</f>
        <v>No</v>
      </c>
      <c r="W371" s="41">
        <f t="shared" si="41"/>
        <v>45174</v>
      </c>
      <c r="X371" s="5">
        <v>69</v>
      </c>
    </row>
    <row r="372" spans="1:24" ht="15.75" customHeight="1" x14ac:dyDescent="0.3">
      <c r="A372" s="4">
        <v>1371</v>
      </c>
      <c r="B372" s="5" t="s">
        <v>503</v>
      </c>
      <c r="C372" s="6">
        <v>45176.500694444447</v>
      </c>
      <c r="D372" s="5" t="s">
        <v>14</v>
      </c>
      <c r="E372" s="5" t="s">
        <v>177</v>
      </c>
      <c r="F372" s="5" t="s">
        <v>38</v>
      </c>
      <c r="G372" s="5" t="s">
        <v>39</v>
      </c>
      <c r="H372" s="5">
        <v>172</v>
      </c>
      <c r="I372" s="5">
        <v>27</v>
      </c>
      <c r="J372" s="5" t="s">
        <v>32</v>
      </c>
      <c r="K372" s="5" t="s">
        <v>45</v>
      </c>
      <c r="L372" s="5" t="s">
        <v>40</v>
      </c>
      <c r="M372" s="7" t="s">
        <v>46</v>
      </c>
      <c r="N372" s="26">
        <f t="shared" si="35"/>
        <v>-1</v>
      </c>
      <c r="O372" s="42">
        <f t="shared" si="36"/>
        <v>45176</v>
      </c>
      <c r="P372" s="5" t="str">
        <f t="shared" si="37"/>
        <v>Thursday</v>
      </c>
      <c r="Q372" s="5">
        <f t="shared" si="38"/>
        <v>12</v>
      </c>
      <c r="R372" s="28">
        <f t="shared" si="39"/>
        <v>0.86432160804020097</v>
      </c>
      <c r="S372" s="29">
        <f t="shared" si="40"/>
        <v>86.4321608040201</v>
      </c>
      <c r="T372" s="5" t="str">
        <f>IF(Delivery_Data3[[#This Row],[Delays (min)]]&gt;0,"No","Yes")</f>
        <v>No</v>
      </c>
      <c r="W372" s="41">
        <f t="shared" si="41"/>
        <v>45176</v>
      </c>
      <c r="X372" s="5">
        <v>172</v>
      </c>
    </row>
    <row r="373" spans="1:24" ht="15.75" customHeight="1" x14ac:dyDescent="0.3">
      <c r="A373" s="4">
        <v>1372</v>
      </c>
      <c r="B373" s="5" t="s">
        <v>504</v>
      </c>
      <c r="C373" s="6">
        <v>45171.620833333334</v>
      </c>
      <c r="D373" s="5" t="s">
        <v>14</v>
      </c>
      <c r="E373" s="5" t="s">
        <v>154</v>
      </c>
      <c r="F373" s="5" t="s">
        <v>38</v>
      </c>
      <c r="G373" s="5" t="s">
        <v>31</v>
      </c>
      <c r="H373" s="5">
        <v>188</v>
      </c>
      <c r="I373" s="5">
        <v>15</v>
      </c>
      <c r="J373" s="5" t="s">
        <v>26</v>
      </c>
      <c r="K373" s="5" t="s">
        <v>27</v>
      </c>
      <c r="L373" s="5" t="s">
        <v>20</v>
      </c>
      <c r="M373" s="7" t="s">
        <v>41</v>
      </c>
      <c r="N373" s="26">
        <f t="shared" si="35"/>
        <v>1</v>
      </c>
      <c r="O373" s="42">
        <f t="shared" si="36"/>
        <v>45171</v>
      </c>
      <c r="P373" s="5" t="str">
        <f t="shared" si="37"/>
        <v>Saturday</v>
      </c>
      <c r="Q373" s="5">
        <f t="shared" si="38"/>
        <v>14</v>
      </c>
      <c r="R373" s="28">
        <f t="shared" si="39"/>
        <v>0.92610837438423643</v>
      </c>
      <c r="S373" s="29">
        <f t="shared" si="40"/>
        <v>92.610837438423644</v>
      </c>
      <c r="T373" s="5" t="str">
        <f>IF(Delivery_Data3[[#This Row],[Delays (min)]]&gt;0,"No","Yes")</f>
        <v>No</v>
      </c>
      <c r="W373" s="41">
        <f t="shared" si="41"/>
        <v>45171</v>
      </c>
      <c r="X373" s="5">
        <v>188</v>
      </c>
    </row>
    <row r="374" spans="1:24" ht="15.75" customHeight="1" x14ac:dyDescent="0.3">
      <c r="A374" s="4">
        <v>1373</v>
      </c>
      <c r="B374" s="5" t="s">
        <v>505</v>
      </c>
      <c r="C374" s="6">
        <v>45177.658333333333</v>
      </c>
      <c r="D374" s="5" t="s">
        <v>14</v>
      </c>
      <c r="E374" s="5" t="s">
        <v>193</v>
      </c>
      <c r="F374" s="5" t="s">
        <v>38</v>
      </c>
      <c r="G374" s="5" t="s">
        <v>25</v>
      </c>
      <c r="H374" s="5">
        <v>165</v>
      </c>
      <c r="I374" s="5">
        <v>6</v>
      </c>
      <c r="J374" s="5" t="s">
        <v>18</v>
      </c>
      <c r="K374" s="5" t="s">
        <v>19</v>
      </c>
      <c r="L374" s="5" t="s">
        <v>28</v>
      </c>
      <c r="M374" s="7" t="s">
        <v>46</v>
      </c>
      <c r="N374" s="26">
        <f t="shared" si="35"/>
        <v>0</v>
      </c>
      <c r="O374" s="42">
        <f t="shared" si="36"/>
        <v>45177</v>
      </c>
      <c r="P374" s="5" t="str">
        <f t="shared" si="37"/>
        <v>Friday</v>
      </c>
      <c r="Q374" s="5">
        <f t="shared" si="38"/>
        <v>15</v>
      </c>
      <c r="R374" s="28">
        <f t="shared" si="39"/>
        <v>0.96491228070175439</v>
      </c>
      <c r="S374" s="29">
        <f t="shared" si="40"/>
        <v>96.491228070175438</v>
      </c>
      <c r="T374" s="5" t="str">
        <f>IF(Delivery_Data3[[#This Row],[Delays (min)]]&gt;0,"No","Yes")</f>
        <v>No</v>
      </c>
      <c r="W374" s="41">
        <f t="shared" si="41"/>
        <v>45177</v>
      </c>
      <c r="X374" s="5">
        <v>165</v>
      </c>
    </row>
    <row r="375" spans="1:24" ht="15.75" customHeight="1" x14ac:dyDescent="0.3">
      <c r="A375" s="4">
        <v>1374</v>
      </c>
      <c r="B375" s="5" t="s">
        <v>506</v>
      </c>
      <c r="C375" s="6">
        <v>45172.40902777778</v>
      </c>
      <c r="D375" s="5" t="s">
        <v>43</v>
      </c>
      <c r="E375" s="5" t="s">
        <v>311</v>
      </c>
      <c r="F375" s="5" t="s">
        <v>16</v>
      </c>
      <c r="G375" s="5" t="s">
        <v>56</v>
      </c>
      <c r="H375" s="5">
        <v>108</v>
      </c>
      <c r="I375" s="5">
        <v>20</v>
      </c>
      <c r="J375" s="5" t="s">
        <v>18</v>
      </c>
      <c r="K375" s="5" t="s">
        <v>19</v>
      </c>
      <c r="L375" s="5" t="s">
        <v>28</v>
      </c>
      <c r="M375" s="7" t="s">
        <v>21</v>
      </c>
      <c r="N375" s="26">
        <f t="shared" si="35"/>
        <v>0</v>
      </c>
      <c r="O375" s="42">
        <f t="shared" si="36"/>
        <v>45172</v>
      </c>
      <c r="P375" s="5" t="str">
        <f t="shared" si="37"/>
        <v>Sunday</v>
      </c>
      <c r="Q375" s="5">
        <f t="shared" si="38"/>
        <v>9</v>
      </c>
      <c r="R375" s="28">
        <f t="shared" si="39"/>
        <v>0.84375</v>
      </c>
      <c r="S375" s="29">
        <f t="shared" si="40"/>
        <v>84.375</v>
      </c>
      <c r="T375" s="5" t="str">
        <f>IF(Delivery_Data3[[#This Row],[Delays (min)]]&gt;0,"No","Yes")</f>
        <v>No</v>
      </c>
      <c r="W375" s="41">
        <f t="shared" si="41"/>
        <v>45172</v>
      </c>
      <c r="X375" s="5">
        <v>108</v>
      </c>
    </row>
    <row r="376" spans="1:24" ht="15.75" customHeight="1" x14ac:dyDescent="0.3">
      <c r="A376" s="4">
        <v>1375</v>
      </c>
      <c r="B376" s="5" t="s">
        <v>507</v>
      </c>
      <c r="C376" s="6">
        <v>45170.526388888888</v>
      </c>
      <c r="D376" s="5" t="s">
        <v>43</v>
      </c>
      <c r="E376" s="5" t="s">
        <v>234</v>
      </c>
      <c r="F376" s="5" t="s">
        <v>16</v>
      </c>
      <c r="G376" s="5" t="s">
        <v>25</v>
      </c>
      <c r="H376" s="5">
        <v>61</v>
      </c>
      <c r="I376" s="5">
        <v>20</v>
      </c>
      <c r="J376" s="5" t="s">
        <v>32</v>
      </c>
      <c r="K376" s="5" t="s">
        <v>49</v>
      </c>
      <c r="L376" s="5" t="s">
        <v>28</v>
      </c>
      <c r="M376" s="7" t="s">
        <v>41</v>
      </c>
      <c r="N376" s="26">
        <f t="shared" si="35"/>
        <v>-1</v>
      </c>
      <c r="O376" s="42">
        <f t="shared" si="36"/>
        <v>45170</v>
      </c>
      <c r="P376" s="5" t="str">
        <f t="shared" si="37"/>
        <v>Friday</v>
      </c>
      <c r="Q376" s="5">
        <f t="shared" si="38"/>
        <v>12</v>
      </c>
      <c r="R376" s="28">
        <f t="shared" si="39"/>
        <v>0.75308641975308643</v>
      </c>
      <c r="S376" s="29">
        <f t="shared" si="40"/>
        <v>75.308641975308646</v>
      </c>
      <c r="T376" s="5" t="str">
        <f>IF(Delivery_Data3[[#This Row],[Delays (min)]]&gt;0,"No","Yes")</f>
        <v>No</v>
      </c>
      <c r="W376" s="41">
        <f t="shared" si="41"/>
        <v>45170</v>
      </c>
      <c r="X376" s="5">
        <v>61</v>
      </c>
    </row>
    <row r="377" spans="1:24" ht="15.75" customHeight="1" x14ac:dyDescent="0.3">
      <c r="A377" s="4">
        <v>1376</v>
      </c>
      <c r="B377" s="5" t="s">
        <v>508</v>
      </c>
      <c r="C377" s="6">
        <v>45170.69027777778</v>
      </c>
      <c r="D377" s="5" t="s">
        <v>43</v>
      </c>
      <c r="E377" s="5" t="s">
        <v>76</v>
      </c>
      <c r="F377" s="5" t="s">
        <v>38</v>
      </c>
      <c r="G377" s="5" t="s">
        <v>17</v>
      </c>
      <c r="H377" s="5">
        <v>108</v>
      </c>
      <c r="I377" s="5">
        <v>5</v>
      </c>
      <c r="J377" s="5" t="s">
        <v>26</v>
      </c>
      <c r="K377" s="5" t="s">
        <v>49</v>
      </c>
      <c r="L377" s="5" t="s">
        <v>28</v>
      </c>
      <c r="M377" s="7" t="s">
        <v>21</v>
      </c>
      <c r="N377" s="26">
        <f t="shared" si="35"/>
        <v>1</v>
      </c>
      <c r="O377" s="42">
        <f t="shared" si="36"/>
        <v>45170</v>
      </c>
      <c r="P377" s="5" t="str">
        <f t="shared" si="37"/>
        <v>Friday</v>
      </c>
      <c r="Q377" s="5">
        <f t="shared" si="38"/>
        <v>16</v>
      </c>
      <c r="R377" s="28">
        <f t="shared" si="39"/>
        <v>0.95575221238938057</v>
      </c>
      <c r="S377" s="29">
        <f t="shared" si="40"/>
        <v>95.575221238938056</v>
      </c>
      <c r="T377" s="5" t="str">
        <f>IF(Delivery_Data3[[#This Row],[Delays (min)]]&gt;0,"No","Yes")</f>
        <v>No</v>
      </c>
      <c r="W377" s="41">
        <f t="shared" si="41"/>
        <v>45170</v>
      </c>
      <c r="X377" s="5">
        <v>108</v>
      </c>
    </row>
    <row r="378" spans="1:24" ht="15.75" customHeight="1" x14ac:dyDescent="0.3">
      <c r="A378" s="4">
        <v>1377</v>
      </c>
      <c r="B378" s="5" t="s">
        <v>509</v>
      </c>
      <c r="C378" s="6">
        <v>45172.603472222225</v>
      </c>
      <c r="D378" s="5" t="s">
        <v>14</v>
      </c>
      <c r="E378" s="5" t="s">
        <v>261</v>
      </c>
      <c r="F378" s="5" t="s">
        <v>24</v>
      </c>
      <c r="G378" s="5" t="s">
        <v>31</v>
      </c>
      <c r="H378" s="5">
        <v>182</v>
      </c>
      <c r="I378" s="5">
        <v>17</v>
      </c>
      <c r="J378" s="5" t="s">
        <v>26</v>
      </c>
      <c r="K378" s="5" t="s">
        <v>49</v>
      </c>
      <c r="L378" s="5" t="s">
        <v>28</v>
      </c>
      <c r="M378" s="7" t="s">
        <v>21</v>
      </c>
      <c r="N378" s="26">
        <f t="shared" si="35"/>
        <v>1</v>
      </c>
      <c r="O378" s="42">
        <f t="shared" si="36"/>
        <v>45172</v>
      </c>
      <c r="P378" s="5" t="str">
        <f t="shared" si="37"/>
        <v>Sunday</v>
      </c>
      <c r="Q378" s="5">
        <f t="shared" si="38"/>
        <v>14</v>
      </c>
      <c r="R378" s="28">
        <f t="shared" si="39"/>
        <v>0.914572864321608</v>
      </c>
      <c r="S378" s="29">
        <f t="shared" si="40"/>
        <v>91.457286432160799</v>
      </c>
      <c r="T378" s="5" t="str">
        <f>IF(Delivery_Data3[[#This Row],[Delays (min)]]&gt;0,"No","Yes")</f>
        <v>No</v>
      </c>
      <c r="W378" s="41">
        <f t="shared" si="41"/>
        <v>45172</v>
      </c>
      <c r="X378" s="5">
        <v>182</v>
      </c>
    </row>
    <row r="379" spans="1:24" ht="15.75" customHeight="1" x14ac:dyDescent="0.3">
      <c r="A379" s="4">
        <v>1378</v>
      </c>
      <c r="B379" s="5" t="s">
        <v>510</v>
      </c>
      <c r="C379" s="6">
        <v>45171.386805555558</v>
      </c>
      <c r="D379" s="5" t="s">
        <v>14</v>
      </c>
      <c r="E379" s="5" t="s">
        <v>58</v>
      </c>
      <c r="F379" s="5" t="s">
        <v>38</v>
      </c>
      <c r="G379" s="5" t="s">
        <v>25</v>
      </c>
      <c r="H379" s="5">
        <v>134</v>
      </c>
      <c r="I379" s="5">
        <v>16</v>
      </c>
      <c r="J379" s="5" t="s">
        <v>26</v>
      </c>
      <c r="K379" s="5" t="s">
        <v>49</v>
      </c>
      <c r="L379" s="5" t="s">
        <v>20</v>
      </c>
      <c r="M379" s="7" t="s">
        <v>41</v>
      </c>
      <c r="N379" s="26">
        <f t="shared" si="35"/>
        <v>1</v>
      </c>
      <c r="O379" s="42">
        <f t="shared" si="36"/>
        <v>45171</v>
      </c>
      <c r="P379" s="5" t="str">
        <f t="shared" si="37"/>
        <v>Saturday</v>
      </c>
      <c r="Q379" s="5">
        <f t="shared" si="38"/>
        <v>9</v>
      </c>
      <c r="R379" s="28">
        <f t="shared" si="39"/>
        <v>0.89333333333333331</v>
      </c>
      <c r="S379" s="29">
        <f t="shared" si="40"/>
        <v>89.333333333333329</v>
      </c>
      <c r="T379" s="5" t="str">
        <f>IF(Delivery_Data3[[#This Row],[Delays (min)]]&gt;0,"No","Yes")</f>
        <v>No</v>
      </c>
      <c r="W379" s="41">
        <f t="shared" si="41"/>
        <v>45171</v>
      </c>
      <c r="X379" s="5">
        <v>134</v>
      </c>
    </row>
    <row r="380" spans="1:24" ht="15.75" customHeight="1" x14ac:dyDescent="0.3">
      <c r="A380" s="4">
        <v>1379</v>
      </c>
      <c r="B380" s="5" t="s">
        <v>511</v>
      </c>
      <c r="C380" s="6">
        <v>45176.636805555558</v>
      </c>
      <c r="D380" s="5" t="s">
        <v>14</v>
      </c>
      <c r="E380" s="5" t="s">
        <v>15</v>
      </c>
      <c r="F380" s="5" t="s">
        <v>16</v>
      </c>
      <c r="G380" s="5" t="s">
        <v>31</v>
      </c>
      <c r="H380" s="5">
        <v>97</v>
      </c>
      <c r="I380" s="5">
        <v>28</v>
      </c>
      <c r="J380" s="5" t="s">
        <v>32</v>
      </c>
      <c r="K380" s="5" t="s">
        <v>27</v>
      </c>
      <c r="L380" s="5" t="s">
        <v>40</v>
      </c>
      <c r="M380" s="7" t="s">
        <v>21</v>
      </c>
      <c r="N380" s="26">
        <f t="shared" si="35"/>
        <v>-1</v>
      </c>
      <c r="O380" s="42">
        <f t="shared" si="36"/>
        <v>45176</v>
      </c>
      <c r="P380" s="5" t="str">
        <f t="shared" si="37"/>
        <v>Thursday</v>
      </c>
      <c r="Q380" s="5">
        <f t="shared" si="38"/>
        <v>15</v>
      </c>
      <c r="R380" s="28">
        <f t="shared" si="39"/>
        <v>0.77600000000000002</v>
      </c>
      <c r="S380" s="29">
        <f t="shared" si="40"/>
        <v>77.600000000000009</v>
      </c>
      <c r="T380" s="5" t="str">
        <f>IF(Delivery_Data3[[#This Row],[Delays (min)]]&gt;0,"No","Yes")</f>
        <v>No</v>
      </c>
      <c r="W380" s="41">
        <f t="shared" si="41"/>
        <v>45176</v>
      </c>
      <c r="X380" s="5">
        <v>97</v>
      </c>
    </row>
    <row r="381" spans="1:24" ht="15.75" customHeight="1" x14ac:dyDescent="0.3">
      <c r="A381" s="4">
        <v>1380</v>
      </c>
      <c r="B381" s="5" t="s">
        <v>512</v>
      </c>
      <c r="C381" s="6">
        <v>45171.70416666667</v>
      </c>
      <c r="D381" s="5" t="s">
        <v>43</v>
      </c>
      <c r="E381" s="5" t="s">
        <v>73</v>
      </c>
      <c r="F381" s="5" t="s">
        <v>38</v>
      </c>
      <c r="G381" s="5" t="s">
        <v>56</v>
      </c>
      <c r="H381" s="5">
        <v>162</v>
      </c>
      <c r="I381" s="5">
        <v>28</v>
      </c>
      <c r="J381" s="5" t="s">
        <v>18</v>
      </c>
      <c r="K381" s="5" t="s">
        <v>49</v>
      </c>
      <c r="L381" s="5" t="s">
        <v>20</v>
      </c>
      <c r="M381" s="7" t="s">
        <v>41</v>
      </c>
      <c r="N381" s="26">
        <f t="shared" si="35"/>
        <v>0</v>
      </c>
      <c r="O381" s="42">
        <f t="shared" si="36"/>
        <v>45171</v>
      </c>
      <c r="P381" s="5" t="str">
        <f t="shared" si="37"/>
        <v>Saturday</v>
      </c>
      <c r="Q381" s="5">
        <f t="shared" si="38"/>
        <v>16</v>
      </c>
      <c r="R381" s="28">
        <f t="shared" si="39"/>
        <v>0.85263157894736841</v>
      </c>
      <c r="S381" s="29">
        <f t="shared" si="40"/>
        <v>85.263157894736835</v>
      </c>
      <c r="T381" s="5" t="str">
        <f>IF(Delivery_Data3[[#This Row],[Delays (min)]]&gt;0,"No","Yes")</f>
        <v>No</v>
      </c>
      <c r="W381" s="41">
        <f t="shared" si="41"/>
        <v>45171</v>
      </c>
      <c r="X381" s="5">
        <v>162</v>
      </c>
    </row>
    <row r="382" spans="1:24" ht="15.75" customHeight="1" x14ac:dyDescent="0.3">
      <c r="A382" s="4">
        <v>1381</v>
      </c>
      <c r="B382" s="5" t="s">
        <v>513</v>
      </c>
      <c r="C382" s="6">
        <v>45175.495138888888</v>
      </c>
      <c r="D382" s="5" t="s">
        <v>43</v>
      </c>
      <c r="E382" s="5" t="s">
        <v>249</v>
      </c>
      <c r="F382" s="5" t="s">
        <v>24</v>
      </c>
      <c r="G382" s="5" t="s">
        <v>25</v>
      </c>
      <c r="H382" s="5">
        <v>181</v>
      </c>
      <c r="I382" s="5">
        <v>27</v>
      </c>
      <c r="J382" s="5" t="s">
        <v>26</v>
      </c>
      <c r="K382" s="5" t="s">
        <v>19</v>
      </c>
      <c r="L382" s="5" t="s">
        <v>20</v>
      </c>
      <c r="M382" s="7" t="s">
        <v>41</v>
      </c>
      <c r="N382" s="26">
        <f t="shared" si="35"/>
        <v>1</v>
      </c>
      <c r="O382" s="42">
        <f t="shared" si="36"/>
        <v>45175</v>
      </c>
      <c r="P382" s="5" t="str">
        <f t="shared" si="37"/>
        <v>Wednesday</v>
      </c>
      <c r="Q382" s="5">
        <f t="shared" si="38"/>
        <v>11</v>
      </c>
      <c r="R382" s="28">
        <f t="shared" si="39"/>
        <v>0.87019230769230771</v>
      </c>
      <c r="S382" s="29">
        <f t="shared" si="40"/>
        <v>87.019230769230774</v>
      </c>
      <c r="T382" s="5" t="str">
        <f>IF(Delivery_Data3[[#This Row],[Delays (min)]]&gt;0,"No","Yes")</f>
        <v>No</v>
      </c>
      <c r="W382" s="41">
        <f t="shared" si="41"/>
        <v>45175</v>
      </c>
      <c r="X382" s="5">
        <v>181</v>
      </c>
    </row>
    <row r="383" spans="1:24" ht="15.75" customHeight="1" x14ac:dyDescent="0.3">
      <c r="A383" s="4">
        <v>1382</v>
      </c>
      <c r="B383" s="5" t="s">
        <v>514</v>
      </c>
      <c r="C383" s="6">
        <v>45176.456944444442</v>
      </c>
      <c r="D383" s="5" t="s">
        <v>14</v>
      </c>
      <c r="E383" s="5" t="s">
        <v>62</v>
      </c>
      <c r="F383" s="5" t="s">
        <v>38</v>
      </c>
      <c r="G383" s="5" t="s">
        <v>25</v>
      </c>
      <c r="H383" s="5">
        <v>90</v>
      </c>
      <c r="I383" s="5">
        <v>3</v>
      </c>
      <c r="J383" s="5" t="s">
        <v>26</v>
      </c>
      <c r="K383" s="5" t="s">
        <v>27</v>
      </c>
      <c r="L383" s="5" t="s">
        <v>28</v>
      </c>
      <c r="M383" s="7" t="s">
        <v>46</v>
      </c>
      <c r="N383" s="26">
        <f t="shared" si="35"/>
        <v>1</v>
      </c>
      <c r="O383" s="42">
        <f t="shared" si="36"/>
        <v>45176</v>
      </c>
      <c r="P383" s="5" t="str">
        <f t="shared" si="37"/>
        <v>Thursday</v>
      </c>
      <c r="Q383" s="5">
        <f t="shared" si="38"/>
        <v>10</v>
      </c>
      <c r="R383" s="28">
        <f t="shared" si="39"/>
        <v>0.967741935483871</v>
      </c>
      <c r="S383" s="29">
        <f t="shared" si="40"/>
        <v>96.774193548387103</v>
      </c>
      <c r="T383" s="5" t="str">
        <f>IF(Delivery_Data3[[#This Row],[Delays (min)]]&gt;0,"No","Yes")</f>
        <v>No</v>
      </c>
      <c r="W383" s="41">
        <f t="shared" si="41"/>
        <v>45176</v>
      </c>
      <c r="X383" s="5">
        <v>90</v>
      </c>
    </row>
    <row r="384" spans="1:24" ht="15.75" customHeight="1" x14ac:dyDescent="0.3">
      <c r="A384" s="4">
        <v>1383</v>
      </c>
      <c r="B384" s="5" t="s">
        <v>515</v>
      </c>
      <c r="C384" s="6">
        <v>45176.594444444447</v>
      </c>
      <c r="D384" s="5" t="s">
        <v>43</v>
      </c>
      <c r="E384" s="5" t="s">
        <v>55</v>
      </c>
      <c r="F384" s="5" t="s">
        <v>16</v>
      </c>
      <c r="G384" s="5" t="s">
        <v>17</v>
      </c>
      <c r="H384" s="5">
        <v>152</v>
      </c>
      <c r="I384" s="5">
        <v>18</v>
      </c>
      <c r="J384" s="5" t="s">
        <v>18</v>
      </c>
      <c r="K384" s="5" t="s">
        <v>35</v>
      </c>
      <c r="L384" s="5" t="s">
        <v>28</v>
      </c>
      <c r="M384" s="7" t="s">
        <v>41</v>
      </c>
      <c r="N384" s="26">
        <f t="shared" si="35"/>
        <v>0</v>
      </c>
      <c r="O384" s="42">
        <f t="shared" si="36"/>
        <v>45176</v>
      </c>
      <c r="P384" s="5" t="str">
        <f t="shared" si="37"/>
        <v>Thursday</v>
      </c>
      <c r="Q384" s="5">
        <f t="shared" si="38"/>
        <v>14</v>
      </c>
      <c r="R384" s="28">
        <f t="shared" si="39"/>
        <v>0.89411764705882357</v>
      </c>
      <c r="S384" s="29">
        <f t="shared" si="40"/>
        <v>89.411764705882362</v>
      </c>
      <c r="T384" s="5" t="str">
        <f>IF(Delivery_Data3[[#This Row],[Delays (min)]]&gt;0,"No","Yes")</f>
        <v>No</v>
      </c>
      <c r="W384" s="41">
        <f t="shared" si="41"/>
        <v>45176</v>
      </c>
      <c r="X384" s="5">
        <v>152</v>
      </c>
    </row>
    <row r="385" spans="1:24" ht="15.75" customHeight="1" x14ac:dyDescent="0.3">
      <c r="A385" s="4">
        <v>1384</v>
      </c>
      <c r="B385" s="5" t="s">
        <v>516</v>
      </c>
      <c r="C385" s="6">
        <v>45173.693749999999</v>
      </c>
      <c r="D385" s="5" t="s">
        <v>43</v>
      </c>
      <c r="E385" s="5" t="s">
        <v>403</v>
      </c>
      <c r="F385" s="5" t="s">
        <v>16</v>
      </c>
      <c r="G385" s="5" t="s">
        <v>17</v>
      </c>
      <c r="H385" s="5">
        <v>140</v>
      </c>
      <c r="I385" s="5">
        <v>7</v>
      </c>
      <c r="J385" s="5" t="s">
        <v>32</v>
      </c>
      <c r="K385" s="5" t="s">
        <v>35</v>
      </c>
      <c r="L385" s="5" t="s">
        <v>28</v>
      </c>
      <c r="M385" s="7" t="s">
        <v>46</v>
      </c>
      <c r="N385" s="26">
        <f t="shared" si="35"/>
        <v>-1</v>
      </c>
      <c r="O385" s="42">
        <f t="shared" si="36"/>
        <v>45173</v>
      </c>
      <c r="P385" s="5" t="str">
        <f t="shared" si="37"/>
        <v>Monday</v>
      </c>
      <c r="Q385" s="5">
        <f t="shared" si="38"/>
        <v>16</v>
      </c>
      <c r="R385" s="28">
        <f t="shared" si="39"/>
        <v>0.95238095238095233</v>
      </c>
      <c r="S385" s="29">
        <f t="shared" si="40"/>
        <v>95.238095238095227</v>
      </c>
      <c r="T385" s="5" t="str">
        <f>IF(Delivery_Data3[[#This Row],[Delays (min)]]&gt;0,"No","Yes")</f>
        <v>No</v>
      </c>
      <c r="W385" s="41">
        <f t="shared" si="41"/>
        <v>45173</v>
      </c>
      <c r="X385" s="5">
        <v>140</v>
      </c>
    </row>
    <row r="386" spans="1:24" ht="15.75" customHeight="1" x14ac:dyDescent="0.3">
      <c r="A386" s="4">
        <v>1385</v>
      </c>
      <c r="B386" s="5" t="s">
        <v>517</v>
      </c>
      <c r="C386" s="6">
        <v>45177.613888888889</v>
      </c>
      <c r="D386" s="5" t="s">
        <v>14</v>
      </c>
      <c r="E386" s="5" t="s">
        <v>135</v>
      </c>
      <c r="F386" s="5" t="s">
        <v>16</v>
      </c>
      <c r="G386" s="5" t="s">
        <v>56</v>
      </c>
      <c r="H386" s="5">
        <v>192</v>
      </c>
      <c r="I386" s="5">
        <v>14</v>
      </c>
      <c r="J386" s="5" t="s">
        <v>32</v>
      </c>
      <c r="K386" s="5" t="s">
        <v>19</v>
      </c>
      <c r="L386" s="5" t="s">
        <v>28</v>
      </c>
      <c r="M386" s="7" t="s">
        <v>41</v>
      </c>
      <c r="N386" s="26">
        <f t="shared" ref="N386:N449" si="42">IF(J386="Positive",1,IF(J386="Neutral",0,IF(J386="Negative",-1,"")))</f>
        <v>-1</v>
      </c>
      <c r="O386" s="42">
        <f t="shared" ref="O386:O449" si="43">INT(C386)</f>
        <v>45177</v>
      </c>
      <c r="P386" s="5" t="str">
        <f t="shared" ref="P386:P449" si="44">TEXT(C386,"dddd")</f>
        <v>Friday</v>
      </c>
      <c r="Q386" s="5">
        <f t="shared" ref="Q386:Q449" si="45">HOUR(C386)</f>
        <v>14</v>
      </c>
      <c r="R386" s="28">
        <f t="shared" ref="R386:R449" si="46">H386/(H386+I386)</f>
        <v>0.93203883495145634</v>
      </c>
      <c r="S386" s="29">
        <f t="shared" si="40"/>
        <v>93.203883495145632</v>
      </c>
      <c r="T386" s="5" t="str">
        <f>IF(Delivery_Data3[[#This Row],[Delays (min)]]&gt;0,"No","Yes")</f>
        <v>No</v>
      </c>
      <c r="W386" s="41">
        <f t="shared" si="41"/>
        <v>45177</v>
      </c>
      <c r="X386" s="5">
        <v>192</v>
      </c>
    </row>
    <row r="387" spans="1:24" ht="15.75" customHeight="1" x14ac:dyDescent="0.3">
      <c r="A387" s="4">
        <v>1386</v>
      </c>
      <c r="B387" s="5" t="s">
        <v>518</v>
      </c>
      <c r="C387" s="6">
        <v>45176.540972222225</v>
      </c>
      <c r="D387" s="5" t="s">
        <v>43</v>
      </c>
      <c r="E387" s="5" t="s">
        <v>270</v>
      </c>
      <c r="F387" s="5" t="s">
        <v>38</v>
      </c>
      <c r="G387" s="5" t="s">
        <v>17</v>
      </c>
      <c r="H387" s="5">
        <v>78</v>
      </c>
      <c r="I387" s="5">
        <v>19</v>
      </c>
      <c r="J387" s="5" t="s">
        <v>26</v>
      </c>
      <c r="K387" s="5" t="s">
        <v>27</v>
      </c>
      <c r="L387" s="5" t="s">
        <v>40</v>
      </c>
      <c r="M387" s="7" t="s">
        <v>21</v>
      </c>
      <c r="N387" s="26">
        <f t="shared" si="42"/>
        <v>1</v>
      </c>
      <c r="O387" s="42">
        <f t="shared" si="43"/>
        <v>45176</v>
      </c>
      <c r="P387" s="5" t="str">
        <f t="shared" si="44"/>
        <v>Thursday</v>
      </c>
      <c r="Q387" s="5">
        <f t="shared" si="45"/>
        <v>12</v>
      </c>
      <c r="R387" s="28">
        <f t="shared" si="46"/>
        <v>0.80412371134020622</v>
      </c>
      <c r="S387" s="29">
        <f t="shared" ref="S387:S450" si="47">IF(H387+I387=0,0,(H387/(H387+I387))*100) + (IFERROR(--J387,0)*10)</f>
        <v>80.412371134020617</v>
      </c>
      <c r="T387" s="5" t="str">
        <f>IF(Delivery_Data3[[#This Row],[Delays (min)]]&gt;0,"No","Yes")</f>
        <v>No</v>
      </c>
      <c r="W387" s="41">
        <f t="shared" ref="W387:W450" si="48">INT(C387)</f>
        <v>45176</v>
      </c>
      <c r="X387" s="5">
        <v>78</v>
      </c>
    </row>
    <row r="388" spans="1:24" ht="15.75" customHeight="1" x14ac:dyDescent="0.3">
      <c r="A388" s="4">
        <v>1387</v>
      </c>
      <c r="B388" s="5" t="s">
        <v>519</v>
      </c>
      <c r="C388" s="6">
        <v>45171.530555555553</v>
      </c>
      <c r="D388" s="5" t="s">
        <v>43</v>
      </c>
      <c r="E388" s="5" t="s">
        <v>200</v>
      </c>
      <c r="F388" s="5" t="s">
        <v>24</v>
      </c>
      <c r="G388" s="5" t="s">
        <v>39</v>
      </c>
      <c r="H388" s="5">
        <v>93</v>
      </c>
      <c r="I388" s="5">
        <v>28</v>
      </c>
      <c r="J388" s="5" t="s">
        <v>32</v>
      </c>
      <c r="K388" s="5" t="s">
        <v>49</v>
      </c>
      <c r="L388" s="5" t="s">
        <v>40</v>
      </c>
      <c r="M388" s="7" t="s">
        <v>21</v>
      </c>
      <c r="N388" s="26">
        <f t="shared" si="42"/>
        <v>-1</v>
      </c>
      <c r="O388" s="42">
        <f t="shared" si="43"/>
        <v>45171</v>
      </c>
      <c r="P388" s="5" t="str">
        <f t="shared" si="44"/>
        <v>Saturday</v>
      </c>
      <c r="Q388" s="5">
        <f t="shared" si="45"/>
        <v>12</v>
      </c>
      <c r="R388" s="28">
        <f t="shared" si="46"/>
        <v>0.76859504132231404</v>
      </c>
      <c r="S388" s="29">
        <f t="shared" si="47"/>
        <v>76.859504132231407</v>
      </c>
      <c r="T388" s="5" t="str">
        <f>IF(Delivery_Data3[[#This Row],[Delays (min)]]&gt;0,"No","Yes")</f>
        <v>No</v>
      </c>
      <c r="W388" s="41">
        <f t="shared" si="48"/>
        <v>45171</v>
      </c>
      <c r="X388" s="5">
        <v>93</v>
      </c>
    </row>
    <row r="389" spans="1:24" ht="15.75" customHeight="1" x14ac:dyDescent="0.3">
      <c r="A389" s="4">
        <v>1388</v>
      </c>
      <c r="B389" s="5" t="s">
        <v>520</v>
      </c>
      <c r="C389" s="6">
        <v>45174.556250000001</v>
      </c>
      <c r="D389" s="5" t="s">
        <v>43</v>
      </c>
      <c r="E389" s="5" t="s">
        <v>106</v>
      </c>
      <c r="F389" s="5" t="s">
        <v>16</v>
      </c>
      <c r="G389" s="5" t="s">
        <v>39</v>
      </c>
      <c r="H389" s="5">
        <v>143</v>
      </c>
      <c r="I389" s="5">
        <v>17</v>
      </c>
      <c r="J389" s="5" t="s">
        <v>32</v>
      </c>
      <c r="K389" s="5" t="s">
        <v>45</v>
      </c>
      <c r="L389" s="5" t="s">
        <v>20</v>
      </c>
      <c r="M389" s="7" t="s">
        <v>46</v>
      </c>
      <c r="N389" s="26">
        <f t="shared" si="42"/>
        <v>-1</v>
      </c>
      <c r="O389" s="42">
        <f t="shared" si="43"/>
        <v>45174</v>
      </c>
      <c r="P389" s="5" t="str">
        <f t="shared" si="44"/>
        <v>Tuesday</v>
      </c>
      <c r="Q389" s="5">
        <f t="shared" si="45"/>
        <v>13</v>
      </c>
      <c r="R389" s="28">
        <f t="shared" si="46"/>
        <v>0.89375000000000004</v>
      </c>
      <c r="S389" s="29">
        <f t="shared" si="47"/>
        <v>89.375</v>
      </c>
      <c r="T389" s="5" t="str">
        <f>IF(Delivery_Data3[[#This Row],[Delays (min)]]&gt;0,"No","Yes")</f>
        <v>No</v>
      </c>
      <c r="W389" s="41">
        <f t="shared" si="48"/>
        <v>45174</v>
      </c>
      <c r="X389" s="5">
        <v>143</v>
      </c>
    </row>
    <row r="390" spans="1:24" ht="15.75" customHeight="1" x14ac:dyDescent="0.3">
      <c r="A390" s="4">
        <v>1389</v>
      </c>
      <c r="B390" s="5" t="s">
        <v>521</v>
      </c>
      <c r="C390" s="6">
        <v>45170.57708333333</v>
      </c>
      <c r="D390" s="5" t="s">
        <v>43</v>
      </c>
      <c r="E390" s="5" t="s">
        <v>64</v>
      </c>
      <c r="F390" s="5" t="s">
        <v>38</v>
      </c>
      <c r="G390" s="5" t="s">
        <v>56</v>
      </c>
      <c r="H390" s="5">
        <v>127</v>
      </c>
      <c r="I390" s="5">
        <v>28</v>
      </c>
      <c r="J390" s="5" t="s">
        <v>32</v>
      </c>
      <c r="K390" s="5" t="s">
        <v>35</v>
      </c>
      <c r="L390" s="5" t="s">
        <v>28</v>
      </c>
      <c r="M390" s="7" t="s">
        <v>46</v>
      </c>
      <c r="N390" s="26">
        <f t="shared" si="42"/>
        <v>-1</v>
      </c>
      <c r="O390" s="42">
        <f t="shared" si="43"/>
        <v>45170</v>
      </c>
      <c r="P390" s="5" t="str">
        <f t="shared" si="44"/>
        <v>Friday</v>
      </c>
      <c r="Q390" s="5">
        <f t="shared" si="45"/>
        <v>13</v>
      </c>
      <c r="R390" s="28">
        <f t="shared" si="46"/>
        <v>0.8193548387096774</v>
      </c>
      <c r="S390" s="29">
        <f t="shared" si="47"/>
        <v>81.935483870967744</v>
      </c>
      <c r="T390" s="5" t="str">
        <f>IF(Delivery_Data3[[#This Row],[Delays (min)]]&gt;0,"No","Yes")</f>
        <v>No</v>
      </c>
      <c r="W390" s="41">
        <f t="shared" si="48"/>
        <v>45170</v>
      </c>
      <c r="X390" s="5">
        <v>127</v>
      </c>
    </row>
    <row r="391" spans="1:24" ht="15.75" customHeight="1" x14ac:dyDescent="0.3">
      <c r="A391" s="4">
        <v>1390</v>
      </c>
      <c r="B391" s="5" t="s">
        <v>522</v>
      </c>
      <c r="C391" s="6">
        <v>45172.379861111112</v>
      </c>
      <c r="D391" s="5" t="s">
        <v>43</v>
      </c>
      <c r="E391" s="5" t="s">
        <v>304</v>
      </c>
      <c r="F391" s="5" t="s">
        <v>24</v>
      </c>
      <c r="G391" s="5" t="s">
        <v>39</v>
      </c>
      <c r="H391" s="5">
        <v>112</v>
      </c>
      <c r="I391" s="5">
        <v>6</v>
      </c>
      <c r="J391" s="5" t="s">
        <v>18</v>
      </c>
      <c r="K391" s="5" t="s">
        <v>19</v>
      </c>
      <c r="L391" s="5" t="s">
        <v>40</v>
      </c>
      <c r="M391" s="7" t="s">
        <v>21</v>
      </c>
      <c r="N391" s="26">
        <f t="shared" si="42"/>
        <v>0</v>
      </c>
      <c r="O391" s="42">
        <f t="shared" si="43"/>
        <v>45172</v>
      </c>
      <c r="P391" s="5" t="str">
        <f t="shared" si="44"/>
        <v>Sunday</v>
      </c>
      <c r="Q391" s="5">
        <f t="shared" si="45"/>
        <v>9</v>
      </c>
      <c r="R391" s="28">
        <f t="shared" si="46"/>
        <v>0.94915254237288138</v>
      </c>
      <c r="S391" s="29">
        <f t="shared" si="47"/>
        <v>94.915254237288138</v>
      </c>
      <c r="T391" s="5" t="str">
        <f>IF(Delivery_Data3[[#This Row],[Delays (min)]]&gt;0,"No","Yes")</f>
        <v>No</v>
      </c>
      <c r="W391" s="41">
        <f t="shared" si="48"/>
        <v>45172</v>
      </c>
      <c r="X391" s="5">
        <v>112</v>
      </c>
    </row>
    <row r="392" spans="1:24" ht="15.75" customHeight="1" x14ac:dyDescent="0.3">
      <c r="A392" s="4">
        <v>1391</v>
      </c>
      <c r="B392" s="5" t="s">
        <v>523</v>
      </c>
      <c r="C392" s="6">
        <v>45177.418749999997</v>
      </c>
      <c r="D392" s="5" t="s">
        <v>43</v>
      </c>
      <c r="E392" s="5" t="s">
        <v>301</v>
      </c>
      <c r="F392" s="5" t="s">
        <v>24</v>
      </c>
      <c r="G392" s="5" t="s">
        <v>25</v>
      </c>
      <c r="H392" s="5">
        <v>176</v>
      </c>
      <c r="I392" s="5">
        <v>14</v>
      </c>
      <c r="J392" s="5" t="s">
        <v>18</v>
      </c>
      <c r="K392" s="5" t="s">
        <v>45</v>
      </c>
      <c r="L392" s="5" t="s">
        <v>40</v>
      </c>
      <c r="M392" s="7" t="s">
        <v>41</v>
      </c>
      <c r="N392" s="26">
        <f t="shared" si="42"/>
        <v>0</v>
      </c>
      <c r="O392" s="42">
        <f t="shared" si="43"/>
        <v>45177</v>
      </c>
      <c r="P392" s="5" t="str">
        <f t="shared" si="44"/>
        <v>Friday</v>
      </c>
      <c r="Q392" s="5">
        <f t="shared" si="45"/>
        <v>10</v>
      </c>
      <c r="R392" s="28">
        <f t="shared" si="46"/>
        <v>0.9263157894736842</v>
      </c>
      <c r="S392" s="29">
        <f t="shared" si="47"/>
        <v>92.631578947368425</v>
      </c>
      <c r="T392" s="5" t="str">
        <f>IF(Delivery_Data3[[#This Row],[Delays (min)]]&gt;0,"No","Yes")</f>
        <v>No</v>
      </c>
      <c r="W392" s="41">
        <f t="shared" si="48"/>
        <v>45177</v>
      </c>
      <c r="X392" s="5">
        <v>176</v>
      </c>
    </row>
    <row r="393" spans="1:24" ht="15.75" customHeight="1" x14ac:dyDescent="0.3">
      <c r="A393" s="4">
        <v>1392</v>
      </c>
      <c r="B393" s="5" t="s">
        <v>524</v>
      </c>
      <c r="C393" s="6">
        <v>45176.552083333336</v>
      </c>
      <c r="D393" s="5" t="s">
        <v>14</v>
      </c>
      <c r="E393" s="5" t="s">
        <v>441</v>
      </c>
      <c r="F393" s="5" t="s">
        <v>38</v>
      </c>
      <c r="G393" s="5" t="s">
        <v>56</v>
      </c>
      <c r="H393" s="5">
        <v>193</v>
      </c>
      <c r="I393" s="5">
        <v>16</v>
      </c>
      <c r="J393" s="5" t="s">
        <v>18</v>
      </c>
      <c r="K393" s="5" t="s">
        <v>27</v>
      </c>
      <c r="L393" s="5" t="s">
        <v>28</v>
      </c>
      <c r="M393" s="7" t="s">
        <v>21</v>
      </c>
      <c r="N393" s="26">
        <f t="shared" si="42"/>
        <v>0</v>
      </c>
      <c r="O393" s="42">
        <f t="shared" si="43"/>
        <v>45176</v>
      </c>
      <c r="P393" s="5" t="str">
        <f t="shared" si="44"/>
        <v>Thursday</v>
      </c>
      <c r="Q393" s="5">
        <f t="shared" si="45"/>
        <v>13</v>
      </c>
      <c r="R393" s="28">
        <f t="shared" si="46"/>
        <v>0.92344497607655507</v>
      </c>
      <c r="S393" s="29">
        <f t="shared" si="47"/>
        <v>92.344497607655512</v>
      </c>
      <c r="T393" s="5" t="str">
        <f>IF(Delivery_Data3[[#This Row],[Delays (min)]]&gt;0,"No","Yes")</f>
        <v>No</v>
      </c>
      <c r="W393" s="41">
        <f t="shared" si="48"/>
        <v>45176</v>
      </c>
      <c r="X393" s="5">
        <v>193</v>
      </c>
    </row>
    <row r="394" spans="1:24" ht="15.75" customHeight="1" x14ac:dyDescent="0.3">
      <c r="A394" s="4">
        <v>1393</v>
      </c>
      <c r="B394" s="5" t="s">
        <v>525</v>
      </c>
      <c r="C394" s="6">
        <v>45171.348611111112</v>
      </c>
      <c r="D394" s="5" t="s">
        <v>14</v>
      </c>
      <c r="E394" s="5" t="s">
        <v>135</v>
      </c>
      <c r="F394" s="5" t="s">
        <v>16</v>
      </c>
      <c r="G394" s="5" t="s">
        <v>56</v>
      </c>
      <c r="H394" s="5">
        <v>205</v>
      </c>
      <c r="I394" s="5">
        <v>15</v>
      </c>
      <c r="J394" s="5" t="s">
        <v>26</v>
      </c>
      <c r="K394" s="5" t="s">
        <v>27</v>
      </c>
      <c r="L394" s="5" t="s">
        <v>28</v>
      </c>
      <c r="M394" s="7" t="s">
        <v>41</v>
      </c>
      <c r="N394" s="26">
        <f t="shared" si="42"/>
        <v>1</v>
      </c>
      <c r="O394" s="42">
        <f t="shared" si="43"/>
        <v>45171</v>
      </c>
      <c r="P394" s="5" t="str">
        <f t="shared" si="44"/>
        <v>Saturday</v>
      </c>
      <c r="Q394" s="5">
        <f t="shared" si="45"/>
        <v>8</v>
      </c>
      <c r="R394" s="28">
        <f t="shared" si="46"/>
        <v>0.93181818181818177</v>
      </c>
      <c r="S394" s="29">
        <f t="shared" si="47"/>
        <v>93.181818181818173</v>
      </c>
      <c r="T394" s="5" t="str">
        <f>IF(Delivery_Data3[[#This Row],[Delays (min)]]&gt;0,"No","Yes")</f>
        <v>No</v>
      </c>
      <c r="W394" s="41">
        <f t="shared" si="48"/>
        <v>45171</v>
      </c>
      <c r="X394" s="5">
        <v>205</v>
      </c>
    </row>
    <row r="395" spans="1:24" ht="15.75" customHeight="1" x14ac:dyDescent="0.3">
      <c r="A395" s="4">
        <v>1394</v>
      </c>
      <c r="B395" s="5" t="s">
        <v>526</v>
      </c>
      <c r="C395" s="6">
        <v>45171.395833333336</v>
      </c>
      <c r="D395" s="5" t="s">
        <v>43</v>
      </c>
      <c r="E395" s="5" t="s">
        <v>468</v>
      </c>
      <c r="F395" s="5" t="s">
        <v>24</v>
      </c>
      <c r="G395" s="5" t="s">
        <v>25</v>
      </c>
      <c r="H395" s="5">
        <v>92</v>
      </c>
      <c r="I395" s="5">
        <v>5</v>
      </c>
      <c r="J395" s="5" t="s">
        <v>18</v>
      </c>
      <c r="K395" s="5" t="s">
        <v>19</v>
      </c>
      <c r="L395" s="5" t="s">
        <v>28</v>
      </c>
      <c r="M395" s="7" t="s">
        <v>21</v>
      </c>
      <c r="N395" s="26">
        <f t="shared" si="42"/>
        <v>0</v>
      </c>
      <c r="O395" s="42">
        <f t="shared" si="43"/>
        <v>45171</v>
      </c>
      <c r="P395" s="5" t="str">
        <f t="shared" si="44"/>
        <v>Saturday</v>
      </c>
      <c r="Q395" s="5">
        <f t="shared" si="45"/>
        <v>9</v>
      </c>
      <c r="R395" s="28">
        <f t="shared" si="46"/>
        <v>0.94845360824742264</v>
      </c>
      <c r="S395" s="29">
        <f t="shared" si="47"/>
        <v>94.845360824742258</v>
      </c>
      <c r="T395" s="5" t="str">
        <f>IF(Delivery_Data3[[#This Row],[Delays (min)]]&gt;0,"No","Yes")</f>
        <v>No</v>
      </c>
      <c r="W395" s="41">
        <f t="shared" si="48"/>
        <v>45171</v>
      </c>
      <c r="X395" s="5">
        <v>92</v>
      </c>
    </row>
    <row r="396" spans="1:24" ht="15.75" customHeight="1" x14ac:dyDescent="0.3">
      <c r="A396" s="4">
        <v>1395</v>
      </c>
      <c r="B396" s="5" t="s">
        <v>527</v>
      </c>
      <c r="C396" s="6">
        <v>45170.613194444442</v>
      </c>
      <c r="D396" s="5" t="s">
        <v>43</v>
      </c>
      <c r="E396" s="5" t="s">
        <v>231</v>
      </c>
      <c r="F396" s="5" t="s">
        <v>38</v>
      </c>
      <c r="G396" s="5" t="s">
        <v>25</v>
      </c>
      <c r="H396" s="5">
        <v>185</v>
      </c>
      <c r="I396" s="5">
        <v>12</v>
      </c>
      <c r="J396" s="5" t="s">
        <v>18</v>
      </c>
      <c r="K396" s="5" t="s">
        <v>27</v>
      </c>
      <c r="L396" s="5" t="s">
        <v>40</v>
      </c>
      <c r="M396" s="7" t="s">
        <v>41</v>
      </c>
      <c r="N396" s="26">
        <f t="shared" si="42"/>
        <v>0</v>
      </c>
      <c r="O396" s="42">
        <f t="shared" si="43"/>
        <v>45170</v>
      </c>
      <c r="P396" s="5" t="str">
        <f t="shared" si="44"/>
        <v>Friday</v>
      </c>
      <c r="Q396" s="5">
        <f t="shared" si="45"/>
        <v>14</v>
      </c>
      <c r="R396" s="28">
        <f t="shared" si="46"/>
        <v>0.93908629441624369</v>
      </c>
      <c r="S396" s="29">
        <f t="shared" si="47"/>
        <v>93.90862944162437</v>
      </c>
      <c r="T396" s="5" t="str">
        <f>IF(Delivery_Data3[[#This Row],[Delays (min)]]&gt;0,"No","Yes")</f>
        <v>No</v>
      </c>
      <c r="W396" s="41">
        <f t="shared" si="48"/>
        <v>45170</v>
      </c>
      <c r="X396" s="5">
        <v>185</v>
      </c>
    </row>
    <row r="397" spans="1:24" ht="15.75" customHeight="1" x14ac:dyDescent="0.3">
      <c r="A397" s="4">
        <v>1396</v>
      </c>
      <c r="B397" s="5" t="s">
        <v>528</v>
      </c>
      <c r="C397" s="6">
        <v>45176.495138888888</v>
      </c>
      <c r="D397" s="5" t="s">
        <v>14</v>
      </c>
      <c r="E397" s="5" t="s">
        <v>306</v>
      </c>
      <c r="F397" s="5" t="s">
        <v>24</v>
      </c>
      <c r="G397" s="5" t="s">
        <v>39</v>
      </c>
      <c r="H397" s="5">
        <v>146</v>
      </c>
      <c r="I397" s="5">
        <v>29</v>
      </c>
      <c r="J397" s="5" t="s">
        <v>26</v>
      </c>
      <c r="K397" s="5" t="s">
        <v>27</v>
      </c>
      <c r="L397" s="5" t="s">
        <v>28</v>
      </c>
      <c r="M397" s="7" t="s">
        <v>21</v>
      </c>
      <c r="N397" s="26">
        <f t="shared" si="42"/>
        <v>1</v>
      </c>
      <c r="O397" s="42">
        <f t="shared" si="43"/>
        <v>45176</v>
      </c>
      <c r="P397" s="5" t="str">
        <f t="shared" si="44"/>
        <v>Thursday</v>
      </c>
      <c r="Q397" s="5">
        <f t="shared" si="45"/>
        <v>11</v>
      </c>
      <c r="R397" s="28">
        <f t="shared" si="46"/>
        <v>0.8342857142857143</v>
      </c>
      <c r="S397" s="29">
        <f t="shared" si="47"/>
        <v>83.428571428571431</v>
      </c>
      <c r="T397" s="5" t="str">
        <f>IF(Delivery_Data3[[#This Row],[Delays (min)]]&gt;0,"No","Yes")</f>
        <v>No</v>
      </c>
      <c r="W397" s="41">
        <f t="shared" si="48"/>
        <v>45176</v>
      </c>
      <c r="X397" s="5">
        <v>146</v>
      </c>
    </row>
    <row r="398" spans="1:24" ht="15.75" customHeight="1" x14ac:dyDescent="0.3">
      <c r="A398" s="4">
        <v>1397</v>
      </c>
      <c r="B398" s="5" t="s">
        <v>529</v>
      </c>
      <c r="C398" s="6">
        <v>45175.476388888892</v>
      </c>
      <c r="D398" s="5" t="s">
        <v>43</v>
      </c>
      <c r="E398" s="5" t="s">
        <v>132</v>
      </c>
      <c r="F398" s="5" t="s">
        <v>16</v>
      </c>
      <c r="G398" s="5" t="s">
        <v>56</v>
      </c>
      <c r="H398" s="5">
        <v>64</v>
      </c>
      <c r="I398" s="5">
        <v>12</v>
      </c>
      <c r="J398" s="5" t="s">
        <v>26</v>
      </c>
      <c r="K398" s="5" t="s">
        <v>35</v>
      </c>
      <c r="L398" s="5" t="s">
        <v>20</v>
      </c>
      <c r="M398" s="7" t="s">
        <v>21</v>
      </c>
      <c r="N398" s="26">
        <f t="shared" si="42"/>
        <v>1</v>
      </c>
      <c r="O398" s="42">
        <f t="shared" si="43"/>
        <v>45175</v>
      </c>
      <c r="P398" s="5" t="str">
        <f t="shared" si="44"/>
        <v>Wednesday</v>
      </c>
      <c r="Q398" s="5">
        <f t="shared" si="45"/>
        <v>11</v>
      </c>
      <c r="R398" s="28">
        <f t="shared" si="46"/>
        <v>0.84210526315789469</v>
      </c>
      <c r="S398" s="29">
        <f t="shared" si="47"/>
        <v>84.210526315789465</v>
      </c>
      <c r="T398" s="5" t="str">
        <f>IF(Delivery_Data3[[#This Row],[Delays (min)]]&gt;0,"No","Yes")</f>
        <v>No</v>
      </c>
      <c r="W398" s="41">
        <f t="shared" si="48"/>
        <v>45175</v>
      </c>
      <c r="X398" s="5">
        <v>64</v>
      </c>
    </row>
    <row r="399" spans="1:24" ht="15.75" customHeight="1" x14ac:dyDescent="0.3">
      <c r="A399" s="4">
        <v>1398</v>
      </c>
      <c r="B399" s="5" t="s">
        <v>530</v>
      </c>
      <c r="C399" s="6">
        <v>45172.476388888892</v>
      </c>
      <c r="D399" s="5" t="s">
        <v>43</v>
      </c>
      <c r="E399" s="5" t="s">
        <v>135</v>
      </c>
      <c r="F399" s="5" t="s">
        <v>24</v>
      </c>
      <c r="G399" s="5" t="s">
        <v>39</v>
      </c>
      <c r="H399" s="5">
        <v>84</v>
      </c>
      <c r="I399" s="5">
        <v>24</v>
      </c>
      <c r="J399" s="5" t="s">
        <v>26</v>
      </c>
      <c r="K399" s="5" t="s">
        <v>45</v>
      </c>
      <c r="L399" s="5" t="s">
        <v>40</v>
      </c>
      <c r="M399" s="7" t="s">
        <v>46</v>
      </c>
      <c r="N399" s="26">
        <f t="shared" si="42"/>
        <v>1</v>
      </c>
      <c r="O399" s="42">
        <f t="shared" si="43"/>
        <v>45172</v>
      </c>
      <c r="P399" s="5" t="str">
        <f t="shared" si="44"/>
        <v>Sunday</v>
      </c>
      <c r="Q399" s="5">
        <f t="shared" si="45"/>
        <v>11</v>
      </c>
      <c r="R399" s="28">
        <f t="shared" si="46"/>
        <v>0.77777777777777779</v>
      </c>
      <c r="S399" s="29">
        <f t="shared" si="47"/>
        <v>77.777777777777786</v>
      </c>
      <c r="T399" s="5" t="str">
        <f>IF(Delivery_Data3[[#This Row],[Delays (min)]]&gt;0,"No","Yes")</f>
        <v>No</v>
      </c>
      <c r="W399" s="41">
        <f t="shared" si="48"/>
        <v>45172</v>
      </c>
      <c r="X399" s="5">
        <v>84</v>
      </c>
    </row>
    <row r="400" spans="1:24" ht="15.75" customHeight="1" x14ac:dyDescent="0.3">
      <c r="A400" s="4">
        <v>1399</v>
      </c>
      <c r="B400" s="5" t="s">
        <v>531</v>
      </c>
      <c r="C400" s="6">
        <v>45174.397222222222</v>
      </c>
      <c r="D400" s="5" t="s">
        <v>14</v>
      </c>
      <c r="E400" s="5" t="s">
        <v>60</v>
      </c>
      <c r="F400" s="5" t="s">
        <v>38</v>
      </c>
      <c r="G400" s="5" t="s">
        <v>39</v>
      </c>
      <c r="H400" s="5">
        <v>96</v>
      </c>
      <c r="I400" s="5">
        <v>18</v>
      </c>
      <c r="J400" s="5" t="s">
        <v>32</v>
      </c>
      <c r="K400" s="5" t="s">
        <v>35</v>
      </c>
      <c r="L400" s="5" t="s">
        <v>28</v>
      </c>
      <c r="M400" s="7" t="s">
        <v>46</v>
      </c>
      <c r="N400" s="26">
        <f t="shared" si="42"/>
        <v>-1</v>
      </c>
      <c r="O400" s="42">
        <f t="shared" si="43"/>
        <v>45174</v>
      </c>
      <c r="P400" s="5" t="str">
        <f t="shared" si="44"/>
        <v>Tuesday</v>
      </c>
      <c r="Q400" s="5">
        <f t="shared" si="45"/>
        <v>9</v>
      </c>
      <c r="R400" s="28">
        <f t="shared" si="46"/>
        <v>0.84210526315789469</v>
      </c>
      <c r="S400" s="29">
        <f t="shared" si="47"/>
        <v>84.210526315789465</v>
      </c>
      <c r="T400" s="5" t="str">
        <f>IF(Delivery_Data3[[#This Row],[Delays (min)]]&gt;0,"No","Yes")</f>
        <v>No</v>
      </c>
      <c r="W400" s="41">
        <f t="shared" si="48"/>
        <v>45174</v>
      </c>
      <c r="X400" s="5">
        <v>96</v>
      </c>
    </row>
    <row r="401" spans="1:24" ht="15.75" customHeight="1" x14ac:dyDescent="0.3">
      <c r="A401" s="4">
        <v>1400</v>
      </c>
      <c r="B401" s="5" t="s">
        <v>532</v>
      </c>
      <c r="C401" s="6">
        <v>45170.557638888888</v>
      </c>
      <c r="D401" s="5" t="s">
        <v>14</v>
      </c>
      <c r="E401" s="5" t="s">
        <v>301</v>
      </c>
      <c r="F401" s="5" t="s">
        <v>38</v>
      </c>
      <c r="G401" s="5" t="s">
        <v>25</v>
      </c>
      <c r="H401" s="5">
        <v>63</v>
      </c>
      <c r="I401" s="5">
        <v>21</v>
      </c>
      <c r="J401" s="5" t="s">
        <v>26</v>
      </c>
      <c r="K401" s="5" t="s">
        <v>45</v>
      </c>
      <c r="L401" s="5" t="s">
        <v>28</v>
      </c>
      <c r="M401" s="7" t="s">
        <v>41</v>
      </c>
      <c r="N401" s="26">
        <f t="shared" si="42"/>
        <v>1</v>
      </c>
      <c r="O401" s="42">
        <f t="shared" si="43"/>
        <v>45170</v>
      </c>
      <c r="P401" s="5" t="str">
        <f t="shared" si="44"/>
        <v>Friday</v>
      </c>
      <c r="Q401" s="5">
        <f t="shared" si="45"/>
        <v>13</v>
      </c>
      <c r="R401" s="28">
        <f t="shared" si="46"/>
        <v>0.75</v>
      </c>
      <c r="S401" s="29">
        <f t="shared" si="47"/>
        <v>75</v>
      </c>
      <c r="T401" s="5" t="str">
        <f>IF(Delivery_Data3[[#This Row],[Delays (min)]]&gt;0,"No","Yes")</f>
        <v>No</v>
      </c>
      <c r="W401" s="41">
        <f t="shared" si="48"/>
        <v>45170</v>
      </c>
      <c r="X401" s="5">
        <v>63</v>
      </c>
    </row>
    <row r="402" spans="1:24" ht="15.75" customHeight="1" x14ac:dyDescent="0.3">
      <c r="A402" s="4">
        <v>1401</v>
      </c>
      <c r="B402" s="5" t="s">
        <v>533</v>
      </c>
      <c r="C402" s="6">
        <v>45170.604861111111</v>
      </c>
      <c r="D402" s="5" t="s">
        <v>14</v>
      </c>
      <c r="E402" s="5" t="s">
        <v>130</v>
      </c>
      <c r="F402" s="5" t="s">
        <v>16</v>
      </c>
      <c r="G402" s="5" t="s">
        <v>39</v>
      </c>
      <c r="H402" s="5">
        <v>88</v>
      </c>
      <c r="I402" s="5">
        <v>28</v>
      </c>
      <c r="J402" s="5" t="s">
        <v>18</v>
      </c>
      <c r="K402" s="5" t="s">
        <v>19</v>
      </c>
      <c r="L402" s="5" t="s">
        <v>28</v>
      </c>
      <c r="M402" s="7" t="s">
        <v>46</v>
      </c>
      <c r="N402" s="26">
        <f t="shared" si="42"/>
        <v>0</v>
      </c>
      <c r="O402" s="42">
        <f t="shared" si="43"/>
        <v>45170</v>
      </c>
      <c r="P402" s="5" t="str">
        <f t="shared" si="44"/>
        <v>Friday</v>
      </c>
      <c r="Q402" s="5">
        <f t="shared" si="45"/>
        <v>14</v>
      </c>
      <c r="R402" s="28">
        <f t="shared" si="46"/>
        <v>0.75862068965517238</v>
      </c>
      <c r="S402" s="29">
        <f t="shared" si="47"/>
        <v>75.862068965517238</v>
      </c>
      <c r="T402" s="5" t="str">
        <f>IF(Delivery_Data3[[#This Row],[Delays (min)]]&gt;0,"No","Yes")</f>
        <v>No</v>
      </c>
      <c r="W402" s="41">
        <f t="shared" si="48"/>
        <v>45170</v>
      </c>
      <c r="X402" s="5">
        <v>88</v>
      </c>
    </row>
    <row r="403" spans="1:24" ht="15.75" customHeight="1" x14ac:dyDescent="0.3">
      <c r="A403" s="4">
        <v>1402</v>
      </c>
      <c r="B403" s="5" t="s">
        <v>534</v>
      </c>
      <c r="C403" s="6">
        <v>45174.334027777775</v>
      </c>
      <c r="D403" s="5" t="s">
        <v>43</v>
      </c>
      <c r="E403" s="5" t="s">
        <v>164</v>
      </c>
      <c r="F403" s="5" t="s">
        <v>16</v>
      </c>
      <c r="G403" s="5" t="s">
        <v>25</v>
      </c>
      <c r="H403" s="5">
        <v>216</v>
      </c>
      <c r="I403" s="5">
        <v>20</v>
      </c>
      <c r="J403" s="5" t="s">
        <v>26</v>
      </c>
      <c r="K403" s="5" t="s">
        <v>19</v>
      </c>
      <c r="L403" s="5" t="s">
        <v>20</v>
      </c>
      <c r="M403" s="7" t="s">
        <v>46</v>
      </c>
      <c r="N403" s="26">
        <f t="shared" si="42"/>
        <v>1</v>
      </c>
      <c r="O403" s="42">
        <f t="shared" si="43"/>
        <v>45174</v>
      </c>
      <c r="P403" s="5" t="str">
        <f t="shared" si="44"/>
        <v>Tuesday</v>
      </c>
      <c r="Q403" s="5">
        <f t="shared" si="45"/>
        <v>8</v>
      </c>
      <c r="R403" s="28">
        <f t="shared" si="46"/>
        <v>0.9152542372881356</v>
      </c>
      <c r="S403" s="29">
        <f t="shared" si="47"/>
        <v>91.525423728813564</v>
      </c>
      <c r="T403" s="5" t="str">
        <f>IF(Delivery_Data3[[#This Row],[Delays (min)]]&gt;0,"No","Yes")</f>
        <v>No</v>
      </c>
      <c r="W403" s="41">
        <f t="shared" si="48"/>
        <v>45174</v>
      </c>
      <c r="X403" s="5">
        <v>216</v>
      </c>
    </row>
    <row r="404" spans="1:24" ht="15.75" customHeight="1" x14ac:dyDescent="0.3">
      <c r="A404" s="4">
        <v>1403</v>
      </c>
      <c r="B404" s="5" t="s">
        <v>535</v>
      </c>
      <c r="C404" s="6">
        <v>45174.429861111108</v>
      </c>
      <c r="D404" s="5" t="s">
        <v>43</v>
      </c>
      <c r="E404" s="5" t="s">
        <v>151</v>
      </c>
      <c r="F404" s="5" t="s">
        <v>24</v>
      </c>
      <c r="G404" s="5" t="s">
        <v>39</v>
      </c>
      <c r="H404" s="5">
        <v>186</v>
      </c>
      <c r="I404" s="5">
        <v>26</v>
      </c>
      <c r="J404" s="5" t="s">
        <v>18</v>
      </c>
      <c r="K404" s="5" t="s">
        <v>49</v>
      </c>
      <c r="L404" s="5" t="s">
        <v>28</v>
      </c>
      <c r="M404" s="7" t="s">
        <v>46</v>
      </c>
      <c r="N404" s="26">
        <f t="shared" si="42"/>
        <v>0</v>
      </c>
      <c r="O404" s="42">
        <f t="shared" si="43"/>
        <v>45174</v>
      </c>
      <c r="P404" s="5" t="str">
        <f t="shared" si="44"/>
        <v>Tuesday</v>
      </c>
      <c r="Q404" s="5">
        <f t="shared" si="45"/>
        <v>10</v>
      </c>
      <c r="R404" s="28">
        <f t="shared" si="46"/>
        <v>0.87735849056603776</v>
      </c>
      <c r="S404" s="29">
        <f t="shared" si="47"/>
        <v>87.735849056603783</v>
      </c>
      <c r="T404" s="5" t="str">
        <f>IF(Delivery_Data3[[#This Row],[Delays (min)]]&gt;0,"No","Yes")</f>
        <v>No</v>
      </c>
      <c r="W404" s="41">
        <f t="shared" si="48"/>
        <v>45174</v>
      </c>
      <c r="X404" s="5">
        <v>186</v>
      </c>
    </row>
    <row r="405" spans="1:24" ht="15.75" customHeight="1" x14ac:dyDescent="0.3">
      <c r="A405" s="4">
        <v>1404</v>
      </c>
      <c r="B405" s="5" t="s">
        <v>536</v>
      </c>
      <c r="C405" s="6">
        <v>45174.418749999997</v>
      </c>
      <c r="D405" s="5" t="s">
        <v>43</v>
      </c>
      <c r="E405" s="5" t="s">
        <v>158</v>
      </c>
      <c r="F405" s="5" t="s">
        <v>38</v>
      </c>
      <c r="G405" s="5" t="s">
        <v>56</v>
      </c>
      <c r="H405" s="5">
        <v>203</v>
      </c>
      <c r="I405" s="5">
        <v>7</v>
      </c>
      <c r="J405" s="5" t="s">
        <v>32</v>
      </c>
      <c r="K405" s="5" t="s">
        <v>45</v>
      </c>
      <c r="L405" s="5" t="s">
        <v>20</v>
      </c>
      <c r="M405" s="7" t="s">
        <v>46</v>
      </c>
      <c r="N405" s="26">
        <f t="shared" si="42"/>
        <v>-1</v>
      </c>
      <c r="O405" s="42">
        <f t="shared" si="43"/>
        <v>45174</v>
      </c>
      <c r="P405" s="5" t="str">
        <f t="shared" si="44"/>
        <v>Tuesday</v>
      </c>
      <c r="Q405" s="5">
        <f t="shared" si="45"/>
        <v>10</v>
      </c>
      <c r="R405" s="28">
        <f t="shared" si="46"/>
        <v>0.96666666666666667</v>
      </c>
      <c r="S405" s="29">
        <f t="shared" si="47"/>
        <v>96.666666666666671</v>
      </c>
      <c r="T405" s="5" t="str">
        <f>IF(Delivery_Data3[[#This Row],[Delays (min)]]&gt;0,"No","Yes")</f>
        <v>No</v>
      </c>
      <c r="W405" s="41">
        <f t="shared" si="48"/>
        <v>45174</v>
      </c>
      <c r="X405" s="5">
        <v>203</v>
      </c>
    </row>
    <row r="406" spans="1:24" ht="15.75" customHeight="1" x14ac:dyDescent="0.3">
      <c r="A406" s="4">
        <v>1405</v>
      </c>
      <c r="B406" s="5" t="s">
        <v>537</v>
      </c>
      <c r="C406" s="6">
        <v>45174.6</v>
      </c>
      <c r="D406" s="5" t="s">
        <v>14</v>
      </c>
      <c r="E406" s="5" t="s">
        <v>70</v>
      </c>
      <c r="F406" s="5" t="s">
        <v>24</v>
      </c>
      <c r="G406" s="5" t="s">
        <v>56</v>
      </c>
      <c r="H406" s="5">
        <v>81</v>
      </c>
      <c r="I406" s="5">
        <v>26</v>
      </c>
      <c r="J406" s="5" t="s">
        <v>26</v>
      </c>
      <c r="K406" s="5" t="s">
        <v>49</v>
      </c>
      <c r="L406" s="5" t="s">
        <v>20</v>
      </c>
      <c r="M406" s="7" t="s">
        <v>46</v>
      </c>
      <c r="N406" s="26">
        <f t="shared" si="42"/>
        <v>1</v>
      </c>
      <c r="O406" s="42">
        <f t="shared" si="43"/>
        <v>45174</v>
      </c>
      <c r="P406" s="5" t="str">
        <f t="shared" si="44"/>
        <v>Tuesday</v>
      </c>
      <c r="Q406" s="5">
        <f t="shared" si="45"/>
        <v>14</v>
      </c>
      <c r="R406" s="28">
        <f t="shared" si="46"/>
        <v>0.7570093457943925</v>
      </c>
      <c r="S406" s="29">
        <f t="shared" si="47"/>
        <v>75.700934579439249</v>
      </c>
      <c r="T406" s="5" t="str">
        <f>IF(Delivery_Data3[[#This Row],[Delays (min)]]&gt;0,"No","Yes")</f>
        <v>No</v>
      </c>
      <c r="W406" s="41">
        <f t="shared" si="48"/>
        <v>45174</v>
      </c>
      <c r="X406" s="5">
        <v>81</v>
      </c>
    </row>
    <row r="407" spans="1:24" ht="15.75" customHeight="1" x14ac:dyDescent="0.3">
      <c r="A407" s="4">
        <v>1406</v>
      </c>
      <c r="B407" s="5" t="s">
        <v>538</v>
      </c>
      <c r="C407" s="6">
        <v>45176.693749999999</v>
      </c>
      <c r="D407" s="5" t="s">
        <v>43</v>
      </c>
      <c r="E407" s="5" t="s">
        <v>135</v>
      </c>
      <c r="F407" s="5" t="s">
        <v>24</v>
      </c>
      <c r="G407" s="5" t="s">
        <v>25</v>
      </c>
      <c r="H407" s="5">
        <v>220</v>
      </c>
      <c r="I407" s="5">
        <v>27</v>
      </c>
      <c r="J407" s="5" t="s">
        <v>18</v>
      </c>
      <c r="K407" s="5" t="s">
        <v>19</v>
      </c>
      <c r="L407" s="5" t="s">
        <v>20</v>
      </c>
      <c r="M407" s="7" t="s">
        <v>41</v>
      </c>
      <c r="N407" s="26">
        <f t="shared" si="42"/>
        <v>0</v>
      </c>
      <c r="O407" s="42">
        <f t="shared" si="43"/>
        <v>45176</v>
      </c>
      <c r="P407" s="5" t="str">
        <f t="shared" si="44"/>
        <v>Thursday</v>
      </c>
      <c r="Q407" s="5">
        <f t="shared" si="45"/>
        <v>16</v>
      </c>
      <c r="R407" s="28">
        <f t="shared" si="46"/>
        <v>0.89068825910931171</v>
      </c>
      <c r="S407" s="29">
        <f t="shared" si="47"/>
        <v>89.068825910931167</v>
      </c>
      <c r="T407" s="5" t="str">
        <f>IF(Delivery_Data3[[#This Row],[Delays (min)]]&gt;0,"No","Yes")</f>
        <v>No</v>
      </c>
      <c r="W407" s="41">
        <f t="shared" si="48"/>
        <v>45176</v>
      </c>
      <c r="X407" s="5">
        <v>220</v>
      </c>
    </row>
    <row r="408" spans="1:24" ht="15.75" customHeight="1" x14ac:dyDescent="0.3">
      <c r="A408" s="4">
        <v>1407</v>
      </c>
      <c r="B408" s="5" t="s">
        <v>539</v>
      </c>
      <c r="C408" s="6">
        <v>45176.604861111111</v>
      </c>
      <c r="D408" s="5" t="s">
        <v>43</v>
      </c>
      <c r="E408" s="5" t="s">
        <v>272</v>
      </c>
      <c r="F408" s="5" t="s">
        <v>16</v>
      </c>
      <c r="G408" s="5" t="s">
        <v>17</v>
      </c>
      <c r="H408" s="5">
        <v>141</v>
      </c>
      <c r="I408" s="5">
        <v>29</v>
      </c>
      <c r="J408" s="5" t="s">
        <v>18</v>
      </c>
      <c r="K408" s="5" t="s">
        <v>35</v>
      </c>
      <c r="L408" s="5" t="s">
        <v>28</v>
      </c>
      <c r="M408" s="7" t="s">
        <v>46</v>
      </c>
      <c r="N408" s="26">
        <f t="shared" si="42"/>
        <v>0</v>
      </c>
      <c r="O408" s="42">
        <f t="shared" si="43"/>
        <v>45176</v>
      </c>
      <c r="P408" s="5" t="str">
        <f t="shared" si="44"/>
        <v>Thursday</v>
      </c>
      <c r="Q408" s="5">
        <f t="shared" si="45"/>
        <v>14</v>
      </c>
      <c r="R408" s="28">
        <f t="shared" si="46"/>
        <v>0.8294117647058824</v>
      </c>
      <c r="S408" s="29">
        <f t="shared" si="47"/>
        <v>82.941176470588246</v>
      </c>
      <c r="T408" s="5" t="str">
        <f>IF(Delivery_Data3[[#This Row],[Delays (min)]]&gt;0,"No","Yes")</f>
        <v>No</v>
      </c>
      <c r="W408" s="41">
        <f t="shared" si="48"/>
        <v>45176</v>
      </c>
      <c r="X408" s="5">
        <v>141</v>
      </c>
    </row>
    <row r="409" spans="1:24" ht="15.75" customHeight="1" x14ac:dyDescent="0.3">
      <c r="A409" s="4">
        <v>1408</v>
      </c>
      <c r="B409" s="5" t="s">
        <v>540</v>
      </c>
      <c r="C409" s="6">
        <v>45176.347222222219</v>
      </c>
      <c r="D409" s="5" t="s">
        <v>14</v>
      </c>
      <c r="E409" s="5" t="s">
        <v>120</v>
      </c>
      <c r="F409" s="5" t="s">
        <v>16</v>
      </c>
      <c r="G409" s="5" t="s">
        <v>25</v>
      </c>
      <c r="H409" s="5">
        <v>178</v>
      </c>
      <c r="I409" s="5">
        <v>5</v>
      </c>
      <c r="J409" s="5" t="s">
        <v>18</v>
      </c>
      <c r="K409" s="5" t="s">
        <v>35</v>
      </c>
      <c r="L409" s="5" t="s">
        <v>20</v>
      </c>
      <c r="M409" s="7" t="s">
        <v>41</v>
      </c>
      <c r="N409" s="26">
        <f t="shared" si="42"/>
        <v>0</v>
      </c>
      <c r="O409" s="42">
        <f t="shared" si="43"/>
        <v>45176</v>
      </c>
      <c r="P409" s="5" t="str">
        <f t="shared" si="44"/>
        <v>Thursday</v>
      </c>
      <c r="Q409" s="5">
        <f t="shared" si="45"/>
        <v>8</v>
      </c>
      <c r="R409" s="28">
        <f t="shared" si="46"/>
        <v>0.97267759562841527</v>
      </c>
      <c r="S409" s="29">
        <f t="shared" si="47"/>
        <v>97.267759562841533</v>
      </c>
      <c r="T409" s="5" t="str">
        <f>IF(Delivery_Data3[[#This Row],[Delays (min)]]&gt;0,"No","Yes")</f>
        <v>No</v>
      </c>
      <c r="W409" s="41">
        <f t="shared" si="48"/>
        <v>45176</v>
      </c>
      <c r="X409" s="5">
        <v>178</v>
      </c>
    </row>
    <row r="410" spans="1:24" ht="15.75" customHeight="1" x14ac:dyDescent="0.3">
      <c r="A410" s="4">
        <v>1409</v>
      </c>
      <c r="B410" s="5" t="s">
        <v>541</v>
      </c>
      <c r="C410" s="6">
        <v>45170.506944444445</v>
      </c>
      <c r="D410" s="5" t="s">
        <v>43</v>
      </c>
      <c r="E410" s="5" t="s">
        <v>272</v>
      </c>
      <c r="F410" s="5" t="s">
        <v>24</v>
      </c>
      <c r="G410" s="5" t="s">
        <v>39</v>
      </c>
      <c r="H410" s="5">
        <v>190</v>
      </c>
      <c r="I410" s="5">
        <v>23</v>
      </c>
      <c r="J410" s="5" t="s">
        <v>26</v>
      </c>
      <c r="K410" s="5" t="s">
        <v>27</v>
      </c>
      <c r="L410" s="5" t="s">
        <v>40</v>
      </c>
      <c r="M410" s="7" t="s">
        <v>46</v>
      </c>
      <c r="N410" s="26">
        <f t="shared" si="42"/>
        <v>1</v>
      </c>
      <c r="O410" s="42">
        <f t="shared" si="43"/>
        <v>45170</v>
      </c>
      <c r="P410" s="5" t="str">
        <f t="shared" si="44"/>
        <v>Friday</v>
      </c>
      <c r="Q410" s="5">
        <f t="shared" si="45"/>
        <v>12</v>
      </c>
      <c r="R410" s="28">
        <f t="shared" si="46"/>
        <v>0.892018779342723</v>
      </c>
      <c r="S410" s="29">
        <f t="shared" si="47"/>
        <v>89.201877934272304</v>
      </c>
      <c r="T410" s="5" t="str">
        <f>IF(Delivery_Data3[[#This Row],[Delays (min)]]&gt;0,"No","Yes")</f>
        <v>No</v>
      </c>
      <c r="W410" s="41">
        <f t="shared" si="48"/>
        <v>45170</v>
      </c>
      <c r="X410" s="5">
        <v>190</v>
      </c>
    </row>
    <row r="411" spans="1:24" ht="15.75" customHeight="1" x14ac:dyDescent="0.3">
      <c r="A411" s="4">
        <v>1410</v>
      </c>
      <c r="B411" s="5" t="s">
        <v>542</v>
      </c>
      <c r="C411" s="6">
        <v>45176.513888888891</v>
      </c>
      <c r="D411" s="5" t="s">
        <v>14</v>
      </c>
      <c r="E411" s="5" t="s">
        <v>169</v>
      </c>
      <c r="F411" s="5" t="s">
        <v>16</v>
      </c>
      <c r="G411" s="5" t="s">
        <v>56</v>
      </c>
      <c r="H411" s="5">
        <v>199</v>
      </c>
      <c r="I411" s="5">
        <v>3</v>
      </c>
      <c r="J411" s="5" t="s">
        <v>26</v>
      </c>
      <c r="K411" s="5" t="s">
        <v>35</v>
      </c>
      <c r="L411" s="5" t="s">
        <v>40</v>
      </c>
      <c r="M411" s="7" t="s">
        <v>21</v>
      </c>
      <c r="N411" s="26">
        <f t="shared" si="42"/>
        <v>1</v>
      </c>
      <c r="O411" s="42">
        <f t="shared" si="43"/>
        <v>45176</v>
      </c>
      <c r="P411" s="5" t="str">
        <f t="shared" si="44"/>
        <v>Thursday</v>
      </c>
      <c r="Q411" s="5">
        <f t="shared" si="45"/>
        <v>12</v>
      </c>
      <c r="R411" s="28">
        <f t="shared" si="46"/>
        <v>0.98514851485148514</v>
      </c>
      <c r="S411" s="29">
        <f t="shared" si="47"/>
        <v>98.514851485148512</v>
      </c>
      <c r="T411" s="5" t="str">
        <f>IF(Delivery_Data3[[#This Row],[Delays (min)]]&gt;0,"No","Yes")</f>
        <v>No</v>
      </c>
      <c r="W411" s="41">
        <f t="shared" si="48"/>
        <v>45176</v>
      </c>
      <c r="X411" s="5">
        <v>199</v>
      </c>
    </row>
    <row r="412" spans="1:24" ht="15.75" customHeight="1" x14ac:dyDescent="0.3">
      <c r="A412" s="4">
        <v>1411</v>
      </c>
      <c r="B412" s="5" t="s">
        <v>543</v>
      </c>
      <c r="C412" s="6">
        <v>45177.563194444447</v>
      </c>
      <c r="D412" s="5" t="s">
        <v>14</v>
      </c>
      <c r="E412" s="5" t="s">
        <v>160</v>
      </c>
      <c r="F412" s="5" t="s">
        <v>38</v>
      </c>
      <c r="G412" s="5" t="s">
        <v>25</v>
      </c>
      <c r="H412" s="5">
        <v>203</v>
      </c>
      <c r="I412" s="5">
        <v>14</v>
      </c>
      <c r="J412" s="5" t="s">
        <v>26</v>
      </c>
      <c r="K412" s="5" t="s">
        <v>27</v>
      </c>
      <c r="L412" s="5" t="s">
        <v>28</v>
      </c>
      <c r="M412" s="7" t="s">
        <v>46</v>
      </c>
      <c r="N412" s="26">
        <f t="shared" si="42"/>
        <v>1</v>
      </c>
      <c r="O412" s="42">
        <f t="shared" si="43"/>
        <v>45177</v>
      </c>
      <c r="P412" s="5" t="str">
        <f t="shared" si="44"/>
        <v>Friday</v>
      </c>
      <c r="Q412" s="5">
        <f t="shared" si="45"/>
        <v>13</v>
      </c>
      <c r="R412" s="28">
        <f t="shared" si="46"/>
        <v>0.93548387096774188</v>
      </c>
      <c r="S412" s="29">
        <f t="shared" si="47"/>
        <v>93.548387096774192</v>
      </c>
      <c r="T412" s="5" t="str">
        <f>IF(Delivery_Data3[[#This Row],[Delays (min)]]&gt;0,"No","Yes")</f>
        <v>No</v>
      </c>
      <c r="W412" s="41">
        <f t="shared" si="48"/>
        <v>45177</v>
      </c>
      <c r="X412" s="5">
        <v>203</v>
      </c>
    </row>
    <row r="413" spans="1:24" ht="15.75" customHeight="1" x14ac:dyDescent="0.3">
      <c r="A413" s="4">
        <v>1412</v>
      </c>
      <c r="B413" s="5" t="s">
        <v>544</v>
      </c>
      <c r="C413" s="6">
        <v>45170.56527777778</v>
      </c>
      <c r="D413" s="5" t="s">
        <v>14</v>
      </c>
      <c r="E413" s="5" t="s">
        <v>151</v>
      </c>
      <c r="F413" s="5" t="s">
        <v>38</v>
      </c>
      <c r="G413" s="5" t="s">
        <v>17</v>
      </c>
      <c r="H413" s="5">
        <v>183</v>
      </c>
      <c r="I413" s="5">
        <v>21</v>
      </c>
      <c r="J413" s="5" t="s">
        <v>26</v>
      </c>
      <c r="K413" s="5" t="s">
        <v>19</v>
      </c>
      <c r="L413" s="5" t="s">
        <v>28</v>
      </c>
      <c r="M413" s="7" t="s">
        <v>46</v>
      </c>
      <c r="N413" s="26">
        <f t="shared" si="42"/>
        <v>1</v>
      </c>
      <c r="O413" s="42">
        <f t="shared" si="43"/>
        <v>45170</v>
      </c>
      <c r="P413" s="5" t="str">
        <f t="shared" si="44"/>
        <v>Friday</v>
      </c>
      <c r="Q413" s="5">
        <f t="shared" si="45"/>
        <v>13</v>
      </c>
      <c r="R413" s="28">
        <f t="shared" si="46"/>
        <v>0.8970588235294118</v>
      </c>
      <c r="S413" s="29">
        <f t="shared" si="47"/>
        <v>89.705882352941174</v>
      </c>
      <c r="T413" s="5" t="str">
        <f>IF(Delivery_Data3[[#This Row],[Delays (min)]]&gt;0,"No","Yes")</f>
        <v>No</v>
      </c>
      <c r="W413" s="41">
        <f t="shared" si="48"/>
        <v>45170</v>
      </c>
      <c r="X413" s="5">
        <v>183</v>
      </c>
    </row>
    <row r="414" spans="1:24" ht="15.75" customHeight="1" x14ac:dyDescent="0.3">
      <c r="A414" s="4">
        <v>1413</v>
      </c>
      <c r="B414" s="5" t="s">
        <v>545</v>
      </c>
      <c r="C414" s="6">
        <v>45174.659722222219</v>
      </c>
      <c r="D414" s="5" t="s">
        <v>43</v>
      </c>
      <c r="E414" s="5" t="s">
        <v>249</v>
      </c>
      <c r="F414" s="5" t="s">
        <v>38</v>
      </c>
      <c r="G414" s="5" t="s">
        <v>31</v>
      </c>
      <c r="H414" s="5">
        <v>125</v>
      </c>
      <c r="I414" s="5">
        <v>21</v>
      </c>
      <c r="J414" s="5" t="s">
        <v>18</v>
      </c>
      <c r="K414" s="5" t="s">
        <v>27</v>
      </c>
      <c r="L414" s="5" t="s">
        <v>40</v>
      </c>
      <c r="M414" s="7" t="s">
        <v>21</v>
      </c>
      <c r="N414" s="26">
        <f t="shared" si="42"/>
        <v>0</v>
      </c>
      <c r="O414" s="42">
        <f t="shared" si="43"/>
        <v>45174</v>
      </c>
      <c r="P414" s="5" t="str">
        <f t="shared" si="44"/>
        <v>Tuesday</v>
      </c>
      <c r="Q414" s="5">
        <f t="shared" si="45"/>
        <v>15</v>
      </c>
      <c r="R414" s="28">
        <f t="shared" si="46"/>
        <v>0.85616438356164382</v>
      </c>
      <c r="S414" s="29">
        <f t="shared" si="47"/>
        <v>85.61643835616438</v>
      </c>
      <c r="T414" s="5" t="str">
        <f>IF(Delivery_Data3[[#This Row],[Delays (min)]]&gt;0,"No","Yes")</f>
        <v>No</v>
      </c>
      <c r="W414" s="41">
        <f t="shared" si="48"/>
        <v>45174</v>
      </c>
      <c r="X414" s="5">
        <v>125</v>
      </c>
    </row>
    <row r="415" spans="1:24" ht="15.75" customHeight="1" x14ac:dyDescent="0.3">
      <c r="A415" s="4">
        <v>1414</v>
      </c>
      <c r="B415" s="5" t="s">
        <v>546</v>
      </c>
      <c r="C415" s="6">
        <v>45173.551388888889</v>
      </c>
      <c r="D415" s="5" t="s">
        <v>14</v>
      </c>
      <c r="E415" s="5" t="s">
        <v>370</v>
      </c>
      <c r="F415" s="5" t="s">
        <v>16</v>
      </c>
      <c r="G415" s="5" t="s">
        <v>31</v>
      </c>
      <c r="H415" s="5">
        <v>89</v>
      </c>
      <c r="I415" s="5">
        <v>1</v>
      </c>
      <c r="J415" s="5" t="s">
        <v>32</v>
      </c>
      <c r="K415" s="5" t="s">
        <v>45</v>
      </c>
      <c r="L415" s="5" t="s">
        <v>20</v>
      </c>
      <c r="M415" s="7" t="s">
        <v>21</v>
      </c>
      <c r="N415" s="26">
        <f t="shared" si="42"/>
        <v>-1</v>
      </c>
      <c r="O415" s="42">
        <f t="shared" si="43"/>
        <v>45173</v>
      </c>
      <c r="P415" s="5" t="str">
        <f t="shared" si="44"/>
        <v>Monday</v>
      </c>
      <c r="Q415" s="5">
        <f t="shared" si="45"/>
        <v>13</v>
      </c>
      <c r="R415" s="28">
        <f t="shared" si="46"/>
        <v>0.98888888888888893</v>
      </c>
      <c r="S415" s="29">
        <f t="shared" si="47"/>
        <v>98.888888888888886</v>
      </c>
      <c r="T415" s="5" t="str">
        <f>IF(Delivery_Data3[[#This Row],[Delays (min)]]&gt;0,"No","Yes")</f>
        <v>No</v>
      </c>
      <c r="W415" s="41">
        <f t="shared" si="48"/>
        <v>45173</v>
      </c>
      <c r="X415" s="5">
        <v>89</v>
      </c>
    </row>
    <row r="416" spans="1:24" ht="15.75" customHeight="1" x14ac:dyDescent="0.3">
      <c r="A416" s="4">
        <v>1415</v>
      </c>
      <c r="B416" s="5" t="s">
        <v>547</v>
      </c>
      <c r="C416" s="6">
        <v>45170.70208333333</v>
      </c>
      <c r="D416" s="5" t="s">
        <v>14</v>
      </c>
      <c r="E416" s="5" t="s">
        <v>281</v>
      </c>
      <c r="F416" s="5" t="s">
        <v>24</v>
      </c>
      <c r="G416" s="5" t="s">
        <v>17</v>
      </c>
      <c r="H416" s="5">
        <v>203</v>
      </c>
      <c r="I416" s="5">
        <v>28</v>
      </c>
      <c r="J416" s="5" t="s">
        <v>26</v>
      </c>
      <c r="K416" s="5" t="s">
        <v>35</v>
      </c>
      <c r="L416" s="5" t="s">
        <v>20</v>
      </c>
      <c r="M416" s="7" t="s">
        <v>41</v>
      </c>
      <c r="N416" s="26">
        <f t="shared" si="42"/>
        <v>1</v>
      </c>
      <c r="O416" s="42">
        <f t="shared" si="43"/>
        <v>45170</v>
      </c>
      <c r="P416" s="5" t="str">
        <f t="shared" si="44"/>
        <v>Friday</v>
      </c>
      <c r="Q416" s="5">
        <f t="shared" si="45"/>
        <v>16</v>
      </c>
      <c r="R416" s="28">
        <f t="shared" si="46"/>
        <v>0.87878787878787878</v>
      </c>
      <c r="S416" s="29">
        <f t="shared" si="47"/>
        <v>87.878787878787875</v>
      </c>
      <c r="T416" s="5" t="str">
        <f>IF(Delivery_Data3[[#This Row],[Delays (min)]]&gt;0,"No","Yes")</f>
        <v>No</v>
      </c>
      <c r="W416" s="41">
        <f t="shared" si="48"/>
        <v>45170</v>
      </c>
      <c r="X416" s="5">
        <v>203</v>
      </c>
    </row>
    <row r="417" spans="1:24" ht="15.75" customHeight="1" x14ac:dyDescent="0.3">
      <c r="A417" s="4">
        <v>1416</v>
      </c>
      <c r="B417" s="5" t="s">
        <v>548</v>
      </c>
      <c r="C417" s="6">
        <v>45173.588888888888</v>
      </c>
      <c r="D417" s="5" t="s">
        <v>14</v>
      </c>
      <c r="E417" s="5" t="s">
        <v>261</v>
      </c>
      <c r="F417" s="5" t="s">
        <v>16</v>
      </c>
      <c r="G417" s="5" t="s">
        <v>31</v>
      </c>
      <c r="H417" s="5">
        <v>105</v>
      </c>
      <c r="I417" s="5">
        <v>18</v>
      </c>
      <c r="J417" s="5" t="s">
        <v>18</v>
      </c>
      <c r="K417" s="5" t="s">
        <v>19</v>
      </c>
      <c r="L417" s="5" t="s">
        <v>28</v>
      </c>
      <c r="M417" s="7" t="s">
        <v>46</v>
      </c>
      <c r="N417" s="26">
        <f t="shared" si="42"/>
        <v>0</v>
      </c>
      <c r="O417" s="42">
        <f t="shared" si="43"/>
        <v>45173</v>
      </c>
      <c r="P417" s="5" t="str">
        <f t="shared" si="44"/>
        <v>Monday</v>
      </c>
      <c r="Q417" s="5">
        <f t="shared" si="45"/>
        <v>14</v>
      </c>
      <c r="R417" s="28">
        <f t="shared" si="46"/>
        <v>0.85365853658536583</v>
      </c>
      <c r="S417" s="29">
        <f t="shared" si="47"/>
        <v>85.365853658536579</v>
      </c>
      <c r="T417" s="5" t="str">
        <f>IF(Delivery_Data3[[#This Row],[Delays (min)]]&gt;0,"No","Yes")</f>
        <v>No</v>
      </c>
      <c r="W417" s="41">
        <f t="shared" si="48"/>
        <v>45173</v>
      </c>
      <c r="X417" s="5">
        <v>105</v>
      </c>
    </row>
    <row r="418" spans="1:24" ht="15.75" customHeight="1" x14ac:dyDescent="0.3">
      <c r="A418" s="4">
        <v>1417</v>
      </c>
      <c r="B418" s="5" t="s">
        <v>549</v>
      </c>
      <c r="C418" s="6">
        <v>45176.552777777775</v>
      </c>
      <c r="D418" s="5" t="s">
        <v>14</v>
      </c>
      <c r="E418" s="5" t="s">
        <v>301</v>
      </c>
      <c r="F418" s="5" t="s">
        <v>38</v>
      </c>
      <c r="G418" s="5" t="s">
        <v>56</v>
      </c>
      <c r="H418" s="5">
        <v>216</v>
      </c>
      <c r="I418" s="5">
        <v>9</v>
      </c>
      <c r="J418" s="5" t="s">
        <v>26</v>
      </c>
      <c r="K418" s="5" t="s">
        <v>45</v>
      </c>
      <c r="L418" s="5" t="s">
        <v>28</v>
      </c>
      <c r="M418" s="7" t="s">
        <v>21</v>
      </c>
      <c r="N418" s="26">
        <f t="shared" si="42"/>
        <v>1</v>
      </c>
      <c r="O418" s="42">
        <f t="shared" si="43"/>
        <v>45176</v>
      </c>
      <c r="P418" s="5" t="str">
        <f t="shared" si="44"/>
        <v>Thursday</v>
      </c>
      <c r="Q418" s="5">
        <f t="shared" si="45"/>
        <v>13</v>
      </c>
      <c r="R418" s="28">
        <f t="shared" si="46"/>
        <v>0.96</v>
      </c>
      <c r="S418" s="29">
        <f t="shared" si="47"/>
        <v>96</v>
      </c>
      <c r="T418" s="5" t="str">
        <f>IF(Delivery_Data3[[#This Row],[Delays (min)]]&gt;0,"No","Yes")</f>
        <v>No</v>
      </c>
      <c r="W418" s="41">
        <f t="shared" si="48"/>
        <v>45176</v>
      </c>
      <c r="X418" s="5">
        <v>216</v>
      </c>
    </row>
    <row r="419" spans="1:24" ht="15.75" customHeight="1" x14ac:dyDescent="0.3">
      <c r="A419" s="4">
        <v>1418</v>
      </c>
      <c r="B419" s="5" t="s">
        <v>550</v>
      </c>
      <c r="C419" s="6">
        <v>45172.618055555555</v>
      </c>
      <c r="D419" s="5" t="s">
        <v>43</v>
      </c>
      <c r="E419" s="5" t="s">
        <v>53</v>
      </c>
      <c r="F419" s="5" t="s">
        <v>24</v>
      </c>
      <c r="G419" s="5" t="s">
        <v>39</v>
      </c>
      <c r="H419" s="5">
        <v>205</v>
      </c>
      <c r="I419" s="5">
        <v>17</v>
      </c>
      <c r="J419" s="5" t="s">
        <v>18</v>
      </c>
      <c r="K419" s="5" t="s">
        <v>35</v>
      </c>
      <c r="L419" s="5" t="s">
        <v>40</v>
      </c>
      <c r="M419" s="7" t="s">
        <v>41</v>
      </c>
      <c r="N419" s="26">
        <f t="shared" si="42"/>
        <v>0</v>
      </c>
      <c r="O419" s="42">
        <f t="shared" si="43"/>
        <v>45172</v>
      </c>
      <c r="P419" s="5" t="str">
        <f t="shared" si="44"/>
        <v>Sunday</v>
      </c>
      <c r="Q419" s="5">
        <f t="shared" si="45"/>
        <v>14</v>
      </c>
      <c r="R419" s="28">
        <f t="shared" si="46"/>
        <v>0.92342342342342343</v>
      </c>
      <c r="S419" s="29">
        <f t="shared" si="47"/>
        <v>92.342342342342349</v>
      </c>
      <c r="T419" s="5" t="str">
        <f>IF(Delivery_Data3[[#This Row],[Delays (min)]]&gt;0,"No","Yes")</f>
        <v>No</v>
      </c>
      <c r="W419" s="41">
        <f t="shared" si="48"/>
        <v>45172</v>
      </c>
      <c r="X419" s="5">
        <v>205</v>
      </c>
    </row>
    <row r="420" spans="1:24" ht="15.75" customHeight="1" x14ac:dyDescent="0.3">
      <c r="A420" s="4">
        <v>1419</v>
      </c>
      <c r="B420" s="5" t="s">
        <v>551</v>
      </c>
      <c r="C420" s="6">
        <v>45176.450694444444</v>
      </c>
      <c r="D420" s="5" t="s">
        <v>14</v>
      </c>
      <c r="E420" s="5" t="s">
        <v>204</v>
      </c>
      <c r="F420" s="5" t="s">
        <v>16</v>
      </c>
      <c r="G420" s="5" t="s">
        <v>31</v>
      </c>
      <c r="H420" s="5">
        <v>231</v>
      </c>
      <c r="I420" s="5">
        <v>11</v>
      </c>
      <c r="J420" s="5" t="s">
        <v>32</v>
      </c>
      <c r="K420" s="5" t="s">
        <v>49</v>
      </c>
      <c r="L420" s="5" t="s">
        <v>28</v>
      </c>
      <c r="M420" s="7" t="s">
        <v>21</v>
      </c>
      <c r="N420" s="26">
        <f t="shared" si="42"/>
        <v>-1</v>
      </c>
      <c r="O420" s="42">
        <f t="shared" si="43"/>
        <v>45176</v>
      </c>
      <c r="P420" s="5" t="str">
        <f t="shared" si="44"/>
        <v>Thursday</v>
      </c>
      <c r="Q420" s="5">
        <f t="shared" si="45"/>
        <v>10</v>
      </c>
      <c r="R420" s="28">
        <f t="shared" si="46"/>
        <v>0.95454545454545459</v>
      </c>
      <c r="S420" s="29">
        <f t="shared" si="47"/>
        <v>95.454545454545453</v>
      </c>
      <c r="T420" s="5" t="str">
        <f>IF(Delivery_Data3[[#This Row],[Delays (min)]]&gt;0,"No","Yes")</f>
        <v>No</v>
      </c>
      <c r="W420" s="41">
        <f t="shared" si="48"/>
        <v>45176</v>
      </c>
      <c r="X420" s="5">
        <v>231</v>
      </c>
    </row>
    <row r="421" spans="1:24" ht="15.75" customHeight="1" x14ac:dyDescent="0.3">
      <c r="A421" s="4">
        <v>1420</v>
      </c>
      <c r="B421" s="5" t="s">
        <v>552</v>
      </c>
      <c r="C421" s="6">
        <v>45174.572222222225</v>
      </c>
      <c r="D421" s="5" t="s">
        <v>14</v>
      </c>
      <c r="E421" s="5" t="s">
        <v>169</v>
      </c>
      <c r="F421" s="5" t="s">
        <v>16</v>
      </c>
      <c r="G421" s="5" t="s">
        <v>17</v>
      </c>
      <c r="H421" s="5">
        <v>228</v>
      </c>
      <c r="I421" s="5">
        <v>21</v>
      </c>
      <c r="J421" s="5" t="s">
        <v>32</v>
      </c>
      <c r="K421" s="5" t="s">
        <v>49</v>
      </c>
      <c r="L421" s="5" t="s">
        <v>20</v>
      </c>
      <c r="M421" s="7" t="s">
        <v>41</v>
      </c>
      <c r="N421" s="26">
        <f t="shared" si="42"/>
        <v>-1</v>
      </c>
      <c r="O421" s="42">
        <f t="shared" si="43"/>
        <v>45174</v>
      </c>
      <c r="P421" s="5" t="str">
        <f t="shared" si="44"/>
        <v>Tuesday</v>
      </c>
      <c r="Q421" s="5">
        <f t="shared" si="45"/>
        <v>13</v>
      </c>
      <c r="R421" s="28">
        <f t="shared" si="46"/>
        <v>0.91566265060240959</v>
      </c>
      <c r="S421" s="29">
        <f t="shared" si="47"/>
        <v>91.566265060240966</v>
      </c>
      <c r="T421" s="5" t="str">
        <f>IF(Delivery_Data3[[#This Row],[Delays (min)]]&gt;0,"No","Yes")</f>
        <v>No</v>
      </c>
      <c r="W421" s="41">
        <f t="shared" si="48"/>
        <v>45174</v>
      </c>
      <c r="X421" s="5">
        <v>228</v>
      </c>
    </row>
    <row r="422" spans="1:24" ht="15.75" customHeight="1" x14ac:dyDescent="0.3">
      <c r="A422" s="4">
        <v>1421</v>
      </c>
      <c r="B422" s="5" t="s">
        <v>553</v>
      </c>
      <c r="C422" s="6">
        <v>45176.337500000001</v>
      </c>
      <c r="D422" s="5" t="s">
        <v>14</v>
      </c>
      <c r="E422" s="5" t="s">
        <v>99</v>
      </c>
      <c r="F422" s="5" t="s">
        <v>24</v>
      </c>
      <c r="G422" s="5" t="s">
        <v>56</v>
      </c>
      <c r="H422" s="5">
        <v>101</v>
      </c>
      <c r="I422" s="5">
        <v>25</v>
      </c>
      <c r="J422" s="5" t="s">
        <v>26</v>
      </c>
      <c r="K422" s="5" t="s">
        <v>27</v>
      </c>
      <c r="L422" s="5" t="s">
        <v>20</v>
      </c>
      <c r="M422" s="7" t="s">
        <v>46</v>
      </c>
      <c r="N422" s="26">
        <f t="shared" si="42"/>
        <v>1</v>
      </c>
      <c r="O422" s="42">
        <f t="shared" si="43"/>
        <v>45176</v>
      </c>
      <c r="P422" s="5" t="str">
        <f t="shared" si="44"/>
        <v>Thursday</v>
      </c>
      <c r="Q422" s="5">
        <f t="shared" si="45"/>
        <v>8</v>
      </c>
      <c r="R422" s="28">
        <f t="shared" si="46"/>
        <v>0.80158730158730163</v>
      </c>
      <c r="S422" s="29">
        <f t="shared" si="47"/>
        <v>80.158730158730165</v>
      </c>
      <c r="T422" s="5" t="str">
        <f>IF(Delivery_Data3[[#This Row],[Delays (min)]]&gt;0,"No","Yes")</f>
        <v>No</v>
      </c>
      <c r="W422" s="41">
        <f t="shared" si="48"/>
        <v>45176</v>
      </c>
      <c r="X422" s="5">
        <v>101</v>
      </c>
    </row>
    <row r="423" spans="1:24" ht="15.75" customHeight="1" x14ac:dyDescent="0.3">
      <c r="A423" s="4">
        <v>1422</v>
      </c>
      <c r="B423" s="5" t="s">
        <v>554</v>
      </c>
      <c r="C423" s="6">
        <v>45175.568055555559</v>
      </c>
      <c r="D423" s="5" t="s">
        <v>14</v>
      </c>
      <c r="E423" s="5" t="s">
        <v>149</v>
      </c>
      <c r="F423" s="5" t="s">
        <v>16</v>
      </c>
      <c r="G423" s="5" t="s">
        <v>39</v>
      </c>
      <c r="H423" s="5">
        <v>231</v>
      </c>
      <c r="I423" s="5">
        <v>10</v>
      </c>
      <c r="J423" s="5" t="s">
        <v>18</v>
      </c>
      <c r="K423" s="5" t="s">
        <v>27</v>
      </c>
      <c r="L423" s="5" t="s">
        <v>20</v>
      </c>
      <c r="M423" s="7" t="s">
        <v>46</v>
      </c>
      <c r="N423" s="26">
        <f t="shared" si="42"/>
        <v>0</v>
      </c>
      <c r="O423" s="42">
        <f t="shared" si="43"/>
        <v>45175</v>
      </c>
      <c r="P423" s="5" t="str">
        <f t="shared" si="44"/>
        <v>Wednesday</v>
      </c>
      <c r="Q423" s="5">
        <f t="shared" si="45"/>
        <v>13</v>
      </c>
      <c r="R423" s="28">
        <f t="shared" si="46"/>
        <v>0.95850622406639008</v>
      </c>
      <c r="S423" s="29">
        <f t="shared" si="47"/>
        <v>95.850622406639005</v>
      </c>
      <c r="T423" s="5" t="str">
        <f>IF(Delivery_Data3[[#This Row],[Delays (min)]]&gt;0,"No","Yes")</f>
        <v>No</v>
      </c>
      <c r="W423" s="41">
        <f t="shared" si="48"/>
        <v>45175</v>
      </c>
      <c r="X423" s="5">
        <v>231</v>
      </c>
    </row>
    <row r="424" spans="1:24" ht="15.75" customHeight="1" x14ac:dyDescent="0.3">
      <c r="A424" s="4">
        <v>1423</v>
      </c>
      <c r="B424" s="5" t="s">
        <v>555</v>
      </c>
      <c r="C424" s="6">
        <v>45170.499305555553</v>
      </c>
      <c r="D424" s="5" t="s">
        <v>14</v>
      </c>
      <c r="E424" s="5" t="s">
        <v>301</v>
      </c>
      <c r="F424" s="5" t="s">
        <v>24</v>
      </c>
      <c r="G424" s="5" t="s">
        <v>39</v>
      </c>
      <c r="H424" s="5">
        <v>192</v>
      </c>
      <c r="I424" s="5">
        <v>16</v>
      </c>
      <c r="J424" s="5" t="s">
        <v>32</v>
      </c>
      <c r="K424" s="5" t="s">
        <v>19</v>
      </c>
      <c r="L424" s="5" t="s">
        <v>28</v>
      </c>
      <c r="M424" s="7" t="s">
        <v>41</v>
      </c>
      <c r="N424" s="26">
        <f t="shared" si="42"/>
        <v>-1</v>
      </c>
      <c r="O424" s="42">
        <f t="shared" si="43"/>
        <v>45170</v>
      </c>
      <c r="P424" s="5" t="str">
        <f t="shared" si="44"/>
        <v>Friday</v>
      </c>
      <c r="Q424" s="5">
        <f t="shared" si="45"/>
        <v>11</v>
      </c>
      <c r="R424" s="28">
        <f t="shared" si="46"/>
        <v>0.92307692307692313</v>
      </c>
      <c r="S424" s="29">
        <f t="shared" si="47"/>
        <v>92.307692307692307</v>
      </c>
      <c r="T424" s="5" t="str">
        <f>IF(Delivery_Data3[[#This Row],[Delays (min)]]&gt;0,"No","Yes")</f>
        <v>No</v>
      </c>
      <c r="W424" s="41">
        <f t="shared" si="48"/>
        <v>45170</v>
      </c>
      <c r="X424" s="5">
        <v>192</v>
      </c>
    </row>
    <row r="425" spans="1:24" ht="15.75" customHeight="1" x14ac:dyDescent="0.3">
      <c r="A425" s="4">
        <v>1424</v>
      </c>
      <c r="B425" s="5" t="s">
        <v>556</v>
      </c>
      <c r="C425" s="6">
        <v>45176.363888888889</v>
      </c>
      <c r="D425" s="5" t="s">
        <v>14</v>
      </c>
      <c r="E425" s="5" t="s">
        <v>44</v>
      </c>
      <c r="F425" s="5" t="s">
        <v>16</v>
      </c>
      <c r="G425" s="5" t="s">
        <v>56</v>
      </c>
      <c r="H425" s="5">
        <v>69</v>
      </c>
      <c r="I425" s="5">
        <v>8</v>
      </c>
      <c r="J425" s="5" t="s">
        <v>32</v>
      </c>
      <c r="K425" s="5" t="s">
        <v>35</v>
      </c>
      <c r="L425" s="5" t="s">
        <v>40</v>
      </c>
      <c r="M425" s="7" t="s">
        <v>21</v>
      </c>
      <c r="N425" s="26">
        <f t="shared" si="42"/>
        <v>-1</v>
      </c>
      <c r="O425" s="42">
        <f t="shared" si="43"/>
        <v>45176</v>
      </c>
      <c r="P425" s="5" t="str">
        <f t="shared" si="44"/>
        <v>Thursday</v>
      </c>
      <c r="Q425" s="5">
        <f t="shared" si="45"/>
        <v>8</v>
      </c>
      <c r="R425" s="28">
        <f t="shared" si="46"/>
        <v>0.89610389610389607</v>
      </c>
      <c r="S425" s="29">
        <f t="shared" si="47"/>
        <v>89.610389610389603</v>
      </c>
      <c r="T425" s="5" t="str">
        <f>IF(Delivery_Data3[[#This Row],[Delays (min)]]&gt;0,"No","Yes")</f>
        <v>No</v>
      </c>
      <c r="W425" s="41">
        <f t="shared" si="48"/>
        <v>45176</v>
      </c>
      <c r="X425" s="5">
        <v>69</v>
      </c>
    </row>
    <row r="426" spans="1:24" ht="15.75" customHeight="1" x14ac:dyDescent="0.3">
      <c r="A426" s="4">
        <v>1425</v>
      </c>
      <c r="B426" s="5" t="s">
        <v>557</v>
      </c>
      <c r="C426" s="6">
        <v>45172.45416666667</v>
      </c>
      <c r="D426" s="5" t="s">
        <v>14</v>
      </c>
      <c r="E426" s="5" t="s">
        <v>231</v>
      </c>
      <c r="F426" s="5" t="s">
        <v>16</v>
      </c>
      <c r="G426" s="5" t="s">
        <v>56</v>
      </c>
      <c r="H426" s="5">
        <v>194</v>
      </c>
      <c r="I426" s="5">
        <v>12</v>
      </c>
      <c r="J426" s="5" t="s">
        <v>32</v>
      </c>
      <c r="K426" s="5" t="s">
        <v>35</v>
      </c>
      <c r="L426" s="5" t="s">
        <v>20</v>
      </c>
      <c r="M426" s="7" t="s">
        <v>46</v>
      </c>
      <c r="N426" s="26">
        <f t="shared" si="42"/>
        <v>-1</v>
      </c>
      <c r="O426" s="42">
        <f t="shared" si="43"/>
        <v>45172</v>
      </c>
      <c r="P426" s="5" t="str">
        <f t="shared" si="44"/>
        <v>Sunday</v>
      </c>
      <c r="Q426" s="5">
        <f t="shared" si="45"/>
        <v>10</v>
      </c>
      <c r="R426" s="28">
        <f t="shared" si="46"/>
        <v>0.94174757281553401</v>
      </c>
      <c r="S426" s="29">
        <f t="shared" si="47"/>
        <v>94.174757281553397</v>
      </c>
      <c r="T426" s="5" t="str">
        <f>IF(Delivery_Data3[[#This Row],[Delays (min)]]&gt;0,"No","Yes")</f>
        <v>No</v>
      </c>
      <c r="W426" s="41">
        <f t="shared" si="48"/>
        <v>45172</v>
      </c>
      <c r="X426" s="5">
        <v>194</v>
      </c>
    </row>
    <row r="427" spans="1:24" ht="15.75" customHeight="1" x14ac:dyDescent="0.3">
      <c r="A427" s="4">
        <v>1426</v>
      </c>
      <c r="B427" s="5" t="s">
        <v>558</v>
      </c>
      <c r="C427" s="6">
        <v>45172.382638888892</v>
      </c>
      <c r="D427" s="5" t="s">
        <v>14</v>
      </c>
      <c r="E427" s="5" t="s">
        <v>189</v>
      </c>
      <c r="F427" s="5" t="s">
        <v>38</v>
      </c>
      <c r="G427" s="5" t="s">
        <v>25</v>
      </c>
      <c r="H427" s="5">
        <v>120</v>
      </c>
      <c r="I427" s="5">
        <v>0</v>
      </c>
      <c r="J427" s="5" t="s">
        <v>32</v>
      </c>
      <c r="K427" s="5" t="s">
        <v>45</v>
      </c>
      <c r="L427" s="5" t="s">
        <v>28</v>
      </c>
      <c r="M427" s="7" t="s">
        <v>41</v>
      </c>
      <c r="N427" s="26">
        <f t="shared" si="42"/>
        <v>-1</v>
      </c>
      <c r="O427" s="42">
        <f t="shared" si="43"/>
        <v>45172</v>
      </c>
      <c r="P427" s="5" t="str">
        <f t="shared" si="44"/>
        <v>Sunday</v>
      </c>
      <c r="Q427" s="5">
        <f t="shared" si="45"/>
        <v>9</v>
      </c>
      <c r="R427" s="28">
        <f t="shared" si="46"/>
        <v>1</v>
      </c>
      <c r="S427" s="29">
        <f t="shared" si="47"/>
        <v>100</v>
      </c>
      <c r="T427" s="5" t="str">
        <f>IF(Delivery_Data3[[#This Row],[Delays (min)]]&gt;0,"No","Yes")</f>
        <v>Yes</v>
      </c>
      <c r="W427" s="41">
        <f t="shared" si="48"/>
        <v>45172</v>
      </c>
      <c r="X427" s="5">
        <v>120</v>
      </c>
    </row>
    <row r="428" spans="1:24" ht="15.75" customHeight="1" x14ac:dyDescent="0.3">
      <c r="A428" s="4">
        <v>1427</v>
      </c>
      <c r="B428" s="5" t="s">
        <v>559</v>
      </c>
      <c r="C428" s="6">
        <v>45177.507638888892</v>
      </c>
      <c r="D428" s="5" t="s">
        <v>14</v>
      </c>
      <c r="E428" s="5" t="s">
        <v>267</v>
      </c>
      <c r="F428" s="5" t="s">
        <v>24</v>
      </c>
      <c r="G428" s="5" t="s">
        <v>17</v>
      </c>
      <c r="H428" s="5">
        <v>116</v>
      </c>
      <c r="I428" s="5">
        <v>22</v>
      </c>
      <c r="J428" s="5" t="s">
        <v>26</v>
      </c>
      <c r="K428" s="5" t="s">
        <v>35</v>
      </c>
      <c r="L428" s="5" t="s">
        <v>28</v>
      </c>
      <c r="M428" s="7" t="s">
        <v>41</v>
      </c>
      <c r="N428" s="26">
        <f t="shared" si="42"/>
        <v>1</v>
      </c>
      <c r="O428" s="42">
        <f t="shared" si="43"/>
        <v>45177</v>
      </c>
      <c r="P428" s="5" t="str">
        <f t="shared" si="44"/>
        <v>Friday</v>
      </c>
      <c r="Q428" s="5">
        <f t="shared" si="45"/>
        <v>12</v>
      </c>
      <c r="R428" s="28">
        <f t="shared" si="46"/>
        <v>0.84057971014492749</v>
      </c>
      <c r="S428" s="29">
        <f t="shared" si="47"/>
        <v>84.05797101449275</v>
      </c>
      <c r="T428" s="5" t="str">
        <f>IF(Delivery_Data3[[#This Row],[Delays (min)]]&gt;0,"No","Yes")</f>
        <v>No</v>
      </c>
      <c r="W428" s="41">
        <f t="shared" si="48"/>
        <v>45177</v>
      </c>
      <c r="X428" s="5">
        <v>116</v>
      </c>
    </row>
    <row r="429" spans="1:24" ht="15.75" customHeight="1" x14ac:dyDescent="0.3">
      <c r="A429" s="4">
        <v>1428</v>
      </c>
      <c r="B429" s="5" t="s">
        <v>560</v>
      </c>
      <c r="C429" s="6">
        <v>45177.62222222222</v>
      </c>
      <c r="D429" s="5" t="s">
        <v>14</v>
      </c>
      <c r="E429" s="5" t="s">
        <v>166</v>
      </c>
      <c r="F429" s="5" t="s">
        <v>16</v>
      </c>
      <c r="G429" s="5" t="s">
        <v>17</v>
      </c>
      <c r="H429" s="5">
        <v>166</v>
      </c>
      <c r="I429" s="5">
        <v>10</v>
      </c>
      <c r="J429" s="5" t="s">
        <v>26</v>
      </c>
      <c r="K429" s="5" t="s">
        <v>45</v>
      </c>
      <c r="L429" s="5" t="s">
        <v>20</v>
      </c>
      <c r="M429" s="7" t="s">
        <v>21</v>
      </c>
      <c r="N429" s="26">
        <f t="shared" si="42"/>
        <v>1</v>
      </c>
      <c r="O429" s="42">
        <f t="shared" si="43"/>
        <v>45177</v>
      </c>
      <c r="P429" s="5" t="str">
        <f t="shared" si="44"/>
        <v>Friday</v>
      </c>
      <c r="Q429" s="5">
        <f t="shared" si="45"/>
        <v>14</v>
      </c>
      <c r="R429" s="28">
        <f t="shared" si="46"/>
        <v>0.94318181818181823</v>
      </c>
      <c r="S429" s="29">
        <f t="shared" si="47"/>
        <v>94.318181818181827</v>
      </c>
      <c r="T429" s="5" t="str">
        <f>IF(Delivery_Data3[[#This Row],[Delays (min)]]&gt;0,"No","Yes")</f>
        <v>No</v>
      </c>
      <c r="W429" s="41">
        <f t="shared" si="48"/>
        <v>45177</v>
      </c>
      <c r="X429" s="5">
        <v>166</v>
      </c>
    </row>
    <row r="430" spans="1:24" ht="15.75" customHeight="1" x14ac:dyDescent="0.3">
      <c r="A430" s="4">
        <v>1429</v>
      </c>
      <c r="B430" s="5" t="s">
        <v>561</v>
      </c>
      <c r="C430" s="6">
        <v>45176.638194444444</v>
      </c>
      <c r="D430" s="5" t="s">
        <v>43</v>
      </c>
      <c r="E430" s="5" t="s">
        <v>285</v>
      </c>
      <c r="F430" s="5" t="s">
        <v>24</v>
      </c>
      <c r="G430" s="5" t="s">
        <v>56</v>
      </c>
      <c r="H430" s="5">
        <v>142</v>
      </c>
      <c r="I430" s="5">
        <v>11</v>
      </c>
      <c r="J430" s="5" t="s">
        <v>32</v>
      </c>
      <c r="K430" s="5" t="s">
        <v>19</v>
      </c>
      <c r="L430" s="5" t="s">
        <v>28</v>
      </c>
      <c r="M430" s="7" t="s">
        <v>21</v>
      </c>
      <c r="N430" s="26">
        <f t="shared" si="42"/>
        <v>-1</v>
      </c>
      <c r="O430" s="42">
        <f t="shared" si="43"/>
        <v>45176</v>
      </c>
      <c r="P430" s="5" t="str">
        <f t="shared" si="44"/>
        <v>Thursday</v>
      </c>
      <c r="Q430" s="5">
        <f t="shared" si="45"/>
        <v>15</v>
      </c>
      <c r="R430" s="28">
        <f t="shared" si="46"/>
        <v>0.92810457516339873</v>
      </c>
      <c r="S430" s="29">
        <f t="shared" si="47"/>
        <v>92.810457516339866</v>
      </c>
      <c r="T430" s="5" t="str">
        <f>IF(Delivery_Data3[[#This Row],[Delays (min)]]&gt;0,"No","Yes")</f>
        <v>No</v>
      </c>
      <c r="W430" s="41">
        <f t="shared" si="48"/>
        <v>45176</v>
      </c>
      <c r="X430" s="5">
        <v>142</v>
      </c>
    </row>
    <row r="431" spans="1:24" ht="15.75" customHeight="1" x14ac:dyDescent="0.3">
      <c r="A431" s="4">
        <v>1430</v>
      </c>
      <c r="B431" s="5" t="s">
        <v>562</v>
      </c>
      <c r="C431" s="6">
        <v>45175.45</v>
      </c>
      <c r="D431" s="5" t="s">
        <v>43</v>
      </c>
      <c r="E431" s="5" t="s">
        <v>270</v>
      </c>
      <c r="F431" s="5" t="s">
        <v>24</v>
      </c>
      <c r="G431" s="5" t="s">
        <v>39</v>
      </c>
      <c r="H431" s="5">
        <v>134</v>
      </c>
      <c r="I431" s="5">
        <v>21</v>
      </c>
      <c r="J431" s="5" t="s">
        <v>32</v>
      </c>
      <c r="K431" s="5" t="s">
        <v>27</v>
      </c>
      <c r="L431" s="5" t="s">
        <v>20</v>
      </c>
      <c r="M431" s="7" t="s">
        <v>46</v>
      </c>
      <c r="N431" s="26">
        <f t="shared" si="42"/>
        <v>-1</v>
      </c>
      <c r="O431" s="42">
        <f t="shared" si="43"/>
        <v>45175</v>
      </c>
      <c r="P431" s="5" t="str">
        <f t="shared" si="44"/>
        <v>Wednesday</v>
      </c>
      <c r="Q431" s="5">
        <f t="shared" si="45"/>
        <v>10</v>
      </c>
      <c r="R431" s="28">
        <f t="shared" si="46"/>
        <v>0.86451612903225805</v>
      </c>
      <c r="S431" s="29">
        <f t="shared" si="47"/>
        <v>86.451612903225808</v>
      </c>
      <c r="T431" s="5" t="str">
        <f>IF(Delivery_Data3[[#This Row],[Delays (min)]]&gt;0,"No","Yes")</f>
        <v>No</v>
      </c>
      <c r="W431" s="41">
        <f t="shared" si="48"/>
        <v>45175</v>
      </c>
      <c r="X431" s="5">
        <v>134</v>
      </c>
    </row>
    <row r="432" spans="1:24" ht="15.75" customHeight="1" x14ac:dyDescent="0.3">
      <c r="A432" s="4">
        <v>1431</v>
      </c>
      <c r="B432" s="5" t="s">
        <v>563</v>
      </c>
      <c r="C432" s="6">
        <v>45170.39166666667</v>
      </c>
      <c r="D432" s="5" t="s">
        <v>43</v>
      </c>
      <c r="E432" s="5" t="s">
        <v>304</v>
      </c>
      <c r="F432" s="5" t="s">
        <v>38</v>
      </c>
      <c r="G432" s="5" t="s">
        <v>39</v>
      </c>
      <c r="H432" s="5">
        <v>140</v>
      </c>
      <c r="I432" s="5">
        <v>10</v>
      </c>
      <c r="J432" s="5" t="s">
        <v>18</v>
      </c>
      <c r="K432" s="5" t="s">
        <v>35</v>
      </c>
      <c r="L432" s="5" t="s">
        <v>28</v>
      </c>
      <c r="M432" s="7" t="s">
        <v>21</v>
      </c>
      <c r="N432" s="26">
        <f t="shared" si="42"/>
        <v>0</v>
      </c>
      <c r="O432" s="42">
        <f t="shared" si="43"/>
        <v>45170</v>
      </c>
      <c r="P432" s="5" t="str">
        <f t="shared" si="44"/>
        <v>Friday</v>
      </c>
      <c r="Q432" s="5">
        <f t="shared" si="45"/>
        <v>9</v>
      </c>
      <c r="R432" s="28">
        <f t="shared" si="46"/>
        <v>0.93333333333333335</v>
      </c>
      <c r="S432" s="29">
        <f t="shared" si="47"/>
        <v>93.333333333333329</v>
      </c>
      <c r="T432" s="5" t="str">
        <f>IF(Delivery_Data3[[#This Row],[Delays (min)]]&gt;0,"No","Yes")</f>
        <v>No</v>
      </c>
      <c r="W432" s="41">
        <f t="shared" si="48"/>
        <v>45170</v>
      </c>
      <c r="X432" s="5">
        <v>140</v>
      </c>
    </row>
    <row r="433" spans="1:24" ht="15.75" customHeight="1" x14ac:dyDescent="0.3">
      <c r="A433" s="4">
        <v>1432</v>
      </c>
      <c r="B433" s="5" t="s">
        <v>564</v>
      </c>
      <c r="C433" s="6">
        <v>45172.378472222219</v>
      </c>
      <c r="D433" s="5" t="s">
        <v>14</v>
      </c>
      <c r="E433" s="5" t="s">
        <v>261</v>
      </c>
      <c r="F433" s="5" t="s">
        <v>16</v>
      </c>
      <c r="G433" s="5" t="s">
        <v>17</v>
      </c>
      <c r="H433" s="5">
        <v>135</v>
      </c>
      <c r="I433" s="5">
        <v>7</v>
      </c>
      <c r="J433" s="5" t="s">
        <v>26</v>
      </c>
      <c r="K433" s="5" t="s">
        <v>45</v>
      </c>
      <c r="L433" s="5" t="s">
        <v>28</v>
      </c>
      <c r="M433" s="7" t="s">
        <v>46</v>
      </c>
      <c r="N433" s="26">
        <f t="shared" si="42"/>
        <v>1</v>
      </c>
      <c r="O433" s="42">
        <f t="shared" si="43"/>
        <v>45172</v>
      </c>
      <c r="P433" s="5" t="str">
        <f t="shared" si="44"/>
        <v>Sunday</v>
      </c>
      <c r="Q433" s="5">
        <f t="shared" si="45"/>
        <v>9</v>
      </c>
      <c r="R433" s="28">
        <f t="shared" si="46"/>
        <v>0.95070422535211263</v>
      </c>
      <c r="S433" s="29">
        <f t="shared" si="47"/>
        <v>95.070422535211264</v>
      </c>
      <c r="T433" s="5" t="str">
        <f>IF(Delivery_Data3[[#This Row],[Delays (min)]]&gt;0,"No","Yes")</f>
        <v>No</v>
      </c>
      <c r="W433" s="41">
        <f t="shared" si="48"/>
        <v>45172</v>
      </c>
      <c r="X433" s="5">
        <v>135</v>
      </c>
    </row>
    <row r="434" spans="1:24" ht="15.75" customHeight="1" x14ac:dyDescent="0.3">
      <c r="A434" s="4">
        <v>1433</v>
      </c>
      <c r="B434" s="5" t="s">
        <v>565</v>
      </c>
      <c r="C434" s="6">
        <v>45171.53125</v>
      </c>
      <c r="D434" s="5" t="s">
        <v>14</v>
      </c>
      <c r="E434" s="5" t="s">
        <v>55</v>
      </c>
      <c r="F434" s="5" t="s">
        <v>24</v>
      </c>
      <c r="G434" s="5" t="s">
        <v>25</v>
      </c>
      <c r="H434" s="5">
        <v>144</v>
      </c>
      <c r="I434" s="5">
        <v>2</v>
      </c>
      <c r="J434" s="5" t="s">
        <v>32</v>
      </c>
      <c r="K434" s="5" t="s">
        <v>45</v>
      </c>
      <c r="L434" s="5" t="s">
        <v>40</v>
      </c>
      <c r="M434" s="7" t="s">
        <v>21</v>
      </c>
      <c r="N434" s="26">
        <f t="shared" si="42"/>
        <v>-1</v>
      </c>
      <c r="O434" s="42">
        <f t="shared" si="43"/>
        <v>45171</v>
      </c>
      <c r="P434" s="5" t="str">
        <f t="shared" si="44"/>
        <v>Saturday</v>
      </c>
      <c r="Q434" s="5">
        <f t="shared" si="45"/>
        <v>12</v>
      </c>
      <c r="R434" s="28">
        <f t="shared" si="46"/>
        <v>0.98630136986301364</v>
      </c>
      <c r="S434" s="29">
        <f t="shared" si="47"/>
        <v>98.630136986301366</v>
      </c>
      <c r="T434" s="5" t="str">
        <f>IF(Delivery_Data3[[#This Row],[Delays (min)]]&gt;0,"No","Yes")</f>
        <v>No</v>
      </c>
      <c r="W434" s="41">
        <f t="shared" si="48"/>
        <v>45171</v>
      </c>
      <c r="X434" s="5">
        <v>144</v>
      </c>
    </row>
    <row r="435" spans="1:24" ht="15.75" customHeight="1" x14ac:dyDescent="0.3">
      <c r="A435" s="4">
        <v>1434</v>
      </c>
      <c r="B435" s="5" t="s">
        <v>566</v>
      </c>
      <c r="C435" s="6">
        <v>45174.390972222223</v>
      </c>
      <c r="D435" s="5" t="s">
        <v>14</v>
      </c>
      <c r="E435" s="5" t="s">
        <v>70</v>
      </c>
      <c r="F435" s="5" t="s">
        <v>24</v>
      </c>
      <c r="G435" s="5" t="s">
        <v>17</v>
      </c>
      <c r="H435" s="5">
        <v>224</v>
      </c>
      <c r="I435" s="5">
        <v>23</v>
      </c>
      <c r="J435" s="5" t="s">
        <v>32</v>
      </c>
      <c r="K435" s="5" t="s">
        <v>27</v>
      </c>
      <c r="L435" s="5" t="s">
        <v>20</v>
      </c>
      <c r="M435" s="7" t="s">
        <v>46</v>
      </c>
      <c r="N435" s="26">
        <f t="shared" si="42"/>
        <v>-1</v>
      </c>
      <c r="O435" s="42">
        <f t="shared" si="43"/>
        <v>45174</v>
      </c>
      <c r="P435" s="5" t="str">
        <f t="shared" si="44"/>
        <v>Tuesday</v>
      </c>
      <c r="Q435" s="5">
        <f t="shared" si="45"/>
        <v>9</v>
      </c>
      <c r="R435" s="28">
        <f t="shared" si="46"/>
        <v>0.90688259109311742</v>
      </c>
      <c r="S435" s="29">
        <f t="shared" si="47"/>
        <v>90.688259109311744</v>
      </c>
      <c r="T435" s="5" t="str">
        <f>IF(Delivery_Data3[[#This Row],[Delays (min)]]&gt;0,"No","Yes")</f>
        <v>No</v>
      </c>
      <c r="W435" s="41">
        <f t="shared" si="48"/>
        <v>45174</v>
      </c>
      <c r="X435" s="5">
        <v>224</v>
      </c>
    </row>
    <row r="436" spans="1:24" ht="15.75" customHeight="1" x14ac:dyDescent="0.3">
      <c r="A436" s="4">
        <v>1435</v>
      </c>
      <c r="B436" s="5" t="s">
        <v>567</v>
      </c>
      <c r="C436" s="6">
        <v>45176.70208333333</v>
      </c>
      <c r="D436" s="5" t="s">
        <v>14</v>
      </c>
      <c r="E436" s="5" t="s">
        <v>51</v>
      </c>
      <c r="F436" s="5" t="s">
        <v>38</v>
      </c>
      <c r="G436" s="5" t="s">
        <v>56</v>
      </c>
      <c r="H436" s="5">
        <v>184</v>
      </c>
      <c r="I436" s="5">
        <v>11</v>
      </c>
      <c r="J436" s="5" t="s">
        <v>32</v>
      </c>
      <c r="K436" s="5" t="s">
        <v>49</v>
      </c>
      <c r="L436" s="5" t="s">
        <v>28</v>
      </c>
      <c r="M436" s="7" t="s">
        <v>41</v>
      </c>
      <c r="N436" s="26">
        <f t="shared" si="42"/>
        <v>-1</v>
      </c>
      <c r="O436" s="42">
        <f t="shared" si="43"/>
        <v>45176</v>
      </c>
      <c r="P436" s="5" t="str">
        <f t="shared" si="44"/>
        <v>Thursday</v>
      </c>
      <c r="Q436" s="5">
        <f t="shared" si="45"/>
        <v>16</v>
      </c>
      <c r="R436" s="28">
        <f t="shared" si="46"/>
        <v>0.94358974358974357</v>
      </c>
      <c r="S436" s="29">
        <f t="shared" si="47"/>
        <v>94.358974358974351</v>
      </c>
      <c r="T436" s="5" t="str">
        <f>IF(Delivery_Data3[[#This Row],[Delays (min)]]&gt;0,"No","Yes")</f>
        <v>No</v>
      </c>
      <c r="W436" s="41">
        <f t="shared" si="48"/>
        <v>45176</v>
      </c>
      <c r="X436" s="5">
        <v>184</v>
      </c>
    </row>
    <row r="437" spans="1:24" ht="15.75" customHeight="1" x14ac:dyDescent="0.3">
      <c r="A437" s="4">
        <v>1436</v>
      </c>
      <c r="B437" s="5" t="s">
        <v>568</v>
      </c>
      <c r="C437" s="6">
        <v>45170.333333333336</v>
      </c>
      <c r="D437" s="5" t="s">
        <v>14</v>
      </c>
      <c r="E437" s="5" t="s">
        <v>93</v>
      </c>
      <c r="F437" s="5" t="s">
        <v>38</v>
      </c>
      <c r="G437" s="5" t="s">
        <v>25</v>
      </c>
      <c r="H437" s="5">
        <v>212</v>
      </c>
      <c r="I437" s="5">
        <v>20</v>
      </c>
      <c r="J437" s="5" t="s">
        <v>18</v>
      </c>
      <c r="K437" s="5" t="s">
        <v>49</v>
      </c>
      <c r="L437" s="5" t="s">
        <v>20</v>
      </c>
      <c r="M437" s="7" t="s">
        <v>46</v>
      </c>
      <c r="N437" s="26">
        <f t="shared" si="42"/>
        <v>0</v>
      </c>
      <c r="O437" s="42">
        <f t="shared" si="43"/>
        <v>45170</v>
      </c>
      <c r="P437" s="5" t="str">
        <f t="shared" si="44"/>
        <v>Friday</v>
      </c>
      <c r="Q437" s="5">
        <f t="shared" si="45"/>
        <v>8</v>
      </c>
      <c r="R437" s="28">
        <f t="shared" si="46"/>
        <v>0.91379310344827591</v>
      </c>
      <c r="S437" s="29">
        <f t="shared" si="47"/>
        <v>91.379310344827587</v>
      </c>
      <c r="T437" s="5" t="str">
        <f>IF(Delivery_Data3[[#This Row],[Delays (min)]]&gt;0,"No","Yes")</f>
        <v>No</v>
      </c>
      <c r="W437" s="41">
        <f t="shared" si="48"/>
        <v>45170</v>
      </c>
      <c r="X437" s="5">
        <v>212</v>
      </c>
    </row>
    <row r="438" spans="1:24" ht="15.75" customHeight="1" x14ac:dyDescent="0.3">
      <c r="A438" s="4">
        <v>1437</v>
      </c>
      <c r="B438" s="5" t="s">
        <v>569</v>
      </c>
      <c r="C438" s="6">
        <v>45176.395833333336</v>
      </c>
      <c r="D438" s="5" t="s">
        <v>14</v>
      </c>
      <c r="E438" s="5" t="s">
        <v>187</v>
      </c>
      <c r="F438" s="5" t="s">
        <v>24</v>
      </c>
      <c r="G438" s="5" t="s">
        <v>39</v>
      </c>
      <c r="H438" s="5">
        <v>221</v>
      </c>
      <c r="I438" s="5">
        <v>29</v>
      </c>
      <c r="J438" s="5" t="s">
        <v>18</v>
      </c>
      <c r="K438" s="5" t="s">
        <v>19</v>
      </c>
      <c r="L438" s="5" t="s">
        <v>40</v>
      </c>
      <c r="M438" s="7" t="s">
        <v>41</v>
      </c>
      <c r="N438" s="26">
        <f t="shared" si="42"/>
        <v>0</v>
      </c>
      <c r="O438" s="42">
        <f t="shared" si="43"/>
        <v>45176</v>
      </c>
      <c r="P438" s="5" t="str">
        <f t="shared" si="44"/>
        <v>Thursday</v>
      </c>
      <c r="Q438" s="5">
        <f t="shared" si="45"/>
        <v>9</v>
      </c>
      <c r="R438" s="28">
        <f t="shared" si="46"/>
        <v>0.88400000000000001</v>
      </c>
      <c r="S438" s="29">
        <f t="shared" si="47"/>
        <v>88.4</v>
      </c>
      <c r="T438" s="5" t="str">
        <f>IF(Delivery_Data3[[#This Row],[Delays (min)]]&gt;0,"No","Yes")</f>
        <v>No</v>
      </c>
      <c r="W438" s="41">
        <f t="shared" si="48"/>
        <v>45176</v>
      </c>
      <c r="X438" s="5">
        <v>221</v>
      </c>
    </row>
    <row r="439" spans="1:24" ht="15.75" customHeight="1" x14ac:dyDescent="0.3">
      <c r="A439" s="4">
        <v>1438</v>
      </c>
      <c r="B439" s="5" t="s">
        <v>570</v>
      </c>
      <c r="C439" s="6">
        <v>45177.65625</v>
      </c>
      <c r="D439" s="5" t="s">
        <v>14</v>
      </c>
      <c r="E439" s="5" t="s">
        <v>106</v>
      </c>
      <c r="F439" s="5" t="s">
        <v>24</v>
      </c>
      <c r="G439" s="5" t="s">
        <v>17</v>
      </c>
      <c r="H439" s="5">
        <v>178</v>
      </c>
      <c r="I439" s="5">
        <v>12</v>
      </c>
      <c r="J439" s="5" t="s">
        <v>26</v>
      </c>
      <c r="K439" s="5" t="s">
        <v>27</v>
      </c>
      <c r="L439" s="5" t="s">
        <v>20</v>
      </c>
      <c r="M439" s="7" t="s">
        <v>41</v>
      </c>
      <c r="N439" s="26">
        <f t="shared" si="42"/>
        <v>1</v>
      </c>
      <c r="O439" s="42">
        <f t="shared" si="43"/>
        <v>45177</v>
      </c>
      <c r="P439" s="5" t="str">
        <f t="shared" si="44"/>
        <v>Friday</v>
      </c>
      <c r="Q439" s="5">
        <f t="shared" si="45"/>
        <v>15</v>
      </c>
      <c r="R439" s="28">
        <f t="shared" si="46"/>
        <v>0.93684210526315792</v>
      </c>
      <c r="S439" s="29">
        <f t="shared" si="47"/>
        <v>93.684210526315795</v>
      </c>
      <c r="T439" s="5" t="str">
        <f>IF(Delivery_Data3[[#This Row],[Delays (min)]]&gt;0,"No","Yes")</f>
        <v>No</v>
      </c>
      <c r="W439" s="41">
        <f t="shared" si="48"/>
        <v>45177</v>
      </c>
      <c r="X439" s="5">
        <v>178</v>
      </c>
    </row>
    <row r="440" spans="1:24" ht="15.75" customHeight="1" x14ac:dyDescent="0.3">
      <c r="A440" s="4">
        <v>1439</v>
      </c>
      <c r="B440" s="5" t="s">
        <v>571</v>
      </c>
      <c r="C440" s="6">
        <v>45173.672222222223</v>
      </c>
      <c r="D440" s="5" t="s">
        <v>14</v>
      </c>
      <c r="E440" s="5" t="s">
        <v>245</v>
      </c>
      <c r="F440" s="5" t="s">
        <v>38</v>
      </c>
      <c r="G440" s="5" t="s">
        <v>31</v>
      </c>
      <c r="H440" s="5">
        <v>200</v>
      </c>
      <c r="I440" s="5">
        <v>20</v>
      </c>
      <c r="J440" s="5" t="s">
        <v>26</v>
      </c>
      <c r="K440" s="5" t="s">
        <v>27</v>
      </c>
      <c r="L440" s="5" t="s">
        <v>40</v>
      </c>
      <c r="M440" s="7" t="s">
        <v>41</v>
      </c>
      <c r="N440" s="26">
        <f t="shared" si="42"/>
        <v>1</v>
      </c>
      <c r="O440" s="42">
        <f t="shared" si="43"/>
        <v>45173</v>
      </c>
      <c r="P440" s="5" t="str">
        <f t="shared" si="44"/>
        <v>Monday</v>
      </c>
      <c r="Q440" s="5">
        <f t="shared" si="45"/>
        <v>16</v>
      </c>
      <c r="R440" s="28">
        <f t="shared" si="46"/>
        <v>0.90909090909090906</v>
      </c>
      <c r="S440" s="29">
        <f t="shared" si="47"/>
        <v>90.909090909090907</v>
      </c>
      <c r="T440" s="5" t="str">
        <f>IF(Delivery_Data3[[#This Row],[Delays (min)]]&gt;0,"No","Yes")</f>
        <v>No</v>
      </c>
      <c r="W440" s="41">
        <f t="shared" si="48"/>
        <v>45173</v>
      </c>
      <c r="X440" s="5">
        <v>200</v>
      </c>
    </row>
    <row r="441" spans="1:24" ht="15.75" customHeight="1" x14ac:dyDescent="0.3">
      <c r="A441" s="4">
        <v>1440</v>
      </c>
      <c r="B441" s="5" t="s">
        <v>572</v>
      </c>
      <c r="C441" s="6">
        <v>45175.382638888892</v>
      </c>
      <c r="D441" s="5" t="s">
        <v>14</v>
      </c>
      <c r="E441" s="5" t="s">
        <v>122</v>
      </c>
      <c r="F441" s="5" t="s">
        <v>38</v>
      </c>
      <c r="G441" s="5" t="s">
        <v>31</v>
      </c>
      <c r="H441" s="5">
        <v>107</v>
      </c>
      <c r="I441" s="5">
        <v>9</v>
      </c>
      <c r="J441" s="5" t="s">
        <v>18</v>
      </c>
      <c r="K441" s="5" t="s">
        <v>27</v>
      </c>
      <c r="L441" s="5" t="s">
        <v>20</v>
      </c>
      <c r="M441" s="7" t="s">
        <v>41</v>
      </c>
      <c r="N441" s="26">
        <f t="shared" si="42"/>
        <v>0</v>
      </c>
      <c r="O441" s="42">
        <f t="shared" si="43"/>
        <v>45175</v>
      </c>
      <c r="P441" s="5" t="str">
        <f t="shared" si="44"/>
        <v>Wednesday</v>
      </c>
      <c r="Q441" s="5">
        <f t="shared" si="45"/>
        <v>9</v>
      </c>
      <c r="R441" s="28">
        <f t="shared" si="46"/>
        <v>0.92241379310344829</v>
      </c>
      <c r="S441" s="29">
        <f t="shared" si="47"/>
        <v>92.241379310344826</v>
      </c>
      <c r="T441" s="5" t="str">
        <f>IF(Delivery_Data3[[#This Row],[Delays (min)]]&gt;0,"No","Yes")</f>
        <v>No</v>
      </c>
      <c r="W441" s="41">
        <f t="shared" si="48"/>
        <v>45175</v>
      </c>
      <c r="X441" s="5">
        <v>107</v>
      </c>
    </row>
    <row r="442" spans="1:24" ht="15.75" customHeight="1" x14ac:dyDescent="0.3">
      <c r="A442" s="4">
        <v>1441</v>
      </c>
      <c r="B442" s="5" t="s">
        <v>573</v>
      </c>
      <c r="C442" s="6">
        <v>45170.665972222225</v>
      </c>
      <c r="D442" s="5" t="s">
        <v>14</v>
      </c>
      <c r="E442" s="5" t="s">
        <v>23</v>
      </c>
      <c r="F442" s="5" t="s">
        <v>24</v>
      </c>
      <c r="G442" s="5" t="s">
        <v>25</v>
      </c>
      <c r="H442" s="5">
        <v>170</v>
      </c>
      <c r="I442" s="5">
        <v>1</v>
      </c>
      <c r="J442" s="5" t="s">
        <v>18</v>
      </c>
      <c r="K442" s="5" t="s">
        <v>35</v>
      </c>
      <c r="L442" s="5" t="s">
        <v>40</v>
      </c>
      <c r="M442" s="7" t="s">
        <v>46</v>
      </c>
      <c r="N442" s="26">
        <f t="shared" si="42"/>
        <v>0</v>
      </c>
      <c r="O442" s="42">
        <f t="shared" si="43"/>
        <v>45170</v>
      </c>
      <c r="P442" s="5" t="str">
        <f t="shared" si="44"/>
        <v>Friday</v>
      </c>
      <c r="Q442" s="5">
        <f t="shared" si="45"/>
        <v>15</v>
      </c>
      <c r="R442" s="28">
        <f t="shared" si="46"/>
        <v>0.99415204678362568</v>
      </c>
      <c r="S442" s="29">
        <f t="shared" si="47"/>
        <v>99.415204678362571</v>
      </c>
      <c r="T442" s="5" t="str">
        <f>IF(Delivery_Data3[[#This Row],[Delays (min)]]&gt;0,"No","Yes")</f>
        <v>No</v>
      </c>
      <c r="W442" s="41">
        <f t="shared" si="48"/>
        <v>45170</v>
      </c>
      <c r="X442" s="5">
        <v>170</v>
      </c>
    </row>
    <row r="443" spans="1:24" ht="15.75" customHeight="1" x14ac:dyDescent="0.3">
      <c r="A443" s="4">
        <v>1442</v>
      </c>
      <c r="B443" s="5" t="s">
        <v>574</v>
      </c>
      <c r="C443" s="6">
        <v>45172.519444444442</v>
      </c>
      <c r="D443" s="5" t="s">
        <v>14</v>
      </c>
      <c r="E443" s="5" t="s">
        <v>149</v>
      </c>
      <c r="F443" s="5" t="s">
        <v>24</v>
      </c>
      <c r="G443" s="5" t="s">
        <v>31</v>
      </c>
      <c r="H443" s="5">
        <v>208</v>
      </c>
      <c r="I443" s="5">
        <v>23</v>
      </c>
      <c r="J443" s="5" t="s">
        <v>26</v>
      </c>
      <c r="K443" s="5" t="s">
        <v>19</v>
      </c>
      <c r="L443" s="5" t="s">
        <v>28</v>
      </c>
      <c r="M443" s="7" t="s">
        <v>41</v>
      </c>
      <c r="N443" s="26">
        <f t="shared" si="42"/>
        <v>1</v>
      </c>
      <c r="O443" s="42">
        <f t="shared" si="43"/>
        <v>45172</v>
      </c>
      <c r="P443" s="5" t="str">
        <f t="shared" si="44"/>
        <v>Sunday</v>
      </c>
      <c r="Q443" s="5">
        <f t="shared" si="45"/>
        <v>12</v>
      </c>
      <c r="R443" s="28">
        <f t="shared" si="46"/>
        <v>0.90043290043290047</v>
      </c>
      <c r="S443" s="29">
        <f t="shared" si="47"/>
        <v>90.043290043290042</v>
      </c>
      <c r="T443" s="5" t="str">
        <f>IF(Delivery_Data3[[#This Row],[Delays (min)]]&gt;0,"No","Yes")</f>
        <v>No</v>
      </c>
      <c r="W443" s="41">
        <f t="shared" si="48"/>
        <v>45172</v>
      </c>
      <c r="X443" s="5">
        <v>208</v>
      </c>
    </row>
    <row r="444" spans="1:24" ht="15.75" customHeight="1" x14ac:dyDescent="0.3">
      <c r="A444" s="4">
        <v>1443</v>
      </c>
      <c r="B444" s="5" t="s">
        <v>575</v>
      </c>
      <c r="C444" s="6">
        <v>45174.618055555555</v>
      </c>
      <c r="D444" s="5" t="s">
        <v>43</v>
      </c>
      <c r="E444" s="5" t="s">
        <v>126</v>
      </c>
      <c r="F444" s="5" t="s">
        <v>38</v>
      </c>
      <c r="G444" s="5" t="s">
        <v>31</v>
      </c>
      <c r="H444" s="5">
        <v>87</v>
      </c>
      <c r="I444" s="5">
        <v>7</v>
      </c>
      <c r="J444" s="5" t="s">
        <v>32</v>
      </c>
      <c r="K444" s="5" t="s">
        <v>45</v>
      </c>
      <c r="L444" s="5" t="s">
        <v>40</v>
      </c>
      <c r="M444" s="7" t="s">
        <v>21</v>
      </c>
      <c r="N444" s="26">
        <f t="shared" si="42"/>
        <v>-1</v>
      </c>
      <c r="O444" s="42">
        <f t="shared" si="43"/>
        <v>45174</v>
      </c>
      <c r="P444" s="5" t="str">
        <f t="shared" si="44"/>
        <v>Tuesday</v>
      </c>
      <c r="Q444" s="5">
        <f t="shared" si="45"/>
        <v>14</v>
      </c>
      <c r="R444" s="28">
        <f t="shared" si="46"/>
        <v>0.92553191489361697</v>
      </c>
      <c r="S444" s="29">
        <f t="shared" si="47"/>
        <v>92.553191489361694</v>
      </c>
      <c r="T444" s="5" t="str">
        <f>IF(Delivery_Data3[[#This Row],[Delays (min)]]&gt;0,"No","Yes")</f>
        <v>No</v>
      </c>
      <c r="W444" s="41">
        <f t="shared" si="48"/>
        <v>45174</v>
      </c>
      <c r="X444" s="5">
        <v>87</v>
      </c>
    </row>
    <row r="445" spans="1:24" ht="15.75" customHeight="1" x14ac:dyDescent="0.3">
      <c r="A445" s="4">
        <v>1444</v>
      </c>
      <c r="B445" s="5" t="s">
        <v>576</v>
      </c>
      <c r="C445" s="6">
        <v>45176.444444444445</v>
      </c>
      <c r="D445" s="5" t="s">
        <v>14</v>
      </c>
      <c r="E445" s="5" t="s">
        <v>151</v>
      </c>
      <c r="F445" s="5" t="s">
        <v>24</v>
      </c>
      <c r="G445" s="5" t="s">
        <v>31</v>
      </c>
      <c r="H445" s="5">
        <v>167</v>
      </c>
      <c r="I445" s="5">
        <v>8</v>
      </c>
      <c r="J445" s="5" t="s">
        <v>18</v>
      </c>
      <c r="K445" s="5" t="s">
        <v>49</v>
      </c>
      <c r="L445" s="5" t="s">
        <v>40</v>
      </c>
      <c r="M445" s="7" t="s">
        <v>46</v>
      </c>
      <c r="N445" s="26">
        <f t="shared" si="42"/>
        <v>0</v>
      </c>
      <c r="O445" s="42">
        <f t="shared" si="43"/>
        <v>45176</v>
      </c>
      <c r="P445" s="5" t="str">
        <f t="shared" si="44"/>
        <v>Thursday</v>
      </c>
      <c r="Q445" s="5">
        <f t="shared" si="45"/>
        <v>10</v>
      </c>
      <c r="R445" s="28">
        <f t="shared" si="46"/>
        <v>0.95428571428571429</v>
      </c>
      <c r="S445" s="29">
        <f t="shared" si="47"/>
        <v>95.428571428571431</v>
      </c>
      <c r="T445" s="5" t="str">
        <f>IF(Delivery_Data3[[#This Row],[Delays (min)]]&gt;0,"No","Yes")</f>
        <v>No</v>
      </c>
      <c r="W445" s="41">
        <f t="shared" si="48"/>
        <v>45176</v>
      </c>
      <c r="X445" s="5">
        <v>167</v>
      </c>
    </row>
    <row r="446" spans="1:24" ht="15.75" customHeight="1" x14ac:dyDescent="0.3">
      <c r="A446" s="4">
        <v>1445</v>
      </c>
      <c r="B446" s="5" t="s">
        <v>577</v>
      </c>
      <c r="C446" s="6">
        <v>45171.381249999999</v>
      </c>
      <c r="D446" s="5" t="s">
        <v>43</v>
      </c>
      <c r="E446" s="5" t="s">
        <v>211</v>
      </c>
      <c r="F446" s="5" t="s">
        <v>38</v>
      </c>
      <c r="G446" s="5" t="s">
        <v>17</v>
      </c>
      <c r="H446" s="5">
        <v>81</v>
      </c>
      <c r="I446" s="5">
        <v>2</v>
      </c>
      <c r="J446" s="5" t="s">
        <v>32</v>
      </c>
      <c r="K446" s="5" t="s">
        <v>45</v>
      </c>
      <c r="L446" s="5" t="s">
        <v>28</v>
      </c>
      <c r="M446" s="7" t="s">
        <v>41</v>
      </c>
      <c r="N446" s="26">
        <f t="shared" si="42"/>
        <v>-1</v>
      </c>
      <c r="O446" s="42">
        <f t="shared" si="43"/>
        <v>45171</v>
      </c>
      <c r="P446" s="5" t="str">
        <f t="shared" si="44"/>
        <v>Saturday</v>
      </c>
      <c r="Q446" s="5">
        <f t="shared" si="45"/>
        <v>9</v>
      </c>
      <c r="R446" s="28">
        <f t="shared" si="46"/>
        <v>0.97590361445783136</v>
      </c>
      <c r="S446" s="29">
        <f t="shared" si="47"/>
        <v>97.590361445783131</v>
      </c>
      <c r="T446" s="5" t="str">
        <f>IF(Delivery_Data3[[#This Row],[Delays (min)]]&gt;0,"No","Yes")</f>
        <v>No</v>
      </c>
      <c r="W446" s="41">
        <f t="shared" si="48"/>
        <v>45171</v>
      </c>
      <c r="X446" s="5">
        <v>81</v>
      </c>
    </row>
    <row r="447" spans="1:24" ht="15.75" customHeight="1" x14ac:dyDescent="0.3">
      <c r="A447" s="4">
        <v>1446</v>
      </c>
      <c r="B447" s="5" t="s">
        <v>578</v>
      </c>
      <c r="C447" s="6">
        <v>45173.418749999997</v>
      </c>
      <c r="D447" s="5" t="s">
        <v>14</v>
      </c>
      <c r="E447" s="5" t="s">
        <v>182</v>
      </c>
      <c r="F447" s="5" t="s">
        <v>24</v>
      </c>
      <c r="G447" s="5" t="s">
        <v>56</v>
      </c>
      <c r="H447" s="5">
        <v>179</v>
      </c>
      <c r="I447" s="5">
        <v>25</v>
      </c>
      <c r="J447" s="5" t="s">
        <v>32</v>
      </c>
      <c r="K447" s="5" t="s">
        <v>19</v>
      </c>
      <c r="L447" s="5" t="s">
        <v>20</v>
      </c>
      <c r="M447" s="7" t="s">
        <v>41</v>
      </c>
      <c r="N447" s="26">
        <f t="shared" si="42"/>
        <v>-1</v>
      </c>
      <c r="O447" s="42">
        <f t="shared" si="43"/>
        <v>45173</v>
      </c>
      <c r="P447" s="5" t="str">
        <f t="shared" si="44"/>
        <v>Monday</v>
      </c>
      <c r="Q447" s="5">
        <f t="shared" si="45"/>
        <v>10</v>
      </c>
      <c r="R447" s="28">
        <f t="shared" si="46"/>
        <v>0.87745098039215685</v>
      </c>
      <c r="S447" s="29">
        <f t="shared" si="47"/>
        <v>87.745098039215691</v>
      </c>
      <c r="T447" s="5" t="str">
        <f>IF(Delivery_Data3[[#This Row],[Delays (min)]]&gt;0,"No","Yes")</f>
        <v>No</v>
      </c>
      <c r="W447" s="41">
        <f t="shared" si="48"/>
        <v>45173</v>
      </c>
      <c r="X447" s="5">
        <v>179</v>
      </c>
    </row>
    <row r="448" spans="1:24" ht="15.75" customHeight="1" x14ac:dyDescent="0.3">
      <c r="A448" s="4">
        <v>1447</v>
      </c>
      <c r="B448" s="5" t="s">
        <v>579</v>
      </c>
      <c r="C448" s="6">
        <v>45173.677777777775</v>
      </c>
      <c r="D448" s="5" t="s">
        <v>43</v>
      </c>
      <c r="E448" s="5" t="s">
        <v>267</v>
      </c>
      <c r="F448" s="5" t="s">
        <v>38</v>
      </c>
      <c r="G448" s="5" t="s">
        <v>56</v>
      </c>
      <c r="H448" s="5">
        <v>170</v>
      </c>
      <c r="I448" s="5">
        <v>13</v>
      </c>
      <c r="J448" s="5" t="s">
        <v>32</v>
      </c>
      <c r="K448" s="5" t="s">
        <v>49</v>
      </c>
      <c r="L448" s="5" t="s">
        <v>20</v>
      </c>
      <c r="M448" s="7" t="s">
        <v>46</v>
      </c>
      <c r="N448" s="26">
        <f t="shared" si="42"/>
        <v>-1</v>
      </c>
      <c r="O448" s="42">
        <f t="shared" si="43"/>
        <v>45173</v>
      </c>
      <c r="P448" s="5" t="str">
        <f t="shared" si="44"/>
        <v>Monday</v>
      </c>
      <c r="Q448" s="5">
        <f t="shared" si="45"/>
        <v>16</v>
      </c>
      <c r="R448" s="28">
        <f t="shared" si="46"/>
        <v>0.92896174863387981</v>
      </c>
      <c r="S448" s="29">
        <f t="shared" si="47"/>
        <v>92.896174863387984</v>
      </c>
      <c r="T448" s="5" t="str">
        <f>IF(Delivery_Data3[[#This Row],[Delays (min)]]&gt;0,"No","Yes")</f>
        <v>No</v>
      </c>
      <c r="W448" s="41">
        <f t="shared" si="48"/>
        <v>45173</v>
      </c>
      <c r="X448" s="5">
        <v>170</v>
      </c>
    </row>
    <row r="449" spans="1:24" ht="15.75" customHeight="1" x14ac:dyDescent="0.3">
      <c r="A449" s="4">
        <v>1448</v>
      </c>
      <c r="B449" s="5" t="s">
        <v>580</v>
      </c>
      <c r="C449" s="6">
        <v>45173.63958333333</v>
      </c>
      <c r="D449" s="5" t="s">
        <v>14</v>
      </c>
      <c r="E449" s="5" t="s">
        <v>160</v>
      </c>
      <c r="F449" s="5" t="s">
        <v>16</v>
      </c>
      <c r="G449" s="5" t="s">
        <v>56</v>
      </c>
      <c r="H449" s="5">
        <v>206</v>
      </c>
      <c r="I449" s="5">
        <v>3</v>
      </c>
      <c r="J449" s="5" t="s">
        <v>18</v>
      </c>
      <c r="K449" s="5" t="s">
        <v>45</v>
      </c>
      <c r="L449" s="5" t="s">
        <v>28</v>
      </c>
      <c r="M449" s="7" t="s">
        <v>46</v>
      </c>
      <c r="N449" s="26">
        <f t="shared" si="42"/>
        <v>0</v>
      </c>
      <c r="O449" s="42">
        <f t="shared" si="43"/>
        <v>45173</v>
      </c>
      <c r="P449" s="5" t="str">
        <f t="shared" si="44"/>
        <v>Monday</v>
      </c>
      <c r="Q449" s="5">
        <f t="shared" si="45"/>
        <v>15</v>
      </c>
      <c r="R449" s="28">
        <f t="shared" si="46"/>
        <v>0.9856459330143541</v>
      </c>
      <c r="S449" s="29">
        <f t="shared" si="47"/>
        <v>98.564593301435409</v>
      </c>
      <c r="T449" s="5" t="str">
        <f>IF(Delivery_Data3[[#This Row],[Delays (min)]]&gt;0,"No","Yes")</f>
        <v>No</v>
      </c>
      <c r="W449" s="41">
        <f t="shared" si="48"/>
        <v>45173</v>
      </c>
      <c r="X449" s="5">
        <v>206</v>
      </c>
    </row>
    <row r="450" spans="1:24" ht="15.75" customHeight="1" x14ac:dyDescent="0.3">
      <c r="A450" s="4">
        <v>1449</v>
      </c>
      <c r="B450" s="5" t="s">
        <v>581</v>
      </c>
      <c r="C450" s="6">
        <v>45176.598611111112</v>
      </c>
      <c r="D450" s="5" t="s">
        <v>14</v>
      </c>
      <c r="E450" s="5" t="s">
        <v>34</v>
      </c>
      <c r="F450" s="5" t="s">
        <v>24</v>
      </c>
      <c r="G450" s="5" t="s">
        <v>56</v>
      </c>
      <c r="H450" s="5">
        <v>176</v>
      </c>
      <c r="I450" s="5">
        <v>16</v>
      </c>
      <c r="J450" s="5" t="s">
        <v>26</v>
      </c>
      <c r="K450" s="5" t="s">
        <v>27</v>
      </c>
      <c r="L450" s="5" t="s">
        <v>40</v>
      </c>
      <c r="M450" s="7" t="s">
        <v>21</v>
      </c>
      <c r="N450" s="26">
        <f t="shared" ref="N450:N513" si="49">IF(J450="Positive",1,IF(J450="Neutral",0,IF(J450="Negative",-1,"")))</f>
        <v>1</v>
      </c>
      <c r="O450" s="42">
        <f t="shared" ref="O450:O513" si="50">INT(C450)</f>
        <v>45176</v>
      </c>
      <c r="P450" s="5" t="str">
        <f t="shared" ref="P450:P513" si="51">TEXT(C450,"dddd")</f>
        <v>Thursday</v>
      </c>
      <c r="Q450" s="5">
        <f t="shared" ref="Q450:Q513" si="52">HOUR(C450)</f>
        <v>14</v>
      </c>
      <c r="R450" s="28">
        <f t="shared" ref="R450:R513" si="53">H450/(H450+I450)</f>
        <v>0.91666666666666663</v>
      </c>
      <c r="S450" s="29">
        <f t="shared" si="47"/>
        <v>91.666666666666657</v>
      </c>
      <c r="T450" s="5" t="str">
        <f>IF(Delivery_Data3[[#This Row],[Delays (min)]]&gt;0,"No","Yes")</f>
        <v>No</v>
      </c>
      <c r="W450" s="41">
        <f t="shared" si="48"/>
        <v>45176</v>
      </c>
      <c r="X450" s="5">
        <v>176</v>
      </c>
    </row>
    <row r="451" spans="1:24" ht="15.75" customHeight="1" x14ac:dyDescent="0.3">
      <c r="A451" s="4">
        <v>1450</v>
      </c>
      <c r="B451" s="5" t="s">
        <v>582</v>
      </c>
      <c r="C451" s="6">
        <v>45177.668749999997</v>
      </c>
      <c r="D451" s="5" t="s">
        <v>43</v>
      </c>
      <c r="E451" s="5" t="s">
        <v>211</v>
      </c>
      <c r="F451" s="5" t="s">
        <v>24</v>
      </c>
      <c r="G451" s="5" t="s">
        <v>17</v>
      </c>
      <c r="H451" s="5">
        <v>75</v>
      </c>
      <c r="I451" s="5">
        <v>7</v>
      </c>
      <c r="J451" s="5" t="s">
        <v>18</v>
      </c>
      <c r="K451" s="5" t="s">
        <v>45</v>
      </c>
      <c r="L451" s="5" t="s">
        <v>20</v>
      </c>
      <c r="M451" s="7" t="s">
        <v>46</v>
      </c>
      <c r="N451" s="26">
        <f t="shared" si="49"/>
        <v>0</v>
      </c>
      <c r="O451" s="42">
        <f t="shared" si="50"/>
        <v>45177</v>
      </c>
      <c r="P451" s="5" t="str">
        <f t="shared" si="51"/>
        <v>Friday</v>
      </c>
      <c r="Q451" s="5">
        <f t="shared" si="52"/>
        <v>16</v>
      </c>
      <c r="R451" s="28">
        <f t="shared" si="53"/>
        <v>0.91463414634146345</v>
      </c>
      <c r="S451" s="29">
        <f t="shared" ref="S451:S514" si="54">IF(H451+I451=0,0,(H451/(H451+I451))*100) + (IFERROR(--J451,0)*10)</f>
        <v>91.463414634146346</v>
      </c>
      <c r="T451" s="5" t="str">
        <f>IF(Delivery_Data3[[#This Row],[Delays (min)]]&gt;0,"No","Yes")</f>
        <v>No</v>
      </c>
      <c r="W451" s="41">
        <f t="shared" ref="W451:W514" si="55">INT(C451)</f>
        <v>45177</v>
      </c>
      <c r="X451" s="5">
        <v>75</v>
      </c>
    </row>
    <row r="452" spans="1:24" ht="15.75" customHeight="1" x14ac:dyDescent="0.3">
      <c r="A452" s="4">
        <v>1451</v>
      </c>
      <c r="B452" s="5" t="s">
        <v>583</v>
      </c>
      <c r="C452" s="6">
        <v>45172.681944444441</v>
      </c>
      <c r="D452" s="5" t="s">
        <v>43</v>
      </c>
      <c r="E452" s="5" t="s">
        <v>154</v>
      </c>
      <c r="F452" s="5" t="s">
        <v>16</v>
      </c>
      <c r="G452" s="5" t="s">
        <v>17</v>
      </c>
      <c r="H452" s="5">
        <v>105</v>
      </c>
      <c r="I452" s="5">
        <v>12</v>
      </c>
      <c r="J452" s="5" t="s">
        <v>18</v>
      </c>
      <c r="K452" s="5" t="s">
        <v>19</v>
      </c>
      <c r="L452" s="5" t="s">
        <v>40</v>
      </c>
      <c r="M452" s="7" t="s">
        <v>21</v>
      </c>
      <c r="N452" s="26">
        <f t="shared" si="49"/>
        <v>0</v>
      </c>
      <c r="O452" s="42">
        <f t="shared" si="50"/>
        <v>45172</v>
      </c>
      <c r="P452" s="5" t="str">
        <f t="shared" si="51"/>
        <v>Sunday</v>
      </c>
      <c r="Q452" s="5">
        <f t="shared" si="52"/>
        <v>16</v>
      </c>
      <c r="R452" s="28">
        <f t="shared" si="53"/>
        <v>0.89743589743589747</v>
      </c>
      <c r="S452" s="29">
        <f t="shared" si="54"/>
        <v>89.743589743589752</v>
      </c>
      <c r="T452" s="5" t="str">
        <f>IF(Delivery_Data3[[#This Row],[Delays (min)]]&gt;0,"No","Yes")</f>
        <v>No</v>
      </c>
      <c r="W452" s="41">
        <f t="shared" si="55"/>
        <v>45172</v>
      </c>
      <c r="X452" s="5">
        <v>105</v>
      </c>
    </row>
    <row r="453" spans="1:24" ht="15.75" customHeight="1" x14ac:dyDescent="0.3">
      <c r="A453" s="4">
        <v>1452</v>
      </c>
      <c r="B453" s="5" t="s">
        <v>584</v>
      </c>
      <c r="C453" s="6">
        <v>45172.552777777775</v>
      </c>
      <c r="D453" s="5" t="s">
        <v>43</v>
      </c>
      <c r="E453" s="5" t="s">
        <v>53</v>
      </c>
      <c r="F453" s="5" t="s">
        <v>24</v>
      </c>
      <c r="G453" s="5" t="s">
        <v>17</v>
      </c>
      <c r="H453" s="5">
        <v>136</v>
      </c>
      <c r="I453" s="5">
        <v>18</v>
      </c>
      <c r="J453" s="5" t="s">
        <v>26</v>
      </c>
      <c r="K453" s="5" t="s">
        <v>19</v>
      </c>
      <c r="L453" s="5" t="s">
        <v>20</v>
      </c>
      <c r="M453" s="7" t="s">
        <v>46</v>
      </c>
      <c r="N453" s="26">
        <f t="shared" si="49"/>
        <v>1</v>
      </c>
      <c r="O453" s="42">
        <f t="shared" si="50"/>
        <v>45172</v>
      </c>
      <c r="P453" s="5" t="str">
        <f t="shared" si="51"/>
        <v>Sunday</v>
      </c>
      <c r="Q453" s="5">
        <f t="shared" si="52"/>
        <v>13</v>
      </c>
      <c r="R453" s="28">
        <f t="shared" si="53"/>
        <v>0.88311688311688308</v>
      </c>
      <c r="S453" s="29">
        <f t="shared" si="54"/>
        <v>88.311688311688314</v>
      </c>
      <c r="T453" s="5" t="str">
        <f>IF(Delivery_Data3[[#This Row],[Delays (min)]]&gt;0,"No","Yes")</f>
        <v>No</v>
      </c>
      <c r="W453" s="41">
        <f t="shared" si="55"/>
        <v>45172</v>
      </c>
      <c r="X453" s="5">
        <v>136</v>
      </c>
    </row>
    <row r="454" spans="1:24" ht="15.75" customHeight="1" x14ac:dyDescent="0.3">
      <c r="A454" s="4">
        <v>1453</v>
      </c>
      <c r="B454" s="5" t="s">
        <v>585</v>
      </c>
      <c r="C454" s="6">
        <v>45171.505555555559</v>
      </c>
      <c r="D454" s="5" t="s">
        <v>43</v>
      </c>
      <c r="E454" s="5" t="s">
        <v>85</v>
      </c>
      <c r="F454" s="5" t="s">
        <v>24</v>
      </c>
      <c r="G454" s="5" t="s">
        <v>31</v>
      </c>
      <c r="H454" s="5">
        <v>235</v>
      </c>
      <c r="I454" s="5">
        <v>27</v>
      </c>
      <c r="J454" s="5" t="s">
        <v>32</v>
      </c>
      <c r="K454" s="5" t="s">
        <v>35</v>
      </c>
      <c r="L454" s="5" t="s">
        <v>40</v>
      </c>
      <c r="M454" s="7" t="s">
        <v>21</v>
      </c>
      <c r="N454" s="26">
        <f t="shared" si="49"/>
        <v>-1</v>
      </c>
      <c r="O454" s="42">
        <f t="shared" si="50"/>
        <v>45171</v>
      </c>
      <c r="P454" s="5" t="str">
        <f t="shared" si="51"/>
        <v>Saturday</v>
      </c>
      <c r="Q454" s="5">
        <f t="shared" si="52"/>
        <v>12</v>
      </c>
      <c r="R454" s="28">
        <f t="shared" si="53"/>
        <v>0.89694656488549618</v>
      </c>
      <c r="S454" s="29">
        <f t="shared" si="54"/>
        <v>89.694656488549612</v>
      </c>
      <c r="T454" s="5" t="str">
        <f>IF(Delivery_Data3[[#This Row],[Delays (min)]]&gt;0,"No","Yes")</f>
        <v>No</v>
      </c>
      <c r="W454" s="41">
        <f t="shared" si="55"/>
        <v>45171</v>
      </c>
      <c r="X454" s="5">
        <v>235</v>
      </c>
    </row>
    <row r="455" spans="1:24" ht="15.75" customHeight="1" x14ac:dyDescent="0.3">
      <c r="A455" s="4">
        <v>1454</v>
      </c>
      <c r="B455" s="5" t="s">
        <v>586</v>
      </c>
      <c r="C455" s="6">
        <v>45173.697222222225</v>
      </c>
      <c r="D455" s="5" t="s">
        <v>43</v>
      </c>
      <c r="E455" s="5" t="s">
        <v>304</v>
      </c>
      <c r="F455" s="5" t="s">
        <v>24</v>
      </c>
      <c r="G455" s="5" t="s">
        <v>39</v>
      </c>
      <c r="H455" s="5">
        <v>79</v>
      </c>
      <c r="I455" s="5">
        <v>3</v>
      </c>
      <c r="J455" s="5" t="s">
        <v>18</v>
      </c>
      <c r="K455" s="5" t="s">
        <v>27</v>
      </c>
      <c r="L455" s="5" t="s">
        <v>40</v>
      </c>
      <c r="M455" s="7" t="s">
        <v>41</v>
      </c>
      <c r="N455" s="26">
        <f t="shared" si="49"/>
        <v>0</v>
      </c>
      <c r="O455" s="42">
        <f t="shared" si="50"/>
        <v>45173</v>
      </c>
      <c r="P455" s="5" t="str">
        <f t="shared" si="51"/>
        <v>Monday</v>
      </c>
      <c r="Q455" s="5">
        <f t="shared" si="52"/>
        <v>16</v>
      </c>
      <c r="R455" s="28">
        <f t="shared" si="53"/>
        <v>0.96341463414634143</v>
      </c>
      <c r="S455" s="29">
        <f t="shared" si="54"/>
        <v>96.341463414634148</v>
      </c>
      <c r="T455" s="5" t="str">
        <f>IF(Delivery_Data3[[#This Row],[Delays (min)]]&gt;0,"No","Yes")</f>
        <v>No</v>
      </c>
      <c r="W455" s="41">
        <f t="shared" si="55"/>
        <v>45173</v>
      </c>
      <c r="X455" s="5">
        <v>79</v>
      </c>
    </row>
    <row r="456" spans="1:24" ht="15.75" customHeight="1" x14ac:dyDescent="0.3">
      <c r="A456" s="4">
        <v>1455</v>
      </c>
      <c r="B456" s="5" t="s">
        <v>587</v>
      </c>
      <c r="C456" s="6">
        <v>45174.680555555555</v>
      </c>
      <c r="D456" s="5" t="s">
        <v>14</v>
      </c>
      <c r="E456" s="5" t="s">
        <v>87</v>
      </c>
      <c r="F456" s="5" t="s">
        <v>16</v>
      </c>
      <c r="G456" s="5" t="s">
        <v>25</v>
      </c>
      <c r="H456" s="5">
        <v>182</v>
      </c>
      <c r="I456" s="5">
        <v>15</v>
      </c>
      <c r="J456" s="5" t="s">
        <v>32</v>
      </c>
      <c r="K456" s="5" t="s">
        <v>45</v>
      </c>
      <c r="L456" s="5" t="s">
        <v>20</v>
      </c>
      <c r="M456" s="7" t="s">
        <v>21</v>
      </c>
      <c r="N456" s="26">
        <f t="shared" si="49"/>
        <v>-1</v>
      </c>
      <c r="O456" s="42">
        <f t="shared" si="50"/>
        <v>45174</v>
      </c>
      <c r="P456" s="5" t="str">
        <f t="shared" si="51"/>
        <v>Tuesday</v>
      </c>
      <c r="Q456" s="5">
        <f t="shared" si="52"/>
        <v>16</v>
      </c>
      <c r="R456" s="28">
        <f t="shared" si="53"/>
        <v>0.92385786802030456</v>
      </c>
      <c r="S456" s="29">
        <f t="shared" si="54"/>
        <v>92.385786802030452</v>
      </c>
      <c r="T456" s="5" t="str">
        <f>IF(Delivery_Data3[[#This Row],[Delays (min)]]&gt;0,"No","Yes")</f>
        <v>No</v>
      </c>
      <c r="W456" s="41">
        <f t="shared" si="55"/>
        <v>45174</v>
      </c>
      <c r="X456" s="5">
        <v>182</v>
      </c>
    </row>
    <row r="457" spans="1:24" ht="15.75" customHeight="1" x14ac:dyDescent="0.3">
      <c r="A457" s="4">
        <v>1456</v>
      </c>
      <c r="B457" s="5" t="s">
        <v>588</v>
      </c>
      <c r="C457" s="6">
        <v>45174.57708333333</v>
      </c>
      <c r="D457" s="5" t="s">
        <v>43</v>
      </c>
      <c r="E457" s="5" t="s">
        <v>87</v>
      </c>
      <c r="F457" s="5" t="s">
        <v>24</v>
      </c>
      <c r="G457" s="5" t="s">
        <v>39</v>
      </c>
      <c r="H457" s="5">
        <v>212</v>
      </c>
      <c r="I457" s="5">
        <v>20</v>
      </c>
      <c r="J457" s="5" t="s">
        <v>18</v>
      </c>
      <c r="K457" s="5" t="s">
        <v>19</v>
      </c>
      <c r="L457" s="5" t="s">
        <v>40</v>
      </c>
      <c r="M457" s="7" t="s">
        <v>41</v>
      </c>
      <c r="N457" s="26">
        <f t="shared" si="49"/>
        <v>0</v>
      </c>
      <c r="O457" s="42">
        <f t="shared" si="50"/>
        <v>45174</v>
      </c>
      <c r="P457" s="5" t="str">
        <f t="shared" si="51"/>
        <v>Tuesday</v>
      </c>
      <c r="Q457" s="5">
        <f t="shared" si="52"/>
        <v>13</v>
      </c>
      <c r="R457" s="28">
        <f t="shared" si="53"/>
        <v>0.91379310344827591</v>
      </c>
      <c r="S457" s="29">
        <f t="shared" si="54"/>
        <v>91.379310344827587</v>
      </c>
      <c r="T457" s="5" t="str">
        <f>IF(Delivery_Data3[[#This Row],[Delays (min)]]&gt;0,"No","Yes")</f>
        <v>No</v>
      </c>
      <c r="W457" s="41">
        <f t="shared" si="55"/>
        <v>45174</v>
      </c>
      <c r="X457" s="5">
        <v>212</v>
      </c>
    </row>
    <row r="458" spans="1:24" ht="15.75" customHeight="1" x14ac:dyDescent="0.3">
      <c r="A458" s="4">
        <v>1457</v>
      </c>
      <c r="B458" s="5" t="s">
        <v>589</v>
      </c>
      <c r="C458" s="6">
        <v>45176.334722222222</v>
      </c>
      <c r="D458" s="5" t="s">
        <v>43</v>
      </c>
      <c r="E458" s="5" t="s">
        <v>171</v>
      </c>
      <c r="F458" s="5" t="s">
        <v>24</v>
      </c>
      <c r="G458" s="5" t="s">
        <v>17</v>
      </c>
      <c r="H458" s="5">
        <v>198</v>
      </c>
      <c r="I458" s="5">
        <v>28</v>
      </c>
      <c r="J458" s="5" t="s">
        <v>26</v>
      </c>
      <c r="K458" s="5" t="s">
        <v>35</v>
      </c>
      <c r="L458" s="5" t="s">
        <v>20</v>
      </c>
      <c r="M458" s="7" t="s">
        <v>46</v>
      </c>
      <c r="N458" s="26">
        <f t="shared" si="49"/>
        <v>1</v>
      </c>
      <c r="O458" s="42">
        <f t="shared" si="50"/>
        <v>45176</v>
      </c>
      <c r="P458" s="5" t="str">
        <f t="shared" si="51"/>
        <v>Thursday</v>
      </c>
      <c r="Q458" s="5">
        <f t="shared" si="52"/>
        <v>8</v>
      </c>
      <c r="R458" s="28">
        <f t="shared" si="53"/>
        <v>0.87610619469026552</v>
      </c>
      <c r="S458" s="29">
        <f t="shared" si="54"/>
        <v>87.610619469026545</v>
      </c>
      <c r="T458" s="5" t="str">
        <f>IF(Delivery_Data3[[#This Row],[Delays (min)]]&gt;0,"No","Yes")</f>
        <v>No</v>
      </c>
      <c r="W458" s="41">
        <f t="shared" si="55"/>
        <v>45176</v>
      </c>
      <c r="X458" s="5">
        <v>198</v>
      </c>
    </row>
    <row r="459" spans="1:24" ht="15.75" customHeight="1" x14ac:dyDescent="0.3">
      <c r="A459" s="4">
        <v>1458</v>
      </c>
      <c r="B459" s="5" t="s">
        <v>590</v>
      </c>
      <c r="C459" s="6">
        <v>45175.513194444444</v>
      </c>
      <c r="D459" s="5" t="s">
        <v>43</v>
      </c>
      <c r="E459" s="5" t="s">
        <v>120</v>
      </c>
      <c r="F459" s="5" t="s">
        <v>38</v>
      </c>
      <c r="G459" s="5" t="s">
        <v>25</v>
      </c>
      <c r="H459" s="5">
        <v>229</v>
      </c>
      <c r="I459" s="5">
        <v>27</v>
      </c>
      <c r="J459" s="5" t="s">
        <v>26</v>
      </c>
      <c r="K459" s="5" t="s">
        <v>27</v>
      </c>
      <c r="L459" s="5" t="s">
        <v>40</v>
      </c>
      <c r="M459" s="7" t="s">
        <v>41</v>
      </c>
      <c r="N459" s="26">
        <f t="shared" si="49"/>
        <v>1</v>
      </c>
      <c r="O459" s="42">
        <f t="shared" si="50"/>
        <v>45175</v>
      </c>
      <c r="P459" s="5" t="str">
        <f t="shared" si="51"/>
        <v>Wednesday</v>
      </c>
      <c r="Q459" s="5">
        <f t="shared" si="52"/>
        <v>12</v>
      </c>
      <c r="R459" s="28">
        <f t="shared" si="53"/>
        <v>0.89453125</v>
      </c>
      <c r="S459" s="29">
        <f t="shared" si="54"/>
        <v>89.453125</v>
      </c>
      <c r="T459" s="5" t="str">
        <f>IF(Delivery_Data3[[#This Row],[Delays (min)]]&gt;0,"No","Yes")</f>
        <v>No</v>
      </c>
      <c r="W459" s="41">
        <f t="shared" si="55"/>
        <v>45175</v>
      </c>
      <c r="X459" s="5">
        <v>229</v>
      </c>
    </row>
    <row r="460" spans="1:24" ht="15.75" customHeight="1" x14ac:dyDescent="0.3">
      <c r="A460" s="4">
        <v>1459</v>
      </c>
      <c r="B460" s="5" t="s">
        <v>591</v>
      </c>
      <c r="C460" s="6">
        <v>45177.52847222222</v>
      </c>
      <c r="D460" s="5" t="s">
        <v>14</v>
      </c>
      <c r="E460" s="5" t="s">
        <v>154</v>
      </c>
      <c r="F460" s="5" t="s">
        <v>24</v>
      </c>
      <c r="G460" s="5" t="s">
        <v>56</v>
      </c>
      <c r="H460" s="5">
        <v>141</v>
      </c>
      <c r="I460" s="5">
        <v>9</v>
      </c>
      <c r="J460" s="5" t="s">
        <v>26</v>
      </c>
      <c r="K460" s="5" t="s">
        <v>27</v>
      </c>
      <c r="L460" s="5" t="s">
        <v>28</v>
      </c>
      <c r="M460" s="7" t="s">
        <v>21</v>
      </c>
      <c r="N460" s="26">
        <f t="shared" si="49"/>
        <v>1</v>
      </c>
      <c r="O460" s="42">
        <f t="shared" si="50"/>
        <v>45177</v>
      </c>
      <c r="P460" s="5" t="str">
        <f t="shared" si="51"/>
        <v>Friday</v>
      </c>
      <c r="Q460" s="5">
        <f t="shared" si="52"/>
        <v>12</v>
      </c>
      <c r="R460" s="28">
        <f t="shared" si="53"/>
        <v>0.94</v>
      </c>
      <c r="S460" s="29">
        <f t="shared" si="54"/>
        <v>94</v>
      </c>
      <c r="T460" s="5" t="str">
        <f>IF(Delivery_Data3[[#This Row],[Delays (min)]]&gt;0,"No","Yes")</f>
        <v>No</v>
      </c>
      <c r="W460" s="41">
        <f t="shared" si="55"/>
        <v>45177</v>
      </c>
      <c r="X460" s="5">
        <v>141</v>
      </c>
    </row>
    <row r="461" spans="1:24" ht="15.75" customHeight="1" x14ac:dyDescent="0.3">
      <c r="A461" s="4">
        <v>1460</v>
      </c>
      <c r="B461" s="5" t="s">
        <v>592</v>
      </c>
      <c r="C461" s="6">
        <v>45172.574305555558</v>
      </c>
      <c r="D461" s="5" t="s">
        <v>14</v>
      </c>
      <c r="E461" s="5" t="s">
        <v>166</v>
      </c>
      <c r="F461" s="5" t="s">
        <v>38</v>
      </c>
      <c r="G461" s="5" t="s">
        <v>39</v>
      </c>
      <c r="H461" s="5">
        <v>60</v>
      </c>
      <c r="I461" s="5">
        <v>21</v>
      </c>
      <c r="J461" s="5" t="s">
        <v>18</v>
      </c>
      <c r="K461" s="5" t="s">
        <v>45</v>
      </c>
      <c r="L461" s="5" t="s">
        <v>20</v>
      </c>
      <c r="M461" s="7" t="s">
        <v>21</v>
      </c>
      <c r="N461" s="26">
        <f t="shared" si="49"/>
        <v>0</v>
      </c>
      <c r="O461" s="42">
        <f t="shared" si="50"/>
        <v>45172</v>
      </c>
      <c r="P461" s="5" t="str">
        <f t="shared" si="51"/>
        <v>Sunday</v>
      </c>
      <c r="Q461" s="5">
        <f t="shared" si="52"/>
        <v>13</v>
      </c>
      <c r="R461" s="28">
        <f t="shared" si="53"/>
        <v>0.7407407407407407</v>
      </c>
      <c r="S461" s="29">
        <f t="shared" si="54"/>
        <v>74.074074074074076</v>
      </c>
      <c r="T461" s="5" t="str">
        <f>IF(Delivery_Data3[[#This Row],[Delays (min)]]&gt;0,"No","Yes")</f>
        <v>No</v>
      </c>
      <c r="W461" s="41">
        <f t="shared" si="55"/>
        <v>45172</v>
      </c>
      <c r="X461" s="5">
        <v>60</v>
      </c>
    </row>
    <row r="462" spans="1:24" ht="15.75" customHeight="1" x14ac:dyDescent="0.3">
      <c r="A462" s="4">
        <v>1461</v>
      </c>
      <c r="B462" s="5" t="s">
        <v>593</v>
      </c>
      <c r="C462" s="6">
        <v>45171.495833333334</v>
      </c>
      <c r="D462" s="5" t="s">
        <v>43</v>
      </c>
      <c r="E462" s="5" t="s">
        <v>103</v>
      </c>
      <c r="F462" s="5" t="s">
        <v>24</v>
      </c>
      <c r="G462" s="5" t="s">
        <v>31</v>
      </c>
      <c r="H462" s="5">
        <v>174</v>
      </c>
      <c r="I462" s="5">
        <v>19</v>
      </c>
      <c r="J462" s="5" t="s">
        <v>26</v>
      </c>
      <c r="K462" s="5" t="s">
        <v>27</v>
      </c>
      <c r="L462" s="5" t="s">
        <v>20</v>
      </c>
      <c r="M462" s="7" t="s">
        <v>46</v>
      </c>
      <c r="N462" s="26">
        <f t="shared" si="49"/>
        <v>1</v>
      </c>
      <c r="O462" s="42">
        <f t="shared" si="50"/>
        <v>45171</v>
      </c>
      <c r="P462" s="5" t="str">
        <f t="shared" si="51"/>
        <v>Saturday</v>
      </c>
      <c r="Q462" s="5">
        <f t="shared" si="52"/>
        <v>11</v>
      </c>
      <c r="R462" s="28">
        <f t="shared" si="53"/>
        <v>0.9015544041450777</v>
      </c>
      <c r="S462" s="29">
        <f t="shared" si="54"/>
        <v>90.155440414507765</v>
      </c>
      <c r="T462" s="5" t="str">
        <f>IF(Delivery_Data3[[#This Row],[Delays (min)]]&gt;0,"No","Yes")</f>
        <v>No</v>
      </c>
      <c r="W462" s="41">
        <f t="shared" si="55"/>
        <v>45171</v>
      </c>
      <c r="X462" s="5">
        <v>174</v>
      </c>
    </row>
    <row r="463" spans="1:24" ht="15.75" customHeight="1" x14ac:dyDescent="0.3">
      <c r="A463" s="4">
        <v>1462</v>
      </c>
      <c r="B463" s="5" t="s">
        <v>594</v>
      </c>
      <c r="C463" s="6">
        <v>45173.380555555559</v>
      </c>
      <c r="D463" s="5" t="s">
        <v>14</v>
      </c>
      <c r="E463" s="5" t="s">
        <v>160</v>
      </c>
      <c r="F463" s="5" t="s">
        <v>16</v>
      </c>
      <c r="G463" s="5" t="s">
        <v>17</v>
      </c>
      <c r="H463" s="5">
        <v>122</v>
      </c>
      <c r="I463" s="5">
        <v>0</v>
      </c>
      <c r="J463" s="5" t="s">
        <v>18</v>
      </c>
      <c r="K463" s="5" t="s">
        <v>45</v>
      </c>
      <c r="L463" s="5" t="s">
        <v>28</v>
      </c>
      <c r="M463" s="7" t="s">
        <v>46</v>
      </c>
      <c r="N463" s="26">
        <f t="shared" si="49"/>
        <v>0</v>
      </c>
      <c r="O463" s="42">
        <f t="shared" si="50"/>
        <v>45173</v>
      </c>
      <c r="P463" s="5" t="str">
        <f t="shared" si="51"/>
        <v>Monday</v>
      </c>
      <c r="Q463" s="5">
        <f t="shared" si="52"/>
        <v>9</v>
      </c>
      <c r="R463" s="28">
        <f t="shared" si="53"/>
        <v>1</v>
      </c>
      <c r="S463" s="29">
        <f t="shared" si="54"/>
        <v>100</v>
      </c>
      <c r="T463" s="5" t="str">
        <f>IF(Delivery_Data3[[#This Row],[Delays (min)]]&gt;0,"No","Yes")</f>
        <v>Yes</v>
      </c>
      <c r="W463" s="41">
        <f t="shared" si="55"/>
        <v>45173</v>
      </c>
      <c r="X463" s="5">
        <v>122</v>
      </c>
    </row>
    <row r="464" spans="1:24" ht="15.75" customHeight="1" x14ac:dyDescent="0.3">
      <c r="A464" s="4">
        <v>1463</v>
      </c>
      <c r="B464" s="5" t="s">
        <v>595</v>
      </c>
      <c r="C464" s="6">
        <v>45177.457638888889</v>
      </c>
      <c r="D464" s="5" t="s">
        <v>43</v>
      </c>
      <c r="E464" s="5" t="s">
        <v>468</v>
      </c>
      <c r="F464" s="5" t="s">
        <v>38</v>
      </c>
      <c r="G464" s="5" t="s">
        <v>39</v>
      </c>
      <c r="H464" s="5">
        <v>176</v>
      </c>
      <c r="I464" s="5">
        <v>29</v>
      </c>
      <c r="J464" s="5" t="s">
        <v>32</v>
      </c>
      <c r="K464" s="5" t="s">
        <v>19</v>
      </c>
      <c r="L464" s="5" t="s">
        <v>28</v>
      </c>
      <c r="M464" s="7" t="s">
        <v>46</v>
      </c>
      <c r="N464" s="26">
        <f t="shared" si="49"/>
        <v>-1</v>
      </c>
      <c r="O464" s="42">
        <f t="shared" si="50"/>
        <v>45177</v>
      </c>
      <c r="P464" s="5" t="str">
        <f t="shared" si="51"/>
        <v>Friday</v>
      </c>
      <c r="Q464" s="5">
        <f t="shared" si="52"/>
        <v>10</v>
      </c>
      <c r="R464" s="28">
        <f t="shared" si="53"/>
        <v>0.85853658536585364</v>
      </c>
      <c r="S464" s="29">
        <f t="shared" si="54"/>
        <v>85.853658536585371</v>
      </c>
      <c r="T464" s="5" t="str">
        <f>IF(Delivery_Data3[[#This Row],[Delays (min)]]&gt;0,"No","Yes")</f>
        <v>No</v>
      </c>
      <c r="W464" s="41">
        <f t="shared" si="55"/>
        <v>45177</v>
      </c>
      <c r="X464" s="5">
        <v>176</v>
      </c>
    </row>
    <row r="465" spans="1:24" ht="15.75" customHeight="1" x14ac:dyDescent="0.3">
      <c r="A465" s="4">
        <v>1464</v>
      </c>
      <c r="B465" s="5" t="s">
        <v>596</v>
      </c>
      <c r="C465" s="6">
        <v>45177.53402777778</v>
      </c>
      <c r="D465" s="5" t="s">
        <v>14</v>
      </c>
      <c r="E465" s="5" t="s">
        <v>311</v>
      </c>
      <c r="F465" s="5" t="s">
        <v>16</v>
      </c>
      <c r="G465" s="5" t="s">
        <v>31</v>
      </c>
      <c r="H465" s="5">
        <v>95</v>
      </c>
      <c r="I465" s="5">
        <v>10</v>
      </c>
      <c r="J465" s="5" t="s">
        <v>18</v>
      </c>
      <c r="K465" s="5" t="s">
        <v>45</v>
      </c>
      <c r="L465" s="5" t="s">
        <v>28</v>
      </c>
      <c r="M465" s="7" t="s">
        <v>46</v>
      </c>
      <c r="N465" s="26">
        <f t="shared" si="49"/>
        <v>0</v>
      </c>
      <c r="O465" s="42">
        <f t="shared" si="50"/>
        <v>45177</v>
      </c>
      <c r="P465" s="5" t="str">
        <f t="shared" si="51"/>
        <v>Friday</v>
      </c>
      <c r="Q465" s="5">
        <f t="shared" si="52"/>
        <v>12</v>
      </c>
      <c r="R465" s="28">
        <f t="shared" si="53"/>
        <v>0.90476190476190477</v>
      </c>
      <c r="S465" s="29">
        <f t="shared" si="54"/>
        <v>90.476190476190482</v>
      </c>
      <c r="T465" s="5" t="str">
        <f>IF(Delivery_Data3[[#This Row],[Delays (min)]]&gt;0,"No","Yes")</f>
        <v>No</v>
      </c>
      <c r="W465" s="41">
        <f t="shared" si="55"/>
        <v>45177</v>
      </c>
      <c r="X465" s="5">
        <v>95</v>
      </c>
    </row>
    <row r="466" spans="1:24" ht="15.75" customHeight="1" x14ac:dyDescent="0.3">
      <c r="A466" s="4">
        <v>1465</v>
      </c>
      <c r="B466" s="5" t="s">
        <v>597</v>
      </c>
      <c r="C466" s="6">
        <v>45177.394444444442</v>
      </c>
      <c r="D466" s="5" t="s">
        <v>43</v>
      </c>
      <c r="E466" s="5" t="s">
        <v>410</v>
      </c>
      <c r="F466" s="5" t="s">
        <v>16</v>
      </c>
      <c r="G466" s="5" t="s">
        <v>39</v>
      </c>
      <c r="H466" s="5">
        <v>80</v>
      </c>
      <c r="I466" s="5">
        <v>9</v>
      </c>
      <c r="J466" s="5" t="s">
        <v>18</v>
      </c>
      <c r="K466" s="5" t="s">
        <v>45</v>
      </c>
      <c r="L466" s="5" t="s">
        <v>28</v>
      </c>
      <c r="M466" s="7" t="s">
        <v>21</v>
      </c>
      <c r="N466" s="26">
        <f t="shared" si="49"/>
        <v>0</v>
      </c>
      <c r="O466" s="42">
        <f t="shared" si="50"/>
        <v>45177</v>
      </c>
      <c r="P466" s="5" t="str">
        <f t="shared" si="51"/>
        <v>Friday</v>
      </c>
      <c r="Q466" s="5">
        <f t="shared" si="52"/>
        <v>9</v>
      </c>
      <c r="R466" s="28">
        <f t="shared" si="53"/>
        <v>0.898876404494382</v>
      </c>
      <c r="S466" s="29">
        <f t="shared" si="54"/>
        <v>89.887640449438194</v>
      </c>
      <c r="T466" s="5" t="str">
        <f>IF(Delivery_Data3[[#This Row],[Delays (min)]]&gt;0,"No","Yes")</f>
        <v>No</v>
      </c>
      <c r="W466" s="41">
        <f t="shared" si="55"/>
        <v>45177</v>
      </c>
      <c r="X466" s="5">
        <v>80</v>
      </c>
    </row>
    <row r="467" spans="1:24" ht="15.75" customHeight="1" x14ac:dyDescent="0.3">
      <c r="A467" s="4">
        <v>1466</v>
      </c>
      <c r="B467" s="5" t="s">
        <v>598</v>
      </c>
      <c r="C467" s="6">
        <v>45173.616666666669</v>
      </c>
      <c r="D467" s="5" t="s">
        <v>43</v>
      </c>
      <c r="E467" s="5" t="s">
        <v>34</v>
      </c>
      <c r="F467" s="5" t="s">
        <v>16</v>
      </c>
      <c r="G467" s="5" t="s">
        <v>25</v>
      </c>
      <c r="H467" s="5">
        <v>178</v>
      </c>
      <c r="I467" s="5">
        <v>2</v>
      </c>
      <c r="J467" s="5" t="s">
        <v>18</v>
      </c>
      <c r="K467" s="5" t="s">
        <v>45</v>
      </c>
      <c r="L467" s="5" t="s">
        <v>28</v>
      </c>
      <c r="M467" s="7" t="s">
        <v>41</v>
      </c>
      <c r="N467" s="26">
        <f t="shared" si="49"/>
        <v>0</v>
      </c>
      <c r="O467" s="42">
        <f t="shared" si="50"/>
        <v>45173</v>
      </c>
      <c r="P467" s="5" t="str">
        <f t="shared" si="51"/>
        <v>Monday</v>
      </c>
      <c r="Q467" s="5">
        <f t="shared" si="52"/>
        <v>14</v>
      </c>
      <c r="R467" s="28">
        <f t="shared" si="53"/>
        <v>0.98888888888888893</v>
      </c>
      <c r="S467" s="29">
        <f t="shared" si="54"/>
        <v>98.888888888888886</v>
      </c>
      <c r="T467" s="5" t="str">
        <f>IF(Delivery_Data3[[#This Row],[Delays (min)]]&gt;0,"No","Yes")</f>
        <v>No</v>
      </c>
      <c r="W467" s="41">
        <f t="shared" si="55"/>
        <v>45173</v>
      </c>
      <c r="X467" s="5">
        <v>178</v>
      </c>
    </row>
    <row r="468" spans="1:24" ht="15.75" customHeight="1" x14ac:dyDescent="0.3">
      <c r="A468" s="4">
        <v>1467</v>
      </c>
      <c r="B468" s="5" t="s">
        <v>599</v>
      </c>
      <c r="C468" s="6">
        <v>45174.487500000003</v>
      </c>
      <c r="D468" s="5" t="s">
        <v>43</v>
      </c>
      <c r="E468" s="5" t="s">
        <v>179</v>
      </c>
      <c r="F468" s="5" t="s">
        <v>38</v>
      </c>
      <c r="G468" s="5" t="s">
        <v>17</v>
      </c>
      <c r="H468" s="5">
        <v>207</v>
      </c>
      <c r="I468" s="5">
        <v>18</v>
      </c>
      <c r="J468" s="5" t="s">
        <v>26</v>
      </c>
      <c r="K468" s="5" t="s">
        <v>45</v>
      </c>
      <c r="L468" s="5" t="s">
        <v>40</v>
      </c>
      <c r="M468" s="7" t="s">
        <v>46</v>
      </c>
      <c r="N468" s="26">
        <f t="shared" si="49"/>
        <v>1</v>
      </c>
      <c r="O468" s="42">
        <f t="shared" si="50"/>
        <v>45174</v>
      </c>
      <c r="P468" s="5" t="str">
        <f t="shared" si="51"/>
        <v>Tuesday</v>
      </c>
      <c r="Q468" s="5">
        <f t="shared" si="52"/>
        <v>11</v>
      </c>
      <c r="R468" s="28">
        <f t="shared" si="53"/>
        <v>0.92</v>
      </c>
      <c r="S468" s="29">
        <f t="shared" si="54"/>
        <v>92</v>
      </c>
      <c r="T468" s="5" t="str">
        <f>IF(Delivery_Data3[[#This Row],[Delays (min)]]&gt;0,"No","Yes")</f>
        <v>No</v>
      </c>
      <c r="W468" s="41">
        <f t="shared" si="55"/>
        <v>45174</v>
      </c>
      <c r="X468" s="5">
        <v>207</v>
      </c>
    </row>
    <row r="469" spans="1:24" ht="15.75" customHeight="1" x14ac:dyDescent="0.3">
      <c r="A469" s="4">
        <v>1468</v>
      </c>
      <c r="B469" s="5" t="s">
        <v>600</v>
      </c>
      <c r="C469" s="6">
        <v>45172.438194444447</v>
      </c>
      <c r="D469" s="5" t="s">
        <v>43</v>
      </c>
      <c r="E469" s="5" t="s">
        <v>158</v>
      </c>
      <c r="F469" s="5" t="s">
        <v>38</v>
      </c>
      <c r="G469" s="5" t="s">
        <v>39</v>
      </c>
      <c r="H469" s="5">
        <v>78</v>
      </c>
      <c r="I469" s="5">
        <v>15</v>
      </c>
      <c r="J469" s="5" t="s">
        <v>26</v>
      </c>
      <c r="K469" s="5" t="s">
        <v>19</v>
      </c>
      <c r="L469" s="5" t="s">
        <v>20</v>
      </c>
      <c r="M469" s="7" t="s">
        <v>46</v>
      </c>
      <c r="N469" s="26">
        <f t="shared" si="49"/>
        <v>1</v>
      </c>
      <c r="O469" s="42">
        <f t="shared" si="50"/>
        <v>45172</v>
      </c>
      <c r="P469" s="5" t="str">
        <f t="shared" si="51"/>
        <v>Sunday</v>
      </c>
      <c r="Q469" s="5">
        <f t="shared" si="52"/>
        <v>10</v>
      </c>
      <c r="R469" s="28">
        <f t="shared" si="53"/>
        <v>0.83870967741935487</v>
      </c>
      <c r="S469" s="29">
        <f t="shared" si="54"/>
        <v>83.870967741935488</v>
      </c>
      <c r="T469" s="5" t="str">
        <f>IF(Delivery_Data3[[#This Row],[Delays (min)]]&gt;0,"No","Yes")</f>
        <v>No</v>
      </c>
      <c r="W469" s="41">
        <f t="shared" si="55"/>
        <v>45172</v>
      </c>
      <c r="X469" s="5">
        <v>78</v>
      </c>
    </row>
    <row r="470" spans="1:24" ht="15.75" customHeight="1" x14ac:dyDescent="0.3">
      <c r="A470" s="4">
        <v>1469</v>
      </c>
      <c r="B470" s="5" t="s">
        <v>601</v>
      </c>
      <c r="C470" s="6">
        <v>45176.341666666667</v>
      </c>
      <c r="D470" s="5" t="s">
        <v>14</v>
      </c>
      <c r="E470" s="5" t="s">
        <v>91</v>
      </c>
      <c r="F470" s="5" t="s">
        <v>16</v>
      </c>
      <c r="G470" s="5" t="s">
        <v>17</v>
      </c>
      <c r="H470" s="5">
        <v>70</v>
      </c>
      <c r="I470" s="5">
        <v>8</v>
      </c>
      <c r="J470" s="5" t="s">
        <v>32</v>
      </c>
      <c r="K470" s="5" t="s">
        <v>49</v>
      </c>
      <c r="L470" s="5" t="s">
        <v>20</v>
      </c>
      <c r="M470" s="7" t="s">
        <v>41</v>
      </c>
      <c r="N470" s="26">
        <f t="shared" si="49"/>
        <v>-1</v>
      </c>
      <c r="O470" s="42">
        <f t="shared" si="50"/>
        <v>45176</v>
      </c>
      <c r="P470" s="5" t="str">
        <f t="shared" si="51"/>
        <v>Thursday</v>
      </c>
      <c r="Q470" s="5">
        <f t="shared" si="52"/>
        <v>8</v>
      </c>
      <c r="R470" s="28">
        <f t="shared" si="53"/>
        <v>0.89743589743589747</v>
      </c>
      <c r="S470" s="29">
        <f t="shared" si="54"/>
        <v>89.743589743589752</v>
      </c>
      <c r="T470" s="5" t="str">
        <f>IF(Delivery_Data3[[#This Row],[Delays (min)]]&gt;0,"No","Yes")</f>
        <v>No</v>
      </c>
      <c r="W470" s="41">
        <f t="shared" si="55"/>
        <v>45176</v>
      </c>
      <c r="X470" s="5">
        <v>70</v>
      </c>
    </row>
    <row r="471" spans="1:24" ht="15.75" customHeight="1" x14ac:dyDescent="0.3">
      <c r="A471" s="4">
        <v>1470</v>
      </c>
      <c r="B471" s="5" t="s">
        <v>602</v>
      </c>
      <c r="C471" s="6">
        <v>45171.452777777777</v>
      </c>
      <c r="D471" s="5" t="s">
        <v>14</v>
      </c>
      <c r="E471" s="5" t="s">
        <v>277</v>
      </c>
      <c r="F471" s="5" t="s">
        <v>38</v>
      </c>
      <c r="G471" s="5" t="s">
        <v>39</v>
      </c>
      <c r="H471" s="5">
        <v>86</v>
      </c>
      <c r="I471" s="5">
        <v>18</v>
      </c>
      <c r="J471" s="5" t="s">
        <v>26</v>
      </c>
      <c r="K471" s="5" t="s">
        <v>45</v>
      </c>
      <c r="L471" s="5" t="s">
        <v>28</v>
      </c>
      <c r="M471" s="7" t="s">
        <v>41</v>
      </c>
      <c r="N471" s="26">
        <f t="shared" si="49"/>
        <v>1</v>
      </c>
      <c r="O471" s="42">
        <f t="shared" si="50"/>
        <v>45171</v>
      </c>
      <c r="P471" s="5" t="str">
        <f t="shared" si="51"/>
        <v>Saturday</v>
      </c>
      <c r="Q471" s="5">
        <f t="shared" si="52"/>
        <v>10</v>
      </c>
      <c r="R471" s="28">
        <f t="shared" si="53"/>
        <v>0.82692307692307687</v>
      </c>
      <c r="S471" s="29">
        <f t="shared" si="54"/>
        <v>82.692307692307693</v>
      </c>
      <c r="T471" s="5" t="str">
        <f>IF(Delivery_Data3[[#This Row],[Delays (min)]]&gt;0,"No","Yes")</f>
        <v>No</v>
      </c>
      <c r="W471" s="41">
        <f t="shared" si="55"/>
        <v>45171</v>
      </c>
      <c r="X471" s="5">
        <v>86</v>
      </c>
    </row>
    <row r="472" spans="1:24" ht="15.75" customHeight="1" x14ac:dyDescent="0.3">
      <c r="A472" s="4">
        <v>1471</v>
      </c>
      <c r="B472" s="5" t="s">
        <v>603</v>
      </c>
      <c r="C472" s="6">
        <v>45170.640277777777</v>
      </c>
      <c r="D472" s="5" t="s">
        <v>14</v>
      </c>
      <c r="E472" s="5" t="s">
        <v>272</v>
      </c>
      <c r="F472" s="5" t="s">
        <v>16</v>
      </c>
      <c r="G472" s="5" t="s">
        <v>17</v>
      </c>
      <c r="H472" s="5">
        <v>204</v>
      </c>
      <c r="I472" s="5">
        <v>8</v>
      </c>
      <c r="J472" s="5" t="s">
        <v>26</v>
      </c>
      <c r="K472" s="5" t="s">
        <v>27</v>
      </c>
      <c r="L472" s="5" t="s">
        <v>40</v>
      </c>
      <c r="M472" s="7" t="s">
        <v>21</v>
      </c>
      <c r="N472" s="26">
        <f t="shared" si="49"/>
        <v>1</v>
      </c>
      <c r="O472" s="42">
        <f t="shared" si="50"/>
        <v>45170</v>
      </c>
      <c r="P472" s="5" t="str">
        <f t="shared" si="51"/>
        <v>Friday</v>
      </c>
      <c r="Q472" s="5">
        <f t="shared" si="52"/>
        <v>15</v>
      </c>
      <c r="R472" s="28">
        <f t="shared" si="53"/>
        <v>0.96226415094339623</v>
      </c>
      <c r="S472" s="29">
        <f t="shared" si="54"/>
        <v>96.226415094339629</v>
      </c>
      <c r="T472" s="5" t="str">
        <f>IF(Delivery_Data3[[#This Row],[Delays (min)]]&gt;0,"No","Yes")</f>
        <v>No</v>
      </c>
      <c r="W472" s="41">
        <f t="shared" si="55"/>
        <v>45170</v>
      </c>
      <c r="X472" s="5">
        <v>204</v>
      </c>
    </row>
    <row r="473" spans="1:24" ht="15.75" customHeight="1" x14ac:dyDescent="0.3">
      <c r="A473" s="4">
        <v>1472</v>
      </c>
      <c r="B473" s="5" t="s">
        <v>604</v>
      </c>
      <c r="C473" s="6">
        <v>45171.668749999997</v>
      </c>
      <c r="D473" s="5" t="s">
        <v>43</v>
      </c>
      <c r="E473" s="5" t="s">
        <v>187</v>
      </c>
      <c r="F473" s="5" t="s">
        <v>38</v>
      </c>
      <c r="G473" s="5" t="s">
        <v>17</v>
      </c>
      <c r="H473" s="5">
        <v>204</v>
      </c>
      <c r="I473" s="5">
        <v>5</v>
      </c>
      <c r="J473" s="5" t="s">
        <v>32</v>
      </c>
      <c r="K473" s="5" t="s">
        <v>35</v>
      </c>
      <c r="L473" s="5" t="s">
        <v>28</v>
      </c>
      <c r="M473" s="7" t="s">
        <v>41</v>
      </c>
      <c r="N473" s="26">
        <f t="shared" si="49"/>
        <v>-1</v>
      </c>
      <c r="O473" s="42">
        <f t="shared" si="50"/>
        <v>45171</v>
      </c>
      <c r="P473" s="5" t="str">
        <f t="shared" si="51"/>
        <v>Saturday</v>
      </c>
      <c r="Q473" s="5">
        <f t="shared" si="52"/>
        <v>16</v>
      </c>
      <c r="R473" s="28">
        <f t="shared" si="53"/>
        <v>0.97607655502392343</v>
      </c>
      <c r="S473" s="29">
        <f t="shared" si="54"/>
        <v>97.607655502392348</v>
      </c>
      <c r="T473" s="5" t="str">
        <f>IF(Delivery_Data3[[#This Row],[Delays (min)]]&gt;0,"No","Yes")</f>
        <v>No</v>
      </c>
      <c r="W473" s="41">
        <f t="shared" si="55"/>
        <v>45171</v>
      </c>
      <c r="X473" s="5">
        <v>204</v>
      </c>
    </row>
    <row r="474" spans="1:24" ht="15.75" customHeight="1" x14ac:dyDescent="0.3">
      <c r="A474" s="4">
        <v>1473</v>
      </c>
      <c r="B474" s="5" t="s">
        <v>460</v>
      </c>
      <c r="C474" s="6">
        <v>45170.59375</v>
      </c>
      <c r="D474" s="5" t="s">
        <v>43</v>
      </c>
      <c r="E474" s="5" t="s">
        <v>103</v>
      </c>
      <c r="F474" s="5" t="s">
        <v>24</v>
      </c>
      <c r="G474" s="5" t="s">
        <v>56</v>
      </c>
      <c r="H474" s="5">
        <v>104</v>
      </c>
      <c r="I474" s="5">
        <v>19</v>
      </c>
      <c r="J474" s="5" t="s">
        <v>26</v>
      </c>
      <c r="K474" s="5" t="s">
        <v>27</v>
      </c>
      <c r="L474" s="5" t="s">
        <v>20</v>
      </c>
      <c r="M474" s="7" t="s">
        <v>41</v>
      </c>
      <c r="N474" s="26">
        <f t="shared" si="49"/>
        <v>1</v>
      </c>
      <c r="O474" s="42">
        <f t="shared" si="50"/>
        <v>45170</v>
      </c>
      <c r="P474" s="5" t="str">
        <f t="shared" si="51"/>
        <v>Friday</v>
      </c>
      <c r="Q474" s="5">
        <f t="shared" si="52"/>
        <v>14</v>
      </c>
      <c r="R474" s="28">
        <f t="shared" si="53"/>
        <v>0.84552845528455289</v>
      </c>
      <c r="S474" s="29">
        <f t="shared" si="54"/>
        <v>84.552845528455293</v>
      </c>
      <c r="T474" s="5" t="str">
        <f>IF(Delivery_Data3[[#This Row],[Delays (min)]]&gt;0,"No","Yes")</f>
        <v>No</v>
      </c>
      <c r="W474" s="41">
        <f t="shared" si="55"/>
        <v>45170</v>
      </c>
      <c r="X474" s="5">
        <v>104</v>
      </c>
    </row>
    <row r="475" spans="1:24" ht="15.75" customHeight="1" x14ac:dyDescent="0.3">
      <c r="A475" s="4">
        <v>1474</v>
      </c>
      <c r="B475" s="5" t="s">
        <v>605</v>
      </c>
      <c r="C475" s="6">
        <v>45173.51458333333</v>
      </c>
      <c r="D475" s="5" t="s">
        <v>43</v>
      </c>
      <c r="E475" s="5" t="s">
        <v>55</v>
      </c>
      <c r="F475" s="5" t="s">
        <v>24</v>
      </c>
      <c r="G475" s="5" t="s">
        <v>17</v>
      </c>
      <c r="H475" s="5">
        <v>97</v>
      </c>
      <c r="I475" s="5">
        <v>23</v>
      </c>
      <c r="J475" s="5" t="s">
        <v>32</v>
      </c>
      <c r="K475" s="5" t="s">
        <v>45</v>
      </c>
      <c r="L475" s="5" t="s">
        <v>40</v>
      </c>
      <c r="M475" s="7" t="s">
        <v>46</v>
      </c>
      <c r="N475" s="26">
        <f t="shared" si="49"/>
        <v>-1</v>
      </c>
      <c r="O475" s="42">
        <f t="shared" si="50"/>
        <v>45173</v>
      </c>
      <c r="P475" s="5" t="str">
        <f t="shared" si="51"/>
        <v>Monday</v>
      </c>
      <c r="Q475" s="5">
        <f t="shared" si="52"/>
        <v>12</v>
      </c>
      <c r="R475" s="28">
        <f t="shared" si="53"/>
        <v>0.80833333333333335</v>
      </c>
      <c r="S475" s="29">
        <f t="shared" si="54"/>
        <v>80.833333333333329</v>
      </c>
      <c r="T475" s="5" t="str">
        <f>IF(Delivery_Data3[[#This Row],[Delays (min)]]&gt;0,"No","Yes")</f>
        <v>No</v>
      </c>
      <c r="W475" s="41">
        <f t="shared" si="55"/>
        <v>45173</v>
      </c>
      <c r="X475" s="5">
        <v>97</v>
      </c>
    </row>
    <row r="476" spans="1:24" ht="15.75" customHeight="1" x14ac:dyDescent="0.3">
      <c r="A476" s="4">
        <v>1475</v>
      </c>
      <c r="B476" s="5" t="s">
        <v>606</v>
      </c>
      <c r="C476" s="6">
        <v>45173.35</v>
      </c>
      <c r="D476" s="5" t="s">
        <v>14</v>
      </c>
      <c r="E476" s="5" t="s">
        <v>73</v>
      </c>
      <c r="F476" s="5" t="s">
        <v>16</v>
      </c>
      <c r="G476" s="5" t="s">
        <v>56</v>
      </c>
      <c r="H476" s="5">
        <v>79</v>
      </c>
      <c r="I476" s="5">
        <v>10</v>
      </c>
      <c r="J476" s="5" t="s">
        <v>18</v>
      </c>
      <c r="K476" s="5" t="s">
        <v>27</v>
      </c>
      <c r="L476" s="5" t="s">
        <v>40</v>
      </c>
      <c r="M476" s="7" t="s">
        <v>21</v>
      </c>
      <c r="N476" s="26">
        <f t="shared" si="49"/>
        <v>0</v>
      </c>
      <c r="O476" s="42">
        <f t="shared" si="50"/>
        <v>45173</v>
      </c>
      <c r="P476" s="5" t="str">
        <f t="shared" si="51"/>
        <v>Monday</v>
      </c>
      <c r="Q476" s="5">
        <f t="shared" si="52"/>
        <v>8</v>
      </c>
      <c r="R476" s="28">
        <f t="shared" si="53"/>
        <v>0.88764044943820219</v>
      </c>
      <c r="S476" s="29">
        <f t="shared" si="54"/>
        <v>88.764044943820224</v>
      </c>
      <c r="T476" s="5" t="str">
        <f>IF(Delivery_Data3[[#This Row],[Delays (min)]]&gt;0,"No","Yes")</f>
        <v>No</v>
      </c>
      <c r="W476" s="41">
        <f t="shared" si="55"/>
        <v>45173</v>
      </c>
      <c r="X476" s="5">
        <v>79</v>
      </c>
    </row>
    <row r="477" spans="1:24" ht="15.75" customHeight="1" x14ac:dyDescent="0.3">
      <c r="A477" s="4">
        <v>1476</v>
      </c>
      <c r="B477" s="5" t="s">
        <v>607</v>
      </c>
      <c r="C477" s="6">
        <v>45172.573611111111</v>
      </c>
      <c r="D477" s="5" t="s">
        <v>14</v>
      </c>
      <c r="E477" s="5" t="s">
        <v>355</v>
      </c>
      <c r="F477" s="5" t="s">
        <v>16</v>
      </c>
      <c r="G477" s="5" t="s">
        <v>39</v>
      </c>
      <c r="H477" s="5">
        <v>71</v>
      </c>
      <c r="I477" s="5">
        <v>14</v>
      </c>
      <c r="J477" s="5" t="s">
        <v>18</v>
      </c>
      <c r="K477" s="5" t="s">
        <v>27</v>
      </c>
      <c r="L477" s="5" t="s">
        <v>28</v>
      </c>
      <c r="M477" s="7" t="s">
        <v>46</v>
      </c>
      <c r="N477" s="26">
        <f t="shared" si="49"/>
        <v>0</v>
      </c>
      <c r="O477" s="42">
        <f t="shared" si="50"/>
        <v>45172</v>
      </c>
      <c r="P477" s="5" t="str">
        <f t="shared" si="51"/>
        <v>Sunday</v>
      </c>
      <c r="Q477" s="5">
        <f t="shared" si="52"/>
        <v>13</v>
      </c>
      <c r="R477" s="28">
        <f t="shared" si="53"/>
        <v>0.83529411764705885</v>
      </c>
      <c r="S477" s="29">
        <f t="shared" si="54"/>
        <v>83.529411764705884</v>
      </c>
      <c r="T477" s="5" t="str">
        <f>IF(Delivery_Data3[[#This Row],[Delays (min)]]&gt;0,"No","Yes")</f>
        <v>No</v>
      </c>
      <c r="W477" s="41">
        <f t="shared" si="55"/>
        <v>45172</v>
      </c>
      <c r="X477" s="5">
        <v>71</v>
      </c>
    </row>
    <row r="478" spans="1:24" ht="15.75" customHeight="1" x14ac:dyDescent="0.3">
      <c r="A478" s="4">
        <v>1477</v>
      </c>
      <c r="B478" s="5" t="s">
        <v>608</v>
      </c>
      <c r="C478" s="6">
        <v>45173.527083333334</v>
      </c>
      <c r="D478" s="5" t="s">
        <v>43</v>
      </c>
      <c r="E478" s="5" t="s">
        <v>122</v>
      </c>
      <c r="F478" s="5" t="s">
        <v>38</v>
      </c>
      <c r="G478" s="5" t="s">
        <v>31</v>
      </c>
      <c r="H478" s="5">
        <v>178</v>
      </c>
      <c r="I478" s="5">
        <v>25</v>
      </c>
      <c r="J478" s="5" t="s">
        <v>18</v>
      </c>
      <c r="K478" s="5" t="s">
        <v>19</v>
      </c>
      <c r="L478" s="5" t="s">
        <v>20</v>
      </c>
      <c r="M478" s="7" t="s">
        <v>46</v>
      </c>
      <c r="N478" s="26">
        <f t="shared" si="49"/>
        <v>0</v>
      </c>
      <c r="O478" s="42">
        <f t="shared" si="50"/>
        <v>45173</v>
      </c>
      <c r="P478" s="5" t="str">
        <f t="shared" si="51"/>
        <v>Monday</v>
      </c>
      <c r="Q478" s="5">
        <f t="shared" si="52"/>
        <v>12</v>
      </c>
      <c r="R478" s="28">
        <f t="shared" si="53"/>
        <v>0.87684729064039413</v>
      </c>
      <c r="S478" s="29">
        <f t="shared" si="54"/>
        <v>87.684729064039416</v>
      </c>
      <c r="T478" s="5" t="str">
        <f>IF(Delivery_Data3[[#This Row],[Delays (min)]]&gt;0,"No","Yes")</f>
        <v>No</v>
      </c>
      <c r="W478" s="41">
        <f t="shared" si="55"/>
        <v>45173</v>
      </c>
      <c r="X478" s="5">
        <v>178</v>
      </c>
    </row>
    <row r="479" spans="1:24" ht="15.75" customHeight="1" x14ac:dyDescent="0.3">
      <c r="A479" s="4">
        <v>1478</v>
      </c>
      <c r="B479" s="5" t="s">
        <v>609</v>
      </c>
      <c r="C479" s="6">
        <v>45173.57916666667</v>
      </c>
      <c r="D479" s="5" t="s">
        <v>14</v>
      </c>
      <c r="E479" s="5" t="s">
        <v>140</v>
      </c>
      <c r="F479" s="5" t="s">
        <v>24</v>
      </c>
      <c r="G479" s="5" t="s">
        <v>31</v>
      </c>
      <c r="H479" s="5">
        <v>121</v>
      </c>
      <c r="I479" s="5">
        <v>3</v>
      </c>
      <c r="J479" s="5" t="s">
        <v>26</v>
      </c>
      <c r="K479" s="5" t="s">
        <v>19</v>
      </c>
      <c r="L479" s="5" t="s">
        <v>28</v>
      </c>
      <c r="M479" s="7" t="s">
        <v>41</v>
      </c>
      <c r="N479" s="26">
        <f t="shared" si="49"/>
        <v>1</v>
      </c>
      <c r="O479" s="42">
        <f t="shared" si="50"/>
        <v>45173</v>
      </c>
      <c r="P479" s="5" t="str">
        <f t="shared" si="51"/>
        <v>Monday</v>
      </c>
      <c r="Q479" s="5">
        <f t="shared" si="52"/>
        <v>13</v>
      </c>
      <c r="R479" s="28">
        <f t="shared" si="53"/>
        <v>0.97580645161290325</v>
      </c>
      <c r="S479" s="29">
        <f t="shared" si="54"/>
        <v>97.58064516129032</v>
      </c>
      <c r="T479" s="5" t="str">
        <f>IF(Delivery_Data3[[#This Row],[Delays (min)]]&gt;0,"No","Yes")</f>
        <v>No</v>
      </c>
      <c r="W479" s="41">
        <f t="shared" si="55"/>
        <v>45173</v>
      </c>
      <c r="X479" s="5">
        <v>121</v>
      </c>
    </row>
    <row r="480" spans="1:24" ht="15.75" customHeight="1" x14ac:dyDescent="0.3">
      <c r="A480" s="4">
        <v>1479</v>
      </c>
      <c r="B480" s="5" t="s">
        <v>610</v>
      </c>
      <c r="C480" s="6">
        <v>45170.5</v>
      </c>
      <c r="D480" s="5" t="s">
        <v>43</v>
      </c>
      <c r="E480" s="5" t="s">
        <v>143</v>
      </c>
      <c r="F480" s="5" t="s">
        <v>16</v>
      </c>
      <c r="G480" s="5" t="s">
        <v>56</v>
      </c>
      <c r="H480" s="5">
        <v>184</v>
      </c>
      <c r="I480" s="5">
        <v>19</v>
      </c>
      <c r="J480" s="5" t="s">
        <v>18</v>
      </c>
      <c r="K480" s="5" t="s">
        <v>19</v>
      </c>
      <c r="L480" s="5" t="s">
        <v>28</v>
      </c>
      <c r="M480" s="7" t="s">
        <v>21</v>
      </c>
      <c r="N480" s="26">
        <f t="shared" si="49"/>
        <v>0</v>
      </c>
      <c r="O480" s="42">
        <f t="shared" si="50"/>
        <v>45170</v>
      </c>
      <c r="P480" s="5" t="str">
        <f t="shared" si="51"/>
        <v>Friday</v>
      </c>
      <c r="Q480" s="5">
        <f t="shared" si="52"/>
        <v>12</v>
      </c>
      <c r="R480" s="28">
        <f t="shared" si="53"/>
        <v>0.90640394088669951</v>
      </c>
      <c r="S480" s="29">
        <f t="shared" si="54"/>
        <v>90.64039408866995</v>
      </c>
      <c r="T480" s="5" t="str">
        <f>IF(Delivery_Data3[[#This Row],[Delays (min)]]&gt;0,"No","Yes")</f>
        <v>No</v>
      </c>
      <c r="W480" s="41">
        <f t="shared" si="55"/>
        <v>45170</v>
      </c>
      <c r="X480" s="5">
        <v>184</v>
      </c>
    </row>
    <row r="481" spans="1:24" ht="15.75" customHeight="1" x14ac:dyDescent="0.3">
      <c r="A481" s="4">
        <v>1480</v>
      </c>
      <c r="B481" s="5" t="s">
        <v>611</v>
      </c>
      <c r="C481" s="6">
        <v>45171.397222222222</v>
      </c>
      <c r="D481" s="5" t="s">
        <v>43</v>
      </c>
      <c r="E481" s="5" t="s">
        <v>149</v>
      </c>
      <c r="F481" s="5" t="s">
        <v>24</v>
      </c>
      <c r="G481" s="5" t="s">
        <v>31</v>
      </c>
      <c r="H481" s="5">
        <v>77</v>
      </c>
      <c r="I481" s="5">
        <v>28</v>
      </c>
      <c r="J481" s="5" t="s">
        <v>18</v>
      </c>
      <c r="K481" s="5" t="s">
        <v>19</v>
      </c>
      <c r="L481" s="5" t="s">
        <v>28</v>
      </c>
      <c r="M481" s="7" t="s">
        <v>41</v>
      </c>
      <c r="N481" s="26">
        <f t="shared" si="49"/>
        <v>0</v>
      </c>
      <c r="O481" s="42">
        <f t="shared" si="50"/>
        <v>45171</v>
      </c>
      <c r="P481" s="5" t="str">
        <f t="shared" si="51"/>
        <v>Saturday</v>
      </c>
      <c r="Q481" s="5">
        <f t="shared" si="52"/>
        <v>9</v>
      </c>
      <c r="R481" s="28">
        <f t="shared" si="53"/>
        <v>0.73333333333333328</v>
      </c>
      <c r="S481" s="29">
        <f t="shared" si="54"/>
        <v>73.333333333333329</v>
      </c>
      <c r="T481" s="5" t="str">
        <f>IF(Delivery_Data3[[#This Row],[Delays (min)]]&gt;0,"No","Yes")</f>
        <v>No</v>
      </c>
      <c r="W481" s="41">
        <f t="shared" si="55"/>
        <v>45171</v>
      </c>
      <c r="X481" s="5">
        <v>77</v>
      </c>
    </row>
    <row r="482" spans="1:24" ht="15.75" customHeight="1" x14ac:dyDescent="0.3">
      <c r="A482" s="4">
        <v>1481</v>
      </c>
      <c r="B482" s="5" t="s">
        <v>612</v>
      </c>
      <c r="C482" s="6">
        <v>45177.602777777778</v>
      </c>
      <c r="D482" s="5" t="s">
        <v>43</v>
      </c>
      <c r="E482" s="5" t="s">
        <v>44</v>
      </c>
      <c r="F482" s="5" t="s">
        <v>16</v>
      </c>
      <c r="G482" s="5" t="s">
        <v>56</v>
      </c>
      <c r="H482" s="5">
        <v>128</v>
      </c>
      <c r="I482" s="5">
        <v>13</v>
      </c>
      <c r="J482" s="5" t="s">
        <v>32</v>
      </c>
      <c r="K482" s="5" t="s">
        <v>45</v>
      </c>
      <c r="L482" s="5" t="s">
        <v>28</v>
      </c>
      <c r="M482" s="7" t="s">
        <v>41</v>
      </c>
      <c r="N482" s="26">
        <f t="shared" si="49"/>
        <v>-1</v>
      </c>
      <c r="O482" s="42">
        <f t="shared" si="50"/>
        <v>45177</v>
      </c>
      <c r="P482" s="5" t="str">
        <f t="shared" si="51"/>
        <v>Friday</v>
      </c>
      <c r="Q482" s="5">
        <f t="shared" si="52"/>
        <v>14</v>
      </c>
      <c r="R482" s="28">
        <f t="shared" si="53"/>
        <v>0.90780141843971629</v>
      </c>
      <c r="S482" s="29">
        <f t="shared" si="54"/>
        <v>90.780141843971634</v>
      </c>
      <c r="T482" s="5" t="str">
        <f>IF(Delivery_Data3[[#This Row],[Delays (min)]]&gt;0,"No","Yes")</f>
        <v>No</v>
      </c>
      <c r="W482" s="41">
        <f t="shared" si="55"/>
        <v>45177</v>
      </c>
      <c r="X482" s="5">
        <v>128</v>
      </c>
    </row>
    <row r="483" spans="1:24" ht="15.75" customHeight="1" x14ac:dyDescent="0.3">
      <c r="A483" s="4">
        <v>1482</v>
      </c>
      <c r="B483" s="5" t="s">
        <v>613</v>
      </c>
      <c r="C483" s="6">
        <v>45171.679166666669</v>
      </c>
      <c r="D483" s="5" t="s">
        <v>43</v>
      </c>
      <c r="E483" s="5" t="s">
        <v>304</v>
      </c>
      <c r="F483" s="5" t="s">
        <v>16</v>
      </c>
      <c r="G483" s="5" t="s">
        <v>25</v>
      </c>
      <c r="H483" s="5">
        <v>222</v>
      </c>
      <c r="I483" s="5">
        <v>10</v>
      </c>
      <c r="J483" s="5" t="s">
        <v>18</v>
      </c>
      <c r="K483" s="5" t="s">
        <v>45</v>
      </c>
      <c r="L483" s="5" t="s">
        <v>40</v>
      </c>
      <c r="M483" s="7" t="s">
        <v>46</v>
      </c>
      <c r="N483" s="26">
        <f t="shared" si="49"/>
        <v>0</v>
      </c>
      <c r="O483" s="42">
        <f t="shared" si="50"/>
        <v>45171</v>
      </c>
      <c r="P483" s="5" t="str">
        <f t="shared" si="51"/>
        <v>Saturday</v>
      </c>
      <c r="Q483" s="5">
        <f t="shared" si="52"/>
        <v>16</v>
      </c>
      <c r="R483" s="28">
        <f t="shared" si="53"/>
        <v>0.9568965517241379</v>
      </c>
      <c r="S483" s="29">
        <f t="shared" si="54"/>
        <v>95.689655172413794</v>
      </c>
      <c r="T483" s="5" t="str">
        <f>IF(Delivery_Data3[[#This Row],[Delays (min)]]&gt;0,"No","Yes")</f>
        <v>No</v>
      </c>
      <c r="W483" s="41">
        <f t="shared" si="55"/>
        <v>45171</v>
      </c>
      <c r="X483" s="5">
        <v>222</v>
      </c>
    </row>
    <row r="484" spans="1:24" ht="15.75" customHeight="1" x14ac:dyDescent="0.3">
      <c r="A484" s="4">
        <v>1483</v>
      </c>
      <c r="B484" s="5" t="s">
        <v>614</v>
      </c>
      <c r="C484" s="6">
        <v>45172.598611111112</v>
      </c>
      <c r="D484" s="5" t="s">
        <v>43</v>
      </c>
      <c r="E484" s="5" t="s">
        <v>130</v>
      </c>
      <c r="F484" s="5" t="s">
        <v>38</v>
      </c>
      <c r="G484" s="5" t="s">
        <v>17</v>
      </c>
      <c r="H484" s="5">
        <v>69</v>
      </c>
      <c r="I484" s="5">
        <v>22</v>
      </c>
      <c r="J484" s="5" t="s">
        <v>18</v>
      </c>
      <c r="K484" s="5" t="s">
        <v>45</v>
      </c>
      <c r="L484" s="5" t="s">
        <v>28</v>
      </c>
      <c r="M484" s="7" t="s">
        <v>21</v>
      </c>
      <c r="N484" s="26">
        <f t="shared" si="49"/>
        <v>0</v>
      </c>
      <c r="O484" s="42">
        <f t="shared" si="50"/>
        <v>45172</v>
      </c>
      <c r="P484" s="5" t="str">
        <f t="shared" si="51"/>
        <v>Sunday</v>
      </c>
      <c r="Q484" s="5">
        <f t="shared" si="52"/>
        <v>14</v>
      </c>
      <c r="R484" s="28">
        <f t="shared" si="53"/>
        <v>0.75824175824175821</v>
      </c>
      <c r="S484" s="29">
        <f t="shared" si="54"/>
        <v>75.824175824175825</v>
      </c>
      <c r="T484" s="5" t="str">
        <f>IF(Delivery_Data3[[#This Row],[Delays (min)]]&gt;0,"No","Yes")</f>
        <v>No</v>
      </c>
      <c r="W484" s="41">
        <f t="shared" si="55"/>
        <v>45172</v>
      </c>
      <c r="X484" s="5">
        <v>69</v>
      </c>
    </row>
    <row r="485" spans="1:24" ht="15.75" customHeight="1" x14ac:dyDescent="0.3">
      <c r="A485" s="4">
        <v>1484</v>
      </c>
      <c r="B485" s="5" t="s">
        <v>615</v>
      </c>
      <c r="C485" s="6">
        <v>45174.511111111111</v>
      </c>
      <c r="D485" s="5" t="s">
        <v>43</v>
      </c>
      <c r="E485" s="5" t="s">
        <v>93</v>
      </c>
      <c r="F485" s="5" t="s">
        <v>38</v>
      </c>
      <c r="G485" s="5" t="s">
        <v>39</v>
      </c>
      <c r="H485" s="5">
        <v>89</v>
      </c>
      <c r="I485" s="5">
        <v>28</v>
      </c>
      <c r="J485" s="5" t="s">
        <v>18</v>
      </c>
      <c r="K485" s="5" t="s">
        <v>27</v>
      </c>
      <c r="L485" s="5" t="s">
        <v>20</v>
      </c>
      <c r="M485" s="7" t="s">
        <v>41</v>
      </c>
      <c r="N485" s="26">
        <f t="shared" si="49"/>
        <v>0</v>
      </c>
      <c r="O485" s="42">
        <f t="shared" si="50"/>
        <v>45174</v>
      </c>
      <c r="P485" s="5" t="str">
        <f t="shared" si="51"/>
        <v>Tuesday</v>
      </c>
      <c r="Q485" s="5">
        <f t="shared" si="52"/>
        <v>12</v>
      </c>
      <c r="R485" s="28">
        <f t="shared" si="53"/>
        <v>0.76068376068376065</v>
      </c>
      <c r="S485" s="29">
        <f t="shared" si="54"/>
        <v>76.068376068376068</v>
      </c>
      <c r="T485" s="5" t="str">
        <f>IF(Delivery_Data3[[#This Row],[Delays (min)]]&gt;0,"No","Yes")</f>
        <v>No</v>
      </c>
      <c r="W485" s="41">
        <f t="shared" si="55"/>
        <v>45174</v>
      </c>
      <c r="X485" s="5">
        <v>89</v>
      </c>
    </row>
    <row r="486" spans="1:24" ht="15.75" customHeight="1" x14ac:dyDescent="0.3">
      <c r="A486" s="4">
        <v>1485</v>
      </c>
      <c r="B486" s="5" t="s">
        <v>616</v>
      </c>
      <c r="C486" s="6">
        <v>45174.552777777775</v>
      </c>
      <c r="D486" s="5" t="s">
        <v>14</v>
      </c>
      <c r="E486" s="5" t="s">
        <v>53</v>
      </c>
      <c r="F486" s="5" t="s">
        <v>38</v>
      </c>
      <c r="G486" s="5" t="s">
        <v>31</v>
      </c>
      <c r="H486" s="5">
        <v>183</v>
      </c>
      <c r="I486" s="5">
        <v>15</v>
      </c>
      <c r="J486" s="5" t="s">
        <v>26</v>
      </c>
      <c r="K486" s="5" t="s">
        <v>45</v>
      </c>
      <c r="L486" s="5" t="s">
        <v>20</v>
      </c>
      <c r="M486" s="7" t="s">
        <v>46</v>
      </c>
      <c r="N486" s="26">
        <f t="shared" si="49"/>
        <v>1</v>
      </c>
      <c r="O486" s="42">
        <f t="shared" si="50"/>
        <v>45174</v>
      </c>
      <c r="P486" s="5" t="str">
        <f t="shared" si="51"/>
        <v>Tuesday</v>
      </c>
      <c r="Q486" s="5">
        <f t="shared" si="52"/>
        <v>13</v>
      </c>
      <c r="R486" s="28">
        <f t="shared" si="53"/>
        <v>0.9242424242424242</v>
      </c>
      <c r="S486" s="29">
        <f t="shared" si="54"/>
        <v>92.424242424242422</v>
      </c>
      <c r="T486" s="5" t="str">
        <f>IF(Delivery_Data3[[#This Row],[Delays (min)]]&gt;0,"No","Yes")</f>
        <v>No</v>
      </c>
      <c r="W486" s="41">
        <f t="shared" si="55"/>
        <v>45174</v>
      </c>
      <c r="X486" s="5">
        <v>183</v>
      </c>
    </row>
    <row r="487" spans="1:24" ht="15.75" customHeight="1" x14ac:dyDescent="0.3">
      <c r="A487" s="4">
        <v>1486</v>
      </c>
      <c r="B487" s="5" t="s">
        <v>617</v>
      </c>
      <c r="C487" s="6">
        <v>45173.585416666669</v>
      </c>
      <c r="D487" s="5" t="s">
        <v>43</v>
      </c>
      <c r="E487" s="5" t="s">
        <v>333</v>
      </c>
      <c r="F487" s="5" t="s">
        <v>16</v>
      </c>
      <c r="G487" s="5" t="s">
        <v>31</v>
      </c>
      <c r="H487" s="5">
        <v>116</v>
      </c>
      <c r="I487" s="5">
        <v>11</v>
      </c>
      <c r="J487" s="5" t="s">
        <v>32</v>
      </c>
      <c r="K487" s="5" t="s">
        <v>27</v>
      </c>
      <c r="L487" s="5" t="s">
        <v>28</v>
      </c>
      <c r="M487" s="7" t="s">
        <v>41</v>
      </c>
      <c r="N487" s="26">
        <f t="shared" si="49"/>
        <v>-1</v>
      </c>
      <c r="O487" s="42">
        <f t="shared" si="50"/>
        <v>45173</v>
      </c>
      <c r="P487" s="5" t="str">
        <f t="shared" si="51"/>
        <v>Monday</v>
      </c>
      <c r="Q487" s="5">
        <f t="shared" si="52"/>
        <v>14</v>
      </c>
      <c r="R487" s="28">
        <f t="shared" si="53"/>
        <v>0.91338582677165359</v>
      </c>
      <c r="S487" s="29">
        <f t="shared" si="54"/>
        <v>91.338582677165363</v>
      </c>
      <c r="T487" s="5" t="str">
        <f>IF(Delivery_Data3[[#This Row],[Delays (min)]]&gt;0,"No","Yes")</f>
        <v>No</v>
      </c>
      <c r="W487" s="41">
        <f t="shared" si="55"/>
        <v>45173</v>
      </c>
      <c r="X487" s="5">
        <v>116</v>
      </c>
    </row>
    <row r="488" spans="1:24" ht="15.75" customHeight="1" x14ac:dyDescent="0.3">
      <c r="A488" s="4">
        <v>1487</v>
      </c>
      <c r="B488" s="5" t="s">
        <v>618</v>
      </c>
      <c r="C488" s="6">
        <v>45175.705555555556</v>
      </c>
      <c r="D488" s="5" t="s">
        <v>14</v>
      </c>
      <c r="E488" s="5" t="s">
        <v>132</v>
      </c>
      <c r="F488" s="5" t="s">
        <v>24</v>
      </c>
      <c r="G488" s="5" t="s">
        <v>56</v>
      </c>
      <c r="H488" s="5">
        <v>186</v>
      </c>
      <c r="I488" s="5">
        <v>4</v>
      </c>
      <c r="J488" s="5" t="s">
        <v>26</v>
      </c>
      <c r="K488" s="5" t="s">
        <v>35</v>
      </c>
      <c r="L488" s="5" t="s">
        <v>28</v>
      </c>
      <c r="M488" s="7" t="s">
        <v>21</v>
      </c>
      <c r="N488" s="26">
        <f t="shared" si="49"/>
        <v>1</v>
      </c>
      <c r="O488" s="42">
        <f t="shared" si="50"/>
        <v>45175</v>
      </c>
      <c r="P488" s="5" t="str">
        <f t="shared" si="51"/>
        <v>Wednesday</v>
      </c>
      <c r="Q488" s="5">
        <f t="shared" si="52"/>
        <v>16</v>
      </c>
      <c r="R488" s="28">
        <f t="shared" si="53"/>
        <v>0.97894736842105268</v>
      </c>
      <c r="S488" s="29">
        <f t="shared" si="54"/>
        <v>97.894736842105274</v>
      </c>
      <c r="T488" s="5" t="str">
        <f>IF(Delivery_Data3[[#This Row],[Delays (min)]]&gt;0,"No","Yes")</f>
        <v>No</v>
      </c>
      <c r="W488" s="41">
        <f t="shared" si="55"/>
        <v>45175</v>
      </c>
      <c r="X488" s="5">
        <v>186</v>
      </c>
    </row>
    <row r="489" spans="1:24" ht="15.75" customHeight="1" x14ac:dyDescent="0.3">
      <c r="A489" s="4">
        <v>1488</v>
      </c>
      <c r="B489" s="5" t="s">
        <v>619</v>
      </c>
      <c r="C489" s="6">
        <v>45173.395833333336</v>
      </c>
      <c r="D489" s="5" t="s">
        <v>43</v>
      </c>
      <c r="E489" s="5" t="s">
        <v>197</v>
      </c>
      <c r="F489" s="5" t="s">
        <v>24</v>
      </c>
      <c r="G489" s="5" t="s">
        <v>17</v>
      </c>
      <c r="H489" s="5">
        <v>193</v>
      </c>
      <c r="I489" s="5">
        <v>28</v>
      </c>
      <c r="J489" s="5" t="s">
        <v>26</v>
      </c>
      <c r="K489" s="5" t="s">
        <v>49</v>
      </c>
      <c r="L489" s="5" t="s">
        <v>40</v>
      </c>
      <c r="M489" s="7" t="s">
        <v>21</v>
      </c>
      <c r="N489" s="26">
        <f t="shared" si="49"/>
        <v>1</v>
      </c>
      <c r="O489" s="42">
        <f t="shared" si="50"/>
        <v>45173</v>
      </c>
      <c r="P489" s="5" t="str">
        <f t="shared" si="51"/>
        <v>Monday</v>
      </c>
      <c r="Q489" s="5">
        <f t="shared" si="52"/>
        <v>9</v>
      </c>
      <c r="R489" s="28">
        <f t="shared" si="53"/>
        <v>0.87330316742081449</v>
      </c>
      <c r="S489" s="29">
        <f t="shared" si="54"/>
        <v>87.33031674208145</v>
      </c>
      <c r="T489" s="5" t="str">
        <f>IF(Delivery_Data3[[#This Row],[Delays (min)]]&gt;0,"No","Yes")</f>
        <v>No</v>
      </c>
      <c r="W489" s="41">
        <f t="shared" si="55"/>
        <v>45173</v>
      </c>
      <c r="X489" s="5">
        <v>193</v>
      </c>
    </row>
    <row r="490" spans="1:24" ht="15.75" customHeight="1" x14ac:dyDescent="0.3">
      <c r="A490" s="4">
        <v>1489</v>
      </c>
      <c r="B490" s="5" t="s">
        <v>620</v>
      </c>
      <c r="C490" s="6">
        <v>45171.65625</v>
      </c>
      <c r="D490" s="5" t="s">
        <v>43</v>
      </c>
      <c r="E490" s="5" t="s">
        <v>156</v>
      </c>
      <c r="F490" s="5" t="s">
        <v>38</v>
      </c>
      <c r="G490" s="5" t="s">
        <v>56</v>
      </c>
      <c r="H490" s="5">
        <v>172</v>
      </c>
      <c r="I490" s="5">
        <v>12</v>
      </c>
      <c r="J490" s="5" t="s">
        <v>26</v>
      </c>
      <c r="K490" s="5" t="s">
        <v>19</v>
      </c>
      <c r="L490" s="5" t="s">
        <v>28</v>
      </c>
      <c r="M490" s="7" t="s">
        <v>21</v>
      </c>
      <c r="N490" s="26">
        <f t="shared" si="49"/>
        <v>1</v>
      </c>
      <c r="O490" s="42">
        <f t="shared" si="50"/>
        <v>45171</v>
      </c>
      <c r="P490" s="5" t="str">
        <f t="shared" si="51"/>
        <v>Saturday</v>
      </c>
      <c r="Q490" s="5">
        <f t="shared" si="52"/>
        <v>15</v>
      </c>
      <c r="R490" s="28">
        <f t="shared" si="53"/>
        <v>0.93478260869565222</v>
      </c>
      <c r="S490" s="29">
        <f t="shared" si="54"/>
        <v>93.478260869565219</v>
      </c>
      <c r="T490" s="5" t="str">
        <f>IF(Delivery_Data3[[#This Row],[Delays (min)]]&gt;0,"No","Yes")</f>
        <v>No</v>
      </c>
      <c r="W490" s="41">
        <f t="shared" si="55"/>
        <v>45171</v>
      </c>
      <c r="X490" s="5">
        <v>172</v>
      </c>
    </row>
    <row r="491" spans="1:24" ht="15.75" customHeight="1" x14ac:dyDescent="0.3">
      <c r="A491" s="4">
        <v>1490</v>
      </c>
      <c r="B491" s="5" t="s">
        <v>621</v>
      </c>
      <c r="C491" s="6">
        <v>45175.361805555556</v>
      </c>
      <c r="D491" s="5" t="s">
        <v>14</v>
      </c>
      <c r="E491" s="5" t="s">
        <v>151</v>
      </c>
      <c r="F491" s="5" t="s">
        <v>38</v>
      </c>
      <c r="G491" s="5" t="s">
        <v>39</v>
      </c>
      <c r="H491" s="5">
        <v>190</v>
      </c>
      <c r="I491" s="5">
        <v>12</v>
      </c>
      <c r="J491" s="5" t="s">
        <v>26</v>
      </c>
      <c r="K491" s="5" t="s">
        <v>35</v>
      </c>
      <c r="L491" s="5" t="s">
        <v>20</v>
      </c>
      <c r="M491" s="7" t="s">
        <v>46</v>
      </c>
      <c r="N491" s="26">
        <f t="shared" si="49"/>
        <v>1</v>
      </c>
      <c r="O491" s="42">
        <f t="shared" si="50"/>
        <v>45175</v>
      </c>
      <c r="P491" s="5" t="str">
        <f t="shared" si="51"/>
        <v>Wednesday</v>
      </c>
      <c r="Q491" s="5">
        <f t="shared" si="52"/>
        <v>8</v>
      </c>
      <c r="R491" s="28">
        <f t="shared" si="53"/>
        <v>0.94059405940594054</v>
      </c>
      <c r="S491" s="29">
        <f t="shared" si="54"/>
        <v>94.059405940594047</v>
      </c>
      <c r="T491" s="5" t="str">
        <f>IF(Delivery_Data3[[#This Row],[Delays (min)]]&gt;0,"No","Yes")</f>
        <v>No</v>
      </c>
      <c r="W491" s="41">
        <f t="shared" si="55"/>
        <v>45175</v>
      </c>
      <c r="X491" s="5">
        <v>190</v>
      </c>
    </row>
    <row r="492" spans="1:24" ht="15.75" customHeight="1" x14ac:dyDescent="0.3">
      <c r="A492" s="4">
        <v>1491</v>
      </c>
      <c r="B492" s="5" t="s">
        <v>622</v>
      </c>
      <c r="C492" s="6">
        <v>45171.486805555556</v>
      </c>
      <c r="D492" s="5" t="s">
        <v>43</v>
      </c>
      <c r="E492" s="5" t="s">
        <v>249</v>
      </c>
      <c r="F492" s="5" t="s">
        <v>24</v>
      </c>
      <c r="G492" s="5" t="s">
        <v>39</v>
      </c>
      <c r="H492" s="5">
        <v>211</v>
      </c>
      <c r="I492" s="5">
        <v>22</v>
      </c>
      <c r="J492" s="5" t="s">
        <v>32</v>
      </c>
      <c r="K492" s="5" t="s">
        <v>45</v>
      </c>
      <c r="L492" s="5" t="s">
        <v>28</v>
      </c>
      <c r="M492" s="7" t="s">
        <v>21</v>
      </c>
      <c r="N492" s="26">
        <f t="shared" si="49"/>
        <v>-1</v>
      </c>
      <c r="O492" s="42">
        <f t="shared" si="50"/>
        <v>45171</v>
      </c>
      <c r="P492" s="5" t="str">
        <f t="shared" si="51"/>
        <v>Saturday</v>
      </c>
      <c r="Q492" s="5">
        <f t="shared" si="52"/>
        <v>11</v>
      </c>
      <c r="R492" s="28">
        <f t="shared" si="53"/>
        <v>0.90557939914163088</v>
      </c>
      <c r="S492" s="29">
        <f t="shared" si="54"/>
        <v>90.557939914163086</v>
      </c>
      <c r="T492" s="5" t="str">
        <f>IF(Delivery_Data3[[#This Row],[Delays (min)]]&gt;0,"No","Yes")</f>
        <v>No</v>
      </c>
      <c r="W492" s="41">
        <f t="shared" si="55"/>
        <v>45171</v>
      </c>
      <c r="X492" s="5">
        <v>211</v>
      </c>
    </row>
    <row r="493" spans="1:24" ht="15.75" customHeight="1" x14ac:dyDescent="0.3">
      <c r="A493" s="4">
        <v>1492</v>
      </c>
      <c r="B493" s="5" t="s">
        <v>623</v>
      </c>
      <c r="C493" s="6">
        <v>45177.44027777778</v>
      </c>
      <c r="D493" s="5" t="s">
        <v>43</v>
      </c>
      <c r="E493" s="5" t="s">
        <v>15</v>
      </c>
      <c r="F493" s="5" t="s">
        <v>38</v>
      </c>
      <c r="G493" s="5" t="s">
        <v>56</v>
      </c>
      <c r="H493" s="5">
        <v>235</v>
      </c>
      <c r="I493" s="5">
        <v>1</v>
      </c>
      <c r="J493" s="5" t="s">
        <v>18</v>
      </c>
      <c r="K493" s="5" t="s">
        <v>45</v>
      </c>
      <c r="L493" s="5" t="s">
        <v>28</v>
      </c>
      <c r="M493" s="7" t="s">
        <v>46</v>
      </c>
      <c r="N493" s="26">
        <f t="shared" si="49"/>
        <v>0</v>
      </c>
      <c r="O493" s="42">
        <f t="shared" si="50"/>
        <v>45177</v>
      </c>
      <c r="P493" s="5" t="str">
        <f t="shared" si="51"/>
        <v>Friday</v>
      </c>
      <c r="Q493" s="5">
        <f t="shared" si="52"/>
        <v>10</v>
      </c>
      <c r="R493" s="28">
        <f t="shared" si="53"/>
        <v>0.99576271186440679</v>
      </c>
      <c r="S493" s="29">
        <f t="shared" si="54"/>
        <v>99.576271186440678</v>
      </c>
      <c r="T493" s="5" t="str">
        <f>IF(Delivery_Data3[[#This Row],[Delays (min)]]&gt;0,"No","Yes")</f>
        <v>No</v>
      </c>
      <c r="W493" s="41">
        <f t="shared" si="55"/>
        <v>45177</v>
      </c>
      <c r="X493" s="5">
        <v>235</v>
      </c>
    </row>
    <row r="494" spans="1:24" ht="15.75" customHeight="1" x14ac:dyDescent="0.3">
      <c r="A494" s="4">
        <v>1493</v>
      </c>
      <c r="B494" s="5" t="s">
        <v>624</v>
      </c>
      <c r="C494" s="6">
        <v>45174.688888888886</v>
      </c>
      <c r="D494" s="5" t="s">
        <v>14</v>
      </c>
      <c r="E494" s="5" t="s">
        <v>109</v>
      </c>
      <c r="F494" s="5" t="s">
        <v>16</v>
      </c>
      <c r="G494" s="5" t="s">
        <v>39</v>
      </c>
      <c r="H494" s="5">
        <v>218</v>
      </c>
      <c r="I494" s="5">
        <v>4</v>
      </c>
      <c r="J494" s="5" t="s">
        <v>26</v>
      </c>
      <c r="K494" s="5" t="s">
        <v>35</v>
      </c>
      <c r="L494" s="5" t="s">
        <v>28</v>
      </c>
      <c r="M494" s="7" t="s">
        <v>41</v>
      </c>
      <c r="N494" s="26">
        <f t="shared" si="49"/>
        <v>1</v>
      </c>
      <c r="O494" s="42">
        <f t="shared" si="50"/>
        <v>45174</v>
      </c>
      <c r="P494" s="5" t="str">
        <f t="shared" si="51"/>
        <v>Tuesday</v>
      </c>
      <c r="Q494" s="5">
        <f t="shared" si="52"/>
        <v>16</v>
      </c>
      <c r="R494" s="28">
        <f t="shared" si="53"/>
        <v>0.98198198198198194</v>
      </c>
      <c r="S494" s="29">
        <f t="shared" si="54"/>
        <v>98.198198198198199</v>
      </c>
      <c r="T494" s="5" t="str">
        <f>IF(Delivery_Data3[[#This Row],[Delays (min)]]&gt;0,"No","Yes")</f>
        <v>No</v>
      </c>
      <c r="W494" s="41">
        <f t="shared" si="55"/>
        <v>45174</v>
      </c>
      <c r="X494" s="5">
        <v>218</v>
      </c>
    </row>
    <row r="495" spans="1:24" ht="15.75" customHeight="1" x14ac:dyDescent="0.3">
      <c r="A495" s="4">
        <v>1494</v>
      </c>
      <c r="B495" s="5" t="s">
        <v>625</v>
      </c>
      <c r="C495" s="6">
        <v>45176.699305555558</v>
      </c>
      <c r="D495" s="5" t="s">
        <v>43</v>
      </c>
      <c r="E495" s="5" t="s">
        <v>23</v>
      </c>
      <c r="F495" s="5" t="s">
        <v>16</v>
      </c>
      <c r="G495" s="5" t="s">
        <v>39</v>
      </c>
      <c r="H495" s="5">
        <v>67</v>
      </c>
      <c r="I495" s="5">
        <v>24</v>
      </c>
      <c r="J495" s="5" t="s">
        <v>18</v>
      </c>
      <c r="K495" s="5" t="s">
        <v>19</v>
      </c>
      <c r="L495" s="5" t="s">
        <v>20</v>
      </c>
      <c r="M495" s="7" t="s">
        <v>41</v>
      </c>
      <c r="N495" s="26">
        <f t="shared" si="49"/>
        <v>0</v>
      </c>
      <c r="O495" s="42">
        <f t="shared" si="50"/>
        <v>45176</v>
      </c>
      <c r="P495" s="5" t="str">
        <f t="shared" si="51"/>
        <v>Thursday</v>
      </c>
      <c r="Q495" s="5">
        <f t="shared" si="52"/>
        <v>16</v>
      </c>
      <c r="R495" s="28">
        <f t="shared" si="53"/>
        <v>0.73626373626373631</v>
      </c>
      <c r="S495" s="29">
        <f t="shared" si="54"/>
        <v>73.626373626373635</v>
      </c>
      <c r="T495" s="5" t="str">
        <f>IF(Delivery_Data3[[#This Row],[Delays (min)]]&gt;0,"No","Yes")</f>
        <v>No</v>
      </c>
      <c r="W495" s="41">
        <f t="shared" si="55"/>
        <v>45176</v>
      </c>
      <c r="X495" s="5">
        <v>67</v>
      </c>
    </row>
    <row r="496" spans="1:24" ht="15.75" customHeight="1" x14ac:dyDescent="0.3">
      <c r="A496" s="4">
        <v>1495</v>
      </c>
      <c r="B496" s="5" t="s">
        <v>626</v>
      </c>
      <c r="C496" s="6">
        <v>45172.609027777777</v>
      </c>
      <c r="D496" s="5" t="s">
        <v>43</v>
      </c>
      <c r="E496" s="5" t="s">
        <v>143</v>
      </c>
      <c r="F496" s="5" t="s">
        <v>24</v>
      </c>
      <c r="G496" s="5" t="s">
        <v>25</v>
      </c>
      <c r="H496" s="5">
        <v>118</v>
      </c>
      <c r="I496" s="5">
        <v>29</v>
      </c>
      <c r="J496" s="5" t="s">
        <v>18</v>
      </c>
      <c r="K496" s="5" t="s">
        <v>19</v>
      </c>
      <c r="L496" s="5" t="s">
        <v>40</v>
      </c>
      <c r="M496" s="7" t="s">
        <v>41</v>
      </c>
      <c r="N496" s="26">
        <f t="shared" si="49"/>
        <v>0</v>
      </c>
      <c r="O496" s="42">
        <f t="shared" si="50"/>
        <v>45172</v>
      </c>
      <c r="P496" s="5" t="str">
        <f t="shared" si="51"/>
        <v>Sunday</v>
      </c>
      <c r="Q496" s="5">
        <f t="shared" si="52"/>
        <v>14</v>
      </c>
      <c r="R496" s="28">
        <f t="shared" si="53"/>
        <v>0.80272108843537415</v>
      </c>
      <c r="S496" s="29">
        <f t="shared" si="54"/>
        <v>80.27210884353741</v>
      </c>
      <c r="T496" s="5" t="str">
        <f>IF(Delivery_Data3[[#This Row],[Delays (min)]]&gt;0,"No","Yes")</f>
        <v>No</v>
      </c>
      <c r="W496" s="41">
        <f t="shared" si="55"/>
        <v>45172</v>
      </c>
      <c r="X496" s="5">
        <v>118</v>
      </c>
    </row>
    <row r="497" spans="1:24" ht="15.75" customHeight="1" x14ac:dyDescent="0.3">
      <c r="A497" s="4">
        <v>1496</v>
      </c>
      <c r="B497" s="5" t="s">
        <v>627</v>
      </c>
      <c r="C497" s="6">
        <v>45175.34652777778</v>
      </c>
      <c r="D497" s="5" t="s">
        <v>43</v>
      </c>
      <c r="E497" s="5" t="s">
        <v>220</v>
      </c>
      <c r="F497" s="5" t="s">
        <v>16</v>
      </c>
      <c r="G497" s="5" t="s">
        <v>17</v>
      </c>
      <c r="H497" s="5">
        <v>231</v>
      </c>
      <c r="I497" s="5">
        <v>10</v>
      </c>
      <c r="J497" s="5" t="s">
        <v>18</v>
      </c>
      <c r="K497" s="5" t="s">
        <v>45</v>
      </c>
      <c r="L497" s="5" t="s">
        <v>28</v>
      </c>
      <c r="M497" s="7" t="s">
        <v>46</v>
      </c>
      <c r="N497" s="26">
        <f t="shared" si="49"/>
        <v>0</v>
      </c>
      <c r="O497" s="42">
        <f t="shared" si="50"/>
        <v>45175</v>
      </c>
      <c r="P497" s="5" t="str">
        <f t="shared" si="51"/>
        <v>Wednesday</v>
      </c>
      <c r="Q497" s="5">
        <f t="shared" si="52"/>
        <v>8</v>
      </c>
      <c r="R497" s="28">
        <f t="shared" si="53"/>
        <v>0.95850622406639008</v>
      </c>
      <c r="S497" s="29">
        <f t="shared" si="54"/>
        <v>95.850622406639005</v>
      </c>
      <c r="T497" s="5" t="str">
        <f>IF(Delivery_Data3[[#This Row],[Delays (min)]]&gt;0,"No","Yes")</f>
        <v>No</v>
      </c>
      <c r="W497" s="41">
        <f t="shared" si="55"/>
        <v>45175</v>
      </c>
      <c r="X497" s="5">
        <v>231</v>
      </c>
    </row>
    <row r="498" spans="1:24" ht="15.75" customHeight="1" x14ac:dyDescent="0.3">
      <c r="A498" s="4">
        <v>1497</v>
      </c>
      <c r="B498" s="5" t="s">
        <v>628</v>
      </c>
      <c r="C498" s="6">
        <v>45172.650694444441</v>
      </c>
      <c r="D498" s="5" t="s">
        <v>14</v>
      </c>
      <c r="E498" s="5" t="s">
        <v>162</v>
      </c>
      <c r="F498" s="5" t="s">
        <v>16</v>
      </c>
      <c r="G498" s="5" t="s">
        <v>31</v>
      </c>
      <c r="H498" s="5">
        <v>182</v>
      </c>
      <c r="I498" s="5">
        <v>14</v>
      </c>
      <c r="J498" s="5" t="s">
        <v>18</v>
      </c>
      <c r="K498" s="5" t="s">
        <v>35</v>
      </c>
      <c r="L498" s="5" t="s">
        <v>28</v>
      </c>
      <c r="M498" s="7" t="s">
        <v>46</v>
      </c>
      <c r="N498" s="26">
        <f t="shared" si="49"/>
        <v>0</v>
      </c>
      <c r="O498" s="42">
        <f t="shared" si="50"/>
        <v>45172</v>
      </c>
      <c r="P498" s="5" t="str">
        <f t="shared" si="51"/>
        <v>Sunday</v>
      </c>
      <c r="Q498" s="5">
        <f t="shared" si="52"/>
        <v>15</v>
      </c>
      <c r="R498" s="28">
        <f t="shared" si="53"/>
        <v>0.9285714285714286</v>
      </c>
      <c r="S498" s="29">
        <f t="shared" si="54"/>
        <v>92.857142857142861</v>
      </c>
      <c r="T498" s="5" t="str">
        <f>IF(Delivery_Data3[[#This Row],[Delays (min)]]&gt;0,"No","Yes")</f>
        <v>No</v>
      </c>
      <c r="W498" s="41">
        <f t="shared" si="55"/>
        <v>45172</v>
      </c>
      <c r="X498" s="5">
        <v>182</v>
      </c>
    </row>
    <row r="499" spans="1:24" ht="15.75" customHeight="1" x14ac:dyDescent="0.3">
      <c r="A499" s="4">
        <v>1498</v>
      </c>
      <c r="B499" s="5" t="s">
        <v>629</v>
      </c>
      <c r="C499" s="6">
        <v>45174.629166666666</v>
      </c>
      <c r="D499" s="5" t="s">
        <v>14</v>
      </c>
      <c r="E499" s="5" t="s">
        <v>263</v>
      </c>
      <c r="F499" s="5" t="s">
        <v>16</v>
      </c>
      <c r="G499" s="5" t="s">
        <v>56</v>
      </c>
      <c r="H499" s="5">
        <v>181</v>
      </c>
      <c r="I499" s="5">
        <v>2</v>
      </c>
      <c r="J499" s="5" t="s">
        <v>32</v>
      </c>
      <c r="K499" s="5" t="s">
        <v>27</v>
      </c>
      <c r="L499" s="5" t="s">
        <v>40</v>
      </c>
      <c r="M499" s="7" t="s">
        <v>46</v>
      </c>
      <c r="N499" s="26">
        <f t="shared" si="49"/>
        <v>-1</v>
      </c>
      <c r="O499" s="42">
        <f t="shared" si="50"/>
        <v>45174</v>
      </c>
      <c r="P499" s="5" t="str">
        <f t="shared" si="51"/>
        <v>Tuesday</v>
      </c>
      <c r="Q499" s="5">
        <f t="shared" si="52"/>
        <v>15</v>
      </c>
      <c r="R499" s="28">
        <f t="shared" si="53"/>
        <v>0.98907103825136611</v>
      </c>
      <c r="S499" s="29">
        <f t="shared" si="54"/>
        <v>98.907103825136616</v>
      </c>
      <c r="T499" s="5" t="str">
        <f>IF(Delivery_Data3[[#This Row],[Delays (min)]]&gt;0,"No","Yes")</f>
        <v>No</v>
      </c>
      <c r="W499" s="41">
        <f t="shared" si="55"/>
        <v>45174</v>
      </c>
      <c r="X499" s="5">
        <v>181</v>
      </c>
    </row>
    <row r="500" spans="1:24" ht="15.75" customHeight="1" x14ac:dyDescent="0.3">
      <c r="A500" s="4">
        <v>1499</v>
      </c>
      <c r="B500" s="5" t="s">
        <v>630</v>
      </c>
      <c r="C500" s="6">
        <v>45172.654861111114</v>
      </c>
      <c r="D500" s="5" t="s">
        <v>14</v>
      </c>
      <c r="E500" s="5" t="s">
        <v>185</v>
      </c>
      <c r="F500" s="5" t="s">
        <v>16</v>
      </c>
      <c r="G500" s="5" t="s">
        <v>17</v>
      </c>
      <c r="H500" s="5">
        <v>90</v>
      </c>
      <c r="I500" s="5">
        <v>23</v>
      </c>
      <c r="J500" s="5" t="s">
        <v>18</v>
      </c>
      <c r="K500" s="5" t="s">
        <v>19</v>
      </c>
      <c r="L500" s="5" t="s">
        <v>40</v>
      </c>
      <c r="M500" s="7" t="s">
        <v>41</v>
      </c>
      <c r="N500" s="26">
        <f t="shared" si="49"/>
        <v>0</v>
      </c>
      <c r="O500" s="42">
        <f t="shared" si="50"/>
        <v>45172</v>
      </c>
      <c r="P500" s="5" t="str">
        <f t="shared" si="51"/>
        <v>Sunday</v>
      </c>
      <c r="Q500" s="5">
        <f t="shared" si="52"/>
        <v>15</v>
      </c>
      <c r="R500" s="28">
        <f t="shared" si="53"/>
        <v>0.79646017699115046</v>
      </c>
      <c r="S500" s="29">
        <f t="shared" si="54"/>
        <v>79.646017699115049</v>
      </c>
      <c r="T500" s="5" t="str">
        <f>IF(Delivery_Data3[[#This Row],[Delays (min)]]&gt;0,"No","Yes")</f>
        <v>No</v>
      </c>
      <c r="W500" s="41">
        <f t="shared" si="55"/>
        <v>45172</v>
      </c>
      <c r="X500" s="5">
        <v>90</v>
      </c>
    </row>
    <row r="501" spans="1:24" ht="15.75" customHeight="1" x14ac:dyDescent="0.3">
      <c r="A501" s="4">
        <v>1500</v>
      </c>
      <c r="B501" s="5" t="s">
        <v>631</v>
      </c>
      <c r="C501" s="6">
        <v>45173.51666666667</v>
      </c>
      <c r="D501" s="5" t="s">
        <v>43</v>
      </c>
      <c r="E501" s="5" t="s">
        <v>122</v>
      </c>
      <c r="F501" s="5" t="s">
        <v>16</v>
      </c>
      <c r="G501" s="5" t="s">
        <v>56</v>
      </c>
      <c r="H501" s="5">
        <v>85</v>
      </c>
      <c r="I501" s="5">
        <v>7</v>
      </c>
      <c r="J501" s="5" t="s">
        <v>26</v>
      </c>
      <c r="K501" s="5" t="s">
        <v>49</v>
      </c>
      <c r="L501" s="5" t="s">
        <v>20</v>
      </c>
      <c r="M501" s="7" t="s">
        <v>21</v>
      </c>
      <c r="N501" s="26">
        <f t="shared" si="49"/>
        <v>1</v>
      </c>
      <c r="O501" s="42">
        <f t="shared" si="50"/>
        <v>45173</v>
      </c>
      <c r="P501" s="5" t="str">
        <f t="shared" si="51"/>
        <v>Monday</v>
      </c>
      <c r="Q501" s="5">
        <f t="shared" si="52"/>
        <v>12</v>
      </c>
      <c r="R501" s="28">
        <f t="shared" si="53"/>
        <v>0.92391304347826086</v>
      </c>
      <c r="S501" s="29">
        <f t="shared" si="54"/>
        <v>92.391304347826093</v>
      </c>
      <c r="T501" s="5" t="str">
        <f>IF(Delivery_Data3[[#This Row],[Delays (min)]]&gt;0,"No","Yes")</f>
        <v>No</v>
      </c>
      <c r="W501" s="41">
        <f t="shared" si="55"/>
        <v>45173</v>
      </c>
      <c r="X501" s="5">
        <v>85</v>
      </c>
    </row>
    <row r="502" spans="1:24" ht="15.75" customHeight="1" x14ac:dyDescent="0.3">
      <c r="A502" s="4">
        <v>1501</v>
      </c>
      <c r="B502" s="5" t="s">
        <v>632</v>
      </c>
      <c r="C502" s="6">
        <v>45171.368750000001</v>
      </c>
      <c r="D502" s="5" t="s">
        <v>43</v>
      </c>
      <c r="E502" s="5" t="s">
        <v>468</v>
      </c>
      <c r="F502" s="5" t="s">
        <v>38</v>
      </c>
      <c r="G502" s="5" t="s">
        <v>56</v>
      </c>
      <c r="H502" s="5">
        <v>197</v>
      </c>
      <c r="I502" s="5">
        <v>19</v>
      </c>
      <c r="J502" s="5" t="s">
        <v>32</v>
      </c>
      <c r="K502" s="5" t="s">
        <v>35</v>
      </c>
      <c r="L502" s="5" t="s">
        <v>28</v>
      </c>
      <c r="M502" s="7" t="s">
        <v>46</v>
      </c>
      <c r="N502" s="26">
        <f t="shared" si="49"/>
        <v>-1</v>
      </c>
      <c r="O502" s="42">
        <f t="shared" si="50"/>
        <v>45171</v>
      </c>
      <c r="P502" s="5" t="str">
        <f t="shared" si="51"/>
        <v>Saturday</v>
      </c>
      <c r="Q502" s="5">
        <f t="shared" si="52"/>
        <v>8</v>
      </c>
      <c r="R502" s="28">
        <f t="shared" si="53"/>
        <v>0.91203703703703709</v>
      </c>
      <c r="S502" s="29">
        <f t="shared" si="54"/>
        <v>91.203703703703709</v>
      </c>
      <c r="T502" s="5" t="str">
        <f>IF(Delivery_Data3[[#This Row],[Delays (min)]]&gt;0,"No","Yes")</f>
        <v>No</v>
      </c>
      <c r="W502" s="41">
        <f t="shared" si="55"/>
        <v>45171</v>
      </c>
      <c r="X502" s="5">
        <v>197</v>
      </c>
    </row>
    <row r="503" spans="1:24" ht="15.75" customHeight="1" x14ac:dyDescent="0.3">
      <c r="A503" s="4">
        <v>1502</v>
      </c>
      <c r="B503" s="5" t="s">
        <v>633</v>
      </c>
      <c r="C503" s="6">
        <v>45176.699305555558</v>
      </c>
      <c r="D503" s="5" t="s">
        <v>43</v>
      </c>
      <c r="E503" s="5" t="s">
        <v>193</v>
      </c>
      <c r="F503" s="5" t="s">
        <v>24</v>
      </c>
      <c r="G503" s="5" t="s">
        <v>56</v>
      </c>
      <c r="H503" s="5">
        <v>125</v>
      </c>
      <c r="I503" s="5">
        <v>16</v>
      </c>
      <c r="J503" s="5" t="s">
        <v>32</v>
      </c>
      <c r="K503" s="5" t="s">
        <v>35</v>
      </c>
      <c r="L503" s="5" t="s">
        <v>40</v>
      </c>
      <c r="M503" s="7" t="s">
        <v>21</v>
      </c>
      <c r="N503" s="26">
        <f t="shared" si="49"/>
        <v>-1</v>
      </c>
      <c r="O503" s="42">
        <f t="shared" si="50"/>
        <v>45176</v>
      </c>
      <c r="P503" s="5" t="str">
        <f t="shared" si="51"/>
        <v>Thursday</v>
      </c>
      <c r="Q503" s="5">
        <f t="shared" si="52"/>
        <v>16</v>
      </c>
      <c r="R503" s="28">
        <f t="shared" si="53"/>
        <v>0.88652482269503541</v>
      </c>
      <c r="S503" s="29">
        <f t="shared" si="54"/>
        <v>88.652482269503537</v>
      </c>
      <c r="T503" s="5" t="str">
        <f>IF(Delivery_Data3[[#This Row],[Delays (min)]]&gt;0,"No","Yes")</f>
        <v>No</v>
      </c>
      <c r="W503" s="41">
        <f t="shared" si="55"/>
        <v>45176</v>
      </c>
      <c r="X503" s="5">
        <v>125</v>
      </c>
    </row>
    <row r="504" spans="1:24" ht="15.75" customHeight="1" x14ac:dyDescent="0.3">
      <c r="A504" s="4">
        <v>1503</v>
      </c>
      <c r="B504" s="5" t="s">
        <v>634</v>
      </c>
      <c r="C504" s="6">
        <v>45174.507638888892</v>
      </c>
      <c r="D504" s="5" t="s">
        <v>14</v>
      </c>
      <c r="E504" s="5" t="s">
        <v>154</v>
      </c>
      <c r="F504" s="5" t="s">
        <v>16</v>
      </c>
      <c r="G504" s="5" t="s">
        <v>39</v>
      </c>
      <c r="H504" s="5">
        <v>122</v>
      </c>
      <c r="I504" s="5">
        <v>1</v>
      </c>
      <c r="J504" s="5" t="s">
        <v>18</v>
      </c>
      <c r="K504" s="5" t="s">
        <v>45</v>
      </c>
      <c r="L504" s="5" t="s">
        <v>20</v>
      </c>
      <c r="M504" s="7" t="s">
        <v>41</v>
      </c>
      <c r="N504" s="26">
        <f t="shared" si="49"/>
        <v>0</v>
      </c>
      <c r="O504" s="42">
        <f t="shared" si="50"/>
        <v>45174</v>
      </c>
      <c r="P504" s="5" t="str">
        <f t="shared" si="51"/>
        <v>Tuesday</v>
      </c>
      <c r="Q504" s="5">
        <f t="shared" si="52"/>
        <v>12</v>
      </c>
      <c r="R504" s="28">
        <f t="shared" si="53"/>
        <v>0.99186991869918695</v>
      </c>
      <c r="S504" s="29">
        <f t="shared" si="54"/>
        <v>99.1869918699187</v>
      </c>
      <c r="T504" s="5" t="str">
        <f>IF(Delivery_Data3[[#This Row],[Delays (min)]]&gt;0,"No","Yes")</f>
        <v>No</v>
      </c>
      <c r="W504" s="41">
        <f t="shared" si="55"/>
        <v>45174</v>
      </c>
      <c r="X504" s="5">
        <v>122</v>
      </c>
    </row>
    <row r="505" spans="1:24" ht="15.75" customHeight="1" x14ac:dyDescent="0.3">
      <c r="A505" s="4">
        <v>1504</v>
      </c>
      <c r="B505" s="5" t="s">
        <v>635</v>
      </c>
      <c r="C505" s="6">
        <v>45173.456250000003</v>
      </c>
      <c r="D505" s="5" t="s">
        <v>43</v>
      </c>
      <c r="E505" s="5" t="s">
        <v>171</v>
      </c>
      <c r="F505" s="5" t="s">
        <v>24</v>
      </c>
      <c r="G505" s="5" t="s">
        <v>25</v>
      </c>
      <c r="H505" s="5">
        <v>75</v>
      </c>
      <c r="I505" s="5">
        <v>28</v>
      </c>
      <c r="J505" s="5" t="s">
        <v>32</v>
      </c>
      <c r="K505" s="5" t="s">
        <v>45</v>
      </c>
      <c r="L505" s="5" t="s">
        <v>40</v>
      </c>
      <c r="M505" s="7" t="s">
        <v>41</v>
      </c>
      <c r="N505" s="26">
        <f t="shared" si="49"/>
        <v>-1</v>
      </c>
      <c r="O505" s="42">
        <f t="shared" si="50"/>
        <v>45173</v>
      </c>
      <c r="P505" s="5" t="str">
        <f t="shared" si="51"/>
        <v>Monday</v>
      </c>
      <c r="Q505" s="5">
        <f t="shared" si="52"/>
        <v>10</v>
      </c>
      <c r="R505" s="28">
        <f t="shared" si="53"/>
        <v>0.72815533980582525</v>
      </c>
      <c r="S505" s="29">
        <f t="shared" si="54"/>
        <v>72.815533980582529</v>
      </c>
      <c r="T505" s="5" t="str">
        <f>IF(Delivery_Data3[[#This Row],[Delays (min)]]&gt;0,"No","Yes")</f>
        <v>No</v>
      </c>
      <c r="W505" s="41">
        <f t="shared" si="55"/>
        <v>45173</v>
      </c>
      <c r="X505" s="5">
        <v>75</v>
      </c>
    </row>
    <row r="506" spans="1:24" ht="15.75" customHeight="1" x14ac:dyDescent="0.3">
      <c r="A506" s="4">
        <v>1505</v>
      </c>
      <c r="B506" s="5" t="s">
        <v>636</v>
      </c>
      <c r="C506" s="6">
        <v>45173.695138888892</v>
      </c>
      <c r="D506" s="5" t="s">
        <v>14</v>
      </c>
      <c r="E506" s="5" t="s">
        <v>85</v>
      </c>
      <c r="F506" s="5" t="s">
        <v>38</v>
      </c>
      <c r="G506" s="5" t="s">
        <v>25</v>
      </c>
      <c r="H506" s="5">
        <v>77</v>
      </c>
      <c r="I506" s="5">
        <v>5</v>
      </c>
      <c r="J506" s="5" t="s">
        <v>26</v>
      </c>
      <c r="K506" s="5" t="s">
        <v>35</v>
      </c>
      <c r="L506" s="5" t="s">
        <v>20</v>
      </c>
      <c r="M506" s="7" t="s">
        <v>41</v>
      </c>
      <c r="N506" s="26">
        <f t="shared" si="49"/>
        <v>1</v>
      </c>
      <c r="O506" s="42">
        <f t="shared" si="50"/>
        <v>45173</v>
      </c>
      <c r="P506" s="5" t="str">
        <f t="shared" si="51"/>
        <v>Monday</v>
      </c>
      <c r="Q506" s="5">
        <f t="shared" si="52"/>
        <v>16</v>
      </c>
      <c r="R506" s="28">
        <f t="shared" si="53"/>
        <v>0.93902439024390238</v>
      </c>
      <c r="S506" s="29">
        <f t="shared" si="54"/>
        <v>93.902439024390233</v>
      </c>
      <c r="T506" s="5" t="str">
        <f>IF(Delivery_Data3[[#This Row],[Delays (min)]]&gt;0,"No","Yes")</f>
        <v>No</v>
      </c>
      <c r="W506" s="41">
        <f t="shared" si="55"/>
        <v>45173</v>
      </c>
      <c r="X506" s="5">
        <v>77</v>
      </c>
    </row>
    <row r="507" spans="1:24" ht="15.75" customHeight="1" x14ac:dyDescent="0.3">
      <c r="A507" s="4">
        <v>1506</v>
      </c>
      <c r="B507" s="5" t="s">
        <v>637</v>
      </c>
      <c r="C507" s="6">
        <v>45173.631944444445</v>
      </c>
      <c r="D507" s="5" t="s">
        <v>14</v>
      </c>
      <c r="E507" s="5" t="s">
        <v>128</v>
      </c>
      <c r="F507" s="5" t="s">
        <v>16</v>
      </c>
      <c r="G507" s="5" t="s">
        <v>17</v>
      </c>
      <c r="H507" s="5">
        <v>74</v>
      </c>
      <c r="I507" s="5">
        <v>28</v>
      </c>
      <c r="J507" s="5" t="s">
        <v>32</v>
      </c>
      <c r="K507" s="5" t="s">
        <v>19</v>
      </c>
      <c r="L507" s="5" t="s">
        <v>20</v>
      </c>
      <c r="M507" s="7" t="s">
        <v>41</v>
      </c>
      <c r="N507" s="26">
        <f t="shared" si="49"/>
        <v>-1</v>
      </c>
      <c r="O507" s="42">
        <f t="shared" si="50"/>
        <v>45173</v>
      </c>
      <c r="P507" s="5" t="str">
        <f t="shared" si="51"/>
        <v>Monday</v>
      </c>
      <c r="Q507" s="5">
        <f t="shared" si="52"/>
        <v>15</v>
      </c>
      <c r="R507" s="28">
        <f t="shared" si="53"/>
        <v>0.72549019607843135</v>
      </c>
      <c r="S507" s="29">
        <f t="shared" si="54"/>
        <v>72.549019607843135</v>
      </c>
      <c r="T507" s="5" t="str">
        <f>IF(Delivery_Data3[[#This Row],[Delays (min)]]&gt;0,"No","Yes")</f>
        <v>No</v>
      </c>
      <c r="W507" s="41">
        <f t="shared" si="55"/>
        <v>45173</v>
      </c>
      <c r="X507" s="5">
        <v>74</v>
      </c>
    </row>
    <row r="508" spans="1:24" ht="15.75" customHeight="1" x14ac:dyDescent="0.3">
      <c r="A508" s="4">
        <v>1507</v>
      </c>
      <c r="B508" s="5" t="s">
        <v>541</v>
      </c>
      <c r="C508" s="6">
        <v>45171.48333333333</v>
      </c>
      <c r="D508" s="5" t="s">
        <v>43</v>
      </c>
      <c r="E508" s="5" t="s">
        <v>64</v>
      </c>
      <c r="F508" s="5" t="s">
        <v>24</v>
      </c>
      <c r="G508" s="5" t="s">
        <v>56</v>
      </c>
      <c r="H508" s="5">
        <v>221</v>
      </c>
      <c r="I508" s="5">
        <v>24</v>
      </c>
      <c r="J508" s="5" t="s">
        <v>26</v>
      </c>
      <c r="K508" s="5" t="s">
        <v>19</v>
      </c>
      <c r="L508" s="5" t="s">
        <v>28</v>
      </c>
      <c r="M508" s="7" t="s">
        <v>41</v>
      </c>
      <c r="N508" s="26">
        <f t="shared" si="49"/>
        <v>1</v>
      </c>
      <c r="O508" s="42">
        <f t="shared" si="50"/>
        <v>45171</v>
      </c>
      <c r="P508" s="5" t="str">
        <f t="shared" si="51"/>
        <v>Saturday</v>
      </c>
      <c r="Q508" s="5">
        <f t="shared" si="52"/>
        <v>11</v>
      </c>
      <c r="R508" s="28">
        <f t="shared" si="53"/>
        <v>0.90204081632653066</v>
      </c>
      <c r="S508" s="29">
        <f t="shared" si="54"/>
        <v>90.204081632653072</v>
      </c>
      <c r="T508" s="5" t="str">
        <f>IF(Delivery_Data3[[#This Row],[Delays (min)]]&gt;0,"No","Yes")</f>
        <v>No</v>
      </c>
      <c r="W508" s="41">
        <f t="shared" si="55"/>
        <v>45171</v>
      </c>
      <c r="X508" s="5">
        <v>221</v>
      </c>
    </row>
    <row r="509" spans="1:24" ht="15.75" customHeight="1" x14ac:dyDescent="0.3">
      <c r="A509" s="4">
        <v>1508</v>
      </c>
      <c r="B509" s="5" t="s">
        <v>638</v>
      </c>
      <c r="C509" s="6">
        <v>45177.421527777777</v>
      </c>
      <c r="D509" s="5" t="s">
        <v>43</v>
      </c>
      <c r="E509" s="5" t="s">
        <v>89</v>
      </c>
      <c r="F509" s="5" t="s">
        <v>16</v>
      </c>
      <c r="G509" s="5" t="s">
        <v>39</v>
      </c>
      <c r="H509" s="5">
        <v>69</v>
      </c>
      <c r="I509" s="5">
        <v>9</v>
      </c>
      <c r="J509" s="5" t="s">
        <v>32</v>
      </c>
      <c r="K509" s="5" t="s">
        <v>35</v>
      </c>
      <c r="L509" s="5" t="s">
        <v>28</v>
      </c>
      <c r="M509" s="7" t="s">
        <v>46</v>
      </c>
      <c r="N509" s="26">
        <f t="shared" si="49"/>
        <v>-1</v>
      </c>
      <c r="O509" s="42">
        <f t="shared" si="50"/>
        <v>45177</v>
      </c>
      <c r="P509" s="5" t="str">
        <f t="shared" si="51"/>
        <v>Friday</v>
      </c>
      <c r="Q509" s="5">
        <f t="shared" si="52"/>
        <v>10</v>
      </c>
      <c r="R509" s="28">
        <f t="shared" si="53"/>
        <v>0.88461538461538458</v>
      </c>
      <c r="S509" s="29">
        <f t="shared" si="54"/>
        <v>88.461538461538453</v>
      </c>
      <c r="T509" s="5" t="str">
        <f>IF(Delivery_Data3[[#This Row],[Delays (min)]]&gt;0,"No","Yes")</f>
        <v>No</v>
      </c>
      <c r="W509" s="41">
        <f t="shared" si="55"/>
        <v>45177</v>
      </c>
      <c r="X509" s="5">
        <v>69</v>
      </c>
    </row>
    <row r="510" spans="1:24" ht="15.75" customHeight="1" x14ac:dyDescent="0.3">
      <c r="A510" s="4">
        <v>1509</v>
      </c>
      <c r="B510" s="5" t="s">
        <v>639</v>
      </c>
      <c r="C510" s="6">
        <v>45172.350694444445</v>
      </c>
      <c r="D510" s="5" t="s">
        <v>43</v>
      </c>
      <c r="E510" s="5" t="s">
        <v>193</v>
      </c>
      <c r="F510" s="5" t="s">
        <v>38</v>
      </c>
      <c r="G510" s="5" t="s">
        <v>31</v>
      </c>
      <c r="H510" s="5">
        <v>62</v>
      </c>
      <c r="I510" s="5">
        <v>28</v>
      </c>
      <c r="J510" s="5" t="s">
        <v>18</v>
      </c>
      <c r="K510" s="5" t="s">
        <v>49</v>
      </c>
      <c r="L510" s="5" t="s">
        <v>40</v>
      </c>
      <c r="M510" s="7" t="s">
        <v>41</v>
      </c>
      <c r="N510" s="26">
        <f t="shared" si="49"/>
        <v>0</v>
      </c>
      <c r="O510" s="42">
        <f t="shared" si="50"/>
        <v>45172</v>
      </c>
      <c r="P510" s="5" t="str">
        <f t="shared" si="51"/>
        <v>Sunday</v>
      </c>
      <c r="Q510" s="5">
        <f t="shared" si="52"/>
        <v>8</v>
      </c>
      <c r="R510" s="28">
        <f t="shared" si="53"/>
        <v>0.68888888888888888</v>
      </c>
      <c r="S510" s="29">
        <f t="shared" si="54"/>
        <v>68.888888888888886</v>
      </c>
      <c r="T510" s="5" t="str">
        <f>IF(Delivery_Data3[[#This Row],[Delays (min)]]&gt;0,"No","Yes")</f>
        <v>No</v>
      </c>
      <c r="W510" s="41">
        <f t="shared" si="55"/>
        <v>45172</v>
      </c>
      <c r="X510" s="5">
        <v>62</v>
      </c>
    </row>
    <row r="511" spans="1:24" ht="15.75" customHeight="1" x14ac:dyDescent="0.3">
      <c r="A511" s="4">
        <v>1510</v>
      </c>
      <c r="B511" s="5" t="s">
        <v>640</v>
      </c>
      <c r="C511" s="6">
        <v>45170.46597222222</v>
      </c>
      <c r="D511" s="5" t="s">
        <v>43</v>
      </c>
      <c r="E511" s="5" t="s">
        <v>304</v>
      </c>
      <c r="F511" s="5" t="s">
        <v>16</v>
      </c>
      <c r="G511" s="5" t="s">
        <v>56</v>
      </c>
      <c r="H511" s="5">
        <v>209</v>
      </c>
      <c r="I511" s="5">
        <v>9</v>
      </c>
      <c r="J511" s="5" t="s">
        <v>32</v>
      </c>
      <c r="K511" s="5" t="s">
        <v>45</v>
      </c>
      <c r="L511" s="5" t="s">
        <v>40</v>
      </c>
      <c r="M511" s="7" t="s">
        <v>21</v>
      </c>
      <c r="N511" s="26">
        <f t="shared" si="49"/>
        <v>-1</v>
      </c>
      <c r="O511" s="42">
        <f t="shared" si="50"/>
        <v>45170</v>
      </c>
      <c r="P511" s="5" t="str">
        <f t="shared" si="51"/>
        <v>Friday</v>
      </c>
      <c r="Q511" s="5">
        <f t="shared" si="52"/>
        <v>11</v>
      </c>
      <c r="R511" s="28">
        <f t="shared" si="53"/>
        <v>0.95871559633027525</v>
      </c>
      <c r="S511" s="29">
        <f t="shared" si="54"/>
        <v>95.87155963302753</v>
      </c>
      <c r="T511" s="5" t="str">
        <f>IF(Delivery_Data3[[#This Row],[Delays (min)]]&gt;0,"No","Yes")</f>
        <v>No</v>
      </c>
      <c r="W511" s="41">
        <f t="shared" si="55"/>
        <v>45170</v>
      </c>
      <c r="X511" s="5">
        <v>209</v>
      </c>
    </row>
    <row r="512" spans="1:24" ht="15.75" customHeight="1" x14ac:dyDescent="0.3">
      <c r="A512" s="4">
        <v>1511</v>
      </c>
      <c r="B512" s="5" t="s">
        <v>641</v>
      </c>
      <c r="C512" s="6">
        <v>45173.707638888889</v>
      </c>
      <c r="D512" s="5" t="s">
        <v>14</v>
      </c>
      <c r="E512" s="5" t="s">
        <v>70</v>
      </c>
      <c r="F512" s="5" t="s">
        <v>24</v>
      </c>
      <c r="G512" s="5" t="s">
        <v>39</v>
      </c>
      <c r="H512" s="5">
        <v>87</v>
      </c>
      <c r="I512" s="5">
        <v>9</v>
      </c>
      <c r="J512" s="5" t="s">
        <v>18</v>
      </c>
      <c r="K512" s="5" t="s">
        <v>35</v>
      </c>
      <c r="L512" s="5" t="s">
        <v>40</v>
      </c>
      <c r="M512" s="7" t="s">
        <v>46</v>
      </c>
      <c r="N512" s="26">
        <f t="shared" si="49"/>
        <v>0</v>
      </c>
      <c r="O512" s="42">
        <f t="shared" si="50"/>
        <v>45173</v>
      </c>
      <c r="P512" s="5" t="str">
        <f t="shared" si="51"/>
        <v>Monday</v>
      </c>
      <c r="Q512" s="5">
        <f t="shared" si="52"/>
        <v>16</v>
      </c>
      <c r="R512" s="28">
        <f t="shared" si="53"/>
        <v>0.90625</v>
      </c>
      <c r="S512" s="29">
        <f t="shared" si="54"/>
        <v>90.625</v>
      </c>
      <c r="T512" s="5" t="str">
        <f>IF(Delivery_Data3[[#This Row],[Delays (min)]]&gt;0,"No","Yes")</f>
        <v>No</v>
      </c>
      <c r="W512" s="41">
        <f t="shared" si="55"/>
        <v>45173</v>
      </c>
      <c r="X512" s="5">
        <v>87</v>
      </c>
    </row>
    <row r="513" spans="1:24" ht="15.75" customHeight="1" x14ac:dyDescent="0.3">
      <c r="A513" s="4">
        <v>1512</v>
      </c>
      <c r="B513" s="5" t="s">
        <v>642</v>
      </c>
      <c r="C513" s="6">
        <v>45171.42291666667</v>
      </c>
      <c r="D513" s="5" t="s">
        <v>43</v>
      </c>
      <c r="E513" s="5" t="s">
        <v>410</v>
      </c>
      <c r="F513" s="5" t="s">
        <v>16</v>
      </c>
      <c r="G513" s="5" t="s">
        <v>31</v>
      </c>
      <c r="H513" s="5">
        <v>129</v>
      </c>
      <c r="I513" s="5">
        <v>8</v>
      </c>
      <c r="J513" s="5" t="s">
        <v>32</v>
      </c>
      <c r="K513" s="5" t="s">
        <v>49</v>
      </c>
      <c r="L513" s="5" t="s">
        <v>28</v>
      </c>
      <c r="M513" s="7" t="s">
        <v>41</v>
      </c>
      <c r="N513" s="26">
        <f t="shared" si="49"/>
        <v>-1</v>
      </c>
      <c r="O513" s="42">
        <f t="shared" si="50"/>
        <v>45171</v>
      </c>
      <c r="P513" s="5" t="str">
        <f t="shared" si="51"/>
        <v>Saturday</v>
      </c>
      <c r="Q513" s="5">
        <f t="shared" si="52"/>
        <v>10</v>
      </c>
      <c r="R513" s="28">
        <f t="shared" si="53"/>
        <v>0.94160583941605835</v>
      </c>
      <c r="S513" s="29">
        <f t="shared" si="54"/>
        <v>94.160583941605836</v>
      </c>
      <c r="T513" s="5" t="str">
        <f>IF(Delivery_Data3[[#This Row],[Delays (min)]]&gt;0,"No","Yes")</f>
        <v>No</v>
      </c>
      <c r="W513" s="41">
        <f t="shared" si="55"/>
        <v>45171</v>
      </c>
      <c r="X513" s="5">
        <v>129</v>
      </c>
    </row>
    <row r="514" spans="1:24" ht="15.75" customHeight="1" x14ac:dyDescent="0.3">
      <c r="A514" s="4">
        <v>1513</v>
      </c>
      <c r="B514" s="5" t="s">
        <v>643</v>
      </c>
      <c r="C514" s="6">
        <v>45171.369444444441</v>
      </c>
      <c r="D514" s="5" t="s">
        <v>14</v>
      </c>
      <c r="E514" s="5" t="s">
        <v>106</v>
      </c>
      <c r="F514" s="5" t="s">
        <v>38</v>
      </c>
      <c r="G514" s="5" t="s">
        <v>56</v>
      </c>
      <c r="H514" s="5">
        <v>133</v>
      </c>
      <c r="I514" s="5">
        <v>22</v>
      </c>
      <c r="J514" s="5" t="s">
        <v>18</v>
      </c>
      <c r="K514" s="5" t="s">
        <v>45</v>
      </c>
      <c r="L514" s="5" t="s">
        <v>40</v>
      </c>
      <c r="M514" s="7" t="s">
        <v>21</v>
      </c>
      <c r="N514" s="26">
        <f t="shared" ref="N514:N577" si="56">IF(J514="Positive",1,IF(J514="Neutral",0,IF(J514="Negative",-1,"")))</f>
        <v>0</v>
      </c>
      <c r="O514" s="42">
        <f t="shared" ref="O514:O577" si="57">INT(C514)</f>
        <v>45171</v>
      </c>
      <c r="P514" s="5" t="str">
        <f t="shared" ref="P514:P577" si="58">TEXT(C514,"dddd")</f>
        <v>Saturday</v>
      </c>
      <c r="Q514" s="5">
        <f t="shared" ref="Q514:Q577" si="59">HOUR(C514)</f>
        <v>8</v>
      </c>
      <c r="R514" s="28">
        <f t="shared" ref="R514:R577" si="60">H514/(H514+I514)</f>
        <v>0.85806451612903223</v>
      </c>
      <c r="S514" s="29">
        <f t="shared" si="54"/>
        <v>85.806451612903217</v>
      </c>
      <c r="T514" s="5" t="str">
        <f>IF(Delivery_Data3[[#This Row],[Delays (min)]]&gt;0,"No","Yes")</f>
        <v>No</v>
      </c>
      <c r="W514" s="41">
        <f t="shared" si="55"/>
        <v>45171</v>
      </c>
      <c r="X514" s="5">
        <v>133</v>
      </c>
    </row>
    <row r="515" spans="1:24" ht="15.75" customHeight="1" x14ac:dyDescent="0.3">
      <c r="A515" s="4">
        <v>1514</v>
      </c>
      <c r="B515" s="5" t="s">
        <v>644</v>
      </c>
      <c r="C515" s="6">
        <v>45173.34097222222</v>
      </c>
      <c r="D515" s="5" t="s">
        <v>14</v>
      </c>
      <c r="E515" s="5" t="s">
        <v>111</v>
      </c>
      <c r="F515" s="5" t="s">
        <v>24</v>
      </c>
      <c r="G515" s="5" t="s">
        <v>17</v>
      </c>
      <c r="H515" s="5">
        <v>201</v>
      </c>
      <c r="I515" s="5">
        <v>25</v>
      </c>
      <c r="J515" s="5" t="s">
        <v>26</v>
      </c>
      <c r="K515" s="5" t="s">
        <v>27</v>
      </c>
      <c r="L515" s="5" t="s">
        <v>20</v>
      </c>
      <c r="M515" s="7" t="s">
        <v>41</v>
      </c>
      <c r="N515" s="26">
        <f t="shared" si="56"/>
        <v>1</v>
      </c>
      <c r="O515" s="42">
        <f t="shared" si="57"/>
        <v>45173</v>
      </c>
      <c r="P515" s="5" t="str">
        <f t="shared" si="58"/>
        <v>Monday</v>
      </c>
      <c r="Q515" s="5">
        <f t="shared" si="59"/>
        <v>8</v>
      </c>
      <c r="R515" s="28">
        <f t="shared" si="60"/>
        <v>0.88938053097345138</v>
      </c>
      <c r="S515" s="29">
        <f t="shared" ref="S515:S578" si="61">IF(H515+I515=0,0,(H515/(H515+I515))*100) + (IFERROR(--J515,0)*10)</f>
        <v>88.938053097345133</v>
      </c>
      <c r="T515" s="5" t="str">
        <f>IF(Delivery_Data3[[#This Row],[Delays (min)]]&gt;0,"No","Yes")</f>
        <v>No</v>
      </c>
      <c r="W515" s="41">
        <f t="shared" ref="W515:W578" si="62">INT(C515)</f>
        <v>45173</v>
      </c>
      <c r="X515" s="5">
        <v>201</v>
      </c>
    </row>
    <row r="516" spans="1:24" ht="15.75" customHeight="1" x14ac:dyDescent="0.3">
      <c r="A516" s="4">
        <v>1515</v>
      </c>
      <c r="B516" s="5" t="s">
        <v>645</v>
      </c>
      <c r="C516" s="6">
        <v>45170.455555555556</v>
      </c>
      <c r="D516" s="5" t="s">
        <v>43</v>
      </c>
      <c r="E516" s="5" t="s">
        <v>403</v>
      </c>
      <c r="F516" s="5" t="s">
        <v>16</v>
      </c>
      <c r="G516" s="5" t="s">
        <v>31</v>
      </c>
      <c r="H516" s="5">
        <v>188</v>
      </c>
      <c r="I516" s="5">
        <v>16</v>
      </c>
      <c r="J516" s="5" t="s">
        <v>18</v>
      </c>
      <c r="K516" s="5" t="s">
        <v>35</v>
      </c>
      <c r="L516" s="5" t="s">
        <v>40</v>
      </c>
      <c r="M516" s="7" t="s">
        <v>41</v>
      </c>
      <c r="N516" s="26">
        <f t="shared" si="56"/>
        <v>0</v>
      </c>
      <c r="O516" s="42">
        <f t="shared" si="57"/>
        <v>45170</v>
      </c>
      <c r="P516" s="5" t="str">
        <f t="shared" si="58"/>
        <v>Friday</v>
      </c>
      <c r="Q516" s="5">
        <f t="shared" si="59"/>
        <v>10</v>
      </c>
      <c r="R516" s="28">
        <f t="shared" si="60"/>
        <v>0.92156862745098034</v>
      </c>
      <c r="S516" s="29">
        <f t="shared" si="61"/>
        <v>92.156862745098039</v>
      </c>
      <c r="T516" s="5" t="str">
        <f>IF(Delivery_Data3[[#This Row],[Delays (min)]]&gt;0,"No","Yes")</f>
        <v>No</v>
      </c>
      <c r="W516" s="41">
        <f t="shared" si="62"/>
        <v>45170</v>
      </c>
      <c r="X516" s="5">
        <v>188</v>
      </c>
    </row>
    <row r="517" spans="1:24" ht="15.75" customHeight="1" x14ac:dyDescent="0.3">
      <c r="A517" s="4">
        <v>1516</v>
      </c>
      <c r="B517" s="5" t="s">
        <v>646</v>
      </c>
      <c r="C517" s="6">
        <v>45176.336111111108</v>
      </c>
      <c r="D517" s="5" t="s">
        <v>14</v>
      </c>
      <c r="E517" s="5" t="s">
        <v>179</v>
      </c>
      <c r="F517" s="5" t="s">
        <v>16</v>
      </c>
      <c r="G517" s="5" t="s">
        <v>56</v>
      </c>
      <c r="H517" s="5">
        <v>172</v>
      </c>
      <c r="I517" s="5">
        <v>3</v>
      </c>
      <c r="J517" s="5" t="s">
        <v>32</v>
      </c>
      <c r="K517" s="5" t="s">
        <v>45</v>
      </c>
      <c r="L517" s="5" t="s">
        <v>20</v>
      </c>
      <c r="M517" s="7" t="s">
        <v>46</v>
      </c>
      <c r="N517" s="26">
        <f t="shared" si="56"/>
        <v>-1</v>
      </c>
      <c r="O517" s="42">
        <f t="shared" si="57"/>
        <v>45176</v>
      </c>
      <c r="P517" s="5" t="str">
        <f t="shared" si="58"/>
        <v>Thursday</v>
      </c>
      <c r="Q517" s="5">
        <f t="shared" si="59"/>
        <v>8</v>
      </c>
      <c r="R517" s="28">
        <f t="shared" si="60"/>
        <v>0.98285714285714287</v>
      </c>
      <c r="S517" s="29">
        <f t="shared" si="61"/>
        <v>98.285714285714292</v>
      </c>
      <c r="T517" s="5" t="str">
        <f>IF(Delivery_Data3[[#This Row],[Delays (min)]]&gt;0,"No","Yes")</f>
        <v>No</v>
      </c>
      <c r="W517" s="41">
        <f t="shared" si="62"/>
        <v>45176</v>
      </c>
      <c r="X517" s="5">
        <v>172</v>
      </c>
    </row>
    <row r="518" spans="1:24" ht="15.75" customHeight="1" x14ac:dyDescent="0.3">
      <c r="A518" s="4">
        <v>1517</v>
      </c>
      <c r="B518" s="5" t="s">
        <v>647</v>
      </c>
      <c r="C518" s="6">
        <v>45176.643750000003</v>
      </c>
      <c r="D518" s="5" t="s">
        <v>43</v>
      </c>
      <c r="E518" s="5" t="s">
        <v>171</v>
      </c>
      <c r="F518" s="5" t="s">
        <v>16</v>
      </c>
      <c r="G518" s="5" t="s">
        <v>17</v>
      </c>
      <c r="H518" s="5">
        <v>231</v>
      </c>
      <c r="I518" s="5">
        <v>16</v>
      </c>
      <c r="J518" s="5" t="s">
        <v>18</v>
      </c>
      <c r="K518" s="5" t="s">
        <v>19</v>
      </c>
      <c r="L518" s="5" t="s">
        <v>40</v>
      </c>
      <c r="M518" s="7" t="s">
        <v>46</v>
      </c>
      <c r="N518" s="26">
        <f t="shared" si="56"/>
        <v>0</v>
      </c>
      <c r="O518" s="42">
        <f t="shared" si="57"/>
        <v>45176</v>
      </c>
      <c r="P518" s="5" t="str">
        <f t="shared" si="58"/>
        <v>Thursday</v>
      </c>
      <c r="Q518" s="5">
        <f t="shared" si="59"/>
        <v>15</v>
      </c>
      <c r="R518" s="28">
        <f t="shared" si="60"/>
        <v>0.93522267206477738</v>
      </c>
      <c r="S518" s="29">
        <f t="shared" si="61"/>
        <v>93.522267206477736</v>
      </c>
      <c r="T518" s="5" t="str">
        <f>IF(Delivery_Data3[[#This Row],[Delays (min)]]&gt;0,"No","Yes")</f>
        <v>No</v>
      </c>
      <c r="W518" s="41">
        <f t="shared" si="62"/>
        <v>45176</v>
      </c>
      <c r="X518" s="5">
        <v>231</v>
      </c>
    </row>
    <row r="519" spans="1:24" ht="15.75" customHeight="1" x14ac:dyDescent="0.3">
      <c r="A519" s="4">
        <v>1518</v>
      </c>
      <c r="B519" s="5" t="s">
        <v>648</v>
      </c>
      <c r="C519" s="6">
        <v>45170.376388888886</v>
      </c>
      <c r="D519" s="5" t="s">
        <v>43</v>
      </c>
      <c r="E519" s="5" t="s">
        <v>370</v>
      </c>
      <c r="F519" s="5" t="s">
        <v>24</v>
      </c>
      <c r="G519" s="5" t="s">
        <v>39</v>
      </c>
      <c r="H519" s="5">
        <v>226</v>
      </c>
      <c r="I519" s="5">
        <v>14</v>
      </c>
      <c r="J519" s="5" t="s">
        <v>26</v>
      </c>
      <c r="K519" s="5" t="s">
        <v>45</v>
      </c>
      <c r="L519" s="5" t="s">
        <v>20</v>
      </c>
      <c r="M519" s="7" t="s">
        <v>41</v>
      </c>
      <c r="N519" s="26">
        <f t="shared" si="56"/>
        <v>1</v>
      </c>
      <c r="O519" s="42">
        <f t="shared" si="57"/>
        <v>45170</v>
      </c>
      <c r="P519" s="5" t="str">
        <f t="shared" si="58"/>
        <v>Friday</v>
      </c>
      <c r="Q519" s="5">
        <f t="shared" si="59"/>
        <v>9</v>
      </c>
      <c r="R519" s="28">
        <f t="shared" si="60"/>
        <v>0.94166666666666665</v>
      </c>
      <c r="S519" s="29">
        <f t="shared" si="61"/>
        <v>94.166666666666671</v>
      </c>
      <c r="T519" s="5" t="str">
        <f>IF(Delivery_Data3[[#This Row],[Delays (min)]]&gt;0,"No","Yes")</f>
        <v>No</v>
      </c>
      <c r="W519" s="41">
        <f t="shared" si="62"/>
        <v>45170</v>
      </c>
      <c r="X519" s="5">
        <v>226</v>
      </c>
    </row>
    <row r="520" spans="1:24" ht="15.75" customHeight="1" x14ac:dyDescent="0.3">
      <c r="A520" s="4">
        <v>1519</v>
      </c>
      <c r="B520" s="5" t="s">
        <v>649</v>
      </c>
      <c r="C520" s="6">
        <v>45177.703472222223</v>
      </c>
      <c r="D520" s="5" t="s">
        <v>43</v>
      </c>
      <c r="E520" s="5" t="s">
        <v>245</v>
      </c>
      <c r="F520" s="5" t="s">
        <v>38</v>
      </c>
      <c r="G520" s="5" t="s">
        <v>56</v>
      </c>
      <c r="H520" s="5">
        <v>172</v>
      </c>
      <c r="I520" s="5">
        <v>27</v>
      </c>
      <c r="J520" s="5" t="s">
        <v>26</v>
      </c>
      <c r="K520" s="5" t="s">
        <v>45</v>
      </c>
      <c r="L520" s="5" t="s">
        <v>20</v>
      </c>
      <c r="M520" s="7" t="s">
        <v>21</v>
      </c>
      <c r="N520" s="26">
        <f t="shared" si="56"/>
        <v>1</v>
      </c>
      <c r="O520" s="42">
        <f t="shared" si="57"/>
        <v>45177</v>
      </c>
      <c r="P520" s="5" t="str">
        <f t="shared" si="58"/>
        <v>Friday</v>
      </c>
      <c r="Q520" s="5">
        <f t="shared" si="59"/>
        <v>16</v>
      </c>
      <c r="R520" s="28">
        <f t="shared" si="60"/>
        <v>0.86432160804020097</v>
      </c>
      <c r="S520" s="29">
        <f t="shared" si="61"/>
        <v>86.4321608040201</v>
      </c>
      <c r="T520" s="5" t="str">
        <f>IF(Delivery_Data3[[#This Row],[Delays (min)]]&gt;0,"No","Yes")</f>
        <v>No</v>
      </c>
      <c r="W520" s="41">
        <f t="shared" si="62"/>
        <v>45177</v>
      </c>
      <c r="X520" s="5">
        <v>172</v>
      </c>
    </row>
    <row r="521" spans="1:24" ht="15.75" customHeight="1" x14ac:dyDescent="0.3">
      <c r="A521" s="4">
        <v>1520</v>
      </c>
      <c r="B521" s="5" t="s">
        <v>650</v>
      </c>
      <c r="C521" s="6">
        <v>45170.588194444441</v>
      </c>
      <c r="D521" s="5" t="s">
        <v>14</v>
      </c>
      <c r="E521" s="5" t="s">
        <v>200</v>
      </c>
      <c r="F521" s="5" t="s">
        <v>38</v>
      </c>
      <c r="G521" s="5" t="s">
        <v>25</v>
      </c>
      <c r="H521" s="5">
        <v>206</v>
      </c>
      <c r="I521" s="5">
        <v>0</v>
      </c>
      <c r="J521" s="5" t="s">
        <v>26</v>
      </c>
      <c r="K521" s="5" t="s">
        <v>19</v>
      </c>
      <c r="L521" s="5" t="s">
        <v>20</v>
      </c>
      <c r="M521" s="7" t="s">
        <v>41</v>
      </c>
      <c r="N521" s="26">
        <f t="shared" si="56"/>
        <v>1</v>
      </c>
      <c r="O521" s="42">
        <f t="shared" si="57"/>
        <v>45170</v>
      </c>
      <c r="P521" s="5" t="str">
        <f t="shared" si="58"/>
        <v>Friday</v>
      </c>
      <c r="Q521" s="5">
        <f t="shared" si="59"/>
        <v>14</v>
      </c>
      <c r="R521" s="28">
        <f t="shared" si="60"/>
        <v>1</v>
      </c>
      <c r="S521" s="29">
        <f t="shared" si="61"/>
        <v>100</v>
      </c>
      <c r="T521" s="5" t="str">
        <f>IF(Delivery_Data3[[#This Row],[Delays (min)]]&gt;0,"No","Yes")</f>
        <v>Yes</v>
      </c>
      <c r="W521" s="41">
        <f t="shared" si="62"/>
        <v>45170</v>
      </c>
      <c r="X521" s="5">
        <v>206</v>
      </c>
    </row>
    <row r="522" spans="1:24" ht="15.75" customHeight="1" x14ac:dyDescent="0.3">
      <c r="A522" s="4">
        <v>1521</v>
      </c>
      <c r="B522" s="5" t="s">
        <v>651</v>
      </c>
      <c r="C522" s="6">
        <v>45174.670138888891</v>
      </c>
      <c r="D522" s="5" t="s">
        <v>14</v>
      </c>
      <c r="E522" s="5" t="s">
        <v>156</v>
      </c>
      <c r="F522" s="5" t="s">
        <v>38</v>
      </c>
      <c r="G522" s="5" t="s">
        <v>25</v>
      </c>
      <c r="H522" s="5">
        <v>205</v>
      </c>
      <c r="I522" s="5">
        <v>15</v>
      </c>
      <c r="J522" s="5" t="s">
        <v>32</v>
      </c>
      <c r="K522" s="5" t="s">
        <v>19</v>
      </c>
      <c r="L522" s="5" t="s">
        <v>40</v>
      </c>
      <c r="M522" s="7" t="s">
        <v>41</v>
      </c>
      <c r="N522" s="26">
        <f t="shared" si="56"/>
        <v>-1</v>
      </c>
      <c r="O522" s="42">
        <f t="shared" si="57"/>
        <v>45174</v>
      </c>
      <c r="P522" s="5" t="str">
        <f t="shared" si="58"/>
        <v>Tuesday</v>
      </c>
      <c r="Q522" s="5">
        <f t="shared" si="59"/>
        <v>16</v>
      </c>
      <c r="R522" s="28">
        <f t="shared" si="60"/>
        <v>0.93181818181818177</v>
      </c>
      <c r="S522" s="29">
        <f t="shared" si="61"/>
        <v>93.181818181818173</v>
      </c>
      <c r="T522" s="5" t="str">
        <f>IF(Delivery_Data3[[#This Row],[Delays (min)]]&gt;0,"No","Yes")</f>
        <v>No</v>
      </c>
      <c r="W522" s="41">
        <f t="shared" si="62"/>
        <v>45174</v>
      </c>
      <c r="X522" s="5">
        <v>205</v>
      </c>
    </row>
    <row r="523" spans="1:24" ht="15.75" customHeight="1" x14ac:dyDescent="0.3">
      <c r="A523" s="4">
        <v>1522</v>
      </c>
      <c r="B523" s="5" t="s">
        <v>652</v>
      </c>
      <c r="C523" s="6">
        <v>45176.474305555559</v>
      </c>
      <c r="D523" s="5" t="s">
        <v>14</v>
      </c>
      <c r="E523" s="5" t="s">
        <v>48</v>
      </c>
      <c r="F523" s="5" t="s">
        <v>24</v>
      </c>
      <c r="G523" s="5" t="s">
        <v>56</v>
      </c>
      <c r="H523" s="5">
        <v>136</v>
      </c>
      <c r="I523" s="5">
        <v>25</v>
      </c>
      <c r="J523" s="5" t="s">
        <v>32</v>
      </c>
      <c r="K523" s="5" t="s">
        <v>35</v>
      </c>
      <c r="L523" s="5" t="s">
        <v>40</v>
      </c>
      <c r="M523" s="7" t="s">
        <v>46</v>
      </c>
      <c r="N523" s="26">
        <f t="shared" si="56"/>
        <v>-1</v>
      </c>
      <c r="O523" s="42">
        <f t="shared" si="57"/>
        <v>45176</v>
      </c>
      <c r="P523" s="5" t="str">
        <f t="shared" si="58"/>
        <v>Thursday</v>
      </c>
      <c r="Q523" s="5">
        <f t="shared" si="59"/>
        <v>11</v>
      </c>
      <c r="R523" s="28">
        <f t="shared" si="60"/>
        <v>0.84472049689440998</v>
      </c>
      <c r="S523" s="29">
        <f t="shared" si="61"/>
        <v>84.472049689440993</v>
      </c>
      <c r="T523" s="5" t="str">
        <f>IF(Delivery_Data3[[#This Row],[Delays (min)]]&gt;0,"No","Yes")</f>
        <v>No</v>
      </c>
      <c r="W523" s="41">
        <f t="shared" si="62"/>
        <v>45176</v>
      </c>
      <c r="X523" s="5">
        <v>136</v>
      </c>
    </row>
    <row r="524" spans="1:24" ht="15.75" customHeight="1" x14ac:dyDescent="0.3">
      <c r="A524" s="4">
        <v>1523</v>
      </c>
      <c r="B524" s="5" t="s">
        <v>653</v>
      </c>
      <c r="C524" s="6">
        <v>45170.387499999997</v>
      </c>
      <c r="D524" s="5" t="s">
        <v>43</v>
      </c>
      <c r="E524" s="5" t="s">
        <v>228</v>
      </c>
      <c r="F524" s="5" t="s">
        <v>38</v>
      </c>
      <c r="G524" s="5" t="s">
        <v>56</v>
      </c>
      <c r="H524" s="5">
        <v>100</v>
      </c>
      <c r="I524" s="5">
        <v>22</v>
      </c>
      <c r="J524" s="5" t="s">
        <v>26</v>
      </c>
      <c r="K524" s="5" t="s">
        <v>27</v>
      </c>
      <c r="L524" s="5" t="s">
        <v>20</v>
      </c>
      <c r="M524" s="7" t="s">
        <v>46</v>
      </c>
      <c r="N524" s="26">
        <f t="shared" si="56"/>
        <v>1</v>
      </c>
      <c r="O524" s="42">
        <f t="shared" si="57"/>
        <v>45170</v>
      </c>
      <c r="P524" s="5" t="str">
        <f t="shared" si="58"/>
        <v>Friday</v>
      </c>
      <c r="Q524" s="5">
        <f t="shared" si="59"/>
        <v>9</v>
      </c>
      <c r="R524" s="28">
        <f t="shared" si="60"/>
        <v>0.81967213114754101</v>
      </c>
      <c r="S524" s="29">
        <f t="shared" si="61"/>
        <v>81.967213114754102</v>
      </c>
      <c r="T524" s="5" t="str">
        <f>IF(Delivery_Data3[[#This Row],[Delays (min)]]&gt;0,"No","Yes")</f>
        <v>No</v>
      </c>
      <c r="W524" s="41">
        <f t="shared" si="62"/>
        <v>45170</v>
      </c>
      <c r="X524" s="5">
        <v>100</v>
      </c>
    </row>
    <row r="525" spans="1:24" ht="15.75" customHeight="1" x14ac:dyDescent="0.3">
      <c r="A525" s="4">
        <v>1524</v>
      </c>
      <c r="B525" s="5" t="s">
        <v>654</v>
      </c>
      <c r="C525" s="6">
        <v>45174.497916666667</v>
      </c>
      <c r="D525" s="5" t="s">
        <v>14</v>
      </c>
      <c r="E525" s="5" t="s">
        <v>306</v>
      </c>
      <c r="F525" s="5" t="s">
        <v>24</v>
      </c>
      <c r="G525" s="5" t="s">
        <v>56</v>
      </c>
      <c r="H525" s="5">
        <v>79</v>
      </c>
      <c r="I525" s="5">
        <v>29</v>
      </c>
      <c r="J525" s="5" t="s">
        <v>32</v>
      </c>
      <c r="K525" s="5" t="s">
        <v>49</v>
      </c>
      <c r="L525" s="5" t="s">
        <v>20</v>
      </c>
      <c r="M525" s="7" t="s">
        <v>46</v>
      </c>
      <c r="N525" s="26">
        <f t="shared" si="56"/>
        <v>-1</v>
      </c>
      <c r="O525" s="42">
        <f t="shared" si="57"/>
        <v>45174</v>
      </c>
      <c r="P525" s="5" t="str">
        <f t="shared" si="58"/>
        <v>Tuesday</v>
      </c>
      <c r="Q525" s="5">
        <f t="shared" si="59"/>
        <v>11</v>
      </c>
      <c r="R525" s="28">
        <f t="shared" si="60"/>
        <v>0.73148148148148151</v>
      </c>
      <c r="S525" s="29">
        <f t="shared" si="61"/>
        <v>73.148148148148152</v>
      </c>
      <c r="T525" s="5" t="str">
        <f>IF(Delivery_Data3[[#This Row],[Delays (min)]]&gt;0,"No","Yes")</f>
        <v>No</v>
      </c>
      <c r="W525" s="41">
        <f t="shared" si="62"/>
        <v>45174</v>
      </c>
      <c r="X525" s="5">
        <v>79</v>
      </c>
    </row>
    <row r="526" spans="1:24" ht="15.75" customHeight="1" x14ac:dyDescent="0.3">
      <c r="A526" s="4">
        <v>1525</v>
      </c>
      <c r="B526" s="5" t="s">
        <v>13</v>
      </c>
      <c r="C526" s="6">
        <v>45173.570138888892</v>
      </c>
      <c r="D526" s="5" t="s">
        <v>14</v>
      </c>
      <c r="E526" s="5" t="s">
        <v>187</v>
      </c>
      <c r="F526" s="5" t="s">
        <v>38</v>
      </c>
      <c r="G526" s="5" t="s">
        <v>39</v>
      </c>
      <c r="H526" s="5">
        <v>120</v>
      </c>
      <c r="I526" s="5">
        <v>18</v>
      </c>
      <c r="J526" s="5" t="s">
        <v>32</v>
      </c>
      <c r="K526" s="5" t="s">
        <v>35</v>
      </c>
      <c r="L526" s="5" t="s">
        <v>40</v>
      </c>
      <c r="M526" s="7" t="s">
        <v>21</v>
      </c>
      <c r="N526" s="26">
        <f t="shared" si="56"/>
        <v>-1</v>
      </c>
      <c r="O526" s="42">
        <f t="shared" si="57"/>
        <v>45173</v>
      </c>
      <c r="P526" s="5" t="str">
        <f t="shared" si="58"/>
        <v>Monday</v>
      </c>
      <c r="Q526" s="5">
        <f t="shared" si="59"/>
        <v>13</v>
      </c>
      <c r="R526" s="28">
        <f t="shared" si="60"/>
        <v>0.86956521739130432</v>
      </c>
      <c r="S526" s="29">
        <f t="shared" si="61"/>
        <v>86.956521739130437</v>
      </c>
      <c r="T526" s="5" t="str">
        <f>IF(Delivery_Data3[[#This Row],[Delays (min)]]&gt;0,"No","Yes")</f>
        <v>No</v>
      </c>
      <c r="W526" s="41">
        <f t="shared" si="62"/>
        <v>45173</v>
      </c>
      <c r="X526" s="5">
        <v>120</v>
      </c>
    </row>
    <row r="527" spans="1:24" ht="15.75" customHeight="1" x14ac:dyDescent="0.3">
      <c r="A527" s="4">
        <v>1526</v>
      </c>
      <c r="B527" s="5" t="s">
        <v>655</v>
      </c>
      <c r="C527" s="6">
        <v>45170.400694444441</v>
      </c>
      <c r="D527" s="5" t="s">
        <v>43</v>
      </c>
      <c r="E527" s="5" t="s">
        <v>272</v>
      </c>
      <c r="F527" s="5" t="s">
        <v>38</v>
      </c>
      <c r="G527" s="5" t="s">
        <v>25</v>
      </c>
      <c r="H527" s="5">
        <v>230</v>
      </c>
      <c r="I527" s="5">
        <v>11</v>
      </c>
      <c r="J527" s="5" t="s">
        <v>32</v>
      </c>
      <c r="K527" s="5" t="s">
        <v>49</v>
      </c>
      <c r="L527" s="5" t="s">
        <v>20</v>
      </c>
      <c r="M527" s="7" t="s">
        <v>21</v>
      </c>
      <c r="N527" s="26">
        <f t="shared" si="56"/>
        <v>-1</v>
      </c>
      <c r="O527" s="42">
        <f t="shared" si="57"/>
        <v>45170</v>
      </c>
      <c r="P527" s="5" t="str">
        <f t="shared" si="58"/>
        <v>Friday</v>
      </c>
      <c r="Q527" s="5">
        <f t="shared" si="59"/>
        <v>9</v>
      </c>
      <c r="R527" s="28">
        <f t="shared" si="60"/>
        <v>0.9543568464730291</v>
      </c>
      <c r="S527" s="29">
        <f t="shared" si="61"/>
        <v>95.435684647302907</v>
      </c>
      <c r="T527" s="5" t="str">
        <f>IF(Delivery_Data3[[#This Row],[Delays (min)]]&gt;0,"No","Yes")</f>
        <v>No</v>
      </c>
      <c r="W527" s="41">
        <f t="shared" si="62"/>
        <v>45170</v>
      </c>
      <c r="X527" s="5">
        <v>230</v>
      </c>
    </row>
    <row r="528" spans="1:24" ht="15.75" customHeight="1" x14ac:dyDescent="0.3">
      <c r="A528" s="4">
        <v>1527</v>
      </c>
      <c r="B528" s="5" t="s">
        <v>656</v>
      </c>
      <c r="C528" s="6">
        <v>45176.636805555558</v>
      </c>
      <c r="D528" s="5" t="s">
        <v>14</v>
      </c>
      <c r="E528" s="5" t="s">
        <v>189</v>
      </c>
      <c r="F528" s="5" t="s">
        <v>38</v>
      </c>
      <c r="G528" s="5" t="s">
        <v>39</v>
      </c>
      <c r="H528" s="5">
        <v>159</v>
      </c>
      <c r="I528" s="5">
        <v>27</v>
      </c>
      <c r="J528" s="5" t="s">
        <v>32</v>
      </c>
      <c r="K528" s="5" t="s">
        <v>49</v>
      </c>
      <c r="L528" s="5" t="s">
        <v>28</v>
      </c>
      <c r="M528" s="7" t="s">
        <v>46</v>
      </c>
      <c r="N528" s="26">
        <f t="shared" si="56"/>
        <v>-1</v>
      </c>
      <c r="O528" s="42">
        <f t="shared" si="57"/>
        <v>45176</v>
      </c>
      <c r="P528" s="5" t="str">
        <f t="shared" si="58"/>
        <v>Thursday</v>
      </c>
      <c r="Q528" s="5">
        <f t="shared" si="59"/>
        <v>15</v>
      </c>
      <c r="R528" s="28">
        <f t="shared" si="60"/>
        <v>0.85483870967741937</v>
      </c>
      <c r="S528" s="29">
        <f t="shared" si="61"/>
        <v>85.483870967741936</v>
      </c>
      <c r="T528" s="5" t="str">
        <f>IF(Delivery_Data3[[#This Row],[Delays (min)]]&gt;0,"No","Yes")</f>
        <v>No</v>
      </c>
      <c r="W528" s="41">
        <f t="shared" si="62"/>
        <v>45176</v>
      </c>
      <c r="X528" s="5">
        <v>159</v>
      </c>
    </row>
    <row r="529" spans="1:24" ht="15.75" customHeight="1" x14ac:dyDescent="0.3">
      <c r="A529" s="4">
        <v>1528</v>
      </c>
      <c r="B529" s="5" t="s">
        <v>657</v>
      </c>
      <c r="C529" s="6">
        <v>45172.695138888892</v>
      </c>
      <c r="D529" s="5" t="s">
        <v>43</v>
      </c>
      <c r="E529" s="5" t="s">
        <v>304</v>
      </c>
      <c r="F529" s="5" t="s">
        <v>16</v>
      </c>
      <c r="G529" s="5" t="s">
        <v>17</v>
      </c>
      <c r="H529" s="5">
        <v>124</v>
      </c>
      <c r="I529" s="5">
        <v>19</v>
      </c>
      <c r="J529" s="5" t="s">
        <v>32</v>
      </c>
      <c r="K529" s="5" t="s">
        <v>45</v>
      </c>
      <c r="L529" s="5" t="s">
        <v>28</v>
      </c>
      <c r="M529" s="7" t="s">
        <v>46</v>
      </c>
      <c r="N529" s="26">
        <f t="shared" si="56"/>
        <v>-1</v>
      </c>
      <c r="O529" s="42">
        <f t="shared" si="57"/>
        <v>45172</v>
      </c>
      <c r="P529" s="5" t="str">
        <f t="shared" si="58"/>
        <v>Sunday</v>
      </c>
      <c r="Q529" s="5">
        <f t="shared" si="59"/>
        <v>16</v>
      </c>
      <c r="R529" s="28">
        <f t="shared" si="60"/>
        <v>0.86713286713286708</v>
      </c>
      <c r="S529" s="29">
        <f t="shared" si="61"/>
        <v>86.713286713286706</v>
      </c>
      <c r="T529" s="5" t="str">
        <f>IF(Delivery_Data3[[#This Row],[Delays (min)]]&gt;0,"No","Yes")</f>
        <v>No</v>
      </c>
      <c r="W529" s="41">
        <f t="shared" si="62"/>
        <v>45172</v>
      </c>
      <c r="X529" s="5">
        <v>124</v>
      </c>
    </row>
    <row r="530" spans="1:24" ht="15.75" customHeight="1" x14ac:dyDescent="0.3">
      <c r="A530" s="4">
        <v>1529</v>
      </c>
      <c r="B530" s="5" t="s">
        <v>658</v>
      </c>
      <c r="C530" s="6">
        <v>45174.472222222219</v>
      </c>
      <c r="D530" s="5" t="s">
        <v>43</v>
      </c>
      <c r="E530" s="5" t="s">
        <v>228</v>
      </c>
      <c r="F530" s="5" t="s">
        <v>38</v>
      </c>
      <c r="G530" s="5" t="s">
        <v>17</v>
      </c>
      <c r="H530" s="5">
        <v>213</v>
      </c>
      <c r="I530" s="5">
        <v>1</v>
      </c>
      <c r="J530" s="5" t="s">
        <v>18</v>
      </c>
      <c r="K530" s="5" t="s">
        <v>27</v>
      </c>
      <c r="L530" s="5" t="s">
        <v>40</v>
      </c>
      <c r="M530" s="7" t="s">
        <v>21</v>
      </c>
      <c r="N530" s="26">
        <f t="shared" si="56"/>
        <v>0</v>
      </c>
      <c r="O530" s="42">
        <f t="shared" si="57"/>
        <v>45174</v>
      </c>
      <c r="P530" s="5" t="str">
        <f t="shared" si="58"/>
        <v>Tuesday</v>
      </c>
      <c r="Q530" s="5">
        <f t="shared" si="59"/>
        <v>11</v>
      </c>
      <c r="R530" s="28">
        <f t="shared" si="60"/>
        <v>0.99532710280373837</v>
      </c>
      <c r="S530" s="29">
        <f t="shared" si="61"/>
        <v>99.532710280373834</v>
      </c>
      <c r="T530" s="5" t="str">
        <f>IF(Delivery_Data3[[#This Row],[Delays (min)]]&gt;0,"No","Yes")</f>
        <v>No</v>
      </c>
      <c r="W530" s="41">
        <f t="shared" si="62"/>
        <v>45174</v>
      </c>
      <c r="X530" s="5">
        <v>213</v>
      </c>
    </row>
    <row r="531" spans="1:24" ht="15.75" customHeight="1" x14ac:dyDescent="0.3">
      <c r="A531" s="4">
        <v>1530</v>
      </c>
      <c r="B531" s="5" t="s">
        <v>195</v>
      </c>
      <c r="C531" s="6">
        <v>45175.621527777781</v>
      </c>
      <c r="D531" s="5" t="s">
        <v>43</v>
      </c>
      <c r="E531" s="5" t="s">
        <v>95</v>
      </c>
      <c r="F531" s="5" t="s">
        <v>24</v>
      </c>
      <c r="G531" s="5" t="s">
        <v>56</v>
      </c>
      <c r="H531" s="5">
        <v>72</v>
      </c>
      <c r="I531" s="5">
        <v>22</v>
      </c>
      <c r="J531" s="5" t="s">
        <v>26</v>
      </c>
      <c r="K531" s="5" t="s">
        <v>49</v>
      </c>
      <c r="L531" s="5" t="s">
        <v>20</v>
      </c>
      <c r="M531" s="7" t="s">
        <v>21</v>
      </c>
      <c r="N531" s="26">
        <f t="shared" si="56"/>
        <v>1</v>
      </c>
      <c r="O531" s="42">
        <f t="shared" si="57"/>
        <v>45175</v>
      </c>
      <c r="P531" s="5" t="str">
        <f t="shared" si="58"/>
        <v>Wednesday</v>
      </c>
      <c r="Q531" s="5">
        <f t="shared" si="59"/>
        <v>14</v>
      </c>
      <c r="R531" s="28">
        <f t="shared" si="60"/>
        <v>0.76595744680851063</v>
      </c>
      <c r="S531" s="29">
        <f t="shared" si="61"/>
        <v>76.59574468085107</v>
      </c>
      <c r="T531" s="5" t="str">
        <f>IF(Delivery_Data3[[#This Row],[Delays (min)]]&gt;0,"No","Yes")</f>
        <v>No</v>
      </c>
      <c r="W531" s="41">
        <f t="shared" si="62"/>
        <v>45175</v>
      </c>
      <c r="X531" s="5">
        <v>72</v>
      </c>
    </row>
    <row r="532" spans="1:24" ht="15.75" customHeight="1" x14ac:dyDescent="0.3">
      <c r="A532" s="4">
        <v>1531</v>
      </c>
      <c r="B532" s="5" t="s">
        <v>659</v>
      </c>
      <c r="C532" s="6">
        <v>45170.376388888886</v>
      </c>
      <c r="D532" s="5" t="s">
        <v>43</v>
      </c>
      <c r="E532" s="5" t="s">
        <v>162</v>
      </c>
      <c r="F532" s="5" t="s">
        <v>16</v>
      </c>
      <c r="G532" s="5" t="s">
        <v>17</v>
      </c>
      <c r="H532" s="5">
        <v>193</v>
      </c>
      <c r="I532" s="5">
        <v>10</v>
      </c>
      <c r="J532" s="5" t="s">
        <v>18</v>
      </c>
      <c r="K532" s="5" t="s">
        <v>35</v>
      </c>
      <c r="L532" s="5" t="s">
        <v>20</v>
      </c>
      <c r="M532" s="7" t="s">
        <v>41</v>
      </c>
      <c r="N532" s="26">
        <f t="shared" si="56"/>
        <v>0</v>
      </c>
      <c r="O532" s="42">
        <f t="shared" si="57"/>
        <v>45170</v>
      </c>
      <c r="P532" s="5" t="str">
        <f t="shared" si="58"/>
        <v>Friday</v>
      </c>
      <c r="Q532" s="5">
        <f t="shared" si="59"/>
        <v>9</v>
      </c>
      <c r="R532" s="28">
        <f t="shared" si="60"/>
        <v>0.95073891625615758</v>
      </c>
      <c r="S532" s="29">
        <f t="shared" si="61"/>
        <v>95.073891625615758</v>
      </c>
      <c r="T532" s="5" t="str">
        <f>IF(Delivery_Data3[[#This Row],[Delays (min)]]&gt;0,"No","Yes")</f>
        <v>No</v>
      </c>
      <c r="W532" s="41">
        <f t="shared" si="62"/>
        <v>45170</v>
      </c>
      <c r="X532" s="5">
        <v>193</v>
      </c>
    </row>
    <row r="533" spans="1:24" ht="15.75" customHeight="1" x14ac:dyDescent="0.3">
      <c r="A533" s="4">
        <v>1532</v>
      </c>
      <c r="B533" s="5" t="s">
        <v>660</v>
      </c>
      <c r="C533" s="6">
        <v>45170.490277777775</v>
      </c>
      <c r="D533" s="5" t="s">
        <v>43</v>
      </c>
      <c r="E533" s="5" t="s">
        <v>202</v>
      </c>
      <c r="F533" s="5" t="s">
        <v>38</v>
      </c>
      <c r="G533" s="5" t="s">
        <v>25</v>
      </c>
      <c r="H533" s="5">
        <v>78</v>
      </c>
      <c r="I533" s="5">
        <v>7</v>
      </c>
      <c r="J533" s="5" t="s">
        <v>26</v>
      </c>
      <c r="K533" s="5" t="s">
        <v>27</v>
      </c>
      <c r="L533" s="5" t="s">
        <v>20</v>
      </c>
      <c r="M533" s="7" t="s">
        <v>46</v>
      </c>
      <c r="N533" s="26">
        <f t="shared" si="56"/>
        <v>1</v>
      </c>
      <c r="O533" s="42">
        <f t="shared" si="57"/>
        <v>45170</v>
      </c>
      <c r="P533" s="5" t="str">
        <f t="shared" si="58"/>
        <v>Friday</v>
      </c>
      <c r="Q533" s="5">
        <f t="shared" si="59"/>
        <v>11</v>
      </c>
      <c r="R533" s="28">
        <f t="shared" si="60"/>
        <v>0.91764705882352937</v>
      </c>
      <c r="S533" s="29">
        <f t="shared" si="61"/>
        <v>91.764705882352942</v>
      </c>
      <c r="T533" s="5" t="str">
        <f>IF(Delivery_Data3[[#This Row],[Delays (min)]]&gt;0,"No","Yes")</f>
        <v>No</v>
      </c>
      <c r="W533" s="41">
        <f t="shared" si="62"/>
        <v>45170</v>
      </c>
      <c r="X533" s="5">
        <v>78</v>
      </c>
    </row>
    <row r="534" spans="1:24" ht="15.75" customHeight="1" x14ac:dyDescent="0.3">
      <c r="A534" s="4">
        <v>1533</v>
      </c>
      <c r="B534" s="5" t="s">
        <v>661</v>
      </c>
      <c r="C534" s="6">
        <v>45176.661805555559</v>
      </c>
      <c r="D534" s="5" t="s">
        <v>43</v>
      </c>
      <c r="E534" s="5" t="s">
        <v>34</v>
      </c>
      <c r="F534" s="5" t="s">
        <v>24</v>
      </c>
      <c r="G534" s="5" t="s">
        <v>25</v>
      </c>
      <c r="H534" s="5">
        <v>208</v>
      </c>
      <c r="I534" s="5">
        <v>10</v>
      </c>
      <c r="J534" s="5" t="s">
        <v>32</v>
      </c>
      <c r="K534" s="5" t="s">
        <v>27</v>
      </c>
      <c r="L534" s="5" t="s">
        <v>28</v>
      </c>
      <c r="M534" s="7" t="s">
        <v>21</v>
      </c>
      <c r="N534" s="26">
        <f t="shared" si="56"/>
        <v>-1</v>
      </c>
      <c r="O534" s="42">
        <f t="shared" si="57"/>
        <v>45176</v>
      </c>
      <c r="P534" s="5" t="str">
        <f t="shared" si="58"/>
        <v>Thursday</v>
      </c>
      <c r="Q534" s="5">
        <f t="shared" si="59"/>
        <v>15</v>
      </c>
      <c r="R534" s="28">
        <f t="shared" si="60"/>
        <v>0.95412844036697253</v>
      </c>
      <c r="S534" s="29">
        <f t="shared" si="61"/>
        <v>95.412844036697251</v>
      </c>
      <c r="T534" s="5" t="str">
        <f>IF(Delivery_Data3[[#This Row],[Delays (min)]]&gt;0,"No","Yes")</f>
        <v>No</v>
      </c>
      <c r="W534" s="41">
        <f t="shared" si="62"/>
        <v>45176</v>
      </c>
      <c r="X534" s="5">
        <v>208</v>
      </c>
    </row>
    <row r="535" spans="1:24" ht="15.75" customHeight="1" x14ac:dyDescent="0.3">
      <c r="A535" s="4">
        <v>1534</v>
      </c>
      <c r="B535" s="5" t="s">
        <v>662</v>
      </c>
      <c r="C535" s="6">
        <v>45175.416666666664</v>
      </c>
      <c r="D535" s="5" t="s">
        <v>14</v>
      </c>
      <c r="E535" s="5" t="s">
        <v>151</v>
      </c>
      <c r="F535" s="5" t="s">
        <v>16</v>
      </c>
      <c r="G535" s="5" t="s">
        <v>17</v>
      </c>
      <c r="H535" s="5">
        <v>205</v>
      </c>
      <c r="I535" s="5">
        <v>12</v>
      </c>
      <c r="J535" s="5" t="s">
        <v>18</v>
      </c>
      <c r="K535" s="5" t="s">
        <v>19</v>
      </c>
      <c r="L535" s="5" t="s">
        <v>40</v>
      </c>
      <c r="M535" s="7" t="s">
        <v>21</v>
      </c>
      <c r="N535" s="26">
        <f t="shared" si="56"/>
        <v>0</v>
      </c>
      <c r="O535" s="42">
        <f t="shared" si="57"/>
        <v>45175</v>
      </c>
      <c r="P535" s="5" t="str">
        <f t="shared" si="58"/>
        <v>Wednesday</v>
      </c>
      <c r="Q535" s="5">
        <f t="shared" si="59"/>
        <v>10</v>
      </c>
      <c r="R535" s="28">
        <f t="shared" si="60"/>
        <v>0.9447004608294931</v>
      </c>
      <c r="S535" s="29">
        <f t="shared" si="61"/>
        <v>94.47004608294931</v>
      </c>
      <c r="T535" s="5" t="str">
        <f>IF(Delivery_Data3[[#This Row],[Delays (min)]]&gt;0,"No","Yes")</f>
        <v>No</v>
      </c>
      <c r="W535" s="41">
        <f t="shared" si="62"/>
        <v>45175</v>
      </c>
      <c r="X535" s="5">
        <v>205</v>
      </c>
    </row>
    <row r="536" spans="1:24" ht="15.75" customHeight="1" x14ac:dyDescent="0.3">
      <c r="A536" s="4">
        <v>1535</v>
      </c>
      <c r="B536" s="5" t="s">
        <v>663</v>
      </c>
      <c r="C536" s="6">
        <v>45176.51458333333</v>
      </c>
      <c r="D536" s="5" t="s">
        <v>14</v>
      </c>
      <c r="E536" s="5" t="s">
        <v>143</v>
      </c>
      <c r="F536" s="5" t="s">
        <v>24</v>
      </c>
      <c r="G536" s="5" t="s">
        <v>31</v>
      </c>
      <c r="H536" s="5">
        <v>228</v>
      </c>
      <c r="I536" s="5">
        <v>11</v>
      </c>
      <c r="J536" s="5" t="s">
        <v>18</v>
      </c>
      <c r="K536" s="5" t="s">
        <v>45</v>
      </c>
      <c r="L536" s="5" t="s">
        <v>28</v>
      </c>
      <c r="M536" s="7" t="s">
        <v>46</v>
      </c>
      <c r="N536" s="26">
        <f t="shared" si="56"/>
        <v>0</v>
      </c>
      <c r="O536" s="42">
        <f t="shared" si="57"/>
        <v>45176</v>
      </c>
      <c r="P536" s="5" t="str">
        <f t="shared" si="58"/>
        <v>Thursday</v>
      </c>
      <c r="Q536" s="5">
        <f t="shared" si="59"/>
        <v>12</v>
      </c>
      <c r="R536" s="28">
        <f t="shared" si="60"/>
        <v>0.95397489539748959</v>
      </c>
      <c r="S536" s="29">
        <f t="shared" si="61"/>
        <v>95.39748953974896</v>
      </c>
      <c r="T536" s="5" t="str">
        <f>IF(Delivery_Data3[[#This Row],[Delays (min)]]&gt;0,"No","Yes")</f>
        <v>No</v>
      </c>
      <c r="W536" s="41">
        <f t="shared" si="62"/>
        <v>45176</v>
      </c>
      <c r="X536" s="5">
        <v>228</v>
      </c>
    </row>
    <row r="537" spans="1:24" ht="15.75" customHeight="1" x14ac:dyDescent="0.3">
      <c r="A537" s="4">
        <v>1536</v>
      </c>
      <c r="B537" s="5" t="s">
        <v>664</v>
      </c>
      <c r="C537" s="6">
        <v>45171.661805555559</v>
      </c>
      <c r="D537" s="5" t="s">
        <v>14</v>
      </c>
      <c r="E537" s="5" t="s">
        <v>410</v>
      </c>
      <c r="F537" s="5" t="s">
        <v>24</v>
      </c>
      <c r="G537" s="5" t="s">
        <v>31</v>
      </c>
      <c r="H537" s="5">
        <v>191</v>
      </c>
      <c r="I537" s="5">
        <v>7</v>
      </c>
      <c r="J537" s="5" t="s">
        <v>26</v>
      </c>
      <c r="K537" s="5" t="s">
        <v>27</v>
      </c>
      <c r="L537" s="5" t="s">
        <v>40</v>
      </c>
      <c r="M537" s="7" t="s">
        <v>41</v>
      </c>
      <c r="N537" s="26">
        <f t="shared" si="56"/>
        <v>1</v>
      </c>
      <c r="O537" s="42">
        <f t="shared" si="57"/>
        <v>45171</v>
      </c>
      <c r="P537" s="5" t="str">
        <f t="shared" si="58"/>
        <v>Saturday</v>
      </c>
      <c r="Q537" s="5">
        <f t="shared" si="59"/>
        <v>15</v>
      </c>
      <c r="R537" s="28">
        <f t="shared" si="60"/>
        <v>0.96464646464646464</v>
      </c>
      <c r="S537" s="29">
        <f t="shared" si="61"/>
        <v>96.464646464646464</v>
      </c>
      <c r="T537" s="5" t="str">
        <f>IF(Delivery_Data3[[#This Row],[Delays (min)]]&gt;0,"No","Yes")</f>
        <v>No</v>
      </c>
      <c r="W537" s="41">
        <f t="shared" si="62"/>
        <v>45171</v>
      </c>
      <c r="X537" s="5">
        <v>191</v>
      </c>
    </row>
    <row r="538" spans="1:24" ht="15.75" customHeight="1" x14ac:dyDescent="0.3">
      <c r="A538" s="4">
        <v>1537</v>
      </c>
      <c r="B538" s="5" t="s">
        <v>665</v>
      </c>
      <c r="C538" s="6">
        <v>45170.542361111111</v>
      </c>
      <c r="D538" s="5" t="s">
        <v>14</v>
      </c>
      <c r="E538" s="5" t="s">
        <v>151</v>
      </c>
      <c r="F538" s="5" t="s">
        <v>38</v>
      </c>
      <c r="G538" s="5" t="s">
        <v>56</v>
      </c>
      <c r="H538" s="5">
        <v>195</v>
      </c>
      <c r="I538" s="5">
        <v>23</v>
      </c>
      <c r="J538" s="5" t="s">
        <v>18</v>
      </c>
      <c r="K538" s="5" t="s">
        <v>35</v>
      </c>
      <c r="L538" s="5" t="s">
        <v>20</v>
      </c>
      <c r="M538" s="7" t="s">
        <v>21</v>
      </c>
      <c r="N538" s="26">
        <f t="shared" si="56"/>
        <v>0</v>
      </c>
      <c r="O538" s="42">
        <f t="shared" si="57"/>
        <v>45170</v>
      </c>
      <c r="P538" s="5" t="str">
        <f t="shared" si="58"/>
        <v>Friday</v>
      </c>
      <c r="Q538" s="5">
        <f t="shared" si="59"/>
        <v>13</v>
      </c>
      <c r="R538" s="28">
        <f t="shared" si="60"/>
        <v>0.89449541284403666</v>
      </c>
      <c r="S538" s="29">
        <f t="shared" si="61"/>
        <v>89.449541284403665</v>
      </c>
      <c r="T538" s="5" t="str">
        <f>IF(Delivery_Data3[[#This Row],[Delays (min)]]&gt;0,"No","Yes")</f>
        <v>No</v>
      </c>
      <c r="W538" s="41">
        <f t="shared" si="62"/>
        <v>45170</v>
      </c>
      <c r="X538" s="5">
        <v>195</v>
      </c>
    </row>
    <row r="539" spans="1:24" ht="15.75" customHeight="1" x14ac:dyDescent="0.3">
      <c r="A539" s="4">
        <v>1538</v>
      </c>
      <c r="B539" s="5" t="s">
        <v>666</v>
      </c>
      <c r="C539" s="6">
        <v>45176.602083333331</v>
      </c>
      <c r="D539" s="5" t="s">
        <v>14</v>
      </c>
      <c r="E539" s="5" t="s">
        <v>281</v>
      </c>
      <c r="F539" s="5" t="s">
        <v>16</v>
      </c>
      <c r="G539" s="5" t="s">
        <v>31</v>
      </c>
      <c r="H539" s="5">
        <v>192</v>
      </c>
      <c r="I539" s="5">
        <v>14</v>
      </c>
      <c r="J539" s="5" t="s">
        <v>18</v>
      </c>
      <c r="K539" s="5" t="s">
        <v>45</v>
      </c>
      <c r="L539" s="5" t="s">
        <v>20</v>
      </c>
      <c r="M539" s="7" t="s">
        <v>21</v>
      </c>
      <c r="N539" s="26">
        <f t="shared" si="56"/>
        <v>0</v>
      </c>
      <c r="O539" s="42">
        <f t="shared" si="57"/>
        <v>45176</v>
      </c>
      <c r="P539" s="5" t="str">
        <f t="shared" si="58"/>
        <v>Thursday</v>
      </c>
      <c r="Q539" s="5">
        <f t="shared" si="59"/>
        <v>14</v>
      </c>
      <c r="R539" s="28">
        <f t="shared" si="60"/>
        <v>0.93203883495145634</v>
      </c>
      <c r="S539" s="29">
        <f t="shared" si="61"/>
        <v>93.203883495145632</v>
      </c>
      <c r="T539" s="5" t="str">
        <f>IF(Delivery_Data3[[#This Row],[Delays (min)]]&gt;0,"No","Yes")</f>
        <v>No</v>
      </c>
      <c r="W539" s="41">
        <f t="shared" si="62"/>
        <v>45176</v>
      </c>
      <c r="X539" s="5">
        <v>192</v>
      </c>
    </row>
    <row r="540" spans="1:24" ht="15.75" customHeight="1" x14ac:dyDescent="0.3">
      <c r="A540" s="4">
        <v>1539</v>
      </c>
      <c r="B540" s="5" t="s">
        <v>667</v>
      </c>
      <c r="C540" s="6">
        <v>45171.595138888886</v>
      </c>
      <c r="D540" s="5" t="s">
        <v>43</v>
      </c>
      <c r="E540" s="5" t="s">
        <v>111</v>
      </c>
      <c r="F540" s="5" t="s">
        <v>38</v>
      </c>
      <c r="G540" s="5" t="s">
        <v>25</v>
      </c>
      <c r="H540" s="5">
        <v>173</v>
      </c>
      <c r="I540" s="5">
        <v>17</v>
      </c>
      <c r="J540" s="5" t="s">
        <v>18</v>
      </c>
      <c r="K540" s="5" t="s">
        <v>49</v>
      </c>
      <c r="L540" s="5" t="s">
        <v>28</v>
      </c>
      <c r="M540" s="7" t="s">
        <v>21</v>
      </c>
      <c r="N540" s="26">
        <f t="shared" si="56"/>
        <v>0</v>
      </c>
      <c r="O540" s="42">
        <f t="shared" si="57"/>
        <v>45171</v>
      </c>
      <c r="P540" s="5" t="str">
        <f t="shared" si="58"/>
        <v>Saturday</v>
      </c>
      <c r="Q540" s="5">
        <f t="shared" si="59"/>
        <v>14</v>
      </c>
      <c r="R540" s="28">
        <f t="shared" si="60"/>
        <v>0.91052631578947374</v>
      </c>
      <c r="S540" s="29">
        <f t="shared" si="61"/>
        <v>91.05263157894737</v>
      </c>
      <c r="T540" s="5" t="str">
        <f>IF(Delivery_Data3[[#This Row],[Delays (min)]]&gt;0,"No","Yes")</f>
        <v>No</v>
      </c>
      <c r="W540" s="41">
        <f t="shared" si="62"/>
        <v>45171</v>
      </c>
      <c r="X540" s="5">
        <v>173</v>
      </c>
    </row>
    <row r="541" spans="1:24" ht="15.75" customHeight="1" x14ac:dyDescent="0.3">
      <c r="A541" s="4">
        <v>1540</v>
      </c>
      <c r="B541" s="5" t="s">
        <v>668</v>
      </c>
      <c r="C541" s="6">
        <v>45176.375</v>
      </c>
      <c r="D541" s="5" t="s">
        <v>43</v>
      </c>
      <c r="E541" s="5" t="s">
        <v>197</v>
      </c>
      <c r="F541" s="5" t="s">
        <v>16</v>
      </c>
      <c r="G541" s="5" t="s">
        <v>56</v>
      </c>
      <c r="H541" s="5">
        <v>231</v>
      </c>
      <c r="I541" s="5">
        <v>16</v>
      </c>
      <c r="J541" s="5" t="s">
        <v>26</v>
      </c>
      <c r="K541" s="5" t="s">
        <v>19</v>
      </c>
      <c r="L541" s="5" t="s">
        <v>40</v>
      </c>
      <c r="M541" s="7" t="s">
        <v>41</v>
      </c>
      <c r="N541" s="26">
        <f t="shared" si="56"/>
        <v>1</v>
      </c>
      <c r="O541" s="42">
        <f t="shared" si="57"/>
        <v>45176</v>
      </c>
      <c r="P541" s="5" t="str">
        <f t="shared" si="58"/>
        <v>Thursday</v>
      </c>
      <c r="Q541" s="5">
        <f t="shared" si="59"/>
        <v>9</v>
      </c>
      <c r="R541" s="28">
        <f t="shared" si="60"/>
        <v>0.93522267206477738</v>
      </c>
      <c r="S541" s="29">
        <f t="shared" si="61"/>
        <v>93.522267206477736</v>
      </c>
      <c r="T541" s="5" t="str">
        <f>IF(Delivery_Data3[[#This Row],[Delays (min)]]&gt;0,"No","Yes")</f>
        <v>No</v>
      </c>
      <c r="W541" s="41">
        <f t="shared" si="62"/>
        <v>45176</v>
      </c>
      <c r="X541" s="5">
        <v>231</v>
      </c>
    </row>
    <row r="542" spans="1:24" ht="15.75" customHeight="1" x14ac:dyDescent="0.3">
      <c r="A542" s="4">
        <v>1541</v>
      </c>
      <c r="B542" s="5" t="s">
        <v>669</v>
      </c>
      <c r="C542" s="6">
        <v>45171.554861111108</v>
      </c>
      <c r="D542" s="5" t="s">
        <v>43</v>
      </c>
      <c r="E542" s="5" t="s">
        <v>30</v>
      </c>
      <c r="F542" s="5" t="s">
        <v>38</v>
      </c>
      <c r="G542" s="5" t="s">
        <v>31</v>
      </c>
      <c r="H542" s="5">
        <v>138</v>
      </c>
      <c r="I542" s="5">
        <v>3</v>
      </c>
      <c r="J542" s="5" t="s">
        <v>18</v>
      </c>
      <c r="K542" s="5" t="s">
        <v>45</v>
      </c>
      <c r="L542" s="5" t="s">
        <v>20</v>
      </c>
      <c r="M542" s="7" t="s">
        <v>46</v>
      </c>
      <c r="N542" s="26">
        <f t="shared" si="56"/>
        <v>0</v>
      </c>
      <c r="O542" s="42">
        <f t="shared" si="57"/>
        <v>45171</v>
      </c>
      <c r="P542" s="5" t="str">
        <f t="shared" si="58"/>
        <v>Saturday</v>
      </c>
      <c r="Q542" s="5">
        <f t="shared" si="59"/>
        <v>13</v>
      </c>
      <c r="R542" s="28">
        <f t="shared" si="60"/>
        <v>0.97872340425531912</v>
      </c>
      <c r="S542" s="29">
        <f t="shared" si="61"/>
        <v>97.872340425531917</v>
      </c>
      <c r="T542" s="5" t="str">
        <f>IF(Delivery_Data3[[#This Row],[Delays (min)]]&gt;0,"No","Yes")</f>
        <v>No</v>
      </c>
      <c r="W542" s="41">
        <f t="shared" si="62"/>
        <v>45171</v>
      </c>
      <c r="X542" s="5">
        <v>138</v>
      </c>
    </row>
    <row r="543" spans="1:24" ht="15.75" customHeight="1" x14ac:dyDescent="0.3">
      <c r="A543" s="4">
        <v>1542</v>
      </c>
      <c r="B543" s="5" t="s">
        <v>670</v>
      </c>
      <c r="C543" s="6">
        <v>45173.40625</v>
      </c>
      <c r="D543" s="5" t="s">
        <v>43</v>
      </c>
      <c r="E543" s="5" t="s">
        <v>115</v>
      </c>
      <c r="F543" s="5" t="s">
        <v>24</v>
      </c>
      <c r="G543" s="5" t="s">
        <v>31</v>
      </c>
      <c r="H543" s="5">
        <v>87</v>
      </c>
      <c r="I543" s="5">
        <v>28</v>
      </c>
      <c r="J543" s="5" t="s">
        <v>32</v>
      </c>
      <c r="K543" s="5" t="s">
        <v>19</v>
      </c>
      <c r="L543" s="5" t="s">
        <v>28</v>
      </c>
      <c r="M543" s="7" t="s">
        <v>46</v>
      </c>
      <c r="N543" s="26">
        <f t="shared" si="56"/>
        <v>-1</v>
      </c>
      <c r="O543" s="42">
        <f t="shared" si="57"/>
        <v>45173</v>
      </c>
      <c r="P543" s="5" t="str">
        <f t="shared" si="58"/>
        <v>Monday</v>
      </c>
      <c r="Q543" s="5">
        <f t="shared" si="59"/>
        <v>9</v>
      </c>
      <c r="R543" s="28">
        <f t="shared" si="60"/>
        <v>0.75652173913043474</v>
      </c>
      <c r="S543" s="29">
        <f t="shared" si="61"/>
        <v>75.65217391304347</v>
      </c>
      <c r="T543" s="5" t="str">
        <f>IF(Delivery_Data3[[#This Row],[Delays (min)]]&gt;0,"No","Yes")</f>
        <v>No</v>
      </c>
      <c r="W543" s="41">
        <f t="shared" si="62"/>
        <v>45173</v>
      </c>
      <c r="X543" s="5">
        <v>87</v>
      </c>
    </row>
    <row r="544" spans="1:24" ht="15.75" customHeight="1" x14ac:dyDescent="0.3">
      <c r="A544" s="4">
        <v>1543</v>
      </c>
      <c r="B544" s="5" t="s">
        <v>671</v>
      </c>
      <c r="C544" s="6">
        <v>45177.5</v>
      </c>
      <c r="D544" s="5" t="s">
        <v>14</v>
      </c>
      <c r="E544" s="5" t="s">
        <v>270</v>
      </c>
      <c r="F544" s="5" t="s">
        <v>16</v>
      </c>
      <c r="G544" s="5" t="s">
        <v>25</v>
      </c>
      <c r="H544" s="5">
        <v>123</v>
      </c>
      <c r="I544" s="5">
        <v>10</v>
      </c>
      <c r="J544" s="5" t="s">
        <v>32</v>
      </c>
      <c r="K544" s="5" t="s">
        <v>27</v>
      </c>
      <c r="L544" s="5" t="s">
        <v>40</v>
      </c>
      <c r="M544" s="7" t="s">
        <v>46</v>
      </c>
      <c r="N544" s="26">
        <f t="shared" si="56"/>
        <v>-1</v>
      </c>
      <c r="O544" s="42">
        <f t="shared" si="57"/>
        <v>45177</v>
      </c>
      <c r="P544" s="5" t="str">
        <f t="shared" si="58"/>
        <v>Friday</v>
      </c>
      <c r="Q544" s="5">
        <f t="shared" si="59"/>
        <v>12</v>
      </c>
      <c r="R544" s="28">
        <f t="shared" si="60"/>
        <v>0.92481203007518797</v>
      </c>
      <c r="S544" s="29">
        <f t="shared" si="61"/>
        <v>92.481203007518801</v>
      </c>
      <c r="T544" s="5" t="str">
        <f>IF(Delivery_Data3[[#This Row],[Delays (min)]]&gt;0,"No","Yes")</f>
        <v>No</v>
      </c>
      <c r="W544" s="41">
        <f t="shared" si="62"/>
        <v>45177</v>
      </c>
      <c r="X544" s="5">
        <v>123</v>
      </c>
    </row>
    <row r="545" spans="1:24" ht="15.75" customHeight="1" x14ac:dyDescent="0.3">
      <c r="A545" s="4">
        <v>1544</v>
      </c>
      <c r="B545" s="5" t="s">
        <v>672</v>
      </c>
      <c r="C545" s="6">
        <v>45171.680555555555</v>
      </c>
      <c r="D545" s="5" t="s">
        <v>14</v>
      </c>
      <c r="E545" s="5" t="s">
        <v>171</v>
      </c>
      <c r="F545" s="5" t="s">
        <v>38</v>
      </c>
      <c r="G545" s="5" t="s">
        <v>39</v>
      </c>
      <c r="H545" s="5">
        <v>179</v>
      </c>
      <c r="I545" s="5">
        <v>9</v>
      </c>
      <c r="J545" s="5" t="s">
        <v>32</v>
      </c>
      <c r="K545" s="5" t="s">
        <v>49</v>
      </c>
      <c r="L545" s="5" t="s">
        <v>20</v>
      </c>
      <c r="M545" s="7" t="s">
        <v>46</v>
      </c>
      <c r="N545" s="26">
        <f t="shared" si="56"/>
        <v>-1</v>
      </c>
      <c r="O545" s="42">
        <f t="shared" si="57"/>
        <v>45171</v>
      </c>
      <c r="P545" s="5" t="str">
        <f t="shared" si="58"/>
        <v>Saturday</v>
      </c>
      <c r="Q545" s="5">
        <f t="shared" si="59"/>
        <v>16</v>
      </c>
      <c r="R545" s="28">
        <f t="shared" si="60"/>
        <v>0.9521276595744681</v>
      </c>
      <c r="S545" s="29">
        <f t="shared" si="61"/>
        <v>95.212765957446805</v>
      </c>
      <c r="T545" s="5" t="str">
        <f>IF(Delivery_Data3[[#This Row],[Delays (min)]]&gt;0,"No","Yes")</f>
        <v>No</v>
      </c>
      <c r="W545" s="41">
        <f t="shared" si="62"/>
        <v>45171</v>
      </c>
      <c r="X545" s="5">
        <v>179</v>
      </c>
    </row>
    <row r="546" spans="1:24" ht="15.75" customHeight="1" x14ac:dyDescent="0.3">
      <c r="A546" s="4">
        <v>1545</v>
      </c>
      <c r="B546" s="5" t="s">
        <v>673</v>
      </c>
      <c r="C546" s="6">
        <v>45174.61041666667</v>
      </c>
      <c r="D546" s="5" t="s">
        <v>43</v>
      </c>
      <c r="E546" s="5" t="s">
        <v>156</v>
      </c>
      <c r="F546" s="5" t="s">
        <v>38</v>
      </c>
      <c r="G546" s="5" t="s">
        <v>39</v>
      </c>
      <c r="H546" s="5">
        <v>198</v>
      </c>
      <c r="I546" s="5">
        <v>0</v>
      </c>
      <c r="J546" s="5" t="s">
        <v>18</v>
      </c>
      <c r="K546" s="5" t="s">
        <v>49</v>
      </c>
      <c r="L546" s="5" t="s">
        <v>20</v>
      </c>
      <c r="M546" s="7" t="s">
        <v>21</v>
      </c>
      <c r="N546" s="26">
        <f t="shared" si="56"/>
        <v>0</v>
      </c>
      <c r="O546" s="42">
        <f t="shared" si="57"/>
        <v>45174</v>
      </c>
      <c r="P546" s="5" t="str">
        <f t="shared" si="58"/>
        <v>Tuesday</v>
      </c>
      <c r="Q546" s="5">
        <f t="shared" si="59"/>
        <v>14</v>
      </c>
      <c r="R546" s="28">
        <f t="shared" si="60"/>
        <v>1</v>
      </c>
      <c r="S546" s="29">
        <f t="shared" si="61"/>
        <v>100</v>
      </c>
      <c r="T546" s="5" t="str">
        <f>IF(Delivery_Data3[[#This Row],[Delays (min)]]&gt;0,"No","Yes")</f>
        <v>Yes</v>
      </c>
      <c r="W546" s="41">
        <f t="shared" si="62"/>
        <v>45174</v>
      </c>
      <c r="X546" s="5">
        <v>198</v>
      </c>
    </row>
    <row r="547" spans="1:24" ht="15.75" customHeight="1" x14ac:dyDescent="0.3">
      <c r="A547" s="4">
        <v>1546</v>
      </c>
      <c r="B547" s="5" t="s">
        <v>674</v>
      </c>
      <c r="C547" s="6">
        <v>45170.626388888886</v>
      </c>
      <c r="D547" s="5" t="s">
        <v>43</v>
      </c>
      <c r="E547" s="5" t="s">
        <v>55</v>
      </c>
      <c r="F547" s="5" t="s">
        <v>24</v>
      </c>
      <c r="G547" s="5" t="s">
        <v>25</v>
      </c>
      <c r="H547" s="5">
        <v>130</v>
      </c>
      <c r="I547" s="5">
        <v>3</v>
      </c>
      <c r="J547" s="5" t="s">
        <v>18</v>
      </c>
      <c r="K547" s="5" t="s">
        <v>19</v>
      </c>
      <c r="L547" s="5" t="s">
        <v>40</v>
      </c>
      <c r="M547" s="7" t="s">
        <v>41</v>
      </c>
      <c r="N547" s="26">
        <f t="shared" si="56"/>
        <v>0</v>
      </c>
      <c r="O547" s="42">
        <f t="shared" si="57"/>
        <v>45170</v>
      </c>
      <c r="P547" s="5" t="str">
        <f t="shared" si="58"/>
        <v>Friday</v>
      </c>
      <c r="Q547" s="5">
        <f t="shared" si="59"/>
        <v>15</v>
      </c>
      <c r="R547" s="28">
        <f t="shared" si="60"/>
        <v>0.97744360902255634</v>
      </c>
      <c r="S547" s="29">
        <f t="shared" si="61"/>
        <v>97.744360902255636</v>
      </c>
      <c r="T547" s="5" t="str">
        <f>IF(Delivery_Data3[[#This Row],[Delays (min)]]&gt;0,"No","Yes")</f>
        <v>No</v>
      </c>
      <c r="W547" s="41">
        <f t="shared" si="62"/>
        <v>45170</v>
      </c>
      <c r="X547" s="5">
        <v>130</v>
      </c>
    </row>
    <row r="548" spans="1:24" ht="15.75" customHeight="1" x14ac:dyDescent="0.3">
      <c r="A548" s="4">
        <v>1547</v>
      </c>
      <c r="B548" s="5" t="s">
        <v>675</v>
      </c>
      <c r="C548" s="6">
        <v>45173.575694444444</v>
      </c>
      <c r="D548" s="5" t="s">
        <v>14</v>
      </c>
      <c r="E548" s="5" t="s">
        <v>166</v>
      </c>
      <c r="F548" s="5" t="s">
        <v>38</v>
      </c>
      <c r="G548" s="5" t="s">
        <v>17</v>
      </c>
      <c r="H548" s="5">
        <v>205</v>
      </c>
      <c r="I548" s="5">
        <v>29</v>
      </c>
      <c r="J548" s="5" t="s">
        <v>18</v>
      </c>
      <c r="K548" s="5" t="s">
        <v>45</v>
      </c>
      <c r="L548" s="5" t="s">
        <v>40</v>
      </c>
      <c r="M548" s="7" t="s">
        <v>21</v>
      </c>
      <c r="N548" s="26">
        <f t="shared" si="56"/>
        <v>0</v>
      </c>
      <c r="O548" s="42">
        <f t="shared" si="57"/>
        <v>45173</v>
      </c>
      <c r="P548" s="5" t="str">
        <f t="shared" si="58"/>
        <v>Monday</v>
      </c>
      <c r="Q548" s="5">
        <f t="shared" si="59"/>
        <v>13</v>
      </c>
      <c r="R548" s="28">
        <f t="shared" si="60"/>
        <v>0.87606837606837606</v>
      </c>
      <c r="S548" s="29">
        <f t="shared" si="61"/>
        <v>87.606837606837601</v>
      </c>
      <c r="T548" s="5" t="str">
        <f>IF(Delivery_Data3[[#This Row],[Delays (min)]]&gt;0,"No","Yes")</f>
        <v>No</v>
      </c>
      <c r="W548" s="41">
        <f t="shared" si="62"/>
        <v>45173</v>
      </c>
      <c r="X548" s="5">
        <v>205</v>
      </c>
    </row>
    <row r="549" spans="1:24" ht="15.75" customHeight="1" x14ac:dyDescent="0.3">
      <c r="A549" s="4">
        <v>1548</v>
      </c>
      <c r="B549" s="5" t="s">
        <v>676</v>
      </c>
      <c r="C549" s="6">
        <v>45173.601388888892</v>
      </c>
      <c r="D549" s="5" t="s">
        <v>14</v>
      </c>
      <c r="E549" s="5" t="s">
        <v>202</v>
      </c>
      <c r="F549" s="5" t="s">
        <v>38</v>
      </c>
      <c r="G549" s="5" t="s">
        <v>39</v>
      </c>
      <c r="H549" s="5">
        <v>62</v>
      </c>
      <c r="I549" s="5">
        <v>25</v>
      </c>
      <c r="J549" s="5" t="s">
        <v>32</v>
      </c>
      <c r="K549" s="5" t="s">
        <v>49</v>
      </c>
      <c r="L549" s="5" t="s">
        <v>28</v>
      </c>
      <c r="M549" s="7" t="s">
        <v>46</v>
      </c>
      <c r="N549" s="26">
        <f t="shared" si="56"/>
        <v>-1</v>
      </c>
      <c r="O549" s="42">
        <f t="shared" si="57"/>
        <v>45173</v>
      </c>
      <c r="P549" s="5" t="str">
        <f t="shared" si="58"/>
        <v>Monday</v>
      </c>
      <c r="Q549" s="5">
        <f t="shared" si="59"/>
        <v>14</v>
      </c>
      <c r="R549" s="28">
        <f t="shared" si="60"/>
        <v>0.71264367816091956</v>
      </c>
      <c r="S549" s="29">
        <f t="shared" si="61"/>
        <v>71.264367816091962</v>
      </c>
      <c r="T549" s="5" t="str">
        <f>IF(Delivery_Data3[[#This Row],[Delays (min)]]&gt;0,"No","Yes")</f>
        <v>No</v>
      </c>
      <c r="W549" s="41">
        <f t="shared" si="62"/>
        <v>45173</v>
      </c>
      <c r="X549" s="5">
        <v>62</v>
      </c>
    </row>
    <row r="550" spans="1:24" ht="15.75" customHeight="1" x14ac:dyDescent="0.3">
      <c r="A550" s="4">
        <v>1549</v>
      </c>
      <c r="B550" s="5" t="s">
        <v>677</v>
      </c>
      <c r="C550" s="6">
        <v>45172.524305555555</v>
      </c>
      <c r="D550" s="5" t="s">
        <v>43</v>
      </c>
      <c r="E550" s="5" t="s">
        <v>410</v>
      </c>
      <c r="F550" s="5" t="s">
        <v>38</v>
      </c>
      <c r="G550" s="5" t="s">
        <v>31</v>
      </c>
      <c r="H550" s="5">
        <v>75</v>
      </c>
      <c r="I550" s="5">
        <v>4</v>
      </c>
      <c r="J550" s="5" t="s">
        <v>32</v>
      </c>
      <c r="K550" s="5" t="s">
        <v>35</v>
      </c>
      <c r="L550" s="5" t="s">
        <v>28</v>
      </c>
      <c r="M550" s="7" t="s">
        <v>41</v>
      </c>
      <c r="N550" s="26">
        <f t="shared" si="56"/>
        <v>-1</v>
      </c>
      <c r="O550" s="42">
        <f t="shared" si="57"/>
        <v>45172</v>
      </c>
      <c r="P550" s="5" t="str">
        <f t="shared" si="58"/>
        <v>Sunday</v>
      </c>
      <c r="Q550" s="5">
        <f t="shared" si="59"/>
        <v>12</v>
      </c>
      <c r="R550" s="28">
        <f t="shared" si="60"/>
        <v>0.94936708860759489</v>
      </c>
      <c r="S550" s="29">
        <f t="shared" si="61"/>
        <v>94.936708860759495</v>
      </c>
      <c r="T550" s="5" t="str">
        <f>IF(Delivery_Data3[[#This Row],[Delays (min)]]&gt;0,"No","Yes")</f>
        <v>No</v>
      </c>
      <c r="W550" s="41">
        <f t="shared" si="62"/>
        <v>45172</v>
      </c>
      <c r="X550" s="5">
        <v>75</v>
      </c>
    </row>
    <row r="551" spans="1:24" ht="15.75" customHeight="1" x14ac:dyDescent="0.3">
      <c r="A551" s="4">
        <v>1550</v>
      </c>
      <c r="B551" s="5" t="s">
        <v>678</v>
      </c>
      <c r="C551" s="6">
        <v>45176.606944444444</v>
      </c>
      <c r="D551" s="5" t="s">
        <v>14</v>
      </c>
      <c r="E551" s="5" t="s">
        <v>301</v>
      </c>
      <c r="F551" s="5" t="s">
        <v>38</v>
      </c>
      <c r="G551" s="5" t="s">
        <v>56</v>
      </c>
      <c r="H551" s="5">
        <v>72</v>
      </c>
      <c r="I551" s="5">
        <v>26</v>
      </c>
      <c r="J551" s="5" t="s">
        <v>26</v>
      </c>
      <c r="K551" s="5" t="s">
        <v>19</v>
      </c>
      <c r="L551" s="5" t="s">
        <v>20</v>
      </c>
      <c r="M551" s="7" t="s">
        <v>41</v>
      </c>
      <c r="N551" s="26">
        <f t="shared" si="56"/>
        <v>1</v>
      </c>
      <c r="O551" s="42">
        <f t="shared" si="57"/>
        <v>45176</v>
      </c>
      <c r="P551" s="5" t="str">
        <f t="shared" si="58"/>
        <v>Thursday</v>
      </c>
      <c r="Q551" s="5">
        <f t="shared" si="59"/>
        <v>14</v>
      </c>
      <c r="R551" s="28">
        <f t="shared" si="60"/>
        <v>0.73469387755102045</v>
      </c>
      <c r="S551" s="29">
        <f t="shared" si="61"/>
        <v>73.469387755102048</v>
      </c>
      <c r="T551" s="5" t="str">
        <f>IF(Delivery_Data3[[#This Row],[Delays (min)]]&gt;0,"No","Yes")</f>
        <v>No</v>
      </c>
      <c r="W551" s="41">
        <f t="shared" si="62"/>
        <v>45176</v>
      </c>
      <c r="X551" s="5">
        <v>72</v>
      </c>
    </row>
    <row r="552" spans="1:24" ht="15.75" customHeight="1" x14ac:dyDescent="0.3">
      <c r="A552" s="4">
        <v>1551</v>
      </c>
      <c r="B552" s="5" t="s">
        <v>679</v>
      </c>
      <c r="C552" s="6">
        <v>45177.433333333334</v>
      </c>
      <c r="D552" s="5" t="s">
        <v>43</v>
      </c>
      <c r="E552" s="5" t="s">
        <v>135</v>
      </c>
      <c r="F552" s="5" t="s">
        <v>16</v>
      </c>
      <c r="G552" s="5" t="s">
        <v>56</v>
      </c>
      <c r="H552" s="5">
        <v>173</v>
      </c>
      <c r="I552" s="5">
        <v>4</v>
      </c>
      <c r="J552" s="5" t="s">
        <v>32</v>
      </c>
      <c r="K552" s="5" t="s">
        <v>27</v>
      </c>
      <c r="L552" s="5" t="s">
        <v>40</v>
      </c>
      <c r="M552" s="7" t="s">
        <v>21</v>
      </c>
      <c r="N552" s="26">
        <f t="shared" si="56"/>
        <v>-1</v>
      </c>
      <c r="O552" s="42">
        <f t="shared" si="57"/>
        <v>45177</v>
      </c>
      <c r="P552" s="5" t="str">
        <f t="shared" si="58"/>
        <v>Friday</v>
      </c>
      <c r="Q552" s="5">
        <f t="shared" si="59"/>
        <v>10</v>
      </c>
      <c r="R552" s="28">
        <f t="shared" si="60"/>
        <v>0.97740112994350281</v>
      </c>
      <c r="S552" s="29">
        <f t="shared" si="61"/>
        <v>97.740112994350284</v>
      </c>
      <c r="T552" s="5" t="str">
        <f>IF(Delivery_Data3[[#This Row],[Delays (min)]]&gt;0,"No","Yes")</f>
        <v>No</v>
      </c>
      <c r="W552" s="41">
        <f t="shared" si="62"/>
        <v>45177</v>
      </c>
      <c r="X552" s="5">
        <v>173</v>
      </c>
    </row>
    <row r="553" spans="1:24" ht="15.75" customHeight="1" x14ac:dyDescent="0.3">
      <c r="A553" s="4">
        <v>1552</v>
      </c>
      <c r="B553" s="5" t="s">
        <v>680</v>
      </c>
      <c r="C553" s="6">
        <v>45173.356249999997</v>
      </c>
      <c r="D553" s="5" t="s">
        <v>14</v>
      </c>
      <c r="E553" s="5" t="s">
        <v>288</v>
      </c>
      <c r="F553" s="5" t="s">
        <v>38</v>
      </c>
      <c r="G553" s="5" t="s">
        <v>25</v>
      </c>
      <c r="H553" s="5">
        <v>101</v>
      </c>
      <c r="I553" s="5">
        <v>8</v>
      </c>
      <c r="J553" s="5" t="s">
        <v>26</v>
      </c>
      <c r="K553" s="5" t="s">
        <v>45</v>
      </c>
      <c r="L553" s="5" t="s">
        <v>40</v>
      </c>
      <c r="M553" s="7" t="s">
        <v>21</v>
      </c>
      <c r="N553" s="26">
        <f t="shared" si="56"/>
        <v>1</v>
      </c>
      <c r="O553" s="42">
        <f t="shared" si="57"/>
        <v>45173</v>
      </c>
      <c r="P553" s="5" t="str">
        <f t="shared" si="58"/>
        <v>Monday</v>
      </c>
      <c r="Q553" s="5">
        <f t="shared" si="59"/>
        <v>8</v>
      </c>
      <c r="R553" s="28">
        <f t="shared" si="60"/>
        <v>0.92660550458715596</v>
      </c>
      <c r="S553" s="29">
        <f t="shared" si="61"/>
        <v>92.660550458715591</v>
      </c>
      <c r="T553" s="5" t="str">
        <f>IF(Delivery_Data3[[#This Row],[Delays (min)]]&gt;0,"No","Yes")</f>
        <v>No</v>
      </c>
      <c r="W553" s="41">
        <f t="shared" si="62"/>
        <v>45173</v>
      </c>
      <c r="X553" s="5">
        <v>101</v>
      </c>
    </row>
    <row r="554" spans="1:24" ht="15.75" customHeight="1" x14ac:dyDescent="0.3">
      <c r="A554" s="4">
        <v>1553</v>
      </c>
      <c r="B554" s="5" t="s">
        <v>681</v>
      </c>
      <c r="C554" s="6">
        <v>45171.685416666667</v>
      </c>
      <c r="D554" s="5" t="s">
        <v>14</v>
      </c>
      <c r="E554" s="5" t="s">
        <v>132</v>
      </c>
      <c r="F554" s="5" t="s">
        <v>38</v>
      </c>
      <c r="G554" s="5" t="s">
        <v>31</v>
      </c>
      <c r="H554" s="5">
        <v>187</v>
      </c>
      <c r="I554" s="5">
        <v>2</v>
      </c>
      <c r="J554" s="5" t="s">
        <v>32</v>
      </c>
      <c r="K554" s="5" t="s">
        <v>45</v>
      </c>
      <c r="L554" s="5" t="s">
        <v>20</v>
      </c>
      <c r="M554" s="7" t="s">
        <v>21</v>
      </c>
      <c r="N554" s="26">
        <f t="shared" si="56"/>
        <v>-1</v>
      </c>
      <c r="O554" s="42">
        <f t="shared" si="57"/>
        <v>45171</v>
      </c>
      <c r="P554" s="5" t="str">
        <f t="shared" si="58"/>
        <v>Saturday</v>
      </c>
      <c r="Q554" s="5">
        <f t="shared" si="59"/>
        <v>16</v>
      </c>
      <c r="R554" s="28">
        <f t="shared" si="60"/>
        <v>0.98941798941798942</v>
      </c>
      <c r="S554" s="29">
        <f t="shared" si="61"/>
        <v>98.941798941798936</v>
      </c>
      <c r="T554" s="5" t="str">
        <f>IF(Delivery_Data3[[#This Row],[Delays (min)]]&gt;0,"No","Yes")</f>
        <v>No</v>
      </c>
      <c r="W554" s="41">
        <f t="shared" si="62"/>
        <v>45171</v>
      </c>
      <c r="X554" s="5">
        <v>187</v>
      </c>
    </row>
    <row r="555" spans="1:24" ht="15.75" customHeight="1" x14ac:dyDescent="0.3">
      <c r="A555" s="4">
        <v>1554</v>
      </c>
      <c r="B555" s="5" t="s">
        <v>682</v>
      </c>
      <c r="C555" s="6">
        <v>45177.647916666669</v>
      </c>
      <c r="D555" s="5" t="s">
        <v>43</v>
      </c>
      <c r="E555" s="5" t="s">
        <v>311</v>
      </c>
      <c r="F555" s="5" t="s">
        <v>38</v>
      </c>
      <c r="G555" s="5" t="s">
        <v>39</v>
      </c>
      <c r="H555" s="5">
        <v>179</v>
      </c>
      <c r="I555" s="5">
        <v>0</v>
      </c>
      <c r="J555" s="5" t="s">
        <v>18</v>
      </c>
      <c r="K555" s="5" t="s">
        <v>19</v>
      </c>
      <c r="L555" s="5" t="s">
        <v>40</v>
      </c>
      <c r="M555" s="7" t="s">
        <v>46</v>
      </c>
      <c r="N555" s="26">
        <f t="shared" si="56"/>
        <v>0</v>
      </c>
      <c r="O555" s="42">
        <f t="shared" si="57"/>
        <v>45177</v>
      </c>
      <c r="P555" s="5" t="str">
        <f t="shared" si="58"/>
        <v>Friday</v>
      </c>
      <c r="Q555" s="5">
        <f t="shared" si="59"/>
        <v>15</v>
      </c>
      <c r="R555" s="28">
        <f t="shared" si="60"/>
        <v>1</v>
      </c>
      <c r="S555" s="29">
        <f t="shared" si="61"/>
        <v>100</v>
      </c>
      <c r="T555" s="5" t="str">
        <f>IF(Delivery_Data3[[#This Row],[Delays (min)]]&gt;0,"No","Yes")</f>
        <v>Yes</v>
      </c>
      <c r="W555" s="41">
        <f t="shared" si="62"/>
        <v>45177</v>
      </c>
      <c r="X555" s="5">
        <v>179</v>
      </c>
    </row>
    <row r="556" spans="1:24" ht="15.75" customHeight="1" x14ac:dyDescent="0.3">
      <c r="A556" s="4">
        <v>1555</v>
      </c>
      <c r="B556" s="5" t="s">
        <v>683</v>
      </c>
      <c r="C556" s="6">
        <v>45170.390972222223</v>
      </c>
      <c r="D556" s="5" t="s">
        <v>14</v>
      </c>
      <c r="E556" s="5" t="s">
        <v>76</v>
      </c>
      <c r="F556" s="5" t="s">
        <v>24</v>
      </c>
      <c r="G556" s="5" t="s">
        <v>25</v>
      </c>
      <c r="H556" s="5">
        <v>222</v>
      </c>
      <c r="I556" s="5">
        <v>2</v>
      </c>
      <c r="J556" s="5" t="s">
        <v>32</v>
      </c>
      <c r="K556" s="5" t="s">
        <v>27</v>
      </c>
      <c r="L556" s="5" t="s">
        <v>20</v>
      </c>
      <c r="M556" s="7" t="s">
        <v>41</v>
      </c>
      <c r="N556" s="26">
        <f t="shared" si="56"/>
        <v>-1</v>
      </c>
      <c r="O556" s="42">
        <f t="shared" si="57"/>
        <v>45170</v>
      </c>
      <c r="P556" s="5" t="str">
        <f t="shared" si="58"/>
        <v>Friday</v>
      </c>
      <c r="Q556" s="5">
        <f t="shared" si="59"/>
        <v>9</v>
      </c>
      <c r="R556" s="28">
        <f t="shared" si="60"/>
        <v>0.9910714285714286</v>
      </c>
      <c r="S556" s="29">
        <f t="shared" si="61"/>
        <v>99.107142857142861</v>
      </c>
      <c r="T556" s="5" t="str">
        <f>IF(Delivery_Data3[[#This Row],[Delays (min)]]&gt;0,"No","Yes")</f>
        <v>No</v>
      </c>
      <c r="W556" s="41">
        <f t="shared" si="62"/>
        <v>45170</v>
      </c>
      <c r="X556" s="5">
        <v>222</v>
      </c>
    </row>
    <row r="557" spans="1:24" ht="15.75" customHeight="1" x14ac:dyDescent="0.3">
      <c r="A557" s="4">
        <v>1556</v>
      </c>
      <c r="B557" s="5" t="s">
        <v>684</v>
      </c>
      <c r="C557" s="6">
        <v>45176.57708333333</v>
      </c>
      <c r="D557" s="5" t="s">
        <v>14</v>
      </c>
      <c r="E557" s="5" t="s">
        <v>311</v>
      </c>
      <c r="F557" s="5" t="s">
        <v>38</v>
      </c>
      <c r="G557" s="5" t="s">
        <v>25</v>
      </c>
      <c r="H557" s="5">
        <v>106</v>
      </c>
      <c r="I557" s="5">
        <v>13</v>
      </c>
      <c r="J557" s="5" t="s">
        <v>32</v>
      </c>
      <c r="K557" s="5" t="s">
        <v>35</v>
      </c>
      <c r="L557" s="5" t="s">
        <v>40</v>
      </c>
      <c r="M557" s="7" t="s">
        <v>41</v>
      </c>
      <c r="N557" s="26">
        <f t="shared" si="56"/>
        <v>-1</v>
      </c>
      <c r="O557" s="42">
        <f t="shared" si="57"/>
        <v>45176</v>
      </c>
      <c r="P557" s="5" t="str">
        <f t="shared" si="58"/>
        <v>Thursday</v>
      </c>
      <c r="Q557" s="5">
        <f t="shared" si="59"/>
        <v>13</v>
      </c>
      <c r="R557" s="28">
        <f t="shared" si="60"/>
        <v>0.89075630252100846</v>
      </c>
      <c r="S557" s="29">
        <f t="shared" si="61"/>
        <v>89.075630252100851</v>
      </c>
      <c r="T557" s="5" t="str">
        <f>IF(Delivery_Data3[[#This Row],[Delays (min)]]&gt;0,"No","Yes")</f>
        <v>No</v>
      </c>
      <c r="W557" s="41">
        <f t="shared" si="62"/>
        <v>45176</v>
      </c>
      <c r="X557" s="5">
        <v>106</v>
      </c>
    </row>
    <row r="558" spans="1:24" ht="15.75" customHeight="1" x14ac:dyDescent="0.3">
      <c r="A558" s="4">
        <v>1557</v>
      </c>
      <c r="B558" s="5" t="s">
        <v>685</v>
      </c>
      <c r="C558" s="6">
        <v>45177.432638888888</v>
      </c>
      <c r="D558" s="5" t="s">
        <v>43</v>
      </c>
      <c r="E558" s="5" t="s">
        <v>228</v>
      </c>
      <c r="F558" s="5" t="s">
        <v>16</v>
      </c>
      <c r="G558" s="5" t="s">
        <v>56</v>
      </c>
      <c r="H558" s="5">
        <v>75</v>
      </c>
      <c r="I558" s="5">
        <v>13</v>
      </c>
      <c r="J558" s="5" t="s">
        <v>18</v>
      </c>
      <c r="K558" s="5" t="s">
        <v>27</v>
      </c>
      <c r="L558" s="5" t="s">
        <v>20</v>
      </c>
      <c r="M558" s="7" t="s">
        <v>41</v>
      </c>
      <c r="N558" s="26">
        <f t="shared" si="56"/>
        <v>0</v>
      </c>
      <c r="O558" s="42">
        <f t="shared" si="57"/>
        <v>45177</v>
      </c>
      <c r="P558" s="5" t="str">
        <f t="shared" si="58"/>
        <v>Friday</v>
      </c>
      <c r="Q558" s="5">
        <f t="shared" si="59"/>
        <v>10</v>
      </c>
      <c r="R558" s="28">
        <f t="shared" si="60"/>
        <v>0.85227272727272729</v>
      </c>
      <c r="S558" s="29">
        <f t="shared" si="61"/>
        <v>85.227272727272734</v>
      </c>
      <c r="T558" s="5" t="str">
        <f>IF(Delivery_Data3[[#This Row],[Delays (min)]]&gt;0,"No","Yes")</f>
        <v>No</v>
      </c>
      <c r="W558" s="41">
        <f t="shared" si="62"/>
        <v>45177</v>
      </c>
      <c r="X558" s="5">
        <v>75</v>
      </c>
    </row>
    <row r="559" spans="1:24" ht="15.75" customHeight="1" x14ac:dyDescent="0.3">
      <c r="A559" s="4">
        <v>1558</v>
      </c>
      <c r="B559" s="5" t="s">
        <v>686</v>
      </c>
      <c r="C559" s="6">
        <v>45177.4</v>
      </c>
      <c r="D559" s="5" t="s">
        <v>14</v>
      </c>
      <c r="E559" s="5" t="s">
        <v>220</v>
      </c>
      <c r="F559" s="5" t="s">
        <v>38</v>
      </c>
      <c r="G559" s="5" t="s">
        <v>17</v>
      </c>
      <c r="H559" s="5">
        <v>170</v>
      </c>
      <c r="I559" s="5">
        <v>29</v>
      </c>
      <c r="J559" s="5" t="s">
        <v>32</v>
      </c>
      <c r="K559" s="5" t="s">
        <v>27</v>
      </c>
      <c r="L559" s="5" t="s">
        <v>28</v>
      </c>
      <c r="M559" s="7" t="s">
        <v>41</v>
      </c>
      <c r="N559" s="26">
        <f t="shared" si="56"/>
        <v>-1</v>
      </c>
      <c r="O559" s="42">
        <f t="shared" si="57"/>
        <v>45177</v>
      </c>
      <c r="P559" s="5" t="str">
        <f t="shared" si="58"/>
        <v>Friday</v>
      </c>
      <c r="Q559" s="5">
        <f t="shared" si="59"/>
        <v>9</v>
      </c>
      <c r="R559" s="28">
        <f t="shared" si="60"/>
        <v>0.85427135678391963</v>
      </c>
      <c r="S559" s="29">
        <f t="shared" si="61"/>
        <v>85.427135678391963</v>
      </c>
      <c r="T559" s="5" t="str">
        <f>IF(Delivery_Data3[[#This Row],[Delays (min)]]&gt;0,"No","Yes")</f>
        <v>No</v>
      </c>
      <c r="W559" s="41">
        <f t="shared" si="62"/>
        <v>45177</v>
      </c>
      <c r="X559" s="5">
        <v>170</v>
      </c>
    </row>
    <row r="560" spans="1:24" ht="15.75" customHeight="1" x14ac:dyDescent="0.3">
      <c r="A560" s="4">
        <v>1559</v>
      </c>
      <c r="B560" s="5" t="s">
        <v>687</v>
      </c>
      <c r="C560" s="6">
        <v>45173.584027777775</v>
      </c>
      <c r="D560" s="5" t="s">
        <v>43</v>
      </c>
      <c r="E560" s="5" t="s">
        <v>272</v>
      </c>
      <c r="F560" s="5" t="s">
        <v>38</v>
      </c>
      <c r="G560" s="5" t="s">
        <v>25</v>
      </c>
      <c r="H560" s="5">
        <v>195</v>
      </c>
      <c r="I560" s="5">
        <v>23</v>
      </c>
      <c r="J560" s="5" t="s">
        <v>32</v>
      </c>
      <c r="K560" s="5" t="s">
        <v>35</v>
      </c>
      <c r="L560" s="5" t="s">
        <v>28</v>
      </c>
      <c r="M560" s="7" t="s">
        <v>41</v>
      </c>
      <c r="N560" s="26">
        <f t="shared" si="56"/>
        <v>-1</v>
      </c>
      <c r="O560" s="42">
        <f t="shared" si="57"/>
        <v>45173</v>
      </c>
      <c r="P560" s="5" t="str">
        <f t="shared" si="58"/>
        <v>Monday</v>
      </c>
      <c r="Q560" s="5">
        <f t="shared" si="59"/>
        <v>14</v>
      </c>
      <c r="R560" s="28">
        <f t="shared" si="60"/>
        <v>0.89449541284403666</v>
      </c>
      <c r="S560" s="29">
        <f t="shared" si="61"/>
        <v>89.449541284403665</v>
      </c>
      <c r="T560" s="5" t="str">
        <f>IF(Delivery_Data3[[#This Row],[Delays (min)]]&gt;0,"No","Yes")</f>
        <v>No</v>
      </c>
      <c r="W560" s="41">
        <f t="shared" si="62"/>
        <v>45173</v>
      </c>
      <c r="X560" s="5">
        <v>195</v>
      </c>
    </row>
    <row r="561" spans="1:24" ht="15.75" customHeight="1" x14ac:dyDescent="0.3">
      <c r="A561" s="4">
        <v>1560</v>
      </c>
      <c r="B561" s="5" t="s">
        <v>688</v>
      </c>
      <c r="C561" s="6">
        <v>45171.417361111111</v>
      </c>
      <c r="D561" s="5" t="s">
        <v>14</v>
      </c>
      <c r="E561" s="5" t="s">
        <v>128</v>
      </c>
      <c r="F561" s="5" t="s">
        <v>24</v>
      </c>
      <c r="G561" s="5" t="s">
        <v>25</v>
      </c>
      <c r="H561" s="5">
        <v>217</v>
      </c>
      <c r="I561" s="5">
        <v>19</v>
      </c>
      <c r="J561" s="5" t="s">
        <v>26</v>
      </c>
      <c r="K561" s="5" t="s">
        <v>49</v>
      </c>
      <c r="L561" s="5" t="s">
        <v>20</v>
      </c>
      <c r="M561" s="7" t="s">
        <v>41</v>
      </c>
      <c r="N561" s="26">
        <f t="shared" si="56"/>
        <v>1</v>
      </c>
      <c r="O561" s="42">
        <f t="shared" si="57"/>
        <v>45171</v>
      </c>
      <c r="P561" s="5" t="str">
        <f t="shared" si="58"/>
        <v>Saturday</v>
      </c>
      <c r="Q561" s="5">
        <f t="shared" si="59"/>
        <v>10</v>
      </c>
      <c r="R561" s="28">
        <f t="shared" si="60"/>
        <v>0.91949152542372881</v>
      </c>
      <c r="S561" s="29">
        <f t="shared" si="61"/>
        <v>91.949152542372886</v>
      </c>
      <c r="T561" s="5" t="str">
        <f>IF(Delivery_Data3[[#This Row],[Delays (min)]]&gt;0,"No","Yes")</f>
        <v>No</v>
      </c>
      <c r="W561" s="41">
        <f t="shared" si="62"/>
        <v>45171</v>
      </c>
      <c r="X561" s="5">
        <v>217</v>
      </c>
    </row>
    <row r="562" spans="1:24" ht="15.75" customHeight="1" x14ac:dyDescent="0.3">
      <c r="A562" s="4">
        <v>1561</v>
      </c>
      <c r="B562" s="5" t="s">
        <v>689</v>
      </c>
      <c r="C562" s="6">
        <v>45175.435416666667</v>
      </c>
      <c r="D562" s="5" t="s">
        <v>14</v>
      </c>
      <c r="E562" s="5" t="s">
        <v>80</v>
      </c>
      <c r="F562" s="5" t="s">
        <v>24</v>
      </c>
      <c r="G562" s="5" t="s">
        <v>25</v>
      </c>
      <c r="H562" s="5">
        <v>176</v>
      </c>
      <c r="I562" s="5">
        <v>18</v>
      </c>
      <c r="J562" s="5" t="s">
        <v>32</v>
      </c>
      <c r="K562" s="5" t="s">
        <v>19</v>
      </c>
      <c r="L562" s="5" t="s">
        <v>40</v>
      </c>
      <c r="M562" s="7" t="s">
        <v>41</v>
      </c>
      <c r="N562" s="26">
        <f t="shared" si="56"/>
        <v>-1</v>
      </c>
      <c r="O562" s="42">
        <f t="shared" si="57"/>
        <v>45175</v>
      </c>
      <c r="P562" s="5" t="str">
        <f t="shared" si="58"/>
        <v>Wednesday</v>
      </c>
      <c r="Q562" s="5">
        <f t="shared" si="59"/>
        <v>10</v>
      </c>
      <c r="R562" s="28">
        <f t="shared" si="60"/>
        <v>0.90721649484536082</v>
      </c>
      <c r="S562" s="29">
        <f t="shared" si="61"/>
        <v>90.721649484536087</v>
      </c>
      <c r="T562" s="5" t="str">
        <f>IF(Delivery_Data3[[#This Row],[Delays (min)]]&gt;0,"No","Yes")</f>
        <v>No</v>
      </c>
      <c r="W562" s="41">
        <f t="shared" si="62"/>
        <v>45175</v>
      </c>
      <c r="X562" s="5">
        <v>176</v>
      </c>
    </row>
    <row r="563" spans="1:24" ht="15.75" customHeight="1" x14ac:dyDescent="0.3">
      <c r="A563" s="4">
        <v>1562</v>
      </c>
      <c r="B563" s="5" t="s">
        <v>690</v>
      </c>
      <c r="C563" s="6">
        <v>45172.662499999999</v>
      </c>
      <c r="D563" s="5" t="s">
        <v>43</v>
      </c>
      <c r="E563" s="5" t="s">
        <v>220</v>
      </c>
      <c r="F563" s="5" t="s">
        <v>16</v>
      </c>
      <c r="G563" s="5" t="s">
        <v>17</v>
      </c>
      <c r="H563" s="5">
        <v>135</v>
      </c>
      <c r="I563" s="5">
        <v>3</v>
      </c>
      <c r="J563" s="5" t="s">
        <v>32</v>
      </c>
      <c r="K563" s="5" t="s">
        <v>49</v>
      </c>
      <c r="L563" s="5" t="s">
        <v>20</v>
      </c>
      <c r="M563" s="7" t="s">
        <v>46</v>
      </c>
      <c r="N563" s="26">
        <f t="shared" si="56"/>
        <v>-1</v>
      </c>
      <c r="O563" s="42">
        <f t="shared" si="57"/>
        <v>45172</v>
      </c>
      <c r="P563" s="5" t="str">
        <f t="shared" si="58"/>
        <v>Sunday</v>
      </c>
      <c r="Q563" s="5">
        <f t="shared" si="59"/>
        <v>15</v>
      </c>
      <c r="R563" s="28">
        <f t="shared" si="60"/>
        <v>0.97826086956521741</v>
      </c>
      <c r="S563" s="29">
        <f t="shared" si="61"/>
        <v>97.826086956521735</v>
      </c>
      <c r="T563" s="5" t="str">
        <f>IF(Delivery_Data3[[#This Row],[Delays (min)]]&gt;0,"No","Yes")</f>
        <v>No</v>
      </c>
      <c r="W563" s="41">
        <f t="shared" si="62"/>
        <v>45172</v>
      </c>
      <c r="X563" s="5">
        <v>135</v>
      </c>
    </row>
    <row r="564" spans="1:24" ht="15.75" customHeight="1" x14ac:dyDescent="0.3">
      <c r="A564" s="4">
        <v>1563</v>
      </c>
      <c r="B564" s="5" t="s">
        <v>691</v>
      </c>
      <c r="C564" s="6">
        <v>45174.583333333336</v>
      </c>
      <c r="D564" s="5" t="s">
        <v>14</v>
      </c>
      <c r="E564" s="5" t="s">
        <v>135</v>
      </c>
      <c r="F564" s="5" t="s">
        <v>16</v>
      </c>
      <c r="G564" s="5" t="s">
        <v>56</v>
      </c>
      <c r="H564" s="5">
        <v>69</v>
      </c>
      <c r="I564" s="5">
        <v>14</v>
      </c>
      <c r="J564" s="5" t="s">
        <v>32</v>
      </c>
      <c r="K564" s="5" t="s">
        <v>19</v>
      </c>
      <c r="L564" s="5" t="s">
        <v>20</v>
      </c>
      <c r="M564" s="7" t="s">
        <v>41</v>
      </c>
      <c r="N564" s="26">
        <f t="shared" si="56"/>
        <v>-1</v>
      </c>
      <c r="O564" s="42">
        <f t="shared" si="57"/>
        <v>45174</v>
      </c>
      <c r="P564" s="5" t="str">
        <f t="shared" si="58"/>
        <v>Tuesday</v>
      </c>
      <c r="Q564" s="5">
        <f t="shared" si="59"/>
        <v>14</v>
      </c>
      <c r="R564" s="28">
        <f t="shared" si="60"/>
        <v>0.83132530120481929</v>
      </c>
      <c r="S564" s="29">
        <f t="shared" si="61"/>
        <v>83.132530120481931</v>
      </c>
      <c r="T564" s="5" t="str">
        <f>IF(Delivery_Data3[[#This Row],[Delays (min)]]&gt;0,"No","Yes")</f>
        <v>No</v>
      </c>
      <c r="W564" s="41">
        <f t="shared" si="62"/>
        <v>45174</v>
      </c>
      <c r="X564" s="5">
        <v>69</v>
      </c>
    </row>
    <row r="565" spans="1:24" ht="15.75" customHeight="1" x14ac:dyDescent="0.3">
      <c r="A565" s="4">
        <v>1564</v>
      </c>
      <c r="B565" s="5" t="s">
        <v>692</v>
      </c>
      <c r="C565" s="6">
        <v>45170.399305555555</v>
      </c>
      <c r="D565" s="5" t="s">
        <v>43</v>
      </c>
      <c r="E565" s="5" t="s">
        <v>132</v>
      </c>
      <c r="F565" s="5" t="s">
        <v>16</v>
      </c>
      <c r="G565" s="5" t="s">
        <v>56</v>
      </c>
      <c r="H565" s="5">
        <v>210</v>
      </c>
      <c r="I565" s="5">
        <v>1</v>
      </c>
      <c r="J565" s="5" t="s">
        <v>18</v>
      </c>
      <c r="K565" s="5" t="s">
        <v>19</v>
      </c>
      <c r="L565" s="5" t="s">
        <v>20</v>
      </c>
      <c r="M565" s="7" t="s">
        <v>46</v>
      </c>
      <c r="N565" s="26">
        <f t="shared" si="56"/>
        <v>0</v>
      </c>
      <c r="O565" s="42">
        <f t="shared" si="57"/>
        <v>45170</v>
      </c>
      <c r="P565" s="5" t="str">
        <f t="shared" si="58"/>
        <v>Friday</v>
      </c>
      <c r="Q565" s="5">
        <f t="shared" si="59"/>
        <v>9</v>
      </c>
      <c r="R565" s="28">
        <f t="shared" si="60"/>
        <v>0.99526066350710896</v>
      </c>
      <c r="S565" s="29">
        <f t="shared" si="61"/>
        <v>99.526066350710892</v>
      </c>
      <c r="T565" s="5" t="str">
        <f>IF(Delivery_Data3[[#This Row],[Delays (min)]]&gt;0,"No","Yes")</f>
        <v>No</v>
      </c>
      <c r="W565" s="41">
        <f t="shared" si="62"/>
        <v>45170</v>
      </c>
      <c r="X565" s="5">
        <v>210</v>
      </c>
    </row>
    <row r="566" spans="1:24" ht="15.75" customHeight="1" x14ac:dyDescent="0.3">
      <c r="A566" s="4">
        <v>1565</v>
      </c>
      <c r="B566" s="5" t="s">
        <v>693</v>
      </c>
      <c r="C566" s="6">
        <v>45172.582638888889</v>
      </c>
      <c r="D566" s="5" t="s">
        <v>43</v>
      </c>
      <c r="E566" s="5" t="s">
        <v>267</v>
      </c>
      <c r="F566" s="5" t="s">
        <v>38</v>
      </c>
      <c r="G566" s="5" t="s">
        <v>39</v>
      </c>
      <c r="H566" s="5">
        <v>202</v>
      </c>
      <c r="I566" s="5">
        <v>27</v>
      </c>
      <c r="J566" s="5" t="s">
        <v>18</v>
      </c>
      <c r="K566" s="5" t="s">
        <v>49</v>
      </c>
      <c r="L566" s="5" t="s">
        <v>40</v>
      </c>
      <c r="M566" s="7" t="s">
        <v>41</v>
      </c>
      <c r="N566" s="26">
        <f t="shared" si="56"/>
        <v>0</v>
      </c>
      <c r="O566" s="42">
        <f t="shared" si="57"/>
        <v>45172</v>
      </c>
      <c r="P566" s="5" t="str">
        <f t="shared" si="58"/>
        <v>Sunday</v>
      </c>
      <c r="Q566" s="5">
        <f t="shared" si="59"/>
        <v>13</v>
      </c>
      <c r="R566" s="28">
        <f t="shared" si="60"/>
        <v>0.88209606986899558</v>
      </c>
      <c r="S566" s="29">
        <f t="shared" si="61"/>
        <v>88.209606986899558</v>
      </c>
      <c r="T566" s="5" t="str">
        <f>IF(Delivery_Data3[[#This Row],[Delays (min)]]&gt;0,"No","Yes")</f>
        <v>No</v>
      </c>
      <c r="W566" s="41">
        <f t="shared" si="62"/>
        <v>45172</v>
      </c>
      <c r="X566" s="5">
        <v>202</v>
      </c>
    </row>
    <row r="567" spans="1:24" ht="15.75" customHeight="1" x14ac:dyDescent="0.3">
      <c r="A567" s="4">
        <v>1566</v>
      </c>
      <c r="B567" s="5" t="s">
        <v>694</v>
      </c>
      <c r="C567" s="6">
        <v>45177.409722222219</v>
      </c>
      <c r="D567" s="5" t="s">
        <v>43</v>
      </c>
      <c r="E567" s="5" t="s">
        <v>101</v>
      </c>
      <c r="F567" s="5" t="s">
        <v>38</v>
      </c>
      <c r="G567" s="5" t="s">
        <v>56</v>
      </c>
      <c r="H567" s="5">
        <v>75</v>
      </c>
      <c r="I567" s="5">
        <v>20</v>
      </c>
      <c r="J567" s="5" t="s">
        <v>18</v>
      </c>
      <c r="K567" s="5" t="s">
        <v>49</v>
      </c>
      <c r="L567" s="5" t="s">
        <v>20</v>
      </c>
      <c r="M567" s="7" t="s">
        <v>46</v>
      </c>
      <c r="N567" s="26">
        <f t="shared" si="56"/>
        <v>0</v>
      </c>
      <c r="O567" s="42">
        <f t="shared" si="57"/>
        <v>45177</v>
      </c>
      <c r="P567" s="5" t="str">
        <f t="shared" si="58"/>
        <v>Friday</v>
      </c>
      <c r="Q567" s="5">
        <f t="shared" si="59"/>
        <v>9</v>
      </c>
      <c r="R567" s="28">
        <f t="shared" si="60"/>
        <v>0.78947368421052633</v>
      </c>
      <c r="S567" s="29">
        <f t="shared" si="61"/>
        <v>78.94736842105263</v>
      </c>
      <c r="T567" s="5" t="str">
        <f>IF(Delivery_Data3[[#This Row],[Delays (min)]]&gt;0,"No","Yes")</f>
        <v>No</v>
      </c>
      <c r="W567" s="41">
        <f t="shared" si="62"/>
        <v>45177</v>
      </c>
      <c r="X567" s="5">
        <v>75</v>
      </c>
    </row>
    <row r="568" spans="1:24" ht="15.75" customHeight="1" x14ac:dyDescent="0.3">
      <c r="A568" s="4">
        <v>1567</v>
      </c>
      <c r="B568" s="5" t="s">
        <v>695</v>
      </c>
      <c r="C568" s="6">
        <v>45175.556250000001</v>
      </c>
      <c r="D568" s="5" t="s">
        <v>14</v>
      </c>
      <c r="E568" s="5" t="s">
        <v>58</v>
      </c>
      <c r="F568" s="5" t="s">
        <v>38</v>
      </c>
      <c r="G568" s="5" t="s">
        <v>17</v>
      </c>
      <c r="H568" s="5">
        <v>168</v>
      </c>
      <c r="I568" s="5">
        <v>19</v>
      </c>
      <c r="J568" s="5" t="s">
        <v>32</v>
      </c>
      <c r="K568" s="5" t="s">
        <v>19</v>
      </c>
      <c r="L568" s="5" t="s">
        <v>28</v>
      </c>
      <c r="M568" s="7" t="s">
        <v>21</v>
      </c>
      <c r="N568" s="26">
        <f t="shared" si="56"/>
        <v>-1</v>
      </c>
      <c r="O568" s="42">
        <f t="shared" si="57"/>
        <v>45175</v>
      </c>
      <c r="P568" s="5" t="str">
        <f t="shared" si="58"/>
        <v>Wednesday</v>
      </c>
      <c r="Q568" s="5">
        <f t="shared" si="59"/>
        <v>13</v>
      </c>
      <c r="R568" s="28">
        <f t="shared" si="60"/>
        <v>0.89839572192513373</v>
      </c>
      <c r="S568" s="29">
        <f t="shared" si="61"/>
        <v>89.839572192513373</v>
      </c>
      <c r="T568" s="5" t="str">
        <f>IF(Delivery_Data3[[#This Row],[Delays (min)]]&gt;0,"No","Yes")</f>
        <v>No</v>
      </c>
      <c r="W568" s="41">
        <f t="shared" si="62"/>
        <v>45175</v>
      </c>
      <c r="X568" s="5">
        <v>168</v>
      </c>
    </row>
    <row r="569" spans="1:24" ht="15.75" customHeight="1" x14ac:dyDescent="0.3">
      <c r="A569" s="4">
        <v>1568</v>
      </c>
      <c r="B569" s="5" t="s">
        <v>696</v>
      </c>
      <c r="C569" s="6">
        <v>45177.395138888889</v>
      </c>
      <c r="D569" s="5" t="s">
        <v>43</v>
      </c>
      <c r="E569" s="5" t="s">
        <v>99</v>
      </c>
      <c r="F569" s="5" t="s">
        <v>16</v>
      </c>
      <c r="G569" s="5" t="s">
        <v>17</v>
      </c>
      <c r="H569" s="5">
        <v>228</v>
      </c>
      <c r="I569" s="5">
        <v>6</v>
      </c>
      <c r="J569" s="5" t="s">
        <v>32</v>
      </c>
      <c r="K569" s="5" t="s">
        <v>35</v>
      </c>
      <c r="L569" s="5" t="s">
        <v>40</v>
      </c>
      <c r="M569" s="7" t="s">
        <v>41</v>
      </c>
      <c r="N569" s="26">
        <f t="shared" si="56"/>
        <v>-1</v>
      </c>
      <c r="O569" s="42">
        <f t="shared" si="57"/>
        <v>45177</v>
      </c>
      <c r="P569" s="5" t="str">
        <f t="shared" si="58"/>
        <v>Friday</v>
      </c>
      <c r="Q569" s="5">
        <f t="shared" si="59"/>
        <v>9</v>
      </c>
      <c r="R569" s="28">
        <f t="shared" si="60"/>
        <v>0.97435897435897434</v>
      </c>
      <c r="S569" s="29">
        <f t="shared" si="61"/>
        <v>97.435897435897431</v>
      </c>
      <c r="T569" s="5" t="str">
        <f>IF(Delivery_Data3[[#This Row],[Delays (min)]]&gt;0,"No","Yes")</f>
        <v>No</v>
      </c>
      <c r="W569" s="41">
        <f t="shared" si="62"/>
        <v>45177</v>
      </c>
      <c r="X569" s="5">
        <v>228</v>
      </c>
    </row>
    <row r="570" spans="1:24" ht="15.75" customHeight="1" x14ac:dyDescent="0.3">
      <c r="A570" s="4">
        <v>1569</v>
      </c>
      <c r="B570" s="5" t="s">
        <v>697</v>
      </c>
      <c r="C570" s="6">
        <v>45171.637499999997</v>
      </c>
      <c r="D570" s="5" t="s">
        <v>14</v>
      </c>
      <c r="E570" s="5" t="s">
        <v>200</v>
      </c>
      <c r="F570" s="5" t="s">
        <v>24</v>
      </c>
      <c r="G570" s="5" t="s">
        <v>56</v>
      </c>
      <c r="H570" s="5">
        <v>230</v>
      </c>
      <c r="I570" s="5">
        <v>14</v>
      </c>
      <c r="J570" s="5" t="s">
        <v>26</v>
      </c>
      <c r="K570" s="5" t="s">
        <v>19</v>
      </c>
      <c r="L570" s="5" t="s">
        <v>28</v>
      </c>
      <c r="M570" s="7" t="s">
        <v>46</v>
      </c>
      <c r="N570" s="26">
        <f t="shared" si="56"/>
        <v>1</v>
      </c>
      <c r="O570" s="42">
        <f t="shared" si="57"/>
        <v>45171</v>
      </c>
      <c r="P570" s="5" t="str">
        <f t="shared" si="58"/>
        <v>Saturday</v>
      </c>
      <c r="Q570" s="5">
        <f t="shared" si="59"/>
        <v>15</v>
      </c>
      <c r="R570" s="28">
        <f t="shared" si="60"/>
        <v>0.94262295081967218</v>
      </c>
      <c r="S570" s="29">
        <f t="shared" si="61"/>
        <v>94.262295081967224</v>
      </c>
      <c r="T570" s="5" t="str">
        <f>IF(Delivery_Data3[[#This Row],[Delays (min)]]&gt;0,"No","Yes")</f>
        <v>No</v>
      </c>
      <c r="W570" s="41">
        <f t="shared" si="62"/>
        <v>45171</v>
      </c>
      <c r="X570" s="5">
        <v>230</v>
      </c>
    </row>
    <row r="571" spans="1:24" ht="15.75" customHeight="1" x14ac:dyDescent="0.3">
      <c r="A571" s="4">
        <v>1570</v>
      </c>
      <c r="B571" s="5" t="s">
        <v>698</v>
      </c>
      <c r="C571" s="6">
        <v>45174.438194444447</v>
      </c>
      <c r="D571" s="5" t="s">
        <v>43</v>
      </c>
      <c r="E571" s="5" t="s">
        <v>130</v>
      </c>
      <c r="F571" s="5" t="s">
        <v>38</v>
      </c>
      <c r="G571" s="5" t="s">
        <v>56</v>
      </c>
      <c r="H571" s="5">
        <v>81</v>
      </c>
      <c r="I571" s="5">
        <v>4</v>
      </c>
      <c r="J571" s="5" t="s">
        <v>18</v>
      </c>
      <c r="K571" s="5" t="s">
        <v>35</v>
      </c>
      <c r="L571" s="5" t="s">
        <v>40</v>
      </c>
      <c r="M571" s="7" t="s">
        <v>41</v>
      </c>
      <c r="N571" s="26">
        <f t="shared" si="56"/>
        <v>0</v>
      </c>
      <c r="O571" s="42">
        <f t="shared" si="57"/>
        <v>45174</v>
      </c>
      <c r="P571" s="5" t="str">
        <f t="shared" si="58"/>
        <v>Tuesday</v>
      </c>
      <c r="Q571" s="5">
        <f t="shared" si="59"/>
        <v>10</v>
      </c>
      <c r="R571" s="28">
        <f t="shared" si="60"/>
        <v>0.95294117647058818</v>
      </c>
      <c r="S571" s="29">
        <f t="shared" si="61"/>
        <v>95.294117647058812</v>
      </c>
      <c r="T571" s="5" t="str">
        <f>IF(Delivery_Data3[[#This Row],[Delays (min)]]&gt;0,"No","Yes")</f>
        <v>No</v>
      </c>
      <c r="W571" s="41">
        <f t="shared" si="62"/>
        <v>45174</v>
      </c>
      <c r="X571" s="5">
        <v>81</v>
      </c>
    </row>
    <row r="572" spans="1:24" ht="15.75" customHeight="1" x14ac:dyDescent="0.3">
      <c r="A572" s="4">
        <v>1571</v>
      </c>
      <c r="B572" s="5" t="s">
        <v>699</v>
      </c>
      <c r="C572" s="6">
        <v>45172.609722222223</v>
      </c>
      <c r="D572" s="5" t="s">
        <v>14</v>
      </c>
      <c r="E572" s="5" t="s">
        <v>58</v>
      </c>
      <c r="F572" s="5" t="s">
        <v>38</v>
      </c>
      <c r="G572" s="5" t="s">
        <v>56</v>
      </c>
      <c r="H572" s="5">
        <v>208</v>
      </c>
      <c r="I572" s="5">
        <v>7</v>
      </c>
      <c r="J572" s="5" t="s">
        <v>26</v>
      </c>
      <c r="K572" s="5" t="s">
        <v>27</v>
      </c>
      <c r="L572" s="5" t="s">
        <v>20</v>
      </c>
      <c r="M572" s="7" t="s">
        <v>41</v>
      </c>
      <c r="N572" s="26">
        <f t="shared" si="56"/>
        <v>1</v>
      </c>
      <c r="O572" s="42">
        <f t="shared" si="57"/>
        <v>45172</v>
      </c>
      <c r="P572" s="5" t="str">
        <f t="shared" si="58"/>
        <v>Sunday</v>
      </c>
      <c r="Q572" s="5">
        <f t="shared" si="59"/>
        <v>14</v>
      </c>
      <c r="R572" s="28">
        <f t="shared" si="60"/>
        <v>0.96744186046511627</v>
      </c>
      <c r="S572" s="29">
        <f t="shared" si="61"/>
        <v>96.744186046511629</v>
      </c>
      <c r="T572" s="5" t="str">
        <f>IF(Delivery_Data3[[#This Row],[Delays (min)]]&gt;0,"No","Yes")</f>
        <v>No</v>
      </c>
      <c r="W572" s="41">
        <f t="shared" si="62"/>
        <v>45172</v>
      </c>
      <c r="X572" s="5">
        <v>208</v>
      </c>
    </row>
    <row r="573" spans="1:24" ht="15.75" customHeight="1" x14ac:dyDescent="0.3">
      <c r="A573" s="4">
        <v>1572</v>
      </c>
      <c r="B573" s="5" t="s">
        <v>700</v>
      </c>
      <c r="C573" s="6">
        <v>45172.379166666666</v>
      </c>
      <c r="D573" s="5" t="s">
        <v>14</v>
      </c>
      <c r="E573" s="5" t="s">
        <v>333</v>
      </c>
      <c r="F573" s="5" t="s">
        <v>38</v>
      </c>
      <c r="G573" s="5" t="s">
        <v>39</v>
      </c>
      <c r="H573" s="5">
        <v>114</v>
      </c>
      <c r="I573" s="5">
        <v>1</v>
      </c>
      <c r="J573" s="5" t="s">
        <v>18</v>
      </c>
      <c r="K573" s="5" t="s">
        <v>49</v>
      </c>
      <c r="L573" s="5" t="s">
        <v>28</v>
      </c>
      <c r="M573" s="7" t="s">
        <v>41</v>
      </c>
      <c r="N573" s="26">
        <f t="shared" si="56"/>
        <v>0</v>
      </c>
      <c r="O573" s="42">
        <f t="shared" si="57"/>
        <v>45172</v>
      </c>
      <c r="P573" s="5" t="str">
        <f t="shared" si="58"/>
        <v>Sunday</v>
      </c>
      <c r="Q573" s="5">
        <f t="shared" si="59"/>
        <v>9</v>
      </c>
      <c r="R573" s="28">
        <f t="shared" si="60"/>
        <v>0.99130434782608701</v>
      </c>
      <c r="S573" s="29">
        <f t="shared" si="61"/>
        <v>99.130434782608702</v>
      </c>
      <c r="T573" s="5" t="str">
        <f>IF(Delivery_Data3[[#This Row],[Delays (min)]]&gt;0,"No","Yes")</f>
        <v>No</v>
      </c>
      <c r="W573" s="41">
        <f t="shared" si="62"/>
        <v>45172</v>
      </c>
      <c r="X573" s="5">
        <v>114</v>
      </c>
    </row>
    <row r="574" spans="1:24" ht="15.75" customHeight="1" x14ac:dyDescent="0.3">
      <c r="A574" s="4">
        <v>1573</v>
      </c>
      <c r="B574" s="5" t="s">
        <v>701</v>
      </c>
      <c r="C574" s="6">
        <v>45176.503472222219</v>
      </c>
      <c r="D574" s="5" t="s">
        <v>14</v>
      </c>
      <c r="E574" s="5" t="s">
        <v>169</v>
      </c>
      <c r="F574" s="5" t="s">
        <v>24</v>
      </c>
      <c r="G574" s="5" t="s">
        <v>31</v>
      </c>
      <c r="H574" s="5">
        <v>162</v>
      </c>
      <c r="I574" s="5">
        <v>20</v>
      </c>
      <c r="J574" s="5" t="s">
        <v>32</v>
      </c>
      <c r="K574" s="5" t="s">
        <v>35</v>
      </c>
      <c r="L574" s="5" t="s">
        <v>40</v>
      </c>
      <c r="M574" s="7" t="s">
        <v>21</v>
      </c>
      <c r="N574" s="26">
        <f t="shared" si="56"/>
        <v>-1</v>
      </c>
      <c r="O574" s="42">
        <f t="shared" si="57"/>
        <v>45176</v>
      </c>
      <c r="P574" s="5" t="str">
        <f t="shared" si="58"/>
        <v>Thursday</v>
      </c>
      <c r="Q574" s="5">
        <f t="shared" si="59"/>
        <v>12</v>
      </c>
      <c r="R574" s="28">
        <f t="shared" si="60"/>
        <v>0.89010989010989006</v>
      </c>
      <c r="S574" s="29">
        <f t="shared" si="61"/>
        <v>89.010989010989007</v>
      </c>
      <c r="T574" s="5" t="str">
        <f>IF(Delivery_Data3[[#This Row],[Delays (min)]]&gt;0,"No","Yes")</f>
        <v>No</v>
      </c>
      <c r="W574" s="41">
        <f t="shared" si="62"/>
        <v>45176</v>
      </c>
      <c r="X574" s="5">
        <v>162</v>
      </c>
    </row>
    <row r="575" spans="1:24" ht="15.75" customHeight="1" x14ac:dyDescent="0.3">
      <c r="A575" s="4">
        <v>1574</v>
      </c>
      <c r="B575" s="5" t="s">
        <v>702</v>
      </c>
      <c r="C575" s="6">
        <v>45174.435416666667</v>
      </c>
      <c r="D575" s="5" t="s">
        <v>43</v>
      </c>
      <c r="E575" s="5" t="s">
        <v>169</v>
      </c>
      <c r="F575" s="5" t="s">
        <v>38</v>
      </c>
      <c r="G575" s="5" t="s">
        <v>25</v>
      </c>
      <c r="H575" s="5">
        <v>170</v>
      </c>
      <c r="I575" s="5">
        <v>8</v>
      </c>
      <c r="J575" s="5" t="s">
        <v>18</v>
      </c>
      <c r="K575" s="5" t="s">
        <v>19</v>
      </c>
      <c r="L575" s="5" t="s">
        <v>40</v>
      </c>
      <c r="M575" s="7" t="s">
        <v>46</v>
      </c>
      <c r="N575" s="26">
        <f t="shared" si="56"/>
        <v>0</v>
      </c>
      <c r="O575" s="42">
        <f t="shared" si="57"/>
        <v>45174</v>
      </c>
      <c r="P575" s="5" t="str">
        <f t="shared" si="58"/>
        <v>Tuesday</v>
      </c>
      <c r="Q575" s="5">
        <f t="shared" si="59"/>
        <v>10</v>
      </c>
      <c r="R575" s="28">
        <f t="shared" si="60"/>
        <v>0.9550561797752809</v>
      </c>
      <c r="S575" s="29">
        <f t="shared" si="61"/>
        <v>95.50561797752809</v>
      </c>
      <c r="T575" s="5" t="str">
        <f>IF(Delivery_Data3[[#This Row],[Delays (min)]]&gt;0,"No","Yes")</f>
        <v>No</v>
      </c>
      <c r="W575" s="41">
        <f t="shared" si="62"/>
        <v>45174</v>
      </c>
      <c r="X575" s="5">
        <v>170</v>
      </c>
    </row>
    <row r="576" spans="1:24" ht="15.75" customHeight="1" x14ac:dyDescent="0.3">
      <c r="A576" s="4">
        <v>1575</v>
      </c>
      <c r="B576" s="5" t="s">
        <v>703</v>
      </c>
      <c r="C576" s="6">
        <v>45172.423611111109</v>
      </c>
      <c r="D576" s="5" t="s">
        <v>14</v>
      </c>
      <c r="E576" s="5" t="s">
        <v>234</v>
      </c>
      <c r="F576" s="5" t="s">
        <v>38</v>
      </c>
      <c r="G576" s="5" t="s">
        <v>25</v>
      </c>
      <c r="H576" s="5">
        <v>165</v>
      </c>
      <c r="I576" s="5">
        <v>6</v>
      </c>
      <c r="J576" s="5" t="s">
        <v>18</v>
      </c>
      <c r="K576" s="5" t="s">
        <v>45</v>
      </c>
      <c r="L576" s="5" t="s">
        <v>28</v>
      </c>
      <c r="M576" s="7" t="s">
        <v>21</v>
      </c>
      <c r="N576" s="26">
        <f t="shared" si="56"/>
        <v>0</v>
      </c>
      <c r="O576" s="42">
        <f t="shared" si="57"/>
        <v>45172</v>
      </c>
      <c r="P576" s="5" t="str">
        <f t="shared" si="58"/>
        <v>Sunday</v>
      </c>
      <c r="Q576" s="5">
        <f t="shared" si="59"/>
        <v>10</v>
      </c>
      <c r="R576" s="28">
        <f t="shared" si="60"/>
        <v>0.96491228070175439</v>
      </c>
      <c r="S576" s="29">
        <f t="shared" si="61"/>
        <v>96.491228070175438</v>
      </c>
      <c r="T576" s="5" t="str">
        <f>IF(Delivery_Data3[[#This Row],[Delays (min)]]&gt;0,"No","Yes")</f>
        <v>No</v>
      </c>
      <c r="W576" s="41">
        <f t="shared" si="62"/>
        <v>45172</v>
      </c>
      <c r="X576" s="5">
        <v>165</v>
      </c>
    </row>
    <row r="577" spans="1:24" ht="15.75" customHeight="1" x14ac:dyDescent="0.3">
      <c r="A577" s="4">
        <v>1576</v>
      </c>
      <c r="B577" s="5" t="s">
        <v>704</v>
      </c>
      <c r="C577" s="6">
        <v>45171.63958333333</v>
      </c>
      <c r="D577" s="5" t="s">
        <v>43</v>
      </c>
      <c r="E577" s="5" t="s">
        <v>68</v>
      </c>
      <c r="F577" s="5" t="s">
        <v>38</v>
      </c>
      <c r="G577" s="5" t="s">
        <v>17</v>
      </c>
      <c r="H577" s="5">
        <v>230</v>
      </c>
      <c r="I577" s="5">
        <v>25</v>
      </c>
      <c r="J577" s="5" t="s">
        <v>26</v>
      </c>
      <c r="K577" s="5" t="s">
        <v>45</v>
      </c>
      <c r="L577" s="5" t="s">
        <v>20</v>
      </c>
      <c r="M577" s="7" t="s">
        <v>21</v>
      </c>
      <c r="N577" s="26">
        <f t="shared" si="56"/>
        <v>1</v>
      </c>
      <c r="O577" s="42">
        <f t="shared" si="57"/>
        <v>45171</v>
      </c>
      <c r="P577" s="5" t="str">
        <f t="shared" si="58"/>
        <v>Saturday</v>
      </c>
      <c r="Q577" s="5">
        <f t="shared" si="59"/>
        <v>15</v>
      </c>
      <c r="R577" s="28">
        <f t="shared" si="60"/>
        <v>0.90196078431372551</v>
      </c>
      <c r="S577" s="29">
        <f t="shared" si="61"/>
        <v>90.196078431372555</v>
      </c>
      <c r="T577" s="5" t="str">
        <f>IF(Delivery_Data3[[#This Row],[Delays (min)]]&gt;0,"No","Yes")</f>
        <v>No</v>
      </c>
      <c r="W577" s="41">
        <f t="shared" si="62"/>
        <v>45171</v>
      </c>
      <c r="X577" s="5">
        <v>230</v>
      </c>
    </row>
    <row r="578" spans="1:24" ht="15.75" customHeight="1" x14ac:dyDescent="0.3">
      <c r="A578" s="4">
        <v>1577</v>
      </c>
      <c r="B578" s="5" t="s">
        <v>705</v>
      </c>
      <c r="C578" s="6">
        <v>45174.627083333333</v>
      </c>
      <c r="D578" s="5" t="s">
        <v>14</v>
      </c>
      <c r="E578" s="5" t="s">
        <v>53</v>
      </c>
      <c r="F578" s="5" t="s">
        <v>38</v>
      </c>
      <c r="G578" s="5" t="s">
        <v>56</v>
      </c>
      <c r="H578" s="5">
        <v>146</v>
      </c>
      <c r="I578" s="5">
        <v>28</v>
      </c>
      <c r="J578" s="5" t="s">
        <v>18</v>
      </c>
      <c r="K578" s="5" t="s">
        <v>35</v>
      </c>
      <c r="L578" s="5" t="s">
        <v>40</v>
      </c>
      <c r="M578" s="7" t="s">
        <v>46</v>
      </c>
      <c r="N578" s="26">
        <f t="shared" ref="N578:N641" si="63">IF(J578="Positive",1,IF(J578="Neutral",0,IF(J578="Negative",-1,"")))</f>
        <v>0</v>
      </c>
      <c r="O578" s="42">
        <f t="shared" ref="O578:O641" si="64">INT(C578)</f>
        <v>45174</v>
      </c>
      <c r="P578" s="5" t="str">
        <f t="shared" ref="P578:P641" si="65">TEXT(C578,"dddd")</f>
        <v>Tuesday</v>
      </c>
      <c r="Q578" s="5">
        <f t="shared" ref="Q578:Q641" si="66">HOUR(C578)</f>
        <v>15</v>
      </c>
      <c r="R578" s="28">
        <f t="shared" ref="R578:R641" si="67">H578/(H578+I578)</f>
        <v>0.83908045977011492</v>
      </c>
      <c r="S578" s="29">
        <f t="shared" si="61"/>
        <v>83.908045977011497</v>
      </c>
      <c r="T578" s="5" t="str">
        <f>IF(Delivery_Data3[[#This Row],[Delays (min)]]&gt;0,"No","Yes")</f>
        <v>No</v>
      </c>
      <c r="W578" s="41">
        <f t="shared" si="62"/>
        <v>45174</v>
      </c>
      <c r="X578" s="5">
        <v>146</v>
      </c>
    </row>
    <row r="579" spans="1:24" ht="15.75" customHeight="1" x14ac:dyDescent="0.3">
      <c r="A579" s="4">
        <v>1578</v>
      </c>
      <c r="B579" s="5" t="s">
        <v>706</v>
      </c>
      <c r="C579" s="6">
        <v>45172.553472222222</v>
      </c>
      <c r="D579" s="5" t="s">
        <v>14</v>
      </c>
      <c r="E579" s="5" t="s">
        <v>62</v>
      </c>
      <c r="F579" s="5" t="s">
        <v>24</v>
      </c>
      <c r="G579" s="5" t="s">
        <v>31</v>
      </c>
      <c r="H579" s="5">
        <v>77</v>
      </c>
      <c r="I579" s="5">
        <v>21</v>
      </c>
      <c r="J579" s="5" t="s">
        <v>26</v>
      </c>
      <c r="K579" s="5" t="s">
        <v>35</v>
      </c>
      <c r="L579" s="5" t="s">
        <v>40</v>
      </c>
      <c r="M579" s="7" t="s">
        <v>46</v>
      </c>
      <c r="N579" s="26">
        <f t="shared" si="63"/>
        <v>1</v>
      </c>
      <c r="O579" s="42">
        <f t="shared" si="64"/>
        <v>45172</v>
      </c>
      <c r="P579" s="5" t="str">
        <f t="shared" si="65"/>
        <v>Sunday</v>
      </c>
      <c r="Q579" s="5">
        <f t="shared" si="66"/>
        <v>13</v>
      </c>
      <c r="R579" s="28">
        <f t="shared" si="67"/>
        <v>0.7857142857142857</v>
      </c>
      <c r="S579" s="29">
        <f t="shared" ref="S579:S642" si="68">IF(H579+I579=0,0,(H579/(H579+I579))*100) + (IFERROR(--J579,0)*10)</f>
        <v>78.571428571428569</v>
      </c>
      <c r="T579" s="5" t="str">
        <f>IF(Delivery_Data3[[#This Row],[Delays (min)]]&gt;0,"No","Yes")</f>
        <v>No</v>
      </c>
      <c r="W579" s="41">
        <f t="shared" ref="W579:W642" si="69">INT(C579)</f>
        <v>45172</v>
      </c>
      <c r="X579" s="5">
        <v>77</v>
      </c>
    </row>
    <row r="580" spans="1:24" ht="15.75" customHeight="1" x14ac:dyDescent="0.3">
      <c r="A580" s="4">
        <v>1579</v>
      </c>
      <c r="B580" s="5" t="s">
        <v>707</v>
      </c>
      <c r="C580" s="6">
        <v>45175.411111111112</v>
      </c>
      <c r="D580" s="5" t="s">
        <v>14</v>
      </c>
      <c r="E580" s="5" t="s">
        <v>64</v>
      </c>
      <c r="F580" s="5" t="s">
        <v>24</v>
      </c>
      <c r="G580" s="5" t="s">
        <v>25</v>
      </c>
      <c r="H580" s="5">
        <v>138</v>
      </c>
      <c r="I580" s="5">
        <v>0</v>
      </c>
      <c r="J580" s="5" t="s">
        <v>32</v>
      </c>
      <c r="K580" s="5" t="s">
        <v>19</v>
      </c>
      <c r="L580" s="5" t="s">
        <v>40</v>
      </c>
      <c r="M580" s="7" t="s">
        <v>41</v>
      </c>
      <c r="N580" s="26">
        <f t="shared" si="63"/>
        <v>-1</v>
      </c>
      <c r="O580" s="42">
        <f t="shared" si="64"/>
        <v>45175</v>
      </c>
      <c r="P580" s="5" t="str">
        <f t="shared" si="65"/>
        <v>Wednesday</v>
      </c>
      <c r="Q580" s="5">
        <f t="shared" si="66"/>
        <v>9</v>
      </c>
      <c r="R580" s="28">
        <f t="shared" si="67"/>
        <v>1</v>
      </c>
      <c r="S580" s="29">
        <f t="shared" si="68"/>
        <v>100</v>
      </c>
      <c r="T580" s="5" t="str">
        <f>IF(Delivery_Data3[[#This Row],[Delays (min)]]&gt;0,"No","Yes")</f>
        <v>Yes</v>
      </c>
      <c r="W580" s="41">
        <f t="shared" si="69"/>
        <v>45175</v>
      </c>
      <c r="X580" s="5">
        <v>138</v>
      </c>
    </row>
    <row r="581" spans="1:24" ht="15.75" customHeight="1" x14ac:dyDescent="0.3">
      <c r="A581" s="4">
        <v>1580</v>
      </c>
      <c r="B581" s="5" t="s">
        <v>708</v>
      </c>
      <c r="C581" s="6">
        <v>45177.515972222223</v>
      </c>
      <c r="D581" s="5" t="s">
        <v>43</v>
      </c>
      <c r="E581" s="5" t="s">
        <v>220</v>
      </c>
      <c r="F581" s="5" t="s">
        <v>24</v>
      </c>
      <c r="G581" s="5" t="s">
        <v>25</v>
      </c>
      <c r="H581" s="5">
        <v>61</v>
      </c>
      <c r="I581" s="5">
        <v>6</v>
      </c>
      <c r="J581" s="5" t="s">
        <v>26</v>
      </c>
      <c r="K581" s="5" t="s">
        <v>19</v>
      </c>
      <c r="L581" s="5" t="s">
        <v>20</v>
      </c>
      <c r="M581" s="7" t="s">
        <v>41</v>
      </c>
      <c r="N581" s="26">
        <f t="shared" si="63"/>
        <v>1</v>
      </c>
      <c r="O581" s="42">
        <f t="shared" si="64"/>
        <v>45177</v>
      </c>
      <c r="P581" s="5" t="str">
        <f t="shared" si="65"/>
        <v>Friday</v>
      </c>
      <c r="Q581" s="5">
        <f t="shared" si="66"/>
        <v>12</v>
      </c>
      <c r="R581" s="28">
        <f t="shared" si="67"/>
        <v>0.91044776119402981</v>
      </c>
      <c r="S581" s="29">
        <f t="shared" si="68"/>
        <v>91.044776119402982</v>
      </c>
      <c r="T581" s="5" t="str">
        <f>IF(Delivery_Data3[[#This Row],[Delays (min)]]&gt;0,"No","Yes")</f>
        <v>No</v>
      </c>
      <c r="W581" s="41">
        <f t="shared" si="69"/>
        <v>45177</v>
      </c>
      <c r="X581" s="5">
        <v>61</v>
      </c>
    </row>
    <row r="582" spans="1:24" ht="15.75" customHeight="1" x14ac:dyDescent="0.3">
      <c r="A582" s="4">
        <v>1581</v>
      </c>
      <c r="B582" s="5" t="s">
        <v>709</v>
      </c>
      <c r="C582" s="6">
        <v>45176.347222222219</v>
      </c>
      <c r="D582" s="5" t="s">
        <v>14</v>
      </c>
      <c r="E582" s="5" t="s">
        <v>288</v>
      </c>
      <c r="F582" s="5" t="s">
        <v>38</v>
      </c>
      <c r="G582" s="5" t="s">
        <v>31</v>
      </c>
      <c r="H582" s="5">
        <v>76</v>
      </c>
      <c r="I582" s="5">
        <v>10</v>
      </c>
      <c r="J582" s="5" t="s">
        <v>26</v>
      </c>
      <c r="K582" s="5" t="s">
        <v>35</v>
      </c>
      <c r="L582" s="5" t="s">
        <v>20</v>
      </c>
      <c r="M582" s="7" t="s">
        <v>21</v>
      </c>
      <c r="N582" s="26">
        <f t="shared" si="63"/>
        <v>1</v>
      </c>
      <c r="O582" s="42">
        <f t="shared" si="64"/>
        <v>45176</v>
      </c>
      <c r="P582" s="5" t="str">
        <f t="shared" si="65"/>
        <v>Thursday</v>
      </c>
      <c r="Q582" s="5">
        <f t="shared" si="66"/>
        <v>8</v>
      </c>
      <c r="R582" s="28">
        <f t="shared" si="67"/>
        <v>0.88372093023255816</v>
      </c>
      <c r="S582" s="29">
        <f t="shared" si="68"/>
        <v>88.372093023255815</v>
      </c>
      <c r="T582" s="5" t="str">
        <f>IF(Delivery_Data3[[#This Row],[Delays (min)]]&gt;0,"No","Yes")</f>
        <v>No</v>
      </c>
      <c r="W582" s="41">
        <f t="shared" si="69"/>
        <v>45176</v>
      </c>
      <c r="X582" s="5">
        <v>76</v>
      </c>
    </row>
    <row r="583" spans="1:24" ht="15.75" customHeight="1" x14ac:dyDescent="0.3">
      <c r="A583" s="4">
        <v>1582</v>
      </c>
      <c r="B583" s="5" t="s">
        <v>710</v>
      </c>
      <c r="C583" s="6">
        <v>45170.672222222223</v>
      </c>
      <c r="D583" s="5" t="s">
        <v>14</v>
      </c>
      <c r="E583" s="5" t="s">
        <v>179</v>
      </c>
      <c r="F583" s="5" t="s">
        <v>38</v>
      </c>
      <c r="G583" s="5" t="s">
        <v>25</v>
      </c>
      <c r="H583" s="5">
        <v>217</v>
      </c>
      <c r="I583" s="5">
        <v>12</v>
      </c>
      <c r="J583" s="5" t="s">
        <v>18</v>
      </c>
      <c r="K583" s="5" t="s">
        <v>19</v>
      </c>
      <c r="L583" s="5" t="s">
        <v>20</v>
      </c>
      <c r="M583" s="7" t="s">
        <v>21</v>
      </c>
      <c r="N583" s="26">
        <f t="shared" si="63"/>
        <v>0</v>
      </c>
      <c r="O583" s="42">
        <f t="shared" si="64"/>
        <v>45170</v>
      </c>
      <c r="P583" s="5" t="str">
        <f t="shared" si="65"/>
        <v>Friday</v>
      </c>
      <c r="Q583" s="5">
        <f t="shared" si="66"/>
        <v>16</v>
      </c>
      <c r="R583" s="28">
        <f t="shared" si="67"/>
        <v>0.94759825327510916</v>
      </c>
      <c r="S583" s="29">
        <f t="shared" si="68"/>
        <v>94.75982532751091</v>
      </c>
      <c r="T583" s="5" t="str">
        <f>IF(Delivery_Data3[[#This Row],[Delays (min)]]&gt;0,"No","Yes")</f>
        <v>No</v>
      </c>
      <c r="W583" s="41">
        <f t="shared" si="69"/>
        <v>45170</v>
      </c>
      <c r="X583" s="5">
        <v>217</v>
      </c>
    </row>
    <row r="584" spans="1:24" ht="15.75" customHeight="1" x14ac:dyDescent="0.3">
      <c r="A584" s="4">
        <v>1583</v>
      </c>
      <c r="B584" s="5" t="s">
        <v>711</v>
      </c>
      <c r="C584" s="6">
        <v>45175.422222222223</v>
      </c>
      <c r="D584" s="5" t="s">
        <v>14</v>
      </c>
      <c r="E584" s="5" t="s">
        <v>15</v>
      </c>
      <c r="F584" s="5" t="s">
        <v>16</v>
      </c>
      <c r="G584" s="5" t="s">
        <v>17</v>
      </c>
      <c r="H584" s="5">
        <v>168</v>
      </c>
      <c r="I584" s="5">
        <v>23</v>
      </c>
      <c r="J584" s="5" t="s">
        <v>18</v>
      </c>
      <c r="K584" s="5" t="s">
        <v>35</v>
      </c>
      <c r="L584" s="5" t="s">
        <v>20</v>
      </c>
      <c r="M584" s="7" t="s">
        <v>46</v>
      </c>
      <c r="N584" s="26">
        <f t="shared" si="63"/>
        <v>0</v>
      </c>
      <c r="O584" s="42">
        <f t="shared" si="64"/>
        <v>45175</v>
      </c>
      <c r="P584" s="5" t="str">
        <f t="shared" si="65"/>
        <v>Wednesday</v>
      </c>
      <c r="Q584" s="5">
        <f t="shared" si="66"/>
        <v>10</v>
      </c>
      <c r="R584" s="28">
        <f t="shared" si="67"/>
        <v>0.87958115183246077</v>
      </c>
      <c r="S584" s="29">
        <f t="shared" si="68"/>
        <v>87.958115183246079</v>
      </c>
      <c r="T584" s="5" t="str">
        <f>IF(Delivery_Data3[[#This Row],[Delays (min)]]&gt;0,"No","Yes")</f>
        <v>No</v>
      </c>
      <c r="W584" s="41">
        <f t="shared" si="69"/>
        <v>45175</v>
      </c>
      <c r="X584" s="5">
        <v>168</v>
      </c>
    </row>
    <row r="585" spans="1:24" ht="15.75" customHeight="1" x14ac:dyDescent="0.3">
      <c r="A585" s="4">
        <v>1584</v>
      </c>
      <c r="B585" s="5" t="s">
        <v>712</v>
      </c>
      <c r="C585" s="6">
        <v>45170.661805555559</v>
      </c>
      <c r="D585" s="5" t="s">
        <v>43</v>
      </c>
      <c r="E585" s="5" t="s">
        <v>215</v>
      </c>
      <c r="F585" s="5" t="s">
        <v>38</v>
      </c>
      <c r="G585" s="5" t="s">
        <v>56</v>
      </c>
      <c r="H585" s="5">
        <v>239</v>
      </c>
      <c r="I585" s="5">
        <v>22</v>
      </c>
      <c r="J585" s="5" t="s">
        <v>26</v>
      </c>
      <c r="K585" s="5" t="s">
        <v>19</v>
      </c>
      <c r="L585" s="5" t="s">
        <v>40</v>
      </c>
      <c r="M585" s="7" t="s">
        <v>46</v>
      </c>
      <c r="N585" s="26">
        <f t="shared" si="63"/>
        <v>1</v>
      </c>
      <c r="O585" s="42">
        <f t="shared" si="64"/>
        <v>45170</v>
      </c>
      <c r="P585" s="5" t="str">
        <f t="shared" si="65"/>
        <v>Friday</v>
      </c>
      <c r="Q585" s="5">
        <f t="shared" si="66"/>
        <v>15</v>
      </c>
      <c r="R585" s="28">
        <f t="shared" si="67"/>
        <v>0.91570881226053635</v>
      </c>
      <c r="S585" s="29">
        <f t="shared" si="68"/>
        <v>91.570881226053629</v>
      </c>
      <c r="T585" s="5" t="str">
        <f>IF(Delivery_Data3[[#This Row],[Delays (min)]]&gt;0,"No","Yes")</f>
        <v>No</v>
      </c>
      <c r="W585" s="41">
        <f t="shared" si="69"/>
        <v>45170</v>
      </c>
      <c r="X585" s="5">
        <v>239</v>
      </c>
    </row>
    <row r="586" spans="1:24" ht="15.75" customHeight="1" x14ac:dyDescent="0.3">
      <c r="A586" s="4">
        <v>1585</v>
      </c>
      <c r="B586" s="5" t="s">
        <v>713</v>
      </c>
      <c r="C586" s="6">
        <v>45170.365277777775</v>
      </c>
      <c r="D586" s="5" t="s">
        <v>43</v>
      </c>
      <c r="E586" s="5" t="s">
        <v>164</v>
      </c>
      <c r="F586" s="5" t="s">
        <v>16</v>
      </c>
      <c r="G586" s="5" t="s">
        <v>31</v>
      </c>
      <c r="H586" s="5">
        <v>66</v>
      </c>
      <c r="I586" s="5">
        <v>21</v>
      </c>
      <c r="J586" s="5" t="s">
        <v>18</v>
      </c>
      <c r="K586" s="5" t="s">
        <v>19</v>
      </c>
      <c r="L586" s="5" t="s">
        <v>20</v>
      </c>
      <c r="M586" s="7" t="s">
        <v>21</v>
      </c>
      <c r="N586" s="26">
        <f t="shared" si="63"/>
        <v>0</v>
      </c>
      <c r="O586" s="42">
        <f t="shared" si="64"/>
        <v>45170</v>
      </c>
      <c r="P586" s="5" t="str">
        <f t="shared" si="65"/>
        <v>Friday</v>
      </c>
      <c r="Q586" s="5">
        <f t="shared" si="66"/>
        <v>8</v>
      </c>
      <c r="R586" s="28">
        <f t="shared" si="67"/>
        <v>0.75862068965517238</v>
      </c>
      <c r="S586" s="29">
        <f t="shared" si="68"/>
        <v>75.862068965517238</v>
      </c>
      <c r="T586" s="5" t="str">
        <f>IF(Delivery_Data3[[#This Row],[Delays (min)]]&gt;0,"No","Yes")</f>
        <v>No</v>
      </c>
      <c r="W586" s="41">
        <f t="shared" si="69"/>
        <v>45170</v>
      </c>
      <c r="X586" s="5">
        <v>66</v>
      </c>
    </row>
    <row r="587" spans="1:24" ht="15.75" customHeight="1" x14ac:dyDescent="0.3">
      <c r="A587" s="4">
        <v>1586</v>
      </c>
      <c r="B587" s="5" t="s">
        <v>714</v>
      </c>
      <c r="C587" s="6">
        <v>45176.402777777781</v>
      </c>
      <c r="D587" s="5" t="s">
        <v>14</v>
      </c>
      <c r="E587" s="5" t="s">
        <v>154</v>
      </c>
      <c r="F587" s="5" t="s">
        <v>16</v>
      </c>
      <c r="G587" s="5" t="s">
        <v>31</v>
      </c>
      <c r="H587" s="5">
        <v>173</v>
      </c>
      <c r="I587" s="5">
        <v>12</v>
      </c>
      <c r="J587" s="5" t="s">
        <v>18</v>
      </c>
      <c r="K587" s="5" t="s">
        <v>27</v>
      </c>
      <c r="L587" s="5" t="s">
        <v>40</v>
      </c>
      <c r="M587" s="7" t="s">
        <v>46</v>
      </c>
      <c r="N587" s="26">
        <f t="shared" si="63"/>
        <v>0</v>
      </c>
      <c r="O587" s="42">
        <f t="shared" si="64"/>
        <v>45176</v>
      </c>
      <c r="P587" s="5" t="str">
        <f t="shared" si="65"/>
        <v>Thursday</v>
      </c>
      <c r="Q587" s="5">
        <f t="shared" si="66"/>
        <v>9</v>
      </c>
      <c r="R587" s="28">
        <f t="shared" si="67"/>
        <v>0.93513513513513513</v>
      </c>
      <c r="S587" s="29">
        <f t="shared" si="68"/>
        <v>93.513513513513516</v>
      </c>
      <c r="T587" s="5" t="str">
        <f>IF(Delivery_Data3[[#This Row],[Delays (min)]]&gt;0,"No","Yes")</f>
        <v>No</v>
      </c>
      <c r="W587" s="41">
        <f t="shared" si="69"/>
        <v>45176</v>
      </c>
      <c r="X587" s="5">
        <v>173</v>
      </c>
    </row>
    <row r="588" spans="1:24" ht="15.75" customHeight="1" x14ac:dyDescent="0.3">
      <c r="A588" s="4">
        <v>1587</v>
      </c>
      <c r="B588" s="5" t="s">
        <v>715</v>
      </c>
      <c r="C588" s="6">
        <v>45175.499305555553</v>
      </c>
      <c r="D588" s="5" t="s">
        <v>43</v>
      </c>
      <c r="E588" s="5" t="s">
        <v>204</v>
      </c>
      <c r="F588" s="5" t="s">
        <v>16</v>
      </c>
      <c r="G588" s="5" t="s">
        <v>25</v>
      </c>
      <c r="H588" s="5">
        <v>178</v>
      </c>
      <c r="I588" s="5">
        <v>5</v>
      </c>
      <c r="J588" s="5" t="s">
        <v>32</v>
      </c>
      <c r="K588" s="5" t="s">
        <v>45</v>
      </c>
      <c r="L588" s="5" t="s">
        <v>40</v>
      </c>
      <c r="M588" s="7" t="s">
        <v>41</v>
      </c>
      <c r="N588" s="26">
        <f t="shared" si="63"/>
        <v>-1</v>
      </c>
      <c r="O588" s="42">
        <f t="shared" si="64"/>
        <v>45175</v>
      </c>
      <c r="P588" s="5" t="str">
        <f t="shared" si="65"/>
        <v>Wednesday</v>
      </c>
      <c r="Q588" s="5">
        <f t="shared" si="66"/>
        <v>11</v>
      </c>
      <c r="R588" s="28">
        <f t="shared" si="67"/>
        <v>0.97267759562841527</v>
      </c>
      <c r="S588" s="29">
        <f t="shared" si="68"/>
        <v>97.267759562841533</v>
      </c>
      <c r="T588" s="5" t="str">
        <f>IF(Delivery_Data3[[#This Row],[Delays (min)]]&gt;0,"No","Yes")</f>
        <v>No</v>
      </c>
      <c r="W588" s="41">
        <f t="shared" si="69"/>
        <v>45175</v>
      </c>
      <c r="X588" s="5">
        <v>178</v>
      </c>
    </row>
    <row r="589" spans="1:24" ht="15.75" customHeight="1" x14ac:dyDescent="0.3">
      <c r="A589" s="4">
        <v>1588</v>
      </c>
      <c r="B589" s="5" t="s">
        <v>716</v>
      </c>
      <c r="C589" s="6">
        <v>45170.595138888886</v>
      </c>
      <c r="D589" s="5" t="s">
        <v>14</v>
      </c>
      <c r="E589" s="5" t="s">
        <v>58</v>
      </c>
      <c r="F589" s="5" t="s">
        <v>24</v>
      </c>
      <c r="G589" s="5" t="s">
        <v>39</v>
      </c>
      <c r="H589" s="5">
        <v>236</v>
      </c>
      <c r="I589" s="5">
        <v>9</v>
      </c>
      <c r="J589" s="5" t="s">
        <v>32</v>
      </c>
      <c r="K589" s="5" t="s">
        <v>19</v>
      </c>
      <c r="L589" s="5" t="s">
        <v>20</v>
      </c>
      <c r="M589" s="7" t="s">
        <v>46</v>
      </c>
      <c r="N589" s="26">
        <f t="shared" si="63"/>
        <v>-1</v>
      </c>
      <c r="O589" s="42">
        <f t="shared" si="64"/>
        <v>45170</v>
      </c>
      <c r="P589" s="5" t="str">
        <f t="shared" si="65"/>
        <v>Friday</v>
      </c>
      <c r="Q589" s="5">
        <f t="shared" si="66"/>
        <v>14</v>
      </c>
      <c r="R589" s="28">
        <f t="shared" si="67"/>
        <v>0.96326530612244898</v>
      </c>
      <c r="S589" s="29">
        <f t="shared" si="68"/>
        <v>96.326530612244895</v>
      </c>
      <c r="T589" s="5" t="str">
        <f>IF(Delivery_Data3[[#This Row],[Delays (min)]]&gt;0,"No","Yes")</f>
        <v>No</v>
      </c>
      <c r="W589" s="41">
        <f t="shared" si="69"/>
        <v>45170</v>
      </c>
      <c r="X589" s="5">
        <v>236</v>
      </c>
    </row>
    <row r="590" spans="1:24" ht="15.75" customHeight="1" x14ac:dyDescent="0.3">
      <c r="A590" s="4">
        <v>1589</v>
      </c>
      <c r="B590" s="5" t="s">
        <v>717</v>
      </c>
      <c r="C590" s="6">
        <v>45173.631944444445</v>
      </c>
      <c r="D590" s="5" t="s">
        <v>14</v>
      </c>
      <c r="E590" s="5" t="s">
        <v>58</v>
      </c>
      <c r="F590" s="5" t="s">
        <v>24</v>
      </c>
      <c r="G590" s="5" t="s">
        <v>31</v>
      </c>
      <c r="H590" s="5">
        <v>149</v>
      </c>
      <c r="I590" s="5">
        <v>5</v>
      </c>
      <c r="J590" s="5" t="s">
        <v>26</v>
      </c>
      <c r="K590" s="5" t="s">
        <v>19</v>
      </c>
      <c r="L590" s="5" t="s">
        <v>20</v>
      </c>
      <c r="M590" s="7" t="s">
        <v>46</v>
      </c>
      <c r="N590" s="26">
        <f t="shared" si="63"/>
        <v>1</v>
      </c>
      <c r="O590" s="42">
        <f t="shared" si="64"/>
        <v>45173</v>
      </c>
      <c r="P590" s="5" t="str">
        <f t="shared" si="65"/>
        <v>Monday</v>
      </c>
      <c r="Q590" s="5">
        <f t="shared" si="66"/>
        <v>15</v>
      </c>
      <c r="R590" s="28">
        <f t="shared" si="67"/>
        <v>0.96753246753246758</v>
      </c>
      <c r="S590" s="29">
        <f t="shared" si="68"/>
        <v>96.753246753246756</v>
      </c>
      <c r="T590" s="5" t="str">
        <f>IF(Delivery_Data3[[#This Row],[Delays (min)]]&gt;0,"No","Yes")</f>
        <v>No</v>
      </c>
      <c r="W590" s="41">
        <f t="shared" si="69"/>
        <v>45173</v>
      </c>
      <c r="X590" s="5">
        <v>149</v>
      </c>
    </row>
    <row r="591" spans="1:24" ht="15.75" customHeight="1" x14ac:dyDescent="0.3">
      <c r="A591" s="4">
        <v>1590</v>
      </c>
      <c r="B591" s="5" t="s">
        <v>718</v>
      </c>
      <c r="C591" s="6">
        <v>45177.428472222222</v>
      </c>
      <c r="D591" s="5" t="s">
        <v>43</v>
      </c>
      <c r="E591" s="5" t="s">
        <v>68</v>
      </c>
      <c r="F591" s="5" t="s">
        <v>16</v>
      </c>
      <c r="G591" s="5" t="s">
        <v>39</v>
      </c>
      <c r="H591" s="5">
        <v>187</v>
      </c>
      <c r="I591" s="5">
        <v>14</v>
      </c>
      <c r="J591" s="5" t="s">
        <v>32</v>
      </c>
      <c r="K591" s="5" t="s">
        <v>45</v>
      </c>
      <c r="L591" s="5" t="s">
        <v>28</v>
      </c>
      <c r="M591" s="7" t="s">
        <v>41</v>
      </c>
      <c r="N591" s="26">
        <f t="shared" si="63"/>
        <v>-1</v>
      </c>
      <c r="O591" s="42">
        <f t="shared" si="64"/>
        <v>45177</v>
      </c>
      <c r="P591" s="5" t="str">
        <f t="shared" si="65"/>
        <v>Friday</v>
      </c>
      <c r="Q591" s="5">
        <f t="shared" si="66"/>
        <v>10</v>
      </c>
      <c r="R591" s="28">
        <f t="shared" si="67"/>
        <v>0.93034825870646765</v>
      </c>
      <c r="S591" s="29">
        <f t="shared" si="68"/>
        <v>93.03482587064677</v>
      </c>
      <c r="T591" s="5" t="str">
        <f>IF(Delivery_Data3[[#This Row],[Delays (min)]]&gt;0,"No","Yes")</f>
        <v>No</v>
      </c>
      <c r="W591" s="41">
        <f t="shared" si="69"/>
        <v>45177</v>
      </c>
      <c r="X591" s="5">
        <v>187</v>
      </c>
    </row>
    <row r="592" spans="1:24" ht="15.75" customHeight="1" x14ac:dyDescent="0.3">
      <c r="A592" s="4">
        <v>1591</v>
      </c>
      <c r="B592" s="5" t="s">
        <v>719</v>
      </c>
      <c r="C592" s="6">
        <v>45172.438888888886</v>
      </c>
      <c r="D592" s="5" t="s">
        <v>43</v>
      </c>
      <c r="E592" s="5" t="s">
        <v>68</v>
      </c>
      <c r="F592" s="5" t="s">
        <v>38</v>
      </c>
      <c r="G592" s="5" t="s">
        <v>31</v>
      </c>
      <c r="H592" s="5">
        <v>237</v>
      </c>
      <c r="I592" s="5">
        <v>8</v>
      </c>
      <c r="J592" s="5" t="s">
        <v>18</v>
      </c>
      <c r="K592" s="5" t="s">
        <v>49</v>
      </c>
      <c r="L592" s="5" t="s">
        <v>20</v>
      </c>
      <c r="M592" s="7" t="s">
        <v>21</v>
      </c>
      <c r="N592" s="26">
        <f t="shared" si="63"/>
        <v>0</v>
      </c>
      <c r="O592" s="42">
        <f t="shared" si="64"/>
        <v>45172</v>
      </c>
      <c r="P592" s="5" t="str">
        <f t="shared" si="65"/>
        <v>Sunday</v>
      </c>
      <c r="Q592" s="5">
        <f t="shared" si="66"/>
        <v>10</v>
      </c>
      <c r="R592" s="28">
        <f t="shared" si="67"/>
        <v>0.96734693877551026</v>
      </c>
      <c r="S592" s="29">
        <f t="shared" si="68"/>
        <v>96.734693877551024</v>
      </c>
      <c r="T592" s="5" t="str">
        <f>IF(Delivery_Data3[[#This Row],[Delays (min)]]&gt;0,"No","Yes")</f>
        <v>No</v>
      </c>
      <c r="W592" s="41">
        <f t="shared" si="69"/>
        <v>45172</v>
      </c>
      <c r="X592" s="5">
        <v>237</v>
      </c>
    </row>
    <row r="593" spans="1:24" ht="15.75" customHeight="1" x14ac:dyDescent="0.3">
      <c r="A593" s="4">
        <v>1592</v>
      </c>
      <c r="B593" s="5" t="s">
        <v>720</v>
      </c>
      <c r="C593" s="6">
        <v>45175.693749999999</v>
      </c>
      <c r="D593" s="5" t="s">
        <v>43</v>
      </c>
      <c r="E593" s="5" t="s">
        <v>171</v>
      </c>
      <c r="F593" s="5" t="s">
        <v>38</v>
      </c>
      <c r="G593" s="5" t="s">
        <v>25</v>
      </c>
      <c r="H593" s="5">
        <v>159</v>
      </c>
      <c r="I593" s="5">
        <v>14</v>
      </c>
      <c r="J593" s="5" t="s">
        <v>18</v>
      </c>
      <c r="K593" s="5" t="s">
        <v>27</v>
      </c>
      <c r="L593" s="5" t="s">
        <v>28</v>
      </c>
      <c r="M593" s="7" t="s">
        <v>41</v>
      </c>
      <c r="N593" s="26">
        <f t="shared" si="63"/>
        <v>0</v>
      </c>
      <c r="O593" s="42">
        <f t="shared" si="64"/>
        <v>45175</v>
      </c>
      <c r="P593" s="5" t="str">
        <f t="shared" si="65"/>
        <v>Wednesday</v>
      </c>
      <c r="Q593" s="5">
        <f t="shared" si="66"/>
        <v>16</v>
      </c>
      <c r="R593" s="28">
        <f t="shared" si="67"/>
        <v>0.91907514450867056</v>
      </c>
      <c r="S593" s="29">
        <f t="shared" si="68"/>
        <v>91.907514450867055</v>
      </c>
      <c r="T593" s="5" t="str">
        <f>IF(Delivery_Data3[[#This Row],[Delays (min)]]&gt;0,"No","Yes")</f>
        <v>No</v>
      </c>
      <c r="W593" s="41">
        <f t="shared" si="69"/>
        <v>45175</v>
      </c>
      <c r="X593" s="5">
        <v>159</v>
      </c>
    </row>
    <row r="594" spans="1:24" ht="15.75" customHeight="1" x14ac:dyDescent="0.3">
      <c r="A594" s="4">
        <v>1593</v>
      </c>
      <c r="B594" s="5" t="s">
        <v>721</v>
      </c>
      <c r="C594" s="6">
        <v>45170.5</v>
      </c>
      <c r="D594" s="5" t="s">
        <v>43</v>
      </c>
      <c r="E594" s="5" t="s">
        <v>48</v>
      </c>
      <c r="F594" s="5" t="s">
        <v>16</v>
      </c>
      <c r="G594" s="5" t="s">
        <v>31</v>
      </c>
      <c r="H594" s="5">
        <v>187</v>
      </c>
      <c r="I594" s="5">
        <v>9</v>
      </c>
      <c r="J594" s="5" t="s">
        <v>26</v>
      </c>
      <c r="K594" s="5" t="s">
        <v>35</v>
      </c>
      <c r="L594" s="5" t="s">
        <v>40</v>
      </c>
      <c r="M594" s="7" t="s">
        <v>41</v>
      </c>
      <c r="N594" s="26">
        <f t="shared" si="63"/>
        <v>1</v>
      </c>
      <c r="O594" s="42">
        <f t="shared" si="64"/>
        <v>45170</v>
      </c>
      <c r="P594" s="5" t="str">
        <f t="shared" si="65"/>
        <v>Friday</v>
      </c>
      <c r="Q594" s="5">
        <f t="shared" si="66"/>
        <v>12</v>
      </c>
      <c r="R594" s="28">
        <f t="shared" si="67"/>
        <v>0.95408163265306123</v>
      </c>
      <c r="S594" s="29">
        <f t="shared" si="68"/>
        <v>95.408163265306129</v>
      </c>
      <c r="T594" s="5" t="str">
        <f>IF(Delivery_Data3[[#This Row],[Delays (min)]]&gt;0,"No","Yes")</f>
        <v>No</v>
      </c>
      <c r="W594" s="41">
        <f t="shared" si="69"/>
        <v>45170</v>
      </c>
      <c r="X594" s="5">
        <v>187</v>
      </c>
    </row>
    <row r="595" spans="1:24" ht="15.75" customHeight="1" x14ac:dyDescent="0.3">
      <c r="A595" s="4">
        <v>1594</v>
      </c>
      <c r="B595" s="5" t="s">
        <v>722</v>
      </c>
      <c r="C595" s="6">
        <v>45172.396527777775</v>
      </c>
      <c r="D595" s="5" t="s">
        <v>14</v>
      </c>
      <c r="E595" s="5" t="s">
        <v>243</v>
      </c>
      <c r="F595" s="5" t="s">
        <v>16</v>
      </c>
      <c r="G595" s="5" t="s">
        <v>25</v>
      </c>
      <c r="H595" s="5">
        <v>169</v>
      </c>
      <c r="I595" s="5">
        <v>20</v>
      </c>
      <c r="J595" s="5" t="s">
        <v>18</v>
      </c>
      <c r="K595" s="5" t="s">
        <v>35</v>
      </c>
      <c r="L595" s="5" t="s">
        <v>28</v>
      </c>
      <c r="M595" s="7" t="s">
        <v>41</v>
      </c>
      <c r="N595" s="26">
        <f t="shared" si="63"/>
        <v>0</v>
      </c>
      <c r="O595" s="42">
        <f t="shared" si="64"/>
        <v>45172</v>
      </c>
      <c r="P595" s="5" t="str">
        <f t="shared" si="65"/>
        <v>Sunday</v>
      </c>
      <c r="Q595" s="5">
        <f t="shared" si="66"/>
        <v>9</v>
      </c>
      <c r="R595" s="28">
        <f t="shared" si="67"/>
        <v>0.89417989417989419</v>
      </c>
      <c r="S595" s="29">
        <f t="shared" si="68"/>
        <v>89.417989417989418</v>
      </c>
      <c r="T595" s="5" t="str">
        <f>IF(Delivery_Data3[[#This Row],[Delays (min)]]&gt;0,"No","Yes")</f>
        <v>No</v>
      </c>
      <c r="W595" s="41">
        <f t="shared" si="69"/>
        <v>45172</v>
      </c>
      <c r="X595" s="5">
        <v>169</v>
      </c>
    </row>
    <row r="596" spans="1:24" ht="15.75" customHeight="1" x14ac:dyDescent="0.3">
      <c r="A596" s="4">
        <v>1595</v>
      </c>
      <c r="B596" s="5" t="s">
        <v>723</v>
      </c>
      <c r="C596" s="6">
        <v>45174.447222222225</v>
      </c>
      <c r="D596" s="5" t="s">
        <v>14</v>
      </c>
      <c r="E596" s="5" t="s">
        <v>193</v>
      </c>
      <c r="F596" s="5" t="s">
        <v>38</v>
      </c>
      <c r="G596" s="5" t="s">
        <v>31</v>
      </c>
      <c r="H596" s="5">
        <v>135</v>
      </c>
      <c r="I596" s="5">
        <v>27</v>
      </c>
      <c r="J596" s="5" t="s">
        <v>18</v>
      </c>
      <c r="K596" s="5" t="s">
        <v>45</v>
      </c>
      <c r="L596" s="5" t="s">
        <v>20</v>
      </c>
      <c r="M596" s="7" t="s">
        <v>21</v>
      </c>
      <c r="N596" s="26">
        <f t="shared" si="63"/>
        <v>0</v>
      </c>
      <c r="O596" s="42">
        <f t="shared" si="64"/>
        <v>45174</v>
      </c>
      <c r="P596" s="5" t="str">
        <f t="shared" si="65"/>
        <v>Tuesday</v>
      </c>
      <c r="Q596" s="5">
        <f t="shared" si="66"/>
        <v>10</v>
      </c>
      <c r="R596" s="28">
        <f t="shared" si="67"/>
        <v>0.83333333333333337</v>
      </c>
      <c r="S596" s="29">
        <f t="shared" si="68"/>
        <v>83.333333333333343</v>
      </c>
      <c r="T596" s="5" t="str">
        <f>IF(Delivery_Data3[[#This Row],[Delays (min)]]&gt;0,"No","Yes")</f>
        <v>No</v>
      </c>
      <c r="W596" s="41">
        <f t="shared" si="69"/>
        <v>45174</v>
      </c>
      <c r="X596" s="5">
        <v>135</v>
      </c>
    </row>
    <row r="597" spans="1:24" ht="15.75" customHeight="1" x14ac:dyDescent="0.3">
      <c r="A597" s="4">
        <v>1596</v>
      </c>
      <c r="B597" s="5" t="s">
        <v>724</v>
      </c>
      <c r="C597" s="6">
        <v>45171.635416666664</v>
      </c>
      <c r="D597" s="5" t="s">
        <v>43</v>
      </c>
      <c r="E597" s="5" t="s">
        <v>468</v>
      </c>
      <c r="F597" s="5" t="s">
        <v>38</v>
      </c>
      <c r="G597" s="5" t="s">
        <v>31</v>
      </c>
      <c r="H597" s="5">
        <v>198</v>
      </c>
      <c r="I597" s="5">
        <v>19</v>
      </c>
      <c r="J597" s="5" t="s">
        <v>26</v>
      </c>
      <c r="K597" s="5" t="s">
        <v>49</v>
      </c>
      <c r="L597" s="5" t="s">
        <v>20</v>
      </c>
      <c r="M597" s="7" t="s">
        <v>46</v>
      </c>
      <c r="N597" s="26">
        <f t="shared" si="63"/>
        <v>1</v>
      </c>
      <c r="O597" s="42">
        <f t="shared" si="64"/>
        <v>45171</v>
      </c>
      <c r="P597" s="5" t="str">
        <f t="shared" si="65"/>
        <v>Saturday</v>
      </c>
      <c r="Q597" s="5">
        <f t="shared" si="66"/>
        <v>15</v>
      </c>
      <c r="R597" s="28">
        <f t="shared" si="67"/>
        <v>0.9124423963133641</v>
      </c>
      <c r="S597" s="29">
        <f t="shared" si="68"/>
        <v>91.244239631336413</v>
      </c>
      <c r="T597" s="5" t="str">
        <f>IF(Delivery_Data3[[#This Row],[Delays (min)]]&gt;0,"No","Yes")</f>
        <v>No</v>
      </c>
      <c r="W597" s="41">
        <f t="shared" si="69"/>
        <v>45171</v>
      </c>
      <c r="X597" s="5">
        <v>198</v>
      </c>
    </row>
    <row r="598" spans="1:24" ht="15.75" customHeight="1" x14ac:dyDescent="0.3">
      <c r="A598" s="4">
        <v>1597</v>
      </c>
      <c r="B598" s="5" t="s">
        <v>536</v>
      </c>
      <c r="C598" s="6">
        <v>45171.43472222222</v>
      </c>
      <c r="D598" s="5" t="s">
        <v>43</v>
      </c>
      <c r="E598" s="5" t="s">
        <v>115</v>
      </c>
      <c r="F598" s="5" t="s">
        <v>24</v>
      </c>
      <c r="G598" s="5" t="s">
        <v>56</v>
      </c>
      <c r="H598" s="5">
        <v>186</v>
      </c>
      <c r="I598" s="5">
        <v>13</v>
      </c>
      <c r="J598" s="5" t="s">
        <v>26</v>
      </c>
      <c r="K598" s="5" t="s">
        <v>49</v>
      </c>
      <c r="L598" s="5" t="s">
        <v>28</v>
      </c>
      <c r="M598" s="7" t="s">
        <v>21</v>
      </c>
      <c r="N598" s="26">
        <f t="shared" si="63"/>
        <v>1</v>
      </c>
      <c r="O598" s="42">
        <f t="shared" si="64"/>
        <v>45171</v>
      </c>
      <c r="P598" s="5" t="str">
        <f t="shared" si="65"/>
        <v>Saturday</v>
      </c>
      <c r="Q598" s="5">
        <f t="shared" si="66"/>
        <v>10</v>
      </c>
      <c r="R598" s="28">
        <f t="shared" si="67"/>
        <v>0.9346733668341709</v>
      </c>
      <c r="S598" s="29">
        <f t="shared" si="68"/>
        <v>93.467336683417088</v>
      </c>
      <c r="T598" s="5" t="str">
        <f>IF(Delivery_Data3[[#This Row],[Delays (min)]]&gt;0,"No","Yes")</f>
        <v>No</v>
      </c>
      <c r="W598" s="41">
        <f t="shared" si="69"/>
        <v>45171</v>
      </c>
      <c r="X598" s="5">
        <v>186</v>
      </c>
    </row>
    <row r="599" spans="1:24" ht="15.75" customHeight="1" x14ac:dyDescent="0.3">
      <c r="A599" s="4">
        <v>1598</v>
      </c>
      <c r="B599" s="5" t="s">
        <v>725</v>
      </c>
      <c r="C599" s="6">
        <v>45175.624305555553</v>
      </c>
      <c r="D599" s="5" t="s">
        <v>43</v>
      </c>
      <c r="E599" s="5" t="s">
        <v>73</v>
      </c>
      <c r="F599" s="5" t="s">
        <v>24</v>
      </c>
      <c r="G599" s="5" t="s">
        <v>31</v>
      </c>
      <c r="H599" s="5">
        <v>173</v>
      </c>
      <c r="I599" s="5">
        <v>16</v>
      </c>
      <c r="J599" s="5" t="s">
        <v>18</v>
      </c>
      <c r="K599" s="5" t="s">
        <v>27</v>
      </c>
      <c r="L599" s="5" t="s">
        <v>28</v>
      </c>
      <c r="M599" s="7" t="s">
        <v>21</v>
      </c>
      <c r="N599" s="26">
        <f t="shared" si="63"/>
        <v>0</v>
      </c>
      <c r="O599" s="42">
        <f t="shared" si="64"/>
        <v>45175</v>
      </c>
      <c r="P599" s="5" t="str">
        <f t="shared" si="65"/>
        <v>Wednesday</v>
      </c>
      <c r="Q599" s="5">
        <f t="shared" si="66"/>
        <v>14</v>
      </c>
      <c r="R599" s="28">
        <f t="shared" si="67"/>
        <v>0.91534391534391535</v>
      </c>
      <c r="S599" s="29">
        <f t="shared" si="68"/>
        <v>91.534391534391531</v>
      </c>
      <c r="T599" s="5" t="str">
        <f>IF(Delivery_Data3[[#This Row],[Delays (min)]]&gt;0,"No","Yes")</f>
        <v>No</v>
      </c>
      <c r="W599" s="41">
        <f t="shared" si="69"/>
        <v>45175</v>
      </c>
      <c r="X599" s="5">
        <v>173</v>
      </c>
    </row>
    <row r="600" spans="1:24" ht="15.75" customHeight="1" x14ac:dyDescent="0.3">
      <c r="A600" s="4">
        <v>1599</v>
      </c>
      <c r="B600" s="5" t="s">
        <v>726</v>
      </c>
      <c r="C600" s="6">
        <v>45171.354166666664</v>
      </c>
      <c r="D600" s="5" t="s">
        <v>43</v>
      </c>
      <c r="E600" s="5" t="s">
        <v>115</v>
      </c>
      <c r="F600" s="5" t="s">
        <v>16</v>
      </c>
      <c r="G600" s="5" t="s">
        <v>39</v>
      </c>
      <c r="H600" s="5">
        <v>134</v>
      </c>
      <c r="I600" s="5">
        <v>11</v>
      </c>
      <c r="J600" s="5" t="s">
        <v>26</v>
      </c>
      <c r="K600" s="5" t="s">
        <v>49</v>
      </c>
      <c r="L600" s="5" t="s">
        <v>28</v>
      </c>
      <c r="M600" s="7" t="s">
        <v>21</v>
      </c>
      <c r="N600" s="26">
        <f t="shared" si="63"/>
        <v>1</v>
      </c>
      <c r="O600" s="42">
        <f t="shared" si="64"/>
        <v>45171</v>
      </c>
      <c r="P600" s="5" t="str">
        <f t="shared" si="65"/>
        <v>Saturday</v>
      </c>
      <c r="Q600" s="5">
        <f t="shared" si="66"/>
        <v>8</v>
      </c>
      <c r="R600" s="28">
        <f t="shared" si="67"/>
        <v>0.92413793103448272</v>
      </c>
      <c r="S600" s="29">
        <f t="shared" si="68"/>
        <v>92.41379310344827</v>
      </c>
      <c r="T600" s="5" t="str">
        <f>IF(Delivery_Data3[[#This Row],[Delays (min)]]&gt;0,"No","Yes")</f>
        <v>No</v>
      </c>
      <c r="W600" s="41">
        <f t="shared" si="69"/>
        <v>45171</v>
      </c>
      <c r="X600" s="5">
        <v>134</v>
      </c>
    </row>
    <row r="601" spans="1:24" ht="15.75" customHeight="1" x14ac:dyDescent="0.3">
      <c r="A601" s="4">
        <v>1600</v>
      </c>
      <c r="B601" s="5" t="s">
        <v>727</v>
      </c>
      <c r="C601" s="6">
        <v>45175.368055555555</v>
      </c>
      <c r="D601" s="5" t="s">
        <v>14</v>
      </c>
      <c r="E601" s="5" t="s">
        <v>179</v>
      </c>
      <c r="F601" s="5" t="s">
        <v>16</v>
      </c>
      <c r="G601" s="5" t="s">
        <v>56</v>
      </c>
      <c r="H601" s="5">
        <v>110</v>
      </c>
      <c r="I601" s="5">
        <v>20</v>
      </c>
      <c r="J601" s="5" t="s">
        <v>32</v>
      </c>
      <c r="K601" s="5" t="s">
        <v>35</v>
      </c>
      <c r="L601" s="5" t="s">
        <v>28</v>
      </c>
      <c r="M601" s="7" t="s">
        <v>21</v>
      </c>
      <c r="N601" s="26">
        <f t="shared" si="63"/>
        <v>-1</v>
      </c>
      <c r="O601" s="42">
        <f t="shared" si="64"/>
        <v>45175</v>
      </c>
      <c r="P601" s="5" t="str">
        <f t="shared" si="65"/>
        <v>Wednesday</v>
      </c>
      <c r="Q601" s="5">
        <f t="shared" si="66"/>
        <v>8</v>
      </c>
      <c r="R601" s="28">
        <f t="shared" si="67"/>
        <v>0.84615384615384615</v>
      </c>
      <c r="S601" s="29">
        <f t="shared" si="68"/>
        <v>84.615384615384613</v>
      </c>
      <c r="T601" s="5" t="str">
        <f>IF(Delivery_Data3[[#This Row],[Delays (min)]]&gt;0,"No","Yes")</f>
        <v>No</v>
      </c>
      <c r="W601" s="41">
        <f t="shared" si="69"/>
        <v>45175</v>
      </c>
      <c r="X601" s="5">
        <v>110</v>
      </c>
    </row>
    <row r="602" spans="1:24" ht="15.75" customHeight="1" x14ac:dyDescent="0.3">
      <c r="A602" s="4">
        <v>1601</v>
      </c>
      <c r="B602" s="5" t="s">
        <v>728</v>
      </c>
      <c r="C602" s="6">
        <v>45170.695138888892</v>
      </c>
      <c r="D602" s="5" t="s">
        <v>43</v>
      </c>
      <c r="E602" s="5" t="s">
        <v>58</v>
      </c>
      <c r="F602" s="5" t="s">
        <v>16</v>
      </c>
      <c r="G602" s="5" t="s">
        <v>17</v>
      </c>
      <c r="H602" s="5">
        <v>72</v>
      </c>
      <c r="I602" s="5">
        <v>16</v>
      </c>
      <c r="J602" s="5" t="s">
        <v>18</v>
      </c>
      <c r="K602" s="5" t="s">
        <v>27</v>
      </c>
      <c r="L602" s="5" t="s">
        <v>20</v>
      </c>
      <c r="M602" s="7" t="s">
        <v>21</v>
      </c>
      <c r="N602" s="26">
        <f t="shared" si="63"/>
        <v>0</v>
      </c>
      <c r="O602" s="42">
        <f t="shared" si="64"/>
        <v>45170</v>
      </c>
      <c r="P602" s="5" t="str">
        <f t="shared" si="65"/>
        <v>Friday</v>
      </c>
      <c r="Q602" s="5">
        <f t="shared" si="66"/>
        <v>16</v>
      </c>
      <c r="R602" s="28">
        <f t="shared" si="67"/>
        <v>0.81818181818181823</v>
      </c>
      <c r="S602" s="29">
        <f t="shared" si="68"/>
        <v>81.818181818181827</v>
      </c>
      <c r="T602" s="5" t="str">
        <f>IF(Delivery_Data3[[#This Row],[Delays (min)]]&gt;0,"No","Yes")</f>
        <v>No</v>
      </c>
      <c r="W602" s="41">
        <f t="shared" si="69"/>
        <v>45170</v>
      </c>
      <c r="X602" s="5">
        <v>72</v>
      </c>
    </row>
    <row r="603" spans="1:24" ht="15.75" customHeight="1" x14ac:dyDescent="0.3">
      <c r="A603" s="4">
        <v>1602</v>
      </c>
      <c r="B603" s="5" t="s">
        <v>729</v>
      </c>
      <c r="C603" s="6">
        <v>45175.379861111112</v>
      </c>
      <c r="D603" s="5" t="s">
        <v>43</v>
      </c>
      <c r="E603" s="5" t="s">
        <v>169</v>
      </c>
      <c r="F603" s="5" t="s">
        <v>16</v>
      </c>
      <c r="G603" s="5" t="s">
        <v>39</v>
      </c>
      <c r="H603" s="5">
        <v>60</v>
      </c>
      <c r="I603" s="5">
        <v>18</v>
      </c>
      <c r="J603" s="5" t="s">
        <v>32</v>
      </c>
      <c r="K603" s="5" t="s">
        <v>45</v>
      </c>
      <c r="L603" s="5" t="s">
        <v>40</v>
      </c>
      <c r="M603" s="7" t="s">
        <v>46</v>
      </c>
      <c r="N603" s="26">
        <f t="shared" si="63"/>
        <v>-1</v>
      </c>
      <c r="O603" s="42">
        <f t="shared" si="64"/>
        <v>45175</v>
      </c>
      <c r="P603" s="5" t="str">
        <f t="shared" si="65"/>
        <v>Wednesday</v>
      </c>
      <c r="Q603" s="5">
        <f t="shared" si="66"/>
        <v>9</v>
      </c>
      <c r="R603" s="28">
        <f t="shared" si="67"/>
        <v>0.76923076923076927</v>
      </c>
      <c r="S603" s="29">
        <f t="shared" si="68"/>
        <v>76.923076923076934</v>
      </c>
      <c r="T603" s="5" t="str">
        <f>IF(Delivery_Data3[[#This Row],[Delays (min)]]&gt;0,"No","Yes")</f>
        <v>No</v>
      </c>
      <c r="W603" s="41">
        <f t="shared" si="69"/>
        <v>45175</v>
      </c>
      <c r="X603" s="5">
        <v>60</v>
      </c>
    </row>
    <row r="604" spans="1:24" ht="15.75" customHeight="1" x14ac:dyDescent="0.3">
      <c r="A604" s="4">
        <v>1603</v>
      </c>
      <c r="B604" s="5" t="s">
        <v>730</v>
      </c>
      <c r="C604" s="6">
        <v>45172.36041666667</v>
      </c>
      <c r="D604" s="5" t="s">
        <v>14</v>
      </c>
      <c r="E604" s="5" t="s">
        <v>160</v>
      </c>
      <c r="F604" s="5" t="s">
        <v>38</v>
      </c>
      <c r="G604" s="5" t="s">
        <v>25</v>
      </c>
      <c r="H604" s="5">
        <v>226</v>
      </c>
      <c r="I604" s="5">
        <v>0</v>
      </c>
      <c r="J604" s="5" t="s">
        <v>18</v>
      </c>
      <c r="K604" s="5" t="s">
        <v>45</v>
      </c>
      <c r="L604" s="5" t="s">
        <v>20</v>
      </c>
      <c r="M604" s="7" t="s">
        <v>46</v>
      </c>
      <c r="N604" s="26">
        <f t="shared" si="63"/>
        <v>0</v>
      </c>
      <c r="O604" s="42">
        <f t="shared" si="64"/>
        <v>45172</v>
      </c>
      <c r="P604" s="5" t="str">
        <f t="shared" si="65"/>
        <v>Sunday</v>
      </c>
      <c r="Q604" s="5">
        <f t="shared" si="66"/>
        <v>8</v>
      </c>
      <c r="R604" s="28">
        <f t="shared" si="67"/>
        <v>1</v>
      </c>
      <c r="S604" s="29">
        <f t="shared" si="68"/>
        <v>100</v>
      </c>
      <c r="T604" s="5" t="str">
        <f>IF(Delivery_Data3[[#This Row],[Delays (min)]]&gt;0,"No","Yes")</f>
        <v>Yes</v>
      </c>
      <c r="W604" s="41">
        <f t="shared" si="69"/>
        <v>45172</v>
      </c>
      <c r="X604" s="5">
        <v>226</v>
      </c>
    </row>
    <row r="605" spans="1:24" ht="15.75" customHeight="1" x14ac:dyDescent="0.3">
      <c r="A605" s="4">
        <v>1604</v>
      </c>
      <c r="B605" s="5" t="s">
        <v>731</v>
      </c>
      <c r="C605" s="6">
        <v>45171.663888888892</v>
      </c>
      <c r="D605" s="5" t="s">
        <v>14</v>
      </c>
      <c r="E605" s="5" t="s">
        <v>468</v>
      </c>
      <c r="F605" s="5" t="s">
        <v>24</v>
      </c>
      <c r="G605" s="5" t="s">
        <v>25</v>
      </c>
      <c r="H605" s="5">
        <v>210</v>
      </c>
      <c r="I605" s="5">
        <v>11</v>
      </c>
      <c r="J605" s="5" t="s">
        <v>18</v>
      </c>
      <c r="K605" s="5" t="s">
        <v>19</v>
      </c>
      <c r="L605" s="5" t="s">
        <v>28</v>
      </c>
      <c r="M605" s="7" t="s">
        <v>21</v>
      </c>
      <c r="N605" s="26">
        <f t="shared" si="63"/>
        <v>0</v>
      </c>
      <c r="O605" s="42">
        <f t="shared" si="64"/>
        <v>45171</v>
      </c>
      <c r="P605" s="5" t="str">
        <f t="shared" si="65"/>
        <v>Saturday</v>
      </c>
      <c r="Q605" s="5">
        <f t="shared" si="66"/>
        <v>15</v>
      </c>
      <c r="R605" s="28">
        <f t="shared" si="67"/>
        <v>0.95022624434389136</v>
      </c>
      <c r="S605" s="29">
        <f t="shared" si="68"/>
        <v>95.02262443438913</v>
      </c>
      <c r="T605" s="5" t="str">
        <f>IF(Delivery_Data3[[#This Row],[Delays (min)]]&gt;0,"No","Yes")</f>
        <v>No</v>
      </c>
      <c r="W605" s="41">
        <f t="shared" si="69"/>
        <v>45171</v>
      </c>
      <c r="X605" s="5">
        <v>210</v>
      </c>
    </row>
    <row r="606" spans="1:24" ht="15.75" customHeight="1" x14ac:dyDescent="0.3">
      <c r="A606" s="4">
        <v>1605</v>
      </c>
      <c r="B606" s="5" t="s">
        <v>732</v>
      </c>
      <c r="C606" s="6">
        <v>45172.388888888891</v>
      </c>
      <c r="D606" s="5" t="s">
        <v>14</v>
      </c>
      <c r="E606" s="5" t="s">
        <v>240</v>
      </c>
      <c r="F606" s="5" t="s">
        <v>38</v>
      </c>
      <c r="G606" s="5" t="s">
        <v>17</v>
      </c>
      <c r="H606" s="5">
        <v>119</v>
      </c>
      <c r="I606" s="5">
        <v>14</v>
      </c>
      <c r="J606" s="5" t="s">
        <v>26</v>
      </c>
      <c r="K606" s="5" t="s">
        <v>49</v>
      </c>
      <c r="L606" s="5" t="s">
        <v>40</v>
      </c>
      <c r="M606" s="7" t="s">
        <v>21</v>
      </c>
      <c r="N606" s="26">
        <f t="shared" si="63"/>
        <v>1</v>
      </c>
      <c r="O606" s="42">
        <f t="shared" si="64"/>
        <v>45172</v>
      </c>
      <c r="P606" s="5" t="str">
        <f t="shared" si="65"/>
        <v>Sunday</v>
      </c>
      <c r="Q606" s="5">
        <f t="shared" si="66"/>
        <v>9</v>
      </c>
      <c r="R606" s="28">
        <f t="shared" si="67"/>
        <v>0.89473684210526316</v>
      </c>
      <c r="S606" s="29">
        <f t="shared" si="68"/>
        <v>89.473684210526315</v>
      </c>
      <c r="T606" s="5" t="str">
        <f>IF(Delivery_Data3[[#This Row],[Delays (min)]]&gt;0,"No","Yes")</f>
        <v>No</v>
      </c>
      <c r="W606" s="41">
        <f t="shared" si="69"/>
        <v>45172</v>
      </c>
      <c r="X606" s="5">
        <v>119</v>
      </c>
    </row>
    <row r="607" spans="1:24" ht="15.75" customHeight="1" x14ac:dyDescent="0.3">
      <c r="A607" s="4">
        <v>1606</v>
      </c>
      <c r="B607" s="5" t="s">
        <v>733</v>
      </c>
      <c r="C607" s="6">
        <v>45170.586805555555</v>
      </c>
      <c r="D607" s="5" t="s">
        <v>43</v>
      </c>
      <c r="E607" s="5" t="s">
        <v>193</v>
      </c>
      <c r="F607" s="5" t="s">
        <v>24</v>
      </c>
      <c r="G607" s="5" t="s">
        <v>39</v>
      </c>
      <c r="H607" s="5">
        <v>234</v>
      </c>
      <c r="I607" s="5">
        <v>28</v>
      </c>
      <c r="J607" s="5" t="s">
        <v>32</v>
      </c>
      <c r="K607" s="5" t="s">
        <v>27</v>
      </c>
      <c r="L607" s="5" t="s">
        <v>40</v>
      </c>
      <c r="M607" s="7" t="s">
        <v>46</v>
      </c>
      <c r="N607" s="26">
        <f t="shared" si="63"/>
        <v>-1</v>
      </c>
      <c r="O607" s="42">
        <f t="shared" si="64"/>
        <v>45170</v>
      </c>
      <c r="P607" s="5" t="str">
        <f t="shared" si="65"/>
        <v>Friday</v>
      </c>
      <c r="Q607" s="5">
        <f t="shared" si="66"/>
        <v>14</v>
      </c>
      <c r="R607" s="28">
        <f t="shared" si="67"/>
        <v>0.89312977099236646</v>
      </c>
      <c r="S607" s="29">
        <f t="shared" si="68"/>
        <v>89.312977099236647</v>
      </c>
      <c r="T607" s="5" t="str">
        <f>IF(Delivery_Data3[[#This Row],[Delays (min)]]&gt;0,"No","Yes")</f>
        <v>No</v>
      </c>
      <c r="W607" s="41">
        <f t="shared" si="69"/>
        <v>45170</v>
      </c>
      <c r="X607" s="5">
        <v>234</v>
      </c>
    </row>
    <row r="608" spans="1:24" ht="15.75" customHeight="1" x14ac:dyDescent="0.3">
      <c r="A608" s="4">
        <v>1607</v>
      </c>
      <c r="B608" s="5" t="s">
        <v>734</v>
      </c>
      <c r="C608" s="6">
        <v>45177.551388888889</v>
      </c>
      <c r="D608" s="5" t="s">
        <v>14</v>
      </c>
      <c r="E608" s="5" t="s">
        <v>158</v>
      </c>
      <c r="F608" s="5" t="s">
        <v>16</v>
      </c>
      <c r="G608" s="5" t="s">
        <v>56</v>
      </c>
      <c r="H608" s="5">
        <v>61</v>
      </c>
      <c r="I608" s="5">
        <v>27</v>
      </c>
      <c r="J608" s="5" t="s">
        <v>18</v>
      </c>
      <c r="K608" s="5" t="s">
        <v>45</v>
      </c>
      <c r="L608" s="5" t="s">
        <v>20</v>
      </c>
      <c r="M608" s="7" t="s">
        <v>46</v>
      </c>
      <c r="N608" s="26">
        <f t="shared" si="63"/>
        <v>0</v>
      </c>
      <c r="O608" s="42">
        <f t="shared" si="64"/>
        <v>45177</v>
      </c>
      <c r="P608" s="5" t="str">
        <f t="shared" si="65"/>
        <v>Friday</v>
      </c>
      <c r="Q608" s="5">
        <f t="shared" si="66"/>
        <v>13</v>
      </c>
      <c r="R608" s="28">
        <f t="shared" si="67"/>
        <v>0.69318181818181823</v>
      </c>
      <c r="S608" s="29">
        <f t="shared" si="68"/>
        <v>69.318181818181827</v>
      </c>
      <c r="T608" s="5" t="str">
        <f>IF(Delivery_Data3[[#This Row],[Delays (min)]]&gt;0,"No","Yes")</f>
        <v>No</v>
      </c>
      <c r="W608" s="41">
        <f t="shared" si="69"/>
        <v>45177</v>
      </c>
      <c r="X608" s="5">
        <v>61</v>
      </c>
    </row>
    <row r="609" spans="1:24" ht="15.75" customHeight="1" x14ac:dyDescent="0.3">
      <c r="A609" s="4">
        <v>1608</v>
      </c>
      <c r="B609" s="5" t="s">
        <v>735</v>
      </c>
      <c r="C609" s="6">
        <v>45172.369444444441</v>
      </c>
      <c r="D609" s="5" t="s">
        <v>43</v>
      </c>
      <c r="E609" s="5" t="s">
        <v>370</v>
      </c>
      <c r="F609" s="5" t="s">
        <v>38</v>
      </c>
      <c r="G609" s="5" t="s">
        <v>31</v>
      </c>
      <c r="H609" s="5">
        <v>119</v>
      </c>
      <c r="I609" s="5">
        <v>2</v>
      </c>
      <c r="J609" s="5" t="s">
        <v>18</v>
      </c>
      <c r="K609" s="5" t="s">
        <v>19</v>
      </c>
      <c r="L609" s="5" t="s">
        <v>28</v>
      </c>
      <c r="M609" s="7" t="s">
        <v>21</v>
      </c>
      <c r="N609" s="26">
        <f t="shared" si="63"/>
        <v>0</v>
      </c>
      <c r="O609" s="42">
        <f t="shared" si="64"/>
        <v>45172</v>
      </c>
      <c r="P609" s="5" t="str">
        <f t="shared" si="65"/>
        <v>Sunday</v>
      </c>
      <c r="Q609" s="5">
        <f t="shared" si="66"/>
        <v>8</v>
      </c>
      <c r="R609" s="28">
        <f t="shared" si="67"/>
        <v>0.98347107438016534</v>
      </c>
      <c r="S609" s="29">
        <f t="shared" si="68"/>
        <v>98.347107438016536</v>
      </c>
      <c r="T609" s="5" t="str">
        <f>IF(Delivery_Data3[[#This Row],[Delays (min)]]&gt;0,"No","Yes")</f>
        <v>No</v>
      </c>
      <c r="W609" s="41">
        <f t="shared" si="69"/>
        <v>45172</v>
      </c>
      <c r="X609" s="5">
        <v>119</v>
      </c>
    </row>
    <row r="610" spans="1:24" ht="15.75" customHeight="1" x14ac:dyDescent="0.3">
      <c r="A610" s="4">
        <v>1609</v>
      </c>
      <c r="B610" s="5" t="s">
        <v>736</v>
      </c>
      <c r="C610" s="6">
        <v>45170.459722222222</v>
      </c>
      <c r="D610" s="5" t="s">
        <v>43</v>
      </c>
      <c r="E610" s="5" t="s">
        <v>189</v>
      </c>
      <c r="F610" s="5" t="s">
        <v>16</v>
      </c>
      <c r="G610" s="5" t="s">
        <v>56</v>
      </c>
      <c r="H610" s="5">
        <v>114</v>
      </c>
      <c r="I610" s="5">
        <v>15</v>
      </c>
      <c r="J610" s="5" t="s">
        <v>32</v>
      </c>
      <c r="K610" s="5" t="s">
        <v>27</v>
      </c>
      <c r="L610" s="5" t="s">
        <v>28</v>
      </c>
      <c r="M610" s="7" t="s">
        <v>41</v>
      </c>
      <c r="N610" s="26">
        <f t="shared" si="63"/>
        <v>-1</v>
      </c>
      <c r="O610" s="42">
        <f t="shared" si="64"/>
        <v>45170</v>
      </c>
      <c r="P610" s="5" t="str">
        <f t="shared" si="65"/>
        <v>Friday</v>
      </c>
      <c r="Q610" s="5">
        <f t="shared" si="66"/>
        <v>11</v>
      </c>
      <c r="R610" s="28">
        <f t="shared" si="67"/>
        <v>0.88372093023255816</v>
      </c>
      <c r="S610" s="29">
        <f t="shared" si="68"/>
        <v>88.372093023255815</v>
      </c>
      <c r="T610" s="5" t="str">
        <f>IF(Delivery_Data3[[#This Row],[Delays (min)]]&gt;0,"No","Yes")</f>
        <v>No</v>
      </c>
      <c r="W610" s="41">
        <f t="shared" si="69"/>
        <v>45170</v>
      </c>
      <c r="X610" s="5">
        <v>114</v>
      </c>
    </row>
    <row r="611" spans="1:24" ht="15.75" customHeight="1" x14ac:dyDescent="0.3">
      <c r="A611" s="4">
        <v>1610</v>
      </c>
      <c r="B611" s="5" t="s">
        <v>737</v>
      </c>
      <c r="C611" s="6">
        <v>45176.62777777778</v>
      </c>
      <c r="D611" s="5" t="s">
        <v>43</v>
      </c>
      <c r="E611" s="5" t="s">
        <v>374</v>
      </c>
      <c r="F611" s="5" t="s">
        <v>24</v>
      </c>
      <c r="G611" s="5" t="s">
        <v>56</v>
      </c>
      <c r="H611" s="5">
        <v>163</v>
      </c>
      <c r="I611" s="5">
        <v>19</v>
      </c>
      <c r="J611" s="5" t="s">
        <v>32</v>
      </c>
      <c r="K611" s="5" t="s">
        <v>19</v>
      </c>
      <c r="L611" s="5" t="s">
        <v>20</v>
      </c>
      <c r="M611" s="7" t="s">
        <v>46</v>
      </c>
      <c r="N611" s="26">
        <f t="shared" si="63"/>
        <v>-1</v>
      </c>
      <c r="O611" s="42">
        <f t="shared" si="64"/>
        <v>45176</v>
      </c>
      <c r="P611" s="5" t="str">
        <f t="shared" si="65"/>
        <v>Thursday</v>
      </c>
      <c r="Q611" s="5">
        <f t="shared" si="66"/>
        <v>15</v>
      </c>
      <c r="R611" s="28">
        <f t="shared" si="67"/>
        <v>0.89560439560439564</v>
      </c>
      <c r="S611" s="29">
        <f t="shared" si="68"/>
        <v>89.560439560439562</v>
      </c>
      <c r="T611" s="5" t="str">
        <f>IF(Delivery_Data3[[#This Row],[Delays (min)]]&gt;0,"No","Yes")</f>
        <v>No</v>
      </c>
      <c r="W611" s="41">
        <f t="shared" si="69"/>
        <v>45176</v>
      </c>
      <c r="X611" s="5">
        <v>163</v>
      </c>
    </row>
    <row r="612" spans="1:24" ht="15.75" customHeight="1" x14ac:dyDescent="0.3">
      <c r="A612" s="4">
        <v>1611</v>
      </c>
      <c r="B612" s="5" t="s">
        <v>738</v>
      </c>
      <c r="C612" s="6">
        <v>45170.571527777778</v>
      </c>
      <c r="D612" s="5" t="s">
        <v>14</v>
      </c>
      <c r="E612" s="5" t="s">
        <v>215</v>
      </c>
      <c r="F612" s="5" t="s">
        <v>24</v>
      </c>
      <c r="G612" s="5" t="s">
        <v>39</v>
      </c>
      <c r="H612" s="5">
        <v>180</v>
      </c>
      <c r="I612" s="5">
        <v>5</v>
      </c>
      <c r="J612" s="5" t="s">
        <v>26</v>
      </c>
      <c r="K612" s="5" t="s">
        <v>19</v>
      </c>
      <c r="L612" s="5" t="s">
        <v>40</v>
      </c>
      <c r="M612" s="7" t="s">
        <v>46</v>
      </c>
      <c r="N612" s="26">
        <f t="shared" si="63"/>
        <v>1</v>
      </c>
      <c r="O612" s="42">
        <f t="shared" si="64"/>
        <v>45170</v>
      </c>
      <c r="P612" s="5" t="str">
        <f t="shared" si="65"/>
        <v>Friday</v>
      </c>
      <c r="Q612" s="5">
        <f t="shared" si="66"/>
        <v>13</v>
      </c>
      <c r="R612" s="28">
        <f t="shared" si="67"/>
        <v>0.97297297297297303</v>
      </c>
      <c r="S612" s="29">
        <f t="shared" si="68"/>
        <v>97.297297297297305</v>
      </c>
      <c r="T612" s="5" t="str">
        <f>IF(Delivery_Data3[[#This Row],[Delays (min)]]&gt;0,"No","Yes")</f>
        <v>No</v>
      </c>
      <c r="W612" s="41">
        <f t="shared" si="69"/>
        <v>45170</v>
      </c>
      <c r="X612" s="5">
        <v>180</v>
      </c>
    </row>
    <row r="613" spans="1:24" ht="15.75" customHeight="1" x14ac:dyDescent="0.3">
      <c r="A613" s="4">
        <v>1612</v>
      </c>
      <c r="B613" s="5" t="s">
        <v>739</v>
      </c>
      <c r="C613" s="6">
        <v>45174.354166666664</v>
      </c>
      <c r="D613" s="5" t="s">
        <v>43</v>
      </c>
      <c r="E613" s="5" t="s">
        <v>126</v>
      </c>
      <c r="F613" s="5" t="s">
        <v>24</v>
      </c>
      <c r="G613" s="5" t="s">
        <v>31</v>
      </c>
      <c r="H613" s="5">
        <v>126</v>
      </c>
      <c r="I613" s="5">
        <v>3</v>
      </c>
      <c r="J613" s="5" t="s">
        <v>26</v>
      </c>
      <c r="K613" s="5" t="s">
        <v>45</v>
      </c>
      <c r="L613" s="5" t="s">
        <v>28</v>
      </c>
      <c r="M613" s="7" t="s">
        <v>46</v>
      </c>
      <c r="N613" s="26">
        <f t="shared" si="63"/>
        <v>1</v>
      </c>
      <c r="O613" s="42">
        <f t="shared" si="64"/>
        <v>45174</v>
      </c>
      <c r="P613" s="5" t="str">
        <f t="shared" si="65"/>
        <v>Tuesday</v>
      </c>
      <c r="Q613" s="5">
        <f t="shared" si="66"/>
        <v>8</v>
      </c>
      <c r="R613" s="28">
        <f t="shared" si="67"/>
        <v>0.97674418604651159</v>
      </c>
      <c r="S613" s="29">
        <f t="shared" si="68"/>
        <v>97.674418604651152</v>
      </c>
      <c r="T613" s="5" t="str">
        <f>IF(Delivery_Data3[[#This Row],[Delays (min)]]&gt;0,"No","Yes")</f>
        <v>No</v>
      </c>
      <c r="W613" s="41">
        <f t="shared" si="69"/>
        <v>45174</v>
      </c>
      <c r="X613" s="5">
        <v>126</v>
      </c>
    </row>
    <row r="614" spans="1:24" ht="15.75" customHeight="1" x14ac:dyDescent="0.3">
      <c r="A614" s="4">
        <v>1613</v>
      </c>
      <c r="B614" s="5" t="s">
        <v>740</v>
      </c>
      <c r="C614" s="6">
        <v>45174.413888888892</v>
      </c>
      <c r="D614" s="5" t="s">
        <v>14</v>
      </c>
      <c r="E614" s="5" t="s">
        <v>80</v>
      </c>
      <c r="F614" s="5" t="s">
        <v>24</v>
      </c>
      <c r="G614" s="5" t="s">
        <v>25</v>
      </c>
      <c r="H614" s="5">
        <v>135</v>
      </c>
      <c r="I614" s="5">
        <v>26</v>
      </c>
      <c r="J614" s="5" t="s">
        <v>18</v>
      </c>
      <c r="K614" s="5" t="s">
        <v>19</v>
      </c>
      <c r="L614" s="5" t="s">
        <v>40</v>
      </c>
      <c r="M614" s="7" t="s">
        <v>21</v>
      </c>
      <c r="N614" s="26">
        <f t="shared" si="63"/>
        <v>0</v>
      </c>
      <c r="O614" s="42">
        <f t="shared" si="64"/>
        <v>45174</v>
      </c>
      <c r="P614" s="5" t="str">
        <f t="shared" si="65"/>
        <v>Tuesday</v>
      </c>
      <c r="Q614" s="5">
        <f t="shared" si="66"/>
        <v>9</v>
      </c>
      <c r="R614" s="28">
        <f t="shared" si="67"/>
        <v>0.83850931677018636</v>
      </c>
      <c r="S614" s="29">
        <f t="shared" si="68"/>
        <v>83.850931677018636</v>
      </c>
      <c r="T614" s="5" t="str">
        <f>IF(Delivery_Data3[[#This Row],[Delays (min)]]&gt;0,"No","Yes")</f>
        <v>No</v>
      </c>
      <c r="W614" s="41">
        <f t="shared" si="69"/>
        <v>45174</v>
      </c>
      <c r="X614" s="5">
        <v>135</v>
      </c>
    </row>
    <row r="615" spans="1:24" ht="15.75" customHeight="1" x14ac:dyDescent="0.3">
      <c r="A615" s="4">
        <v>1614</v>
      </c>
      <c r="B615" s="5" t="s">
        <v>741</v>
      </c>
      <c r="C615" s="6">
        <v>45175.697916666664</v>
      </c>
      <c r="D615" s="5" t="s">
        <v>14</v>
      </c>
      <c r="E615" s="5" t="s">
        <v>177</v>
      </c>
      <c r="F615" s="5" t="s">
        <v>24</v>
      </c>
      <c r="G615" s="5" t="s">
        <v>31</v>
      </c>
      <c r="H615" s="5">
        <v>106</v>
      </c>
      <c r="I615" s="5">
        <v>28</v>
      </c>
      <c r="J615" s="5" t="s">
        <v>32</v>
      </c>
      <c r="K615" s="5" t="s">
        <v>45</v>
      </c>
      <c r="L615" s="5" t="s">
        <v>40</v>
      </c>
      <c r="M615" s="7" t="s">
        <v>46</v>
      </c>
      <c r="N615" s="26">
        <f t="shared" si="63"/>
        <v>-1</v>
      </c>
      <c r="O615" s="42">
        <f t="shared" si="64"/>
        <v>45175</v>
      </c>
      <c r="P615" s="5" t="str">
        <f t="shared" si="65"/>
        <v>Wednesday</v>
      </c>
      <c r="Q615" s="5">
        <f t="shared" si="66"/>
        <v>16</v>
      </c>
      <c r="R615" s="28">
        <f t="shared" si="67"/>
        <v>0.79104477611940294</v>
      </c>
      <c r="S615" s="29">
        <f t="shared" si="68"/>
        <v>79.104477611940297</v>
      </c>
      <c r="T615" s="5" t="str">
        <f>IF(Delivery_Data3[[#This Row],[Delays (min)]]&gt;0,"No","Yes")</f>
        <v>No</v>
      </c>
      <c r="W615" s="41">
        <f t="shared" si="69"/>
        <v>45175</v>
      </c>
      <c r="X615" s="5">
        <v>106</v>
      </c>
    </row>
    <row r="616" spans="1:24" ht="15.75" customHeight="1" x14ac:dyDescent="0.3">
      <c r="A616" s="4">
        <v>1615</v>
      </c>
      <c r="B616" s="5" t="s">
        <v>742</v>
      </c>
      <c r="C616" s="6">
        <v>45172.509722222225</v>
      </c>
      <c r="D616" s="5" t="s">
        <v>14</v>
      </c>
      <c r="E616" s="5" t="s">
        <v>228</v>
      </c>
      <c r="F616" s="5" t="s">
        <v>24</v>
      </c>
      <c r="G616" s="5" t="s">
        <v>31</v>
      </c>
      <c r="H616" s="5">
        <v>121</v>
      </c>
      <c r="I616" s="5">
        <v>5</v>
      </c>
      <c r="J616" s="5" t="s">
        <v>26</v>
      </c>
      <c r="K616" s="5" t="s">
        <v>45</v>
      </c>
      <c r="L616" s="5" t="s">
        <v>28</v>
      </c>
      <c r="M616" s="7" t="s">
        <v>21</v>
      </c>
      <c r="N616" s="26">
        <f t="shared" si="63"/>
        <v>1</v>
      </c>
      <c r="O616" s="42">
        <f t="shared" si="64"/>
        <v>45172</v>
      </c>
      <c r="P616" s="5" t="str">
        <f t="shared" si="65"/>
        <v>Sunday</v>
      </c>
      <c r="Q616" s="5">
        <f t="shared" si="66"/>
        <v>12</v>
      </c>
      <c r="R616" s="28">
        <f t="shared" si="67"/>
        <v>0.96031746031746035</v>
      </c>
      <c r="S616" s="29">
        <f t="shared" si="68"/>
        <v>96.031746031746039</v>
      </c>
      <c r="T616" s="5" t="str">
        <f>IF(Delivery_Data3[[#This Row],[Delays (min)]]&gt;0,"No","Yes")</f>
        <v>No</v>
      </c>
      <c r="W616" s="41">
        <f t="shared" si="69"/>
        <v>45172</v>
      </c>
      <c r="X616" s="5">
        <v>121</v>
      </c>
    </row>
    <row r="617" spans="1:24" ht="15.75" customHeight="1" x14ac:dyDescent="0.3">
      <c r="A617" s="4">
        <v>1616</v>
      </c>
      <c r="B617" s="5" t="s">
        <v>743</v>
      </c>
      <c r="C617" s="6">
        <v>45176.686805555553</v>
      </c>
      <c r="D617" s="5" t="s">
        <v>43</v>
      </c>
      <c r="E617" s="5" t="s">
        <v>15</v>
      </c>
      <c r="F617" s="5" t="s">
        <v>16</v>
      </c>
      <c r="G617" s="5" t="s">
        <v>56</v>
      </c>
      <c r="H617" s="5">
        <v>129</v>
      </c>
      <c r="I617" s="5">
        <v>16</v>
      </c>
      <c r="J617" s="5" t="s">
        <v>32</v>
      </c>
      <c r="K617" s="5" t="s">
        <v>19</v>
      </c>
      <c r="L617" s="5" t="s">
        <v>28</v>
      </c>
      <c r="M617" s="7" t="s">
        <v>21</v>
      </c>
      <c r="N617" s="26">
        <f t="shared" si="63"/>
        <v>-1</v>
      </c>
      <c r="O617" s="42">
        <f t="shared" si="64"/>
        <v>45176</v>
      </c>
      <c r="P617" s="5" t="str">
        <f t="shared" si="65"/>
        <v>Thursday</v>
      </c>
      <c r="Q617" s="5">
        <f t="shared" si="66"/>
        <v>16</v>
      </c>
      <c r="R617" s="28">
        <f t="shared" si="67"/>
        <v>0.8896551724137931</v>
      </c>
      <c r="S617" s="29">
        <f t="shared" si="68"/>
        <v>88.965517241379317</v>
      </c>
      <c r="T617" s="5" t="str">
        <f>IF(Delivery_Data3[[#This Row],[Delays (min)]]&gt;0,"No","Yes")</f>
        <v>No</v>
      </c>
      <c r="W617" s="41">
        <f t="shared" si="69"/>
        <v>45176</v>
      </c>
      <c r="X617" s="5">
        <v>129</v>
      </c>
    </row>
    <row r="618" spans="1:24" ht="15.75" customHeight="1" x14ac:dyDescent="0.3">
      <c r="A618" s="4">
        <v>1617</v>
      </c>
      <c r="B618" s="5" t="s">
        <v>744</v>
      </c>
      <c r="C618" s="6">
        <v>45173.691666666666</v>
      </c>
      <c r="D618" s="5" t="s">
        <v>43</v>
      </c>
      <c r="E618" s="5" t="s">
        <v>370</v>
      </c>
      <c r="F618" s="5" t="s">
        <v>38</v>
      </c>
      <c r="G618" s="5" t="s">
        <v>56</v>
      </c>
      <c r="H618" s="5">
        <v>174</v>
      </c>
      <c r="I618" s="5">
        <v>27</v>
      </c>
      <c r="J618" s="5" t="s">
        <v>32</v>
      </c>
      <c r="K618" s="5" t="s">
        <v>45</v>
      </c>
      <c r="L618" s="5" t="s">
        <v>28</v>
      </c>
      <c r="M618" s="7" t="s">
        <v>41</v>
      </c>
      <c r="N618" s="26">
        <f t="shared" si="63"/>
        <v>-1</v>
      </c>
      <c r="O618" s="42">
        <f t="shared" si="64"/>
        <v>45173</v>
      </c>
      <c r="P618" s="5" t="str">
        <f t="shared" si="65"/>
        <v>Monday</v>
      </c>
      <c r="Q618" s="5">
        <f t="shared" si="66"/>
        <v>16</v>
      </c>
      <c r="R618" s="28">
        <f t="shared" si="67"/>
        <v>0.86567164179104472</v>
      </c>
      <c r="S618" s="29">
        <f t="shared" si="68"/>
        <v>86.567164179104466</v>
      </c>
      <c r="T618" s="5" t="str">
        <f>IF(Delivery_Data3[[#This Row],[Delays (min)]]&gt;0,"No","Yes")</f>
        <v>No</v>
      </c>
      <c r="W618" s="41">
        <f t="shared" si="69"/>
        <v>45173</v>
      </c>
      <c r="X618" s="5">
        <v>174</v>
      </c>
    </row>
    <row r="619" spans="1:24" ht="15.75" customHeight="1" x14ac:dyDescent="0.3">
      <c r="A619" s="4">
        <v>1618</v>
      </c>
      <c r="B619" s="5" t="s">
        <v>745</v>
      </c>
      <c r="C619" s="6">
        <v>45172.598611111112</v>
      </c>
      <c r="D619" s="5" t="s">
        <v>14</v>
      </c>
      <c r="E619" s="5" t="s">
        <v>160</v>
      </c>
      <c r="F619" s="5" t="s">
        <v>38</v>
      </c>
      <c r="G619" s="5" t="s">
        <v>25</v>
      </c>
      <c r="H619" s="5">
        <v>215</v>
      </c>
      <c r="I619" s="5">
        <v>6</v>
      </c>
      <c r="J619" s="5" t="s">
        <v>18</v>
      </c>
      <c r="K619" s="5" t="s">
        <v>27</v>
      </c>
      <c r="L619" s="5" t="s">
        <v>20</v>
      </c>
      <c r="M619" s="7" t="s">
        <v>46</v>
      </c>
      <c r="N619" s="26">
        <f t="shared" si="63"/>
        <v>0</v>
      </c>
      <c r="O619" s="42">
        <f t="shared" si="64"/>
        <v>45172</v>
      </c>
      <c r="P619" s="5" t="str">
        <f t="shared" si="65"/>
        <v>Sunday</v>
      </c>
      <c r="Q619" s="5">
        <f t="shared" si="66"/>
        <v>14</v>
      </c>
      <c r="R619" s="28">
        <f t="shared" si="67"/>
        <v>0.97285067873303166</v>
      </c>
      <c r="S619" s="29">
        <f t="shared" si="68"/>
        <v>97.285067873303163</v>
      </c>
      <c r="T619" s="5" t="str">
        <f>IF(Delivery_Data3[[#This Row],[Delays (min)]]&gt;0,"No","Yes")</f>
        <v>No</v>
      </c>
      <c r="W619" s="41">
        <f t="shared" si="69"/>
        <v>45172</v>
      </c>
      <c r="X619" s="5">
        <v>215</v>
      </c>
    </row>
    <row r="620" spans="1:24" ht="15.75" customHeight="1" x14ac:dyDescent="0.3">
      <c r="A620" s="4">
        <v>1619</v>
      </c>
      <c r="B620" s="5" t="s">
        <v>746</v>
      </c>
      <c r="C620" s="6">
        <v>45177.511805555558</v>
      </c>
      <c r="D620" s="5" t="s">
        <v>43</v>
      </c>
      <c r="E620" s="5" t="s">
        <v>149</v>
      </c>
      <c r="F620" s="5" t="s">
        <v>16</v>
      </c>
      <c r="G620" s="5" t="s">
        <v>56</v>
      </c>
      <c r="H620" s="5">
        <v>193</v>
      </c>
      <c r="I620" s="5">
        <v>2</v>
      </c>
      <c r="J620" s="5" t="s">
        <v>32</v>
      </c>
      <c r="K620" s="5" t="s">
        <v>45</v>
      </c>
      <c r="L620" s="5" t="s">
        <v>20</v>
      </c>
      <c r="M620" s="7" t="s">
        <v>41</v>
      </c>
      <c r="N620" s="26">
        <f t="shared" si="63"/>
        <v>-1</v>
      </c>
      <c r="O620" s="42">
        <f t="shared" si="64"/>
        <v>45177</v>
      </c>
      <c r="P620" s="5" t="str">
        <f t="shared" si="65"/>
        <v>Friday</v>
      </c>
      <c r="Q620" s="5">
        <f t="shared" si="66"/>
        <v>12</v>
      </c>
      <c r="R620" s="28">
        <f t="shared" si="67"/>
        <v>0.98974358974358978</v>
      </c>
      <c r="S620" s="29">
        <f t="shared" si="68"/>
        <v>98.974358974358978</v>
      </c>
      <c r="T620" s="5" t="str">
        <f>IF(Delivery_Data3[[#This Row],[Delays (min)]]&gt;0,"No","Yes")</f>
        <v>No</v>
      </c>
      <c r="W620" s="41">
        <f t="shared" si="69"/>
        <v>45177</v>
      </c>
      <c r="X620" s="5">
        <v>193</v>
      </c>
    </row>
    <row r="621" spans="1:24" ht="15.75" customHeight="1" x14ac:dyDescent="0.3">
      <c r="A621" s="4">
        <v>1620</v>
      </c>
      <c r="B621" s="5" t="s">
        <v>747</v>
      </c>
      <c r="C621" s="6">
        <v>45171.393055555556</v>
      </c>
      <c r="D621" s="5" t="s">
        <v>14</v>
      </c>
      <c r="E621" s="5" t="s">
        <v>103</v>
      </c>
      <c r="F621" s="5" t="s">
        <v>38</v>
      </c>
      <c r="G621" s="5" t="s">
        <v>56</v>
      </c>
      <c r="H621" s="5">
        <v>133</v>
      </c>
      <c r="I621" s="5">
        <v>11</v>
      </c>
      <c r="J621" s="5" t="s">
        <v>18</v>
      </c>
      <c r="K621" s="5" t="s">
        <v>19</v>
      </c>
      <c r="L621" s="5" t="s">
        <v>40</v>
      </c>
      <c r="M621" s="7" t="s">
        <v>46</v>
      </c>
      <c r="N621" s="26">
        <f t="shared" si="63"/>
        <v>0</v>
      </c>
      <c r="O621" s="42">
        <f t="shared" si="64"/>
        <v>45171</v>
      </c>
      <c r="P621" s="5" t="str">
        <f t="shared" si="65"/>
        <v>Saturday</v>
      </c>
      <c r="Q621" s="5">
        <f t="shared" si="66"/>
        <v>9</v>
      </c>
      <c r="R621" s="28">
        <f t="shared" si="67"/>
        <v>0.92361111111111116</v>
      </c>
      <c r="S621" s="29">
        <f t="shared" si="68"/>
        <v>92.361111111111114</v>
      </c>
      <c r="T621" s="5" t="str">
        <f>IF(Delivery_Data3[[#This Row],[Delays (min)]]&gt;0,"No","Yes")</f>
        <v>No</v>
      </c>
      <c r="W621" s="41">
        <f t="shared" si="69"/>
        <v>45171</v>
      </c>
      <c r="X621" s="5">
        <v>133</v>
      </c>
    </row>
    <row r="622" spans="1:24" ht="15.75" customHeight="1" x14ac:dyDescent="0.3">
      <c r="A622" s="4">
        <v>1621</v>
      </c>
      <c r="B622" s="5" t="s">
        <v>748</v>
      </c>
      <c r="C622" s="6">
        <v>45172.707638888889</v>
      </c>
      <c r="D622" s="5" t="s">
        <v>43</v>
      </c>
      <c r="E622" s="5" t="s">
        <v>48</v>
      </c>
      <c r="F622" s="5" t="s">
        <v>16</v>
      </c>
      <c r="G622" s="5" t="s">
        <v>31</v>
      </c>
      <c r="H622" s="5">
        <v>168</v>
      </c>
      <c r="I622" s="5">
        <v>6</v>
      </c>
      <c r="J622" s="5" t="s">
        <v>32</v>
      </c>
      <c r="K622" s="5" t="s">
        <v>45</v>
      </c>
      <c r="L622" s="5" t="s">
        <v>20</v>
      </c>
      <c r="M622" s="7" t="s">
        <v>21</v>
      </c>
      <c r="N622" s="26">
        <f t="shared" si="63"/>
        <v>-1</v>
      </c>
      <c r="O622" s="42">
        <f t="shared" si="64"/>
        <v>45172</v>
      </c>
      <c r="P622" s="5" t="str">
        <f t="shared" si="65"/>
        <v>Sunday</v>
      </c>
      <c r="Q622" s="5">
        <f t="shared" si="66"/>
        <v>16</v>
      </c>
      <c r="R622" s="28">
        <f t="shared" si="67"/>
        <v>0.96551724137931039</v>
      </c>
      <c r="S622" s="29">
        <f t="shared" si="68"/>
        <v>96.551724137931032</v>
      </c>
      <c r="T622" s="5" t="str">
        <f>IF(Delivery_Data3[[#This Row],[Delays (min)]]&gt;0,"No","Yes")</f>
        <v>No</v>
      </c>
      <c r="W622" s="41">
        <f t="shared" si="69"/>
        <v>45172</v>
      </c>
      <c r="X622" s="5">
        <v>168</v>
      </c>
    </row>
    <row r="623" spans="1:24" ht="15.75" customHeight="1" x14ac:dyDescent="0.3">
      <c r="A623" s="4">
        <v>1622</v>
      </c>
      <c r="B623" s="5" t="s">
        <v>749</v>
      </c>
      <c r="C623" s="6">
        <v>45174.633333333331</v>
      </c>
      <c r="D623" s="5" t="s">
        <v>43</v>
      </c>
      <c r="E623" s="5" t="s">
        <v>171</v>
      </c>
      <c r="F623" s="5" t="s">
        <v>24</v>
      </c>
      <c r="G623" s="5" t="s">
        <v>25</v>
      </c>
      <c r="H623" s="5">
        <v>196</v>
      </c>
      <c r="I623" s="5">
        <v>17</v>
      </c>
      <c r="J623" s="5" t="s">
        <v>32</v>
      </c>
      <c r="K623" s="5" t="s">
        <v>45</v>
      </c>
      <c r="L623" s="5" t="s">
        <v>40</v>
      </c>
      <c r="M623" s="7" t="s">
        <v>41</v>
      </c>
      <c r="N623" s="26">
        <f t="shared" si="63"/>
        <v>-1</v>
      </c>
      <c r="O623" s="42">
        <f t="shared" si="64"/>
        <v>45174</v>
      </c>
      <c r="P623" s="5" t="str">
        <f t="shared" si="65"/>
        <v>Tuesday</v>
      </c>
      <c r="Q623" s="5">
        <f t="shared" si="66"/>
        <v>15</v>
      </c>
      <c r="R623" s="28">
        <f t="shared" si="67"/>
        <v>0.92018779342723001</v>
      </c>
      <c r="S623" s="29">
        <f t="shared" si="68"/>
        <v>92.018779342723008</v>
      </c>
      <c r="T623" s="5" t="str">
        <f>IF(Delivery_Data3[[#This Row],[Delays (min)]]&gt;0,"No","Yes")</f>
        <v>No</v>
      </c>
      <c r="W623" s="41">
        <f t="shared" si="69"/>
        <v>45174</v>
      </c>
      <c r="X623" s="5">
        <v>196</v>
      </c>
    </row>
    <row r="624" spans="1:24" ht="15.75" customHeight="1" x14ac:dyDescent="0.3">
      <c r="A624" s="4">
        <v>1623</v>
      </c>
      <c r="B624" s="5" t="s">
        <v>750</v>
      </c>
      <c r="C624" s="6">
        <v>45173.670138888891</v>
      </c>
      <c r="D624" s="5" t="s">
        <v>43</v>
      </c>
      <c r="E624" s="5" t="s">
        <v>272</v>
      </c>
      <c r="F624" s="5" t="s">
        <v>38</v>
      </c>
      <c r="G624" s="5" t="s">
        <v>25</v>
      </c>
      <c r="H624" s="5">
        <v>117</v>
      </c>
      <c r="I624" s="5">
        <v>20</v>
      </c>
      <c r="J624" s="5" t="s">
        <v>32</v>
      </c>
      <c r="K624" s="5" t="s">
        <v>49</v>
      </c>
      <c r="L624" s="5" t="s">
        <v>40</v>
      </c>
      <c r="M624" s="7" t="s">
        <v>41</v>
      </c>
      <c r="N624" s="26">
        <f t="shared" si="63"/>
        <v>-1</v>
      </c>
      <c r="O624" s="42">
        <f t="shared" si="64"/>
        <v>45173</v>
      </c>
      <c r="P624" s="5" t="str">
        <f t="shared" si="65"/>
        <v>Monday</v>
      </c>
      <c r="Q624" s="5">
        <f t="shared" si="66"/>
        <v>16</v>
      </c>
      <c r="R624" s="28">
        <f t="shared" si="67"/>
        <v>0.85401459854014594</v>
      </c>
      <c r="S624" s="29">
        <f t="shared" si="68"/>
        <v>85.40145985401459</v>
      </c>
      <c r="T624" s="5" t="str">
        <f>IF(Delivery_Data3[[#This Row],[Delays (min)]]&gt;0,"No","Yes")</f>
        <v>No</v>
      </c>
      <c r="W624" s="41">
        <f t="shared" si="69"/>
        <v>45173</v>
      </c>
      <c r="X624" s="5">
        <v>117</v>
      </c>
    </row>
    <row r="625" spans="1:24" ht="15.75" customHeight="1" x14ac:dyDescent="0.3">
      <c r="A625" s="4">
        <v>1624</v>
      </c>
      <c r="B625" s="5" t="s">
        <v>751</v>
      </c>
      <c r="C625" s="6">
        <v>45174.376388888886</v>
      </c>
      <c r="D625" s="5" t="s">
        <v>43</v>
      </c>
      <c r="E625" s="5" t="s">
        <v>15</v>
      </c>
      <c r="F625" s="5" t="s">
        <v>16</v>
      </c>
      <c r="G625" s="5" t="s">
        <v>17</v>
      </c>
      <c r="H625" s="5">
        <v>226</v>
      </c>
      <c r="I625" s="5">
        <v>5</v>
      </c>
      <c r="J625" s="5" t="s">
        <v>26</v>
      </c>
      <c r="K625" s="5" t="s">
        <v>27</v>
      </c>
      <c r="L625" s="5" t="s">
        <v>40</v>
      </c>
      <c r="M625" s="7" t="s">
        <v>41</v>
      </c>
      <c r="N625" s="26">
        <f t="shared" si="63"/>
        <v>1</v>
      </c>
      <c r="O625" s="42">
        <f t="shared" si="64"/>
        <v>45174</v>
      </c>
      <c r="P625" s="5" t="str">
        <f t="shared" si="65"/>
        <v>Tuesday</v>
      </c>
      <c r="Q625" s="5">
        <f t="shared" si="66"/>
        <v>9</v>
      </c>
      <c r="R625" s="28">
        <f t="shared" si="67"/>
        <v>0.97835497835497831</v>
      </c>
      <c r="S625" s="29">
        <f t="shared" si="68"/>
        <v>97.835497835497833</v>
      </c>
      <c r="T625" s="5" t="str">
        <f>IF(Delivery_Data3[[#This Row],[Delays (min)]]&gt;0,"No","Yes")</f>
        <v>No</v>
      </c>
      <c r="W625" s="41">
        <f t="shared" si="69"/>
        <v>45174</v>
      </c>
      <c r="X625" s="5">
        <v>226</v>
      </c>
    </row>
    <row r="626" spans="1:24" ht="15.75" customHeight="1" x14ac:dyDescent="0.3">
      <c r="A626" s="4">
        <v>1625</v>
      </c>
      <c r="B626" s="5" t="s">
        <v>752</v>
      </c>
      <c r="C626" s="6">
        <v>45172.543055555558</v>
      </c>
      <c r="D626" s="5" t="s">
        <v>43</v>
      </c>
      <c r="E626" s="5" t="s">
        <v>370</v>
      </c>
      <c r="F626" s="5" t="s">
        <v>38</v>
      </c>
      <c r="G626" s="5" t="s">
        <v>39</v>
      </c>
      <c r="H626" s="5">
        <v>192</v>
      </c>
      <c r="I626" s="5">
        <v>3</v>
      </c>
      <c r="J626" s="5" t="s">
        <v>18</v>
      </c>
      <c r="K626" s="5" t="s">
        <v>35</v>
      </c>
      <c r="L626" s="5" t="s">
        <v>40</v>
      </c>
      <c r="M626" s="7" t="s">
        <v>21</v>
      </c>
      <c r="N626" s="26">
        <f t="shared" si="63"/>
        <v>0</v>
      </c>
      <c r="O626" s="42">
        <f t="shared" si="64"/>
        <v>45172</v>
      </c>
      <c r="P626" s="5" t="str">
        <f t="shared" si="65"/>
        <v>Sunday</v>
      </c>
      <c r="Q626" s="5">
        <f t="shared" si="66"/>
        <v>13</v>
      </c>
      <c r="R626" s="28">
        <f t="shared" si="67"/>
        <v>0.98461538461538467</v>
      </c>
      <c r="S626" s="29">
        <f t="shared" si="68"/>
        <v>98.461538461538467</v>
      </c>
      <c r="T626" s="5" t="str">
        <f>IF(Delivery_Data3[[#This Row],[Delays (min)]]&gt;0,"No","Yes")</f>
        <v>No</v>
      </c>
      <c r="W626" s="41">
        <f t="shared" si="69"/>
        <v>45172</v>
      </c>
      <c r="X626" s="5">
        <v>192</v>
      </c>
    </row>
    <row r="627" spans="1:24" ht="15.75" customHeight="1" x14ac:dyDescent="0.3">
      <c r="A627" s="4">
        <v>1626</v>
      </c>
      <c r="B627" s="5" t="s">
        <v>753</v>
      </c>
      <c r="C627" s="6">
        <v>45176.575694444444</v>
      </c>
      <c r="D627" s="5" t="s">
        <v>43</v>
      </c>
      <c r="E627" s="5" t="s">
        <v>288</v>
      </c>
      <c r="F627" s="5" t="s">
        <v>16</v>
      </c>
      <c r="G627" s="5" t="s">
        <v>39</v>
      </c>
      <c r="H627" s="5">
        <v>189</v>
      </c>
      <c r="I627" s="5">
        <v>26</v>
      </c>
      <c r="J627" s="5" t="s">
        <v>32</v>
      </c>
      <c r="K627" s="5" t="s">
        <v>45</v>
      </c>
      <c r="L627" s="5" t="s">
        <v>20</v>
      </c>
      <c r="M627" s="7" t="s">
        <v>46</v>
      </c>
      <c r="N627" s="26">
        <f t="shared" si="63"/>
        <v>-1</v>
      </c>
      <c r="O627" s="42">
        <f t="shared" si="64"/>
        <v>45176</v>
      </c>
      <c r="P627" s="5" t="str">
        <f t="shared" si="65"/>
        <v>Thursday</v>
      </c>
      <c r="Q627" s="5">
        <f t="shared" si="66"/>
        <v>13</v>
      </c>
      <c r="R627" s="28">
        <f t="shared" si="67"/>
        <v>0.87906976744186049</v>
      </c>
      <c r="S627" s="29">
        <f t="shared" si="68"/>
        <v>87.906976744186053</v>
      </c>
      <c r="T627" s="5" t="str">
        <f>IF(Delivery_Data3[[#This Row],[Delays (min)]]&gt;0,"No","Yes")</f>
        <v>No</v>
      </c>
      <c r="W627" s="41">
        <f t="shared" si="69"/>
        <v>45176</v>
      </c>
      <c r="X627" s="5">
        <v>189</v>
      </c>
    </row>
    <row r="628" spans="1:24" ht="15.75" customHeight="1" x14ac:dyDescent="0.3">
      <c r="A628" s="4">
        <v>1627</v>
      </c>
      <c r="B628" s="5" t="s">
        <v>754</v>
      </c>
      <c r="C628" s="6">
        <v>45172.488194444442</v>
      </c>
      <c r="D628" s="5" t="s">
        <v>43</v>
      </c>
      <c r="E628" s="5" t="s">
        <v>89</v>
      </c>
      <c r="F628" s="5" t="s">
        <v>38</v>
      </c>
      <c r="G628" s="5" t="s">
        <v>25</v>
      </c>
      <c r="H628" s="5">
        <v>223</v>
      </c>
      <c r="I628" s="5">
        <v>19</v>
      </c>
      <c r="J628" s="5" t="s">
        <v>26</v>
      </c>
      <c r="K628" s="5" t="s">
        <v>19</v>
      </c>
      <c r="L628" s="5" t="s">
        <v>20</v>
      </c>
      <c r="M628" s="7" t="s">
        <v>21</v>
      </c>
      <c r="N628" s="26">
        <f t="shared" si="63"/>
        <v>1</v>
      </c>
      <c r="O628" s="42">
        <f t="shared" si="64"/>
        <v>45172</v>
      </c>
      <c r="P628" s="5" t="str">
        <f t="shared" si="65"/>
        <v>Sunday</v>
      </c>
      <c r="Q628" s="5">
        <f t="shared" si="66"/>
        <v>11</v>
      </c>
      <c r="R628" s="28">
        <f t="shared" si="67"/>
        <v>0.92148760330578516</v>
      </c>
      <c r="S628" s="29">
        <f t="shared" si="68"/>
        <v>92.148760330578511</v>
      </c>
      <c r="T628" s="5" t="str">
        <f>IF(Delivery_Data3[[#This Row],[Delays (min)]]&gt;0,"No","Yes")</f>
        <v>No</v>
      </c>
      <c r="W628" s="41">
        <f t="shared" si="69"/>
        <v>45172</v>
      </c>
      <c r="X628" s="5">
        <v>223</v>
      </c>
    </row>
    <row r="629" spans="1:24" ht="15.75" customHeight="1" x14ac:dyDescent="0.3">
      <c r="A629" s="4">
        <v>1628</v>
      </c>
      <c r="B629" s="5" t="s">
        <v>755</v>
      </c>
      <c r="C629" s="6">
        <v>45174.395138888889</v>
      </c>
      <c r="D629" s="5" t="s">
        <v>43</v>
      </c>
      <c r="E629" s="5" t="s">
        <v>111</v>
      </c>
      <c r="F629" s="5" t="s">
        <v>16</v>
      </c>
      <c r="G629" s="5" t="s">
        <v>31</v>
      </c>
      <c r="H629" s="5">
        <v>141</v>
      </c>
      <c r="I629" s="5">
        <v>13</v>
      </c>
      <c r="J629" s="5" t="s">
        <v>18</v>
      </c>
      <c r="K629" s="5" t="s">
        <v>35</v>
      </c>
      <c r="L629" s="5" t="s">
        <v>40</v>
      </c>
      <c r="M629" s="7" t="s">
        <v>41</v>
      </c>
      <c r="N629" s="26">
        <f t="shared" si="63"/>
        <v>0</v>
      </c>
      <c r="O629" s="42">
        <f t="shared" si="64"/>
        <v>45174</v>
      </c>
      <c r="P629" s="5" t="str">
        <f t="shared" si="65"/>
        <v>Tuesday</v>
      </c>
      <c r="Q629" s="5">
        <f t="shared" si="66"/>
        <v>9</v>
      </c>
      <c r="R629" s="28">
        <f t="shared" si="67"/>
        <v>0.91558441558441561</v>
      </c>
      <c r="S629" s="29">
        <f t="shared" si="68"/>
        <v>91.558441558441558</v>
      </c>
      <c r="T629" s="5" t="str">
        <f>IF(Delivery_Data3[[#This Row],[Delays (min)]]&gt;0,"No","Yes")</f>
        <v>No</v>
      </c>
      <c r="W629" s="41">
        <f t="shared" si="69"/>
        <v>45174</v>
      </c>
      <c r="X629" s="5">
        <v>141</v>
      </c>
    </row>
    <row r="630" spans="1:24" ht="15.75" customHeight="1" x14ac:dyDescent="0.3">
      <c r="A630" s="4">
        <v>1629</v>
      </c>
      <c r="B630" s="5" t="s">
        <v>756</v>
      </c>
      <c r="C630" s="6">
        <v>45175.49722222222</v>
      </c>
      <c r="D630" s="5" t="s">
        <v>43</v>
      </c>
      <c r="E630" s="5" t="s">
        <v>240</v>
      </c>
      <c r="F630" s="5" t="s">
        <v>38</v>
      </c>
      <c r="G630" s="5" t="s">
        <v>39</v>
      </c>
      <c r="H630" s="5">
        <v>203</v>
      </c>
      <c r="I630" s="5">
        <v>27</v>
      </c>
      <c r="J630" s="5" t="s">
        <v>32</v>
      </c>
      <c r="K630" s="5" t="s">
        <v>45</v>
      </c>
      <c r="L630" s="5" t="s">
        <v>20</v>
      </c>
      <c r="M630" s="7" t="s">
        <v>41</v>
      </c>
      <c r="N630" s="26">
        <f t="shared" si="63"/>
        <v>-1</v>
      </c>
      <c r="O630" s="42">
        <f t="shared" si="64"/>
        <v>45175</v>
      </c>
      <c r="P630" s="5" t="str">
        <f t="shared" si="65"/>
        <v>Wednesday</v>
      </c>
      <c r="Q630" s="5">
        <f t="shared" si="66"/>
        <v>11</v>
      </c>
      <c r="R630" s="28">
        <f t="shared" si="67"/>
        <v>0.88260869565217392</v>
      </c>
      <c r="S630" s="29">
        <f t="shared" si="68"/>
        <v>88.260869565217391</v>
      </c>
      <c r="T630" s="5" t="str">
        <f>IF(Delivery_Data3[[#This Row],[Delays (min)]]&gt;0,"No","Yes")</f>
        <v>No</v>
      </c>
      <c r="W630" s="41">
        <f t="shared" si="69"/>
        <v>45175</v>
      </c>
      <c r="X630" s="5">
        <v>203</v>
      </c>
    </row>
    <row r="631" spans="1:24" ht="15.75" customHeight="1" x14ac:dyDescent="0.3">
      <c r="A631" s="4">
        <v>1630</v>
      </c>
      <c r="B631" s="5" t="s">
        <v>757</v>
      </c>
      <c r="C631" s="6">
        <v>45173.636111111111</v>
      </c>
      <c r="D631" s="5" t="s">
        <v>43</v>
      </c>
      <c r="E631" s="5" t="s">
        <v>132</v>
      </c>
      <c r="F631" s="5" t="s">
        <v>16</v>
      </c>
      <c r="G631" s="5" t="s">
        <v>56</v>
      </c>
      <c r="H631" s="5">
        <v>133</v>
      </c>
      <c r="I631" s="5">
        <v>16</v>
      </c>
      <c r="J631" s="5" t="s">
        <v>18</v>
      </c>
      <c r="K631" s="5" t="s">
        <v>35</v>
      </c>
      <c r="L631" s="5" t="s">
        <v>40</v>
      </c>
      <c r="M631" s="7" t="s">
        <v>21</v>
      </c>
      <c r="N631" s="26">
        <f t="shared" si="63"/>
        <v>0</v>
      </c>
      <c r="O631" s="42">
        <f t="shared" si="64"/>
        <v>45173</v>
      </c>
      <c r="P631" s="5" t="str">
        <f t="shared" si="65"/>
        <v>Monday</v>
      </c>
      <c r="Q631" s="5">
        <f t="shared" si="66"/>
        <v>15</v>
      </c>
      <c r="R631" s="28">
        <f t="shared" si="67"/>
        <v>0.89261744966442957</v>
      </c>
      <c r="S631" s="29">
        <f t="shared" si="68"/>
        <v>89.261744966442961</v>
      </c>
      <c r="T631" s="5" t="str">
        <f>IF(Delivery_Data3[[#This Row],[Delays (min)]]&gt;0,"No","Yes")</f>
        <v>No</v>
      </c>
      <c r="W631" s="41">
        <f t="shared" si="69"/>
        <v>45173</v>
      </c>
      <c r="X631" s="5">
        <v>133</v>
      </c>
    </row>
    <row r="632" spans="1:24" ht="15.75" customHeight="1" x14ac:dyDescent="0.3">
      <c r="A632" s="4">
        <v>1631</v>
      </c>
      <c r="B632" s="5" t="s">
        <v>758</v>
      </c>
      <c r="C632" s="6">
        <v>45172.579861111109</v>
      </c>
      <c r="D632" s="5" t="s">
        <v>14</v>
      </c>
      <c r="E632" s="5" t="s">
        <v>34</v>
      </c>
      <c r="F632" s="5" t="s">
        <v>24</v>
      </c>
      <c r="G632" s="5" t="s">
        <v>56</v>
      </c>
      <c r="H632" s="5">
        <v>116</v>
      </c>
      <c r="I632" s="5">
        <v>1</v>
      </c>
      <c r="J632" s="5" t="s">
        <v>18</v>
      </c>
      <c r="K632" s="5" t="s">
        <v>49</v>
      </c>
      <c r="L632" s="5" t="s">
        <v>20</v>
      </c>
      <c r="M632" s="7" t="s">
        <v>21</v>
      </c>
      <c r="N632" s="26">
        <f t="shared" si="63"/>
        <v>0</v>
      </c>
      <c r="O632" s="42">
        <f t="shared" si="64"/>
        <v>45172</v>
      </c>
      <c r="P632" s="5" t="str">
        <f t="shared" si="65"/>
        <v>Sunday</v>
      </c>
      <c r="Q632" s="5">
        <f t="shared" si="66"/>
        <v>13</v>
      </c>
      <c r="R632" s="28">
        <f t="shared" si="67"/>
        <v>0.99145299145299148</v>
      </c>
      <c r="S632" s="29">
        <f t="shared" si="68"/>
        <v>99.145299145299148</v>
      </c>
      <c r="T632" s="5" t="str">
        <f>IF(Delivery_Data3[[#This Row],[Delays (min)]]&gt;0,"No","Yes")</f>
        <v>No</v>
      </c>
      <c r="W632" s="41">
        <f t="shared" si="69"/>
        <v>45172</v>
      </c>
      <c r="X632" s="5">
        <v>116</v>
      </c>
    </row>
    <row r="633" spans="1:24" ht="15.75" customHeight="1" x14ac:dyDescent="0.3">
      <c r="A633" s="4">
        <v>1632</v>
      </c>
      <c r="B633" s="5" t="s">
        <v>759</v>
      </c>
      <c r="C633" s="6">
        <v>45170.606249999997</v>
      </c>
      <c r="D633" s="5" t="s">
        <v>14</v>
      </c>
      <c r="E633" s="5" t="s">
        <v>272</v>
      </c>
      <c r="F633" s="5" t="s">
        <v>24</v>
      </c>
      <c r="G633" s="5" t="s">
        <v>25</v>
      </c>
      <c r="H633" s="5">
        <v>77</v>
      </c>
      <c r="I633" s="5">
        <v>5</v>
      </c>
      <c r="J633" s="5" t="s">
        <v>32</v>
      </c>
      <c r="K633" s="5" t="s">
        <v>45</v>
      </c>
      <c r="L633" s="5" t="s">
        <v>28</v>
      </c>
      <c r="M633" s="7" t="s">
        <v>41</v>
      </c>
      <c r="N633" s="26">
        <f t="shared" si="63"/>
        <v>-1</v>
      </c>
      <c r="O633" s="42">
        <f t="shared" si="64"/>
        <v>45170</v>
      </c>
      <c r="P633" s="5" t="str">
        <f t="shared" si="65"/>
        <v>Friday</v>
      </c>
      <c r="Q633" s="5">
        <f t="shared" si="66"/>
        <v>14</v>
      </c>
      <c r="R633" s="28">
        <f t="shared" si="67"/>
        <v>0.93902439024390238</v>
      </c>
      <c r="S633" s="29">
        <f t="shared" si="68"/>
        <v>93.902439024390233</v>
      </c>
      <c r="T633" s="5" t="str">
        <f>IF(Delivery_Data3[[#This Row],[Delays (min)]]&gt;0,"No","Yes")</f>
        <v>No</v>
      </c>
      <c r="W633" s="41">
        <f t="shared" si="69"/>
        <v>45170</v>
      </c>
      <c r="X633" s="5">
        <v>77</v>
      </c>
    </row>
    <row r="634" spans="1:24" ht="15.75" customHeight="1" x14ac:dyDescent="0.3">
      <c r="A634" s="4">
        <v>1633</v>
      </c>
      <c r="B634" s="5" t="s">
        <v>760</v>
      </c>
      <c r="C634" s="6">
        <v>45174.621527777781</v>
      </c>
      <c r="D634" s="5" t="s">
        <v>14</v>
      </c>
      <c r="E634" s="5" t="s">
        <v>60</v>
      </c>
      <c r="F634" s="5" t="s">
        <v>38</v>
      </c>
      <c r="G634" s="5" t="s">
        <v>31</v>
      </c>
      <c r="H634" s="5">
        <v>71</v>
      </c>
      <c r="I634" s="5">
        <v>13</v>
      </c>
      <c r="J634" s="5" t="s">
        <v>18</v>
      </c>
      <c r="K634" s="5" t="s">
        <v>19</v>
      </c>
      <c r="L634" s="5" t="s">
        <v>40</v>
      </c>
      <c r="M634" s="7" t="s">
        <v>46</v>
      </c>
      <c r="N634" s="26">
        <f t="shared" si="63"/>
        <v>0</v>
      </c>
      <c r="O634" s="42">
        <f t="shared" si="64"/>
        <v>45174</v>
      </c>
      <c r="P634" s="5" t="str">
        <f t="shared" si="65"/>
        <v>Tuesday</v>
      </c>
      <c r="Q634" s="5">
        <f t="shared" si="66"/>
        <v>14</v>
      </c>
      <c r="R634" s="28">
        <f t="shared" si="67"/>
        <v>0.84523809523809523</v>
      </c>
      <c r="S634" s="29">
        <f t="shared" si="68"/>
        <v>84.523809523809518</v>
      </c>
      <c r="T634" s="5" t="str">
        <f>IF(Delivery_Data3[[#This Row],[Delays (min)]]&gt;0,"No","Yes")</f>
        <v>No</v>
      </c>
      <c r="W634" s="41">
        <f t="shared" si="69"/>
        <v>45174</v>
      </c>
      <c r="X634" s="5">
        <v>71</v>
      </c>
    </row>
    <row r="635" spans="1:24" ht="15.75" customHeight="1" x14ac:dyDescent="0.3">
      <c r="A635" s="4">
        <v>1634</v>
      </c>
      <c r="B635" s="5" t="s">
        <v>761</v>
      </c>
      <c r="C635" s="6">
        <v>45170.685416666667</v>
      </c>
      <c r="D635" s="5" t="s">
        <v>43</v>
      </c>
      <c r="E635" s="5" t="s">
        <v>106</v>
      </c>
      <c r="F635" s="5" t="s">
        <v>38</v>
      </c>
      <c r="G635" s="5" t="s">
        <v>39</v>
      </c>
      <c r="H635" s="5">
        <v>88</v>
      </c>
      <c r="I635" s="5">
        <v>14</v>
      </c>
      <c r="J635" s="5" t="s">
        <v>32</v>
      </c>
      <c r="K635" s="5" t="s">
        <v>35</v>
      </c>
      <c r="L635" s="5" t="s">
        <v>40</v>
      </c>
      <c r="M635" s="7" t="s">
        <v>21</v>
      </c>
      <c r="N635" s="26">
        <f t="shared" si="63"/>
        <v>-1</v>
      </c>
      <c r="O635" s="42">
        <f t="shared" si="64"/>
        <v>45170</v>
      </c>
      <c r="P635" s="5" t="str">
        <f t="shared" si="65"/>
        <v>Friday</v>
      </c>
      <c r="Q635" s="5">
        <f t="shared" si="66"/>
        <v>16</v>
      </c>
      <c r="R635" s="28">
        <f t="shared" si="67"/>
        <v>0.86274509803921573</v>
      </c>
      <c r="S635" s="29">
        <f t="shared" si="68"/>
        <v>86.274509803921575</v>
      </c>
      <c r="T635" s="5" t="str">
        <f>IF(Delivery_Data3[[#This Row],[Delays (min)]]&gt;0,"No","Yes")</f>
        <v>No</v>
      </c>
      <c r="W635" s="41">
        <f t="shared" si="69"/>
        <v>45170</v>
      </c>
      <c r="X635" s="5">
        <v>88</v>
      </c>
    </row>
    <row r="636" spans="1:24" ht="15.75" customHeight="1" x14ac:dyDescent="0.3">
      <c r="A636" s="4">
        <v>1635</v>
      </c>
      <c r="B636" s="5" t="s">
        <v>762</v>
      </c>
      <c r="C636" s="6">
        <v>45173.602777777778</v>
      </c>
      <c r="D636" s="5" t="s">
        <v>43</v>
      </c>
      <c r="E636" s="5" t="s">
        <v>34</v>
      </c>
      <c r="F636" s="5" t="s">
        <v>16</v>
      </c>
      <c r="G636" s="5" t="s">
        <v>39</v>
      </c>
      <c r="H636" s="5">
        <v>129</v>
      </c>
      <c r="I636" s="5">
        <v>24</v>
      </c>
      <c r="J636" s="5" t="s">
        <v>26</v>
      </c>
      <c r="K636" s="5" t="s">
        <v>49</v>
      </c>
      <c r="L636" s="5" t="s">
        <v>20</v>
      </c>
      <c r="M636" s="7" t="s">
        <v>46</v>
      </c>
      <c r="N636" s="26">
        <f t="shared" si="63"/>
        <v>1</v>
      </c>
      <c r="O636" s="42">
        <f t="shared" si="64"/>
        <v>45173</v>
      </c>
      <c r="P636" s="5" t="str">
        <f t="shared" si="65"/>
        <v>Monday</v>
      </c>
      <c r="Q636" s="5">
        <f t="shared" si="66"/>
        <v>14</v>
      </c>
      <c r="R636" s="28">
        <f t="shared" si="67"/>
        <v>0.84313725490196079</v>
      </c>
      <c r="S636" s="29">
        <f t="shared" si="68"/>
        <v>84.313725490196077</v>
      </c>
      <c r="T636" s="5" t="str">
        <f>IF(Delivery_Data3[[#This Row],[Delays (min)]]&gt;0,"No","Yes")</f>
        <v>No</v>
      </c>
      <c r="W636" s="41">
        <f t="shared" si="69"/>
        <v>45173</v>
      </c>
      <c r="X636" s="5">
        <v>129</v>
      </c>
    </row>
    <row r="637" spans="1:24" ht="15.75" customHeight="1" x14ac:dyDescent="0.3">
      <c r="A637" s="4">
        <v>1636</v>
      </c>
      <c r="B637" s="5" t="s">
        <v>763</v>
      </c>
      <c r="C637" s="6">
        <v>45174.676388888889</v>
      </c>
      <c r="D637" s="5" t="s">
        <v>14</v>
      </c>
      <c r="E637" s="5" t="s">
        <v>70</v>
      </c>
      <c r="F637" s="5" t="s">
        <v>38</v>
      </c>
      <c r="G637" s="5" t="s">
        <v>39</v>
      </c>
      <c r="H637" s="5">
        <v>128</v>
      </c>
      <c r="I637" s="5">
        <v>3</v>
      </c>
      <c r="J637" s="5" t="s">
        <v>26</v>
      </c>
      <c r="K637" s="5" t="s">
        <v>35</v>
      </c>
      <c r="L637" s="5" t="s">
        <v>28</v>
      </c>
      <c r="M637" s="7" t="s">
        <v>46</v>
      </c>
      <c r="N637" s="26">
        <f t="shared" si="63"/>
        <v>1</v>
      </c>
      <c r="O637" s="42">
        <f t="shared" si="64"/>
        <v>45174</v>
      </c>
      <c r="P637" s="5" t="str">
        <f t="shared" si="65"/>
        <v>Tuesday</v>
      </c>
      <c r="Q637" s="5">
        <f t="shared" si="66"/>
        <v>16</v>
      </c>
      <c r="R637" s="28">
        <f t="shared" si="67"/>
        <v>0.97709923664122134</v>
      </c>
      <c r="S637" s="29">
        <f t="shared" si="68"/>
        <v>97.70992366412213</v>
      </c>
      <c r="T637" s="5" t="str">
        <f>IF(Delivery_Data3[[#This Row],[Delays (min)]]&gt;0,"No","Yes")</f>
        <v>No</v>
      </c>
      <c r="W637" s="41">
        <f t="shared" si="69"/>
        <v>45174</v>
      </c>
      <c r="X637" s="5">
        <v>128</v>
      </c>
    </row>
    <row r="638" spans="1:24" ht="15.75" customHeight="1" x14ac:dyDescent="0.3">
      <c r="A638" s="4">
        <v>1637</v>
      </c>
      <c r="B638" s="5" t="s">
        <v>764</v>
      </c>
      <c r="C638" s="6">
        <v>45173.540972222225</v>
      </c>
      <c r="D638" s="5" t="s">
        <v>14</v>
      </c>
      <c r="E638" s="5" t="s">
        <v>234</v>
      </c>
      <c r="F638" s="5" t="s">
        <v>24</v>
      </c>
      <c r="G638" s="5" t="s">
        <v>25</v>
      </c>
      <c r="H638" s="5">
        <v>204</v>
      </c>
      <c r="I638" s="5">
        <v>24</v>
      </c>
      <c r="J638" s="5" t="s">
        <v>18</v>
      </c>
      <c r="K638" s="5" t="s">
        <v>19</v>
      </c>
      <c r="L638" s="5" t="s">
        <v>40</v>
      </c>
      <c r="M638" s="7" t="s">
        <v>41</v>
      </c>
      <c r="N638" s="26">
        <f t="shared" si="63"/>
        <v>0</v>
      </c>
      <c r="O638" s="42">
        <f t="shared" si="64"/>
        <v>45173</v>
      </c>
      <c r="P638" s="5" t="str">
        <f t="shared" si="65"/>
        <v>Monday</v>
      </c>
      <c r="Q638" s="5">
        <f t="shared" si="66"/>
        <v>12</v>
      </c>
      <c r="R638" s="28">
        <f t="shared" si="67"/>
        <v>0.89473684210526316</v>
      </c>
      <c r="S638" s="29">
        <f t="shared" si="68"/>
        <v>89.473684210526315</v>
      </c>
      <c r="T638" s="5" t="str">
        <f>IF(Delivery_Data3[[#This Row],[Delays (min)]]&gt;0,"No","Yes")</f>
        <v>No</v>
      </c>
      <c r="W638" s="41">
        <f t="shared" si="69"/>
        <v>45173</v>
      </c>
      <c r="X638" s="5">
        <v>204</v>
      </c>
    </row>
    <row r="639" spans="1:24" ht="15.75" customHeight="1" x14ac:dyDescent="0.3">
      <c r="A639" s="4">
        <v>1638</v>
      </c>
      <c r="B639" s="5" t="s">
        <v>765</v>
      </c>
      <c r="C639" s="6">
        <v>45172.679861111108</v>
      </c>
      <c r="D639" s="5" t="s">
        <v>43</v>
      </c>
      <c r="E639" s="5" t="s">
        <v>140</v>
      </c>
      <c r="F639" s="5" t="s">
        <v>38</v>
      </c>
      <c r="G639" s="5" t="s">
        <v>56</v>
      </c>
      <c r="H639" s="5">
        <v>92</v>
      </c>
      <c r="I639" s="5">
        <v>25</v>
      </c>
      <c r="J639" s="5" t="s">
        <v>26</v>
      </c>
      <c r="K639" s="5" t="s">
        <v>49</v>
      </c>
      <c r="L639" s="5" t="s">
        <v>40</v>
      </c>
      <c r="M639" s="7" t="s">
        <v>41</v>
      </c>
      <c r="N639" s="26">
        <f t="shared" si="63"/>
        <v>1</v>
      </c>
      <c r="O639" s="42">
        <f t="shared" si="64"/>
        <v>45172</v>
      </c>
      <c r="P639" s="5" t="str">
        <f t="shared" si="65"/>
        <v>Sunday</v>
      </c>
      <c r="Q639" s="5">
        <f t="shared" si="66"/>
        <v>16</v>
      </c>
      <c r="R639" s="28">
        <f t="shared" si="67"/>
        <v>0.78632478632478631</v>
      </c>
      <c r="S639" s="29">
        <f t="shared" si="68"/>
        <v>78.632478632478637</v>
      </c>
      <c r="T639" s="5" t="str">
        <f>IF(Delivery_Data3[[#This Row],[Delays (min)]]&gt;0,"No","Yes")</f>
        <v>No</v>
      </c>
      <c r="W639" s="41">
        <f t="shared" si="69"/>
        <v>45172</v>
      </c>
      <c r="X639" s="5">
        <v>92</v>
      </c>
    </row>
    <row r="640" spans="1:24" ht="15.75" customHeight="1" x14ac:dyDescent="0.3">
      <c r="A640" s="4">
        <v>1639</v>
      </c>
      <c r="B640" s="5" t="s">
        <v>766</v>
      </c>
      <c r="C640" s="6">
        <v>45173.57708333333</v>
      </c>
      <c r="D640" s="5" t="s">
        <v>14</v>
      </c>
      <c r="E640" s="5" t="s">
        <v>355</v>
      </c>
      <c r="F640" s="5" t="s">
        <v>24</v>
      </c>
      <c r="G640" s="5" t="s">
        <v>31</v>
      </c>
      <c r="H640" s="5">
        <v>173</v>
      </c>
      <c r="I640" s="5">
        <v>16</v>
      </c>
      <c r="J640" s="5" t="s">
        <v>18</v>
      </c>
      <c r="K640" s="5" t="s">
        <v>49</v>
      </c>
      <c r="L640" s="5" t="s">
        <v>28</v>
      </c>
      <c r="M640" s="7" t="s">
        <v>46</v>
      </c>
      <c r="N640" s="26">
        <f t="shared" si="63"/>
        <v>0</v>
      </c>
      <c r="O640" s="42">
        <f t="shared" si="64"/>
        <v>45173</v>
      </c>
      <c r="P640" s="5" t="str">
        <f t="shared" si="65"/>
        <v>Monday</v>
      </c>
      <c r="Q640" s="5">
        <f t="shared" si="66"/>
        <v>13</v>
      </c>
      <c r="R640" s="28">
        <f t="shared" si="67"/>
        <v>0.91534391534391535</v>
      </c>
      <c r="S640" s="29">
        <f t="shared" si="68"/>
        <v>91.534391534391531</v>
      </c>
      <c r="T640" s="5" t="str">
        <f>IF(Delivery_Data3[[#This Row],[Delays (min)]]&gt;0,"No","Yes")</f>
        <v>No</v>
      </c>
      <c r="W640" s="41">
        <f t="shared" si="69"/>
        <v>45173</v>
      </c>
      <c r="X640" s="5">
        <v>173</v>
      </c>
    </row>
    <row r="641" spans="1:24" ht="15.75" customHeight="1" x14ac:dyDescent="0.3">
      <c r="A641" s="4">
        <v>1640</v>
      </c>
      <c r="B641" s="5" t="s">
        <v>767</v>
      </c>
      <c r="C641" s="6">
        <v>45174.623611111114</v>
      </c>
      <c r="D641" s="5" t="s">
        <v>43</v>
      </c>
      <c r="E641" s="5" t="s">
        <v>109</v>
      </c>
      <c r="F641" s="5" t="s">
        <v>24</v>
      </c>
      <c r="G641" s="5" t="s">
        <v>56</v>
      </c>
      <c r="H641" s="5">
        <v>213</v>
      </c>
      <c r="I641" s="5">
        <v>21</v>
      </c>
      <c r="J641" s="5" t="s">
        <v>26</v>
      </c>
      <c r="K641" s="5" t="s">
        <v>27</v>
      </c>
      <c r="L641" s="5" t="s">
        <v>40</v>
      </c>
      <c r="M641" s="7" t="s">
        <v>41</v>
      </c>
      <c r="N641" s="26">
        <f t="shared" si="63"/>
        <v>1</v>
      </c>
      <c r="O641" s="42">
        <f t="shared" si="64"/>
        <v>45174</v>
      </c>
      <c r="P641" s="5" t="str">
        <f t="shared" si="65"/>
        <v>Tuesday</v>
      </c>
      <c r="Q641" s="5">
        <f t="shared" si="66"/>
        <v>14</v>
      </c>
      <c r="R641" s="28">
        <f t="shared" si="67"/>
        <v>0.91025641025641024</v>
      </c>
      <c r="S641" s="29">
        <f t="shared" si="68"/>
        <v>91.025641025641022</v>
      </c>
      <c r="T641" s="5" t="str">
        <f>IF(Delivery_Data3[[#This Row],[Delays (min)]]&gt;0,"No","Yes")</f>
        <v>No</v>
      </c>
      <c r="W641" s="41">
        <f t="shared" si="69"/>
        <v>45174</v>
      </c>
      <c r="X641" s="5">
        <v>213</v>
      </c>
    </row>
    <row r="642" spans="1:24" ht="15.75" customHeight="1" x14ac:dyDescent="0.3">
      <c r="A642" s="4">
        <v>1641</v>
      </c>
      <c r="B642" s="5" t="s">
        <v>768</v>
      </c>
      <c r="C642" s="6">
        <v>45172.623611111114</v>
      </c>
      <c r="D642" s="5" t="s">
        <v>43</v>
      </c>
      <c r="E642" s="5" t="s">
        <v>240</v>
      </c>
      <c r="F642" s="5" t="s">
        <v>24</v>
      </c>
      <c r="G642" s="5" t="s">
        <v>31</v>
      </c>
      <c r="H642" s="5">
        <v>132</v>
      </c>
      <c r="I642" s="5">
        <v>9</v>
      </c>
      <c r="J642" s="5" t="s">
        <v>18</v>
      </c>
      <c r="K642" s="5" t="s">
        <v>45</v>
      </c>
      <c r="L642" s="5" t="s">
        <v>28</v>
      </c>
      <c r="M642" s="7" t="s">
        <v>46</v>
      </c>
      <c r="N642" s="26">
        <f t="shared" ref="N642:N705" si="70">IF(J642="Positive",1,IF(J642="Neutral",0,IF(J642="Negative",-1,"")))</f>
        <v>0</v>
      </c>
      <c r="O642" s="42">
        <f t="shared" ref="O642:O705" si="71">INT(C642)</f>
        <v>45172</v>
      </c>
      <c r="P642" s="5" t="str">
        <f t="shared" ref="P642:P705" si="72">TEXT(C642,"dddd")</f>
        <v>Sunday</v>
      </c>
      <c r="Q642" s="5">
        <f t="shared" ref="Q642:Q705" si="73">HOUR(C642)</f>
        <v>14</v>
      </c>
      <c r="R642" s="28">
        <f t="shared" ref="R642:R705" si="74">H642/(H642+I642)</f>
        <v>0.93617021276595747</v>
      </c>
      <c r="S642" s="29">
        <f t="shared" si="68"/>
        <v>93.61702127659575</v>
      </c>
      <c r="T642" s="5" t="str">
        <f>IF(Delivery_Data3[[#This Row],[Delays (min)]]&gt;0,"No","Yes")</f>
        <v>No</v>
      </c>
      <c r="W642" s="41">
        <f t="shared" si="69"/>
        <v>45172</v>
      </c>
      <c r="X642" s="5">
        <v>132</v>
      </c>
    </row>
    <row r="643" spans="1:24" ht="15.75" customHeight="1" x14ac:dyDescent="0.3">
      <c r="A643" s="4">
        <v>1642</v>
      </c>
      <c r="B643" s="5" t="s">
        <v>769</v>
      </c>
      <c r="C643" s="6">
        <v>45175.668749999997</v>
      </c>
      <c r="D643" s="5" t="s">
        <v>43</v>
      </c>
      <c r="E643" s="5" t="s">
        <v>62</v>
      </c>
      <c r="F643" s="5" t="s">
        <v>16</v>
      </c>
      <c r="G643" s="5" t="s">
        <v>31</v>
      </c>
      <c r="H643" s="5">
        <v>73</v>
      </c>
      <c r="I643" s="5">
        <v>8</v>
      </c>
      <c r="J643" s="5" t="s">
        <v>18</v>
      </c>
      <c r="K643" s="5" t="s">
        <v>19</v>
      </c>
      <c r="L643" s="5" t="s">
        <v>28</v>
      </c>
      <c r="M643" s="7" t="s">
        <v>46</v>
      </c>
      <c r="N643" s="26">
        <f t="shared" si="70"/>
        <v>0</v>
      </c>
      <c r="O643" s="42">
        <f t="shared" si="71"/>
        <v>45175</v>
      </c>
      <c r="P643" s="5" t="str">
        <f t="shared" si="72"/>
        <v>Wednesday</v>
      </c>
      <c r="Q643" s="5">
        <f t="shared" si="73"/>
        <v>16</v>
      </c>
      <c r="R643" s="28">
        <f t="shared" si="74"/>
        <v>0.90123456790123457</v>
      </c>
      <c r="S643" s="29">
        <f t="shared" ref="S643:S706" si="75">IF(H643+I643=0,0,(H643/(H643+I643))*100) + (IFERROR(--J643,0)*10)</f>
        <v>90.123456790123456</v>
      </c>
      <c r="T643" s="5" t="str">
        <f>IF(Delivery_Data3[[#This Row],[Delays (min)]]&gt;0,"No","Yes")</f>
        <v>No</v>
      </c>
      <c r="W643" s="41">
        <f t="shared" ref="W643:W706" si="76">INT(C643)</f>
        <v>45175</v>
      </c>
      <c r="X643" s="5">
        <v>73</v>
      </c>
    </row>
    <row r="644" spans="1:24" ht="15.75" customHeight="1" x14ac:dyDescent="0.3">
      <c r="A644" s="4">
        <v>1643</v>
      </c>
      <c r="B644" s="5" t="s">
        <v>770</v>
      </c>
      <c r="C644" s="6">
        <v>45177.543749999997</v>
      </c>
      <c r="D644" s="5" t="s">
        <v>14</v>
      </c>
      <c r="E644" s="5" t="s">
        <v>111</v>
      </c>
      <c r="F644" s="5" t="s">
        <v>16</v>
      </c>
      <c r="G644" s="5" t="s">
        <v>31</v>
      </c>
      <c r="H644" s="5">
        <v>155</v>
      </c>
      <c r="I644" s="5">
        <v>22</v>
      </c>
      <c r="J644" s="5" t="s">
        <v>32</v>
      </c>
      <c r="K644" s="5" t="s">
        <v>27</v>
      </c>
      <c r="L644" s="5" t="s">
        <v>40</v>
      </c>
      <c r="M644" s="7" t="s">
        <v>46</v>
      </c>
      <c r="N644" s="26">
        <f t="shared" si="70"/>
        <v>-1</v>
      </c>
      <c r="O644" s="42">
        <f t="shared" si="71"/>
        <v>45177</v>
      </c>
      <c r="P644" s="5" t="str">
        <f t="shared" si="72"/>
        <v>Friday</v>
      </c>
      <c r="Q644" s="5">
        <f t="shared" si="73"/>
        <v>13</v>
      </c>
      <c r="R644" s="28">
        <f t="shared" si="74"/>
        <v>0.87570621468926557</v>
      </c>
      <c r="S644" s="29">
        <f t="shared" si="75"/>
        <v>87.570621468926561</v>
      </c>
      <c r="T644" s="5" t="str">
        <f>IF(Delivery_Data3[[#This Row],[Delays (min)]]&gt;0,"No","Yes")</f>
        <v>No</v>
      </c>
      <c r="W644" s="41">
        <f t="shared" si="76"/>
        <v>45177</v>
      </c>
      <c r="X644" s="5">
        <v>155</v>
      </c>
    </row>
    <row r="645" spans="1:24" ht="15.75" customHeight="1" x14ac:dyDescent="0.3">
      <c r="A645" s="4">
        <v>1644</v>
      </c>
      <c r="B645" s="5" t="s">
        <v>771</v>
      </c>
      <c r="C645" s="6">
        <v>45174.665972222225</v>
      </c>
      <c r="D645" s="5" t="s">
        <v>14</v>
      </c>
      <c r="E645" s="5" t="s">
        <v>403</v>
      </c>
      <c r="F645" s="5" t="s">
        <v>24</v>
      </c>
      <c r="G645" s="5" t="s">
        <v>17</v>
      </c>
      <c r="H645" s="5">
        <v>226</v>
      </c>
      <c r="I645" s="5">
        <v>15</v>
      </c>
      <c r="J645" s="5" t="s">
        <v>18</v>
      </c>
      <c r="K645" s="5" t="s">
        <v>49</v>
      </c>
      <c r="L645" s="5" t="s">
        <v>40</v>
      </c>
      <c r="M645" s="7" t="s">
        <v>46</v>
      </c>
      <c r="N645" s="26">
        <f t="shared" si="70"/>
        <v>0</v>
      </c>
      <c r="O645" s="42">
        <f t="shared" si="71"/>
        <v>45174</v>
      </c>
      <c r="P645" s="5" t="str">
        <f t="shared" si="72"/>
        <v>Tuesday</v>
      </c>
      <c r="Q645" s="5">
        <f t="shared" si="73"/>
        <v>15</v>
      </c>
      <c r="R645" s="28">
        <f t="shared" si="74"/>
        <v>0.93775933609958506</v>
      </c>
      <c r="S645" s="29">
        <f t="shared" si="75"/>
        <v>93.7759336099585</v>
      </c>
      <c r="T645" s="5" t="str">
        <f>IF(Delivery_Data3[[#This Row],[Delays (min)]]&gt;0,"No","Yes")</f>
        <v>No</v>
      </c>
      <c r="W645" s="41">
        <f t="shared" si="76"/>
        <v>45174</v>
      </c>
      <c r="X645" s="5">
        <v>226</v>
      </c>
    </row>
    <row r="646" spans="1:24" ht="15.75" customHeight="1" x14ac:dyDescent="0.3">
      <c r="A646" s="4">
        <v>1645</v>
      </c>
      <c r="B646" s="5" t="s">
        <v>501</v>
      </c>
      <c r="C646" s="6">
        <v>45175.350694444445</v>
      </c>
      <c r="D646" s="5" t="s">
        <v>43</v>
      </c>
      <c r="E646" s="5" t="s">
        <v>169</v>
      </c>
      <c r="F646" s="5" t="s">
        <v>24</v>
      </c>
      <c r="G646" s="5" t="s">
        <v>39</v>
      </c>
      <c r="H646" s="5">
        <v>185</v>
      </c>
      <c r="I646" s="5">
        <v>27</v>
      </c>
      <c r="J646" s="5" t="s">
        <v>26</v>
      </c>
      <c r="K646" s="5" t="s">
        <v>49</v>
      </c>
      <c r="L646" s="5" t="s">
        <v>40</v>
      </c>
      <c r="M646" s="7" t="s">
        <v>41</v>
      </c>
      <c r="N646" s="26">
        <f t="shared" si="70"/>
        <v>1</v>
      </c>
      <c r="O646" s="42">
        <f t="shared" si="71"/>
        <v>45175</v>
      </c>
      <c r="P646" s="5" t="str">
        <f t="shared" si="72"/>
        <v>Wednesday</v>
      </c>
      <c r="Q646" s="5">
        <f t="shared" si="73"/>
        <v>8</v>
      </c>
      <c r="R646" s="28">
        <f t="shared" si="74"/>
        <v>0.87264150943396224</v>
      </c>
      <c r="S646" s="29">
        <f t="shared" si="75"/>
        <v>87.264150943396217</v>
      </c>
      <c r="T646" s="5" t="str">
        <f>IF(Delivery_Data3[[#This Row],[Delays (min)]]&gt;0,"No","Yes")</f>
        <v>No</v>
      </c>
      <c r="W646" s="41">
        <f t="shared" si="76"/>
        <v>45175</v>
      </c>
      <c r="X646" s="5">
        <v>185</v>
      </c>
    </row>
    <row r="647" spans="1:24" ht="15.75" customHeight="1" x14ac:dyDescent="0.3">
      <c r="A647" s="4">
        <v>1646</v>
      </c>
      <c r="B647" s="5" t="s">
        <v>772</v>
      </c>
      <c r="C647" s="6">
        <v>45175.652083333334</v>
      </c>
      <c r="D647" s="5" t="s">
        <v>14</v>
      </c>
      <c r="E647" s="5" t="s">
        <v>37</v>
      </c>
      <c r="F647" s="5" t="s">
        <v>24</v>
      </c>
      <c r="G647" s="5" t="s">
        <v>31</v>
      </c>
      <c r="H647" s="5">
        <v>97</v>
      </c>
      <c r="I647" s="5">
        <v>5</v>
      </c>
      <c r="J647" s="5" t="s">
        <v>26</v>
      </c>
      <c r="K647" s="5" t="s">
        <v>19</v>
      </c>
      <c r="L647" s="5" t="s">
        <v>28</v>
      </c>
      <c r="M647" s="7" t="s">
        <v>41</v>
      </c>
      <c r="N647" s="26">
        <f t="shared" si="70"/>
        <v>1</v>
      </c>
      <c r="O647" s="42">
        <f t="shared" si="71"/>
        <v>45175</v>
      </c>
      <c r="P647" s="5" t="str">
        <f t="shared" si="72"/>
        <v>Wednesday</v>
      </c>
      <c r="Q647" s="5">
        <f t="shared" si="73"/>
        <v>15</v>
      </c>
      <c r="R647" s="28">
        <f t="shared" si="74"/>
        <v>0.9509803921568627</v>
      </c>
      <c r="S647" s="29">
        <f t="shared" si="75"/>
        <v>95.098039215686271</v>
      </c>
      <c r="T647" s="5" t="str">
        <f>IF(Delivery_Data3[[#This Row],[Delays (min)]]&gt;0,"No","Yes")</f>
        <v>No</v>
      </c>
      <c r="W647" s="41">
        <f t="shared" si="76"/>
        <v>45175</v>
      </c>
      <c r="X647" s="5">
        <v>97</v>
      </c>
    </row>
    <row r="648" spans="1:24" ht="15.75" customHeight="1" x14ac:dyDescent="0.3">
      <c r="A648" s="4">
        <v>1647</v>
      </c>
      <c r="B648" s="5" t="s">
        <v>773</v>
      </c>
      <c r="C648" s="6">
        <v>45175.545138888891</v>
      </c>
      <c r="D648" s="5" t="s">
        <v>43</v>
      </c>
      <c r="E648" s="5" t="s">
        <v>164</v>
      </c>
      <c r="F648" s="5" t="s">
        <v>38</v>
      </c>
      <c r="G648" s="5" t="s">
        <v>31</v>
      </c>
      <c r="H648" s="5">
        <v>221</v>
      </c>
      <c r="I648" s="5">
        <v>24</v>
      </c>
      <c r="J648" s="5" t="s">
        <v>32</v>
      </c>
      <c r="K648" s="5" t="s">
        <v>35</v>
      </c>
      <c r="L648" s="5" t="s">
        <v>20</v>
      </c>
      <c r="M648" s="7" t="s">
        <v>41</v>
      </c>
      <c r="N648" s="26">
        <f t="shared" si="70"/>
        <v>-1</v>
      </c>
      <c r="O648" s="42">
        <f t="shared" si="71"/>
        <v>45175</v>
      </c>
      <c r="P648" s="5" t="str">
        <f t="shared" si="72"/>
        <v>Wednesday</v>
      </c>
      <c r="Q648" s="5">
        <f t="shared" si="73"/>
        <v>13</v>
      </c>
      <c r="R648" s="28">
        <f t="shared" si="74"/>
        <v>0.90204081632653066</v>
      </c>
      <c r="S648" s="29">
        <f t="shared" si="75"/>
        <v>90.204081632653072</v>
      </c>
      <c r="T648" s="5" t="str">
        <f>IF(Delivery_Data3[[#This Row],[Delays (min)]]&gt;0,"No","Yes")</f>
        <v>No</v>
      </c>
      <c r="W648" s="41">
        <f t="shared" si="76"/>
        <v>45175</v>
      </c>
      <c r="X648" s="5">
        <v>221</v>
      </c>
    </row>
    <row r="649" spans="1:24" ht="15.75" customHeight="1" x14ac:dyDescent="0.3">
      <c r="A649" s="4">
        <v>1648</v>
      </c>
      <c r="B649" s="5" t="s">
        <v>774</v>
      </c>
      <c r="C649" s="6">
        <v>45173.590277777781</v>
      </c>
      <c r="D649" s="5" t="s">
        <v>14</v>
      </c>
      <c r="E649" s="5" t="s">
        <v>143</v>
      </c>
      <c r="F649" s="5" t="s">
        <v>38</v>
      </c>
      <c r="G649" s="5" t="s">
        <v>25</v>
      </c>
      <c r="H649" s="5">
        <v>203</v>
      </c>
      <c r="I649" s="5">
        <v>4</v>
      </c>
      <c r="J649" s="5" t="s">
        <v>18</v>
      </c>
      <c r="K649" s="5" t="s">
        <v>27</v>
      </c>
      <c r="L649" s="5" t="s">
        <v>40</v>
      </c>
      <c r="M649" s="7" t="s">
        <v>21</v>
      </c>
      <c r="N649" s="26">
        <f t="shared" si="70"/>
        <v>0</v>
      </c>
      <c r="O649" s="42">
        <f t="shared" si="71"/>
        <v>45173</v>
      </c>
      <c r="P649" s="5" t="str">
        <f t="shared" si="72"/>
        <v>Monday</v>
      </c>
      <c r="Q649" s="5">
        <f t="shared" si="73"/>
        <v>14</v>
      </c>
      <c r="R649" s="28">
        <f t="shared" si="74"/>
        <v>0.98067632850241548</v>
      </c>
      <c r="S649" s="29">
        <f t="shared" si="75"/>
        <v>98.067632850241552</v>
      </c>
      <c r="T649" s="5" t="str">
        <f>IF(Delivery_Data3[[#This Row],[Delays (min)]]&gt;0,"No","Yes")</f>
        <v>No</v>
      </c>
      <c r="W649" s="41">
        <f t="shared" si="76"/>
        <v>45173</v>
      </c>
      <c r="X649" s="5">
        <v>203</v>
      </c>
    </row>
    <row r="650" spans="1:24" ht="15.75" customHeight="1" x14ac:dyDescent="0.3">
      <c r="A650" s="4">
        <v>1649</v>
      </c>
      <c r="B650" s="5" t="s">
        <v>775</v>
      </c>
      <c r="C650" s="6">
        <v>45170.448611111111</v>
      </c>
      <c r="D650" s="5" t="s">
        <v>43</v>
      </c>
      <c r="E650" s="5" t="s">
        <v>202</v>
      </c>
      <c r="F650" s="5" t="s">
        <v>38</v>
      </c>
      <c r="G650" s="5" t="s">
        <v>31</v>
      </c>
      <c r="H650" s="5">
        <v>156</v>
      </c>
      <c r="I650" s="5">
        <v>22</v>
      </c>
      <c r="J650" s="5" t="s">
        <v>18</v>
      </c>
      <c r="K650" s="5" t="s">
        <v>45</v>
      </c>
      <c r="L650" s="5" t="s">
        <v>20</v>
      </c>
      <c r="M650" s="7" t="s">
        <v>46</v>
      </c>
      <c r="N650" s="26">
        <f t="shared" si="70"/>
        <v>0</v>
      </c>
      <c r="O650" s="42">
        <f t="shared" si="71"/>
        <v>45170</v>
      </c>
      <c r="P650" s="5" t="str">
        <f t="shared" si="72"/>
        <v>Friday</v>
      </c>
      <c r="Q650" s="5">
        <f t="shared" si="73"/>
        <v>10</v>
      </c>
      <c r="R650" s="28">
        <f t="shared" si="74"/>
        <v>0.8764044943820225</v>
      </c>
      <c r="S650" s="29">
        <f t="shared" si="75"/>
        <v>87.640449438202253</v>
      </c>
      <c r="T650" s="5" t="str">
        <f>IF(Delivery_Data3[[#This Row],[Delays (min)]]&gt;0,"No","Yes")</f>
        <v>No</v>
      </c>
      <c r="W650" s="41">
        <f t="shared" si="76"/>
        <v>45170</v>
      </c>
      <c r="X650" s="5">
        <v>156</v>
      </c>
    </row>
    <row r="651" spans="1:24" ht="15.75" customHeight="1" x14ac:dyDescent="0.3">
      <c r="A651" s="4">
        <v>1650</v>
      </c>
      <c r="B651" s="5" t="s">
        <v>776</v>
      </c>
      <c r="C651" s="6">
        <v>45175.356944444444</v>
      </c>
      <c r="D651" s="5" t="s">
        <v>43</v>
      </c>
      <c r="E651" s="5" t="s">
        <v>80</v>
      </c>
      <c r="F651" s="5" t="s">
        <v>38</v>
      </c>
      <c r="G651" s="5" t="s">
        <v>56</v>
      </c>
      <c r="H651" s="5">
        <v>94</v>
      </c>
      <c r="I651" s="5">
        <v>6</v>
      </c>
      <c r="J651" s="5" t="s">
        <v>26</v>
      </c>
      <c r="K651" s="5" t="s">
        <v>49</v>
      </c>
      <c r="L651" s="5" t="s">
        <v>20</v>
      </c>
      <c r="M651" s="7" t="s">
        <v>21</v>
      </c>
      <c r="N651" s="26">
        <f t="shared" si="70"/>
        <v>1</v>
      </c>
      <c r="O651" s="42">
        <f t="shared" si="71"/>
        <v>45175</v>
      </c>
      <c r="P651" s="5" t="str">
        <f t="shared" si="72"/>
        <v>Wednesday</v>
      </c>
      <c r="Q651" s="5">
        <f t="shared" si="73"/>
        <v>8</v>
      </c>
      <c r="R651" s="28">
        <f t="shared" si="74"/>
        <v>0.94</v>
      </c>
      <c r="S651" s="29">
        <f t="shared" si="75"/>
        <v>94</v>
      </c>
      <c r="T651" s="5" t="str">
        <f>IF(Delivery_Data3[[#This Row],[Delays (min)]]&gt;0,"No","Yes")</f>
        <v>No</v>
      </c>
      <c r="W651" s="41">
        <f t="shared" si="76"/>
        <v>45175</v>
      </c>
      <c r="X651" s="5">
        <v>94</v>
      </c>
    </row>
    <row r="652" spans="1:24" ht="15.75" customHeight="1" x14ac:dyDescent="0.3">
      <c r="A652" s="4">
        <v>1651</v>
      </c>
      <c r="B652" s="5" t="s">
        <v>777</v>
      </c>
      <c r="C652" s="6">
        <v>45170.54583333333</v>
      </c>
      <c r="D652" s="5" t="s">
        <v>43</v>
      </c>
      <c r="E652" s="5" t="s">
        <v>270</v>
      </c>
      <c r="F652" s="5" t="s">
        <v>24</v>
      </c>
      <c r="G652" s="5" t="s">
        <v>39</v>
      </c>
      <c r="H652" s="5">
        <v>188</v>
      </c>
      <c r="I652" s="5">
        <v>26</v>
      </c>
      <c r="J652" s="5" t="s">
        <v>32</v>
      </c>
      <c r="K652" s="5" t="s">
        <v>27</v>
      </c>
      <c r="L652" s="5" t="s">
        <v>20</v>
      </c>
      <c r="M652" s="7" t="s">
        <v>46</v>
      </c>
      <c r="N652" s="26">
        <f t="shared" si="70"/>
        <v>-1</v>
      </c>
      <c r="O652" s="42">
        <f t="shared" si="71"/>
        <v>45170</v>
      </c>
      <c r="P652" s="5" t="str">
        <f t="shared" si="72"/>
        <v>Friday</v>
      </c>
      <c r="Q652" s="5">
        <f t="shared" si="73"/>
        <v>13</v>
      </c>
      <c r="R652" s="28">
        <f t="shared" si="74"/>
        <v>0.87850467289719625</v>
      </c>
      <c r="S652" s="29">
        <f t="shared" si="75"/>
        <v>87.850467289719631</v>
      </c>
      <c r="T652" s="5" t="str">
        <f>IF(Delivery_Data3[[#This Row],[Delays (min)]]&gt;0,"No","Yes")</f>
        <v>No</v>
      </c>
      <c r="W652" s="41">
        <f t="shared" si="76"/>
        <v>45170</v>
      </c>
      <c r="X652" s="5">
        <v>188</v>
      </c>
    </row>
    <row r="653" spans="1:24" ht="15.75" customHeight="1" x14ac:dyDescent="0.3">
      <c r="A653" s="4">
        <v>1652</v>
      </c>
      <c r="B653" s="5" t="s">
        <v>778</v>
      </c>
      <c r="C653" s="6">
        <v>45174.652777777781</v>
      </c>
      <c r="D653" s="5" t="s">
        <v>14</v>
      </c>
      <c r="E653" s="5" t="s">
        <v>62</v>
      </c>
      <c r="F653" s="5" t="s">
        <v>16</v>
      </c>
      <c r="G653" s="5" t="s">
        <v>17</v>
      </c>
      <c r="H653" s="5">
        <v>110</v>
      </c>
      <c r="I653" s="5">
        <v>10</v>
      </c>
      <c r="J653" s="5" t="s">
        <v>26</v>
      </c>
      <c r="K653" s="5" t="s">
        <v>35</v>
      </c>
      <c r="L653" s="5" t="s">
        <v>20</v>
      </c>
      <c r="M653" s="7" t="s">
        <v>21</v>
      </c>
      <c r="N653" s="26">
        <f t="shared" si="70"/>
        <v>1</v>
      </c>
      <c r="O653" s="42">
        <f t="shared" si="71"/>
        <v>45174</v>
      </c>
      <c r="P653" s="5" t="str">
        <f t="shared" si="72"/>
        <v>Tuesday</v>
      </c>
      <c r="Q653" s="5">
        <f t="shared" si="73"/>
        <v>15</v>
      </c>
      <c r="R653" s="28">
        <f t="shared" si="74"/>
        <v>0.91666666666666663</v>
      </c>
      <c r="S653" s="29">
        <f t="shared" si="75"/>
        <v>91.666666666666657</v>
      </c>
      <c r="T653" s="5" t="str">
        <f>IF(Delivery_Data3[[#This Row],[Delays (min)]]&gt;0,"No","Yes")</f>
        <v>No</v>
      </c>
      <c r="W653" s="41">
        <f t="shared" si="76"/>
        <v>45174</v>
      </c>
      <c r="X653" s="5">
        <v>110</v>
      </c>
    </row>
    <row r="654" spans="1:24" ht="15.75" customHeight="1" x14ac:dyDescent="0.3">
      <c r="A654" s="4">
        <v>1653</v>
      </c>
      <c r="B654" s="5" t="s">
        <v>779</v>
      </c>
      <c r="C654" s="6">
        <v>45171.362500000003</v>
      </c>
      <c r="D654" s="5" t="s">
        <v>43</v>
      </c>
      <c r="E654" s="5" t="s">
        <v>410</v>
      </c>
      <c r="F654" s="5" t="s">
        <v>24</v>
      </c>
      <c r="G654" s="5" t="s">
        <v>39</v>
      </c>
      <c r="H654" s="5">
        <v>227</v>
      </c>
      <c r="I654" s="5">
        <v>6</v>
      </c>
      <c r="J654" s="5" t="s">
        <v>32</v>
      </c>
      <c r="K654" s="5" t="s">
        <v>19</v>
      </c>
      <c r="L654" s="5" t="s">
        <v>40</v>
      </c>
      <c r="M654" s="7" t="s">
        <v>21</v>
      </c>
      <c r="N654" s="26">
        <f t="shared" si="70"/>
        <v>-1</v>
      </c>
      <c r="O654" s="42">
        <f t="shared" si="71"/>
        <v>45171</v>
      </c>
      <c r="P654" s="5" t="str">
        <f t="shared" si="72"/>
        <v>Saturday</v>
      </c>
      <c r="Q654" s="5">
        <f t="shared" si="73"/>
        <v>8</v>
      </c>
      <c r="R654" s="28">
        <f t="shared" si="74"/>
        <v>0.97424892703862664</v>
      </c>
      <c r="S654" s="29">
        <f t="shared" si="75"/>
        <v>97.424892703862668</v>
      </c>
      <c r="T654" s="5" t="str">
        <f>IF(Delivery_Data3[[#This Row],[Delays (min)]]&gt;0,"No","Yes")</f>
        <v>No</v>
      </c>
      <c r="W654" s="41">
        <f t="shared" si="76"/>
        <v>45171</v>
      </c>
      <c r="X654" s="5">
        <v>227</v>
      </c>
    </row>
    <row r="655" spans="1:24" ht="15.75" customHeight="1" x14ac:dyDescent="0.3">
      <c r="A655" s="4">
        <v>1654</v>
      </c>
      <c r="B655" s="5" t="s">
        <v>780</v>
      </c>
      <c r="C655" s="6">
        <v>45171.462500000001</v>
      </c>
      <c r="D655" s="5" t="s">
        <v>14</v>
      </c>
      <c r="E655" s="5" t="s">
        <v>115</v>
      </c>
      <c r="F655" s="5" t="s">
        <v>16</v>
      </c>
      <c r="G655" s="5" t="s">
        <v>56</v>
      </c>
      <c r="H655" s="5">
        <v>146</v>
      </c>
      <c r="I655" s="5">
        <v>27</v>
      </c>
      <c r="J655" s="5" t="s">
        <v>18</v>
      </c>
      <c r="K655" s="5" t="s">
        <v>19</v>
      </c>
      <c r="L655" s="5" t="s">
        <v>40</v>
      </c>
      <c r="M655" s="7" t="s">
        <v>21</v>
      </c>
      <c r="N655" s="26">
        <f t="shared" si="70"/>
        <v>0</v>
      </c>
      <c r="O655" s="42">
        <f t="shared" si="71"/>
        <v>45171</v>
      </c>
      <c r="P655" s="5" t="str">
        <f t="shared" si="72"/>
        <v>Saturday</v>
      </c>
      <c r="Q655" s="5">
        <f t="shared" si="73"/>
        <v>11</v>
      </c>
      <c r="R655" s="28">
        <f t="shared" si="74"/>
        <v>0.84393063583815031</v>
      </c>
      <c r="S655" s="29">
        <f t="shared" si="75"/>
        <v>84.393063583815035</v>
      </c>
      <c r="T655" s="5" t="str">
        <f>IF(Delivery_Data3[[#This Row],[Delays (min)]]&gt;0,"No","Yes")</f>
        <v>No</v>
      </c>
      <c r="W655" s="41">
        <f t="shared" si="76"/>
        <v>45171</v>
      </c>
      <c r="X655" s="5">
        <v>146</v>
      </c>
    </row>
    <row r="656" spans="1:24" ht="15.75" customHeight="1" x14ac:dyDescent="0.3">
      <c r="A656" s="4">
        <v>1655</v>
      </c>
      <c r="B656" s="5" t="s">
        <v>781</v>
      </c>
      <c r="C656" s="6">
        <v>45176.395138888889</v>
      </c>
      <c r="D656" s="5" t="s">
        <v>43</v>
      </c>
      <c r="E656" s="5" t="s">
        <v>285</v>
      </c>
      <c r="F656" s="5" t="s">
        <v>38</v>
      </c>
      <c r="G656" s="5" t="s">
        <v>17</v>
      </c>
      <c r="H656" s="5">
        <v>196</v>
      </c>
      <c r="I656" s="5">
        <v>28</v>
      </c>
      <c r="J656" s="5" t="s">
        <v>32</v>
      </c>
      <c r="K656" s="5" t="s">
        <v>49</v>
      </c>
      <c r="L656" s="5" t="s">
        <v>28</v>
      </c>
      <c r="M656" s="7" t="s">
        <v>41</v>
      </c>
      <c r="N656" s="26">
        <f t="shared" si="70"/>
        <v>-1</v>
      </c>
      <c r="O656" s="42">
        <f t="shared" si="71"/>
        <v>45176</v>
      </c>
      <c r="P656" s="5" t="str">
        <f t="shared" si="72"/>
        <v>Thursday</v>
      </c>
      <c r="Q656" s="5">
        <f t="shared" si="73"/>
        <v>9</v>
      </c>
      <c r="R656" s="28">
        <f t="shared" si="74"/>
        <v>0.875</v>
      </c>
      <c r="S656" s="29">
        <f t="shared" si="75"/>
        <v>87.5</v>
      </c>
      <c r="T656" s="5" t="str">
        <f>IF(Delivery_Data3[[#This Row],[Delays (min)]]&gt;0,"No","Yes")</f>
        <v>No</v>
      </c>
      <c r="W656" s="41">
        <f t="shared" si="76"/>
        <v>45176</v>
      </c>
      <c r="X656" s="5">
        <v>196</v>
      </c>
    </row>
    <row r="657" spans="1:24" ht="15.75" customHeight="1" x14ac:dyDescent="0.3">
      <c r="A657" s="4">
        <v>1656</v>
      </c>
      <c r="B657" s="5" t="s">
        <v>782</v>
      </c>
      <c r="C657" s="6">
        <v>45170.401388888888</v>
      </c>
      <c r="D657" s="5" t="s">
        <v>43</v>
      </c>
      <c r="E657" s="5" t="s">
        <v>245</v>
      </c>
      <c r="F657" s="5" t="s">
        <v>24</v>
      </c>
      <c r="G657" s="5" t="s">
        <v>25</v>
      </c>
      <c r="H657" s="5">
        <v>152</v>
      </c>
      <c r="I657" s="5">
        <v>20</v>
      </c>
      <c r="J657" s="5" t="s">
        <v>26</v>
      </c>
      <c r="K657" s="5" t="s">
        <v>19</v>
      </c>
      <c r="L657" s="5" t="s">
        <v>28</v>
      </c>
      <c r="M657" s="7" t="s">
        <v>21</v>
      </c>
      <c r="N657" s="26">
        <f t="shared" si="70"/>
        <v>1</v>
      </c>
      <c r="O657" s="42">
        <f t="shared" si="71"/>
        <v>45170</v>
      </c>
      <c r="P657" s="5" t="str">
        <f t="shared" si="72"/>
        <v>Friday</v>
      </c>
      <c r="Q657" s="5">
        <f t="shared" si="73"/>
        <v>9</v>
      </c>
      <c r="R657" s="28">
        <f t="shared" si="74"/>
        <v>0.88372093023255816</v>
      </c>
      <c r="S657" s="29">
        <f t="shared" si="75"/>
        <v>88.372093023255815</v>
      </c>
      <c r="T657" s="5" t="str">
        <f>IF(Delivery_Data3[[#This Row],[Delays (min)]]&gt;0,"No","Yes")</f>
        <v>No</v>
      </c>
      <c r="W657" s="41">
        <f t="shared" si="76"/>
        <v>45170</v>
      </c>
      <c r="X657" s="5">
        <v>152</v>
      </c>
    </row>
    <row r="658" spans="1:24" ht="15.75" customHeight="1" x14ac:dyDescent="0.3">
      <c r="A658" s="4">
        <v>1657</v>
      </c>
      <c r="B658" s="5" t="s">
        <v>783</v>
      </c>
      <c r="C658" s="6">
        <v>45174.431250000001</v>
      </c>
      <c r="D658" s="5" t="s">
        <v>43</v>
      </c>
      <c r="E658" s="5" t="s">
        <v>62</v>
      </c>
      <c r="F658" s="5" t="s">
        <v>16</v>
      </c>
      <c r="G658" s="5" t="s">
        <v>39</v>
      </c>
      <c r="H658" s="5">
        <v>110</v>
      </c>
      <c r="I658" s="5">
        <v>4</v>
      </c>
      <c r="J658" s="5" t="s">
        <v>26</v>
      </c>
      <c r="K658" s="5" t="s">
        <v>19</v>
      </c>
      <c r="L658" s="5" t="s">
        <v>28</v>
      </c>
      <c r="M658" s="7" t="s">
        <v>46</v>
      </c>
      <c r="N658" s="26">
        <f t="shared" si="70"/>
        <v>1</v>
      </c>
      <c r="O658" s="42">
        <f t="shared" si="71"/>
        <v>45174</v>
      </c>
      <c r="P658" s="5" t="str">
        <f t="shared" si="72"/>
        <v>Tuesday</v>
      </c>
      <c r="Q658" s="5">
        <f t="shared" si="73"/>
        <v>10</v>
      </c>
      <c r="R658" s="28">
        <f t="shared" si="74"/>
        <v>0.96491228070175439</v>
      </c>
      <c r="S658" s="29">
        <f t="shared" si="75"/>
        <v>96.491228070175438</v>
      </c>
      <c r="T658" s="5" t="str">
        <f>IF(Delivery_Data3[[#This Row],[Delays (min)]]&gt;0,"No","Yes")</f>
        <v>No</v>
      </c>
      <c r="W658" s="41">
        <f t="shared" si="76"/>
        <v>45174</v>
      </c>
      <c r="X658" s="5">
        <v>110</v>
      </c>
    </row>
    <row r="659" spans="1:24" ht="15.75" customHeight="1" x14ac:dyDescent="0.3">
      <c r="A659" s="4">
        <v>1658</v>
      </c>
      <c r="B659" s="5" t="s">
        <v>784</v>
      </c>
      <c r="C659" s="6">
        <v>45176.654861111114</v>
      </c>
      <c r="D659" s="5" t="s">
        <v>43</v>
      </c>
      <c r="E659" s="5" t="s">
        <v>281</v>
      </c>
      <c r="F659" s="5" t="s">
        <v>38</v>
      </c>
      <c r="G659" s="5" t="s">
        <v>31</v>
      </c>
      <c r="H659" s="5">
        <v>219</v>
      </c>
      <c r="I659" s="5">
        <v>28</v>
      </c>
      <c r="J659" s="5" t="s">
        <v>26</v>
      </c>
      <c r="K659" s="5" t="s">
        <v>35</v>
      </c>
      <c r="L659" s="5" t="s">
        <v>28</v>
      </c>
      <c r="M659" s="7" t="s">
        <v>21</v>
      </c>
      <c r="N659" s="26">
        <f t="shared" si="70"/>
        <v>1</v>
      </c>
      <c r="O659" s="42">
        <f t="shared" si="71"/>
        <v>45176</v>
      </c>
      <c r="P659" s="5" t="str">
        <f t="shared" si="72"/>
        <v>Thursday</v>
      </c>
      <c r="Q659" s="5">
        <f t="shared" si="73"/>
        <v>15</v>
      </c>
      <c r="R659" s="28">
        <f t="shared" si="74"/>
        <v>0.88663967611336036</v>
      </c>
      <c r="S659" s="29">
        <f t="shared" si="75"/>
        <v>88.663967611336034</v>
      </c>
      <c r="T659" s="5" t="str">
        <f>IF(Delivery_Data3[[#This Row],[Delays (min)]]&gt;0,"No","Yes")</f>
        <v>No</v>
      </c>
      <c r="W659" s="41">
        <f t="shared" si="76"/>
        <v>45176</v>
      </c>
      <c r="X659" s="5">
        <v>219</v>
      </c>
    </row>
    <row r="660" spans="1:24" ht="15.75" customHeight="1" x14ac:dyDescent="0.3">
      <c r="A660" s="4">
        <v>1659</v>
      </c>
      <c r="B660" s="5" t="s">
        <v>785</v>
      </c>
      <c r="C660" s="6">
        <v>45172.363194444442</v>
      </c>
      <c r="D660" s="5" t="s">
        <v>43</v>
      </c>
      <c r="E660" s="5" t="s">
        <v>70</v>
      </c>
      <c r="F660" s="5" t="s">
        <v>38</v>
      </c>
      <c r="G660" s="5" t="s">
        <v>25</v>
      </c>
      <c r="H660" s="5">
        <v>208</v>
      </c>
      <c r="I660" s="5">
        <v>13</v>
      </c>
      <c r="J660" s="5" t="s">
        <v>18</v>
      </c>
      <c r="K660" s="5" t="s">
        <v>35</v>
      </c>
      <c r="L660" s="5" t="s">
        <v>20</v>
      </c>
      <c r="M660" s="7" t="s">
        <v>46</v>
      </c>
      <c r="N660" s="26">
        <f t="shared" si="70"/>
        <v>0</v>
      </c>
      <c r="O660" s="42">
        <f t="shared" si="71"/>
        <v>45172</v>
      </c>
      <c r="P660" s="5" t="str">
        <f t="shared" si="72"/>
        <v>Sunday</v>
      </c>
      <c r="Q660" s="5">
        <f t="shared" si="73"/>
        <v>8</v>
      </c>
      <c r="R660" s="28">
        <f t="shared" si="74"/>
        <v>0.94117647058823528</v>
      </c>
      <c r="S660" s="29">
        <f t="shared" si="75"/>
        <v>94.117647058823522</v>
      </c>
      <c r="T660" s="5" t="str">
        <f>IF(Delivery_Data3[[#This Row],[Delays (min)]]&gt;0,"No","Yes")</f>
        <v>No</v>
      </c>
      <c r="W660" s="41">
        <f t="shared" si="76"/>
        <v>45172</v>
      </c>
      <c r="X660" s="5">
        <v>208</v>
      </c>
    </row>
    <row r="661" spans="1:24" ht="15.75" customHeight="1" x14ac:dyDescent="0.3">
      <c r="A661" s="4">
        <v>1660</v>
      </c>
      <c r="B661" s="5" t="s">
        <v>786</v>
      </c>
      <c r="C661" s="6">
        <v>45170.444444444445</v>
      </c>
      <c r="D661" s="5" t="s">
        <v>14</v>
      </c>
      <c r="E661" s="5" t="s">
        <v>285</v>
      </c>
      <c r="F661" s="5" t="s">
        <v>16</v>
      </c>
      <c r="G661" s="5" t="s">
        <v>31</v>
      </c>
      <c r="H661" s="5">
        <v>138</v>
      </c>
      <c r="I661" s="5">
        <v>6</v>
      </c>
      <c r="J661" s="5" t="s">
        <v>26</v>
      </c>
      <c r="K661" s="5" t="s">
        <v>49</v>
      </c>
      <c r="L661" s="5" t="s">
        <v>28</v>
      </c>
      <c r="M661" s="7" t="s">
        <v>46</v>
      </c>
      <c r="N661" s="26">
        <f t="shared" si="70"/>
        <v>1</v>
      </c>
      <c r="O661" s="42">
        <f t="shared" si="71"/>
        <v>45170</v>
      </c>
      <c r="P661" s="5" t="str">
        <f t="shared" si="72"/>
        <v>Friday</v>
      </c>
      <c r="Q661" s="5">
        <f t="shared" si="73"/>
        <v>10</v>
      </c>
      <c r="R661" s="28">
        <f t="shared" si="74"/>
        <v>0.95833333333333337</v>
      </c>
      <c r="S661" s="29">
        <f t="shared" si="75"/>
        <v>95.833333333333343</v>
      </c>
      <c r="T661" s="5" t="str">
        <f>IF(Delivery_Data3[[#This Row],[Delays (min)]]&gt;0,"No","Yes")</f>
        <v>No</v>
      </c>
      <c r="W661" s="41">
        <f t="shared" si="76"/>
        <v>45170</v>
      </c>
      <c r="X661" s="5">
        <v>138</v>
      </c>
    </row>
    <row r="662" spans="1:24" ht="15.75" customHeight="1" x14ac:dyDescent="0.3">
      <c r="A662" s="4">
        <v>1661</v>
      </c>
      <c r="B662" s="5" t="s">
        <v>458</v>
      </c>
      <c r="C662" s="6">
        <v>45175.614583333336</v>
      </c>
      <c r="D662" s="5" t="s">
        <v>14</v>
      </c>
      <c r="E662" s="5" t="s">
        <v>68</v>
      </c>
      <c r="F662" s="5" t="s">
        <v>24</v>
      </c>
      <c r="G662" s="5" t="s">
        <v>39</v>
      </c>
      <c r="H662" s="5">
        <v>135</v>
      </c>
      <c r="I662" s="5">
        <v>18</v>
      </c>
      <c r="J662" s="5" t="s">
        <v>26</v>
      </c>
      <c r="K662" s="5" t="s">
        <v>49</v>
      </c>
      <c r="L662" s="5" t="s">
        <v>20</v>
      </c>
      <c r="M662" s="7" t="s">
        <v>41</v>
      </c>
      <c r="N662" s="26">
        <f t="shared" si="70"/>
        <v>1</v>
      </c>
      <c r="O662" s="42">
        <f t="shared" si="71"/>
        <v>45175</v>
      </c>
      <c r="P662" s="5" t="str">
        <f t="shared" si="72"/>
        <v>Wednesday</v>
      </c>
      <c r="Q662" s="5">
        <f t="shared" si="73"/>
        <v>14</v>
      </c>
      <c r="R662" s="28">
        <f t="shared" si="74"/>
        <v>0.88235294117647056</v>
      </c>
      <c r="S662" s="29">
        <f t="shared" si="75"/>
        <v>88.235294117647058</v>
      </c>
      <c r="T662" s="5" t="str">
        <f>IF(Delivery_Data3[[#This Row],[Delays (min)]]&gt;0,"No","Yes")</f>
        <v>No</v>
      </c>
      <c r="W662" s="41">
        <f t="shared" si="76"/>
        <v>45175</v>
      </c>
      <c r="X662" s="5">
        <v>135</v>
      </c>
    </row>
    <row r="663" spans="1:24" ht="15.75" customHeight="1" x14ac:dyDescent="0.3">
      <c r="A663" s="4">
        <v>1662</v>
      </c>
      <c r="B663" s="5" t="s">
        <v>787</v>
      </c>
      <c r="C663" s="6">
        <v>45174.472222222219</v>
      </c>
      <c r="D663" s="5" t="s">
        <v>14</v>
      </c>
      <c r="E663" s="5" t="s">
        <v>70</v>
      </c>
      <c r="F663" s="5" t="s">
        <v>38</v>
      </c>
      <c r="G663" s="5" t="s">
        <v>39</v>
      </c>
      <c r="H663" s="5">
        <v>137</v>
      </c>
      <c r="I663" s="5">
        <v>11</v>
      </c>
      <c r="J663" s="5" t="s">
        <v>26</v>
      </c>
      <c r="K663" s="5" t="s">
        <v>49</v>
      </c>
      <c r="L663" s="5" t="s">
        <v>40</v>
      </c>
      <c r="M663" s="7" t="s">
        <v>46</v>
      </c>
      <c r="N663" s="26">
        <f t="shared" si="70"/>
        <v>1</v>
      </c>
      <c r="O663" s="42">
        <f t="shared" si="71"/>
        <v>45174</v>
      </c>
      <c r="P663" s="5" t="str">
        <f t="shared" si="72"/>
        <v>Tuesday</v>
      </c>
      <c r="Q663" s="5">
        <f t="shared" si="73"/>
        <v>11</v>
      </c>
      <c r="R663" s="28">
        <f t="shared" si="74"/>
        <v>0.92567567567567566</v>
      </c>
      <c r="S663" s="29">
        <f t="shared" si="75"/>
        <v>92.567567567567565</v>
      </c>
      <c r="T663" s="5" t="str">
        <f>IF(Delivery_Data3[[#This Row],[Delays (min)]]&gt;0,"No","Yes")</f>
        <v>No</v>
      </c>
      <c r="W663" s="41">
        <f t="shared" si="76"/>
        <v>45174</v>
      </c>
      <c r="X663" s="5">
        <v>137</v>
      </c>
    </row>
    <row r="664" spans="1:24" ht="15.75" customHeight="1" x14ac:dyDescent="0.3">
      <c r="A664" s="4">
        <v>1663</v>
      </c>
      <c r="B664" s="5" t="s">
        <v>788</v>
      </c>
      <c r="C664" s="6">
        <v>45172.404861111114</v>
      </c>
      <c r="D664" s="5" t="s">
        <v>43</v>
      </c>
      <c r="E664" s="5" t="s">
        <v>166</v>
      </c>
      <c r="F664" s="5" t="s">
        <v>38</v>
      </c>
      <c r="G664" s="5" t="s">
        <v>25</v>
      </c>
      <c r="H664" s="5">
        <v>101</v>
      </c>
      <c r="I664" s="5">
        <v>11</v>
      </c>
      <c r="J664" s="5" t="s">
        <v>18</v>
      </c>
      <c r="K664" s="5" t="s">
        <v>27</v>
      </c>
      <c r="L664" s="5" t="s">
        <v>40</v>
      </c>
      <c r="M664" s="7" t="s">
        <v>41</v>
      </c>
      <c r="N664" s="26">
        <f t="shared" si="70"/>
        <v>0</v>
      </c>
      <c r="O664" s="42">
        <f t="shared" si="71"/>
        <v>45172</v>
      </c>
      <c r="P664" s="5" t="str">
        <f t="shared" si="72"/>
        <v>Sunday</v>
      </c>
      <c r="Q664" s="5">
        <f t="shared" si="73"/>
        <v>9</v>
      </c>
      <c r="R664" s="28">
        <f t="shared" si="74"/>
        <v>0.9017857142857143</v>
      </c>
      <c r="S664" s="29">
        <f t="shared" si="75"/>
        <v>90.178571428571431</v>
      </c>
      <c r="T664" s="5" t="str">
        <f>IF(Delivery_Data3[[#This Row],[Delays (min)]]&gt;0,"No","Yes")</f>
        <v>No</v>
      </c>
      <c r="W664" s="41">
        <f t="shared" si="76"/>
        <v>45172</v>
      </c>
      <c r="X664" s="5">
        <v>101</v>
      </c>
    </row>
    <row r="665" spans="1:24" ht="15.75" customHeight="1" x14ac:dyDescent="0.3">
      <c r="A665" s="4">
        <v>1664</v>
      </c>
      <c r="B665" s="5" t="s">
        <v>789</v>
      </c>
      <c r="C665" s="6">
        <v>45171.372916666667</v>
      </c>
      <c r="D665" s="5" t="s">
        <v>14</v>
      </c>
      <c r="E665" s="5" t="s">
        <v>468</v>
      </c>
      <c r="F665" s="5" t="s">
        <v>38</v>
      </c>
      <c r="G665" s="5" t="s">
        <v>17</v>
      </c>
      <c r="H665" s="5">
        <v>97</v>
      </c>
      <c r="I665" s="5">
        <v>17</v>
      </c>
      <c r="J665" s="5" t="s">
        <v>18</v>
      </c>
      <c r="K665" s="5" t="s">
        <v>27</v>
      </c>
      <c r="L665" s="5" t="s">
        <v>40</v>
      </c>
      <c r="M665" s="7" t="s">
        <v>21</v>
      </c>
      <c r="N665" s="26">
        <f t="shared" si="70"/>
        <v>0</v>
      </c>
      <c r="O665" s="42">
        <f t="shared" si="71"/>
        <v>45171</v>
      </c>
      <c r="P665" s="5" t="str">
        <f t="shared" si="72"/>
        <v>Saturday</v>
      </c>
      <c r="Q665" s="5">
        <f t="shared" si="73"/>
        <v>8</v>
      </c>
      <c r="R665" s="28">
        <f t="shared" si="74"/>
        <v>0.85087719298245612</v>
      </c>
      <c r="S665" s="29">
        <f t="shared" si="75"/>
        <v>85.087719298245617</v>
      </c>
      <c r="T665" s="5" t="str">
        <f>IF(Delivery_Data3[[#This Row],[Delays (min)]]&gt;0,"No","Yes")</f>
        <v>No</v>
      </c>
      <c r="W665" s="41">
        <f t="shared" si="76"/>
        <v>45171</v>
      </c>
      <c r="X665" s="5">
        <v>97</v>
      </c>
    </row>
    <row r="666" spans="1:24" ht="15.75" customHeight="1" x14ac:dyDescent="0.3">
      <c r="A666" s="4">
        <v>1665</v>
      </c>
      <c r="B666" s="5" t="s">
        <v>790</v>
      </c>
      <c r="C666" s="6">
        <v>45177.424305555556</v>
      </c>
      <c r="D666" s="5" t="s">
        <v>14</v>
      </c>
      <c r="E666" s="5" t="s">
        <v>185</v>
      </c>
      <c r="F666" s="5" t="s">
        <v>38</v>
      </c>
      <c r="G666" s="5" t="s">
        <v>17</v>
      </c>
      <c r="H666" s="5">
        <v>190</v>
      </c>
      <c r="I666" s="5">
        <v>23</v>
      </c>
      <c r="J666" s="5" t="s">
        <v>18</v>
      </c>
      <c r="K666" s="5" t="s">
        <v>49</v>
      </c>
      <c r="L666" s="5" t="s">
        <v>40</v>
      </c>
      <c r="M666" s="7" t="s">
        <v>41</v>
      </c>
      <c r="N666" s="26">
        <f t="shared" si="70"/>
        <v>0</v>
      </c>
      <c r="O666" s="42">
        <f t="shared" si="71"/>
        <v>45177</v>
      </c>
      <c r="P666" s="5" t="str">
        <f t="shared" si="72"/>
        <v>Friday</v>
      </c>
      <c r="Q666" s="5">
        <f t="shared" si="73"/>
        <v>10</v>
      </c>
      <c r="R666" s="28">
        <f t="shared" si="74"/>
        <v>0.892018779342723</v>
      </c>
      <c r="S666" s="29">
        <f t="shared" si="75"/>
        <v>89.201877934272304</v>
      </c>
      <c r="T666" s="5" t="str">
        <f>IF(Delivery_Data3[[#This Row],[Delays (min)]]&gt;0,"No","Yes")</f>
        <v>No</v>
      </c>
      <c r="W666" s="41">
        <f t="shared" si="76"/>
        <v>45177</v>
      </c>
      <c r="X666" s="5">
        <v>190</v>
      </c>
    </row>
    <row r="667" spans="1:24" ht="15.75" customHeight="1" x14ac:dyDescent="0.3">
      <c r="A667" s="4">
        <v>1666</v>
      </c>
      <c r="B667" s="5" t="s">
        <v>791</v>
      </c>
      <c r="C667" s="6">
        <v>45175.576388888891</v>
      </c>
      <c r="D667" s="5" t="s">
        <v>43</v>
      </c>
      <c r="E667" s="5" t="s">
        <v>187</v>
      </c>
      <c r="F667" s="5" t="s">
        <v>24</v>
      </c>
      <c r="G667" s="5" t="s">
        <v>31</v>
      </c>
      <c r="H667" s="5">
        <v>233</v>
      </c>
      <c r="I667" s="5">
        <v>22</v>
      </c>
      <c r="J667" s="5" t="s">
        <v>26</v>
      </c>
      <c r="K667" s="5" t="s">
        <v>27</v>
      </c>
      <c r="L667" s="5" t="s">
        <v>20</v>
      </c>
      <c r="M667" s="7" t="s">
        <v>21</v>
      </c>
      <c r="N667" s="26">
        <f t="shared" si="70"/>
        <v>1</v>
      </c>
      <c r="O667" s="42">
        <f t="shared" si="71"/>
        <v>45175</v>
      </c>
      <c r="P667" s="5" t="str">
        <f t="shared" si="72"/>
        <v>Wednesday</v>
      </c>
      <c r="Q667" s="5">
        <f t="shared" si="73"/>
        <v>13</v>
      </c>
      <c r="R667" s="28">
        <f t="shared" si="74"/>
        <v>0.9137254901960784</v>
      </c>
      <c r="S667" s="29">
        <f t="shared" si="75"/>
        <v>91.372549019607845</v>
      </c>
      <c r="T667" s="5" t="str">
        <f>IF(Delivery_Data3[[#This Row],[Delays (min)]]&gt;0,"No","Yes")</f>
        <v>No</v>
      </c>
      <c r="W667" s="41">
        <f t="shared" si="76"/>
        <v>45175</v>
      </c>
      <c r="X667" s="5">
        <v>233</v>
      </c>
    </row>
    <row r="668" spans="1:24" ht="15.75" customHeight="1" x14ac:dyDescent="0.3">
      <c r="A668" s="4">
        <v>1667</v>
      </c>
      <c r="B668" s="5" t="s">
        <v>792</v>
      </c>
      <c r="C668" s="6">
        <v>45172.333333333336</v>
      </c>
      <c r="D668" s="5" t="s">
        <v>14</v>
      </c>
      <c r="E668" s="5" t="s">
        <v>122</v>
      </c>
      <c r="F668" s="5" t="s">
        <v>38</v>
      </c>
      <c r="G668" s="5" t="s">
        <v>25</v>
      </c>
      <c r="H668" s="5">
        <v>80</v>
      </c>
      <c r="I668" s="5">
        <v>19</v>
      </c>
      <c r="J668" s="5" t="s">
        <v>26</v>
      </c>
      <c r="K668" s="5" t="s">
        <v>27</v>
      </c>
      <c r="L668" s="5" t="s">
        <v>20</v>
      </c>
      <c r="M668" s="7" t="s">
        <v>21</v>
      </c>
      <c r="N668" s="26">
        <f t="shared" si="70"/>
        <v>1</v>
      </c>
      <c r="O668" s="42">
        <f t="shared" si="71"/>
        <v>45172</v>
      </c>
      <c r="P668" s="5" t="str">
        <f t="shared" si="72"/>
        <v>Sunday</v>
      </c>
      <c r="Q668" s="5">
        <f t="shared" si="73"/>
        <v>8</v>
      </c>
      <c r="R668" s="28">
        <f t="shared" si="74"/>
        <v>0.80808080808080807</v>
      </c>
      <c r="S668" s="29">
        <f t="shared" si="75"/>
        <v>80.808080808080803</v>
      </c>
      <c r="T668" s="5" t="str">
        <f>IF(Delivery_Data3[[#This Row],[Delays (min)]]&gt;0,"No","Yes")</f>
        <v>No</v>
      </c>
      <c r="W668" s="41">
        <f t="shared" si="76"/>
        <v>45172</v>
      </c>
      <c r="X668" s="5">
        <v>80</v>
      </c>
    </row>
    <row r="669" spans="1:24" ht="15.75" customHeight="1" x14ac:dyDescent="0.3">
      <c r="A669" s="4">
        <v>1668</v>
      </c>
      <c r="B669" s="5" t="s">
        <v>793</v>
      </c>
      <c r="C669" s="6">
        <v>45170.616666666669</v>
      </c>
      <c r="D669" s="5" t="s">
        <v>43</v>
      </c>
      <c r="E669" s="5" t="s">
        <v>231</v>
      </c>
      <c r="F669" s="5" t="s">
        <v>16</v>
      </c>
      <c r="G669" s="5" t="s">
        <v>25</v>
      </c>
      <c r="H669" s="5">
        <v>161</v>
      </c>
      <c r="I669" s="5">
        <v>21</v>
      </c>
      <c r="J669" s="5" t="s">
        <v>26</v>
      </c>
      <c r="K669" s="5" t="s">
        <v>27</v>
      </c>
      <c r="L669" s="5" t="s">
        <v>40</v>
      </c>
      <c r="M669" s="7" t="s">
        <v>21</v>
      </c>
      <c r="N669" s="26">
        <f t="shared" si="70"/>
        <v>1</v>
      </c>
      <c r="O669" s="42">
        <f t="shared" si="71"/>
        <v>45170</v>
      </c>
      <c r="P669" s="5" t="str">
        <f t="shared" si="72"/>
        <v>Friday</v>
      </c>
      <c r="Q669" s="5">
        <f t="shared" si="73"/>
        <v>14</v>
      </c>
      <c r="R669" s="28">
        <f t="shared" si="74"/>
        <v>0.88461538461538458</v>
      </c>
      <c r="S669" s="29">
        <f t="shared" si="75"/>
        <v>88.461538461538453</v>
      </c>
      <c r="T669" s="5" t="str">
        <f>IF(Delivery_Data3[[#This Row],[Delays (min)]]&gt;0,"No","Yes")</f>
        <v>No</v>
      </c>
      <c r="W669" s="41">
        <f t="shared" si="76"/>
        <v>45170</v>
      </c>
      <c r="X669" s="5">
        <v>161</v>
      </c>
    </row>
    <row r="670" spans="1:24" ht="15.75" customHeight="1" x14ac:dyDescent="0.3">
      <c r="A670" s="4">
        <v>1669</v>
      </c>
      <c r="B670" s="5" t="s">
        <v>794</v>
      </c>
      <c r="C670" s="6">
        <v>45171.388888888891</v>
      </c>
      <c r="D670" s="5" t="s">
        <v>14</v>
      </c>
      <c r="E670" s="5" t="s">
        <v>113</v>
      </c>
      <c r="F670" s="5" t="s">
        <v>38</v>
      </c>
      <c r="G670" s="5" t="s">
        <v>31</v>
      </c>
      <c r="H670" s="5">
        <v>153</v>
      </c>
      <c r="I670" s="5">
        <v>8</v>
      </c>
      <c r="J670" s="5" t="s">
        <v>18</v>
      </c>
      <c r="K670" s="5" t="s">
        <v>45</v>
      </c>
      <c r="L670" s="5" t="s">
        <v>40</v>
      </c>
      <c r="M670" s="7" t="s">
        <v>46</v>
      </c>
      <c r="N670" s="26">
        <f t="shared" si="70"/>
        <v>0</v>
      </c>
      <c r="O670" s="42">
        <f t="shared" si="71"/>
        <v>45171</v>
      </c>
      <c r="P670" s="5" t="str">
        <f t="shared" si="72"/>
        <v>Saturday</v>
      </c>
      <c r="Q670" s="5">
        <f t="shared" si="73"/>
        <v>9</v>
      </c>
      <c r="R670" s="28">
        <f t="shared" si="74"/>
        <v>0.9503105590062112</v>
      </c>
      <c r="S670" s="29">
        <f t="shared" si="75"/>
        <v>95.031055900621126</v>
      </c>
      <c r="T670" s="5" t="str">
        <f>IF(Delivery_Data3[[#This Row],[Delays (min)]]&gt;0,"No","Yes")</f>
        <v>No</v>
      </c>
      <c r="W670" s="41">
        <f t="shared" si="76"/>
        <v>45171</v>
      </c>
      <c r="X670" s="5">
        <v>153</v>
      </c>
    </row>
    <row r="671" spans="1:24" ht="15.75" customHeight="1" x14ac:dyDescent="0.3">
      <c r="A671" s="4">
        <v>1670</v>
      </c>
      <c r="B671" s="5" t="s">
        <v>795</v>
      </c>
      <c r="C671" s="6">
        <v>45172.550694444442</v>
      </c>
      <c r="D671" s="5" t="s">
        <v>14</v>
      </c>
      <c r="E671" s="5" t="s">
        <v>182</v>
      </c>
      <c r="F671" s="5" t="s">
        <v>24</v>
      </c>
      <c r="G671" s="5" t="s">
        <v>17</v>
      </c>
      <c r="H671" s="5">
        <v>198</v>
      </c>
      <c r="I671" s="5">
        <v>10</v>
      </c>
      <c r="J671" s="5" t="s">
        <v>18</v>
      </c>
      <c r="K671" s="5" t="s">
        <v>35</v>
      </c>
      <c r="L671" s="5" t="s">
        <v>20</v>
      </c>
      <c r="M671" s="7" t="s">
        <v>41</v>
      </c>
      <c r="N671" s="26">
        <f t="shared" si="70"/>
        <v>0</v>
      </c>
      <c r="O671" s="42">
        <f t="shared" si="71"/>
        <v>45172</v>
      </c>
      <c r="P671" s="5" t="str">
        <f t="shared" si="72"/>
        <v>Sunday</v>
      </c>
      <c r="Q671" s="5">
        <f t="shared" si="73"/>
        <v>13</v>
      </c>
      <c r="R671" s="28">
        <f t="shared" si="74"/>
        <v>0.95192307692307687</v>
      </c>
      <c r="S671" s="29">
        <f t="shared" si="75"/>
        <v>95.192307692307693</v>
      </c>
      <c r="T671" s="5" t="str">
        <f>IF(Delivery_Data3[[#This Row],[Delays (min)]]&gt;0,"No","Yes")</f>
        <v>No</v>
      </c>
      <c r="W671" s="41">
        <f t="shared" si="76"/>
        <v>45172</v>
      </c>
      <c r="X671" s="5">
        <v>198</v>
      </c>
    </row>
    <row r="672" spans="1:24" ht="15.75" customHeight="1" x14ac:dyDescent="0.3">
      <c r="A672" s="4">
        <v>1671</v>
      </c>
      <c r="B672" s="5" t="s">
        <v>796</v>
      </c>
      <c r="C672" s="6">
        <v>45174.57708333333</v>
      </c>
      <c r="D672" s="5" t="s">
        <v>14</v>
      </c>
      <c r="E672" s="5" t="s">
        <v>109</v>
      </c>
      <c r="F672" s="5" t="s">
        <v>24</v>
      </c>
      <c r="G672" s="5" t="s">
        <v>17</v>
      </c>
      <c r="H672" s="5">
        <v>230</v>
      </c>
      <c r="I672" s="5">
        <v>24</v>
      </c>
      <c r="J672" s="5" t="s">
        <v>18</v>
      </c>
      <c r="K672" s="5" t="s">
        <v>27</v>
      </c>
      <c r="L672" s="5" t="s">
        <v>20</v>
      </c>
      <c r="M672" s="7" t="s">
        <v>21</v>
      </c>
      <c r="N672" s="26">
        <f t="shared" si="70"/>
        <v>0</v>
      </c>
      <c r="O672" s="42">
        <f t="shared" si="71"/>
        <v>45174</v>
      </c>
      <c r="P672" s="5" t="str">
        <f t="shared" si="72"/>
        <v>Tuesday</v>
      </c>
      <c r="Q672" s="5">
        <f t="shared" si="73"/>
        <v>13</v>
      </c>
      <c r="R672" s="28">
        <f t="shared" si="74"/>
        <v>0.90551181102362199</v>
      </c>
      <c r="S672" s="29">
        <f t="shared" si="75"/>
        <v>90.551181102362193</v>
      </c>
      <c r="T672" s="5" t="str">
        <f>IF(Delivery_Data3[[#This Row],[Delays (min)]]&gt;0,"No","Yes")</f>
        <v>No</v>
      </c>
      <c r="W672" s="41">
        <f t="shared" si="76"/>
        <v>45174</v>
      </c>
      <c r="X672" s="5">
        <v>230</v>
      </c>
    </row>
    <row r="673" spans="1:24" ht="15.75" customHeight="1" x14ac:dyDescent="0.3">
      <c r="A673" s="4">
        <v>1672</v>
      </c>
      <c r="B673" s="5" t="s">
        <v>797</v>
      </c>
      <c r="C673" s="6">
        <v>45175.652777777781</v>
      </c>
      <c r="D673" s="5" t="s">
        <v>43</v>
      </c>
      <c r="E673" s="5" t="s">
        <v>101</v>
      </c>
      <c r="F673" s="5" t="s">
        <v>38</v>
      </c>
      <c r="G673" s="5" t="s">
        <v>17</v>
      </c>
      <c r="H673" s="5">
        <v>126</v>
      </c>
      <c r="I673" s="5">
        <v>3</v>
      </c>
      <c r="J673" s="5" t="s">
        <v>32</v>
      </c>
      <c r="K673" s="5" t="s">
        <v>45</v>
      </c>
      <c r="L673" s="5" t="s">
        <v>28</v>
      </c>
      <c r="M673" s="7" t="s">
        <v>46</v>
      </c>
      <c r="N673" s="26">
        <f t="shared" si="70"/>
        <v>-1</v>
      </c>
      <c r="O673" s="42">
        <f t="shared" si="71"/>
        <v>45175</v>
      </c>
      <c r="P673" s="5" t="str">
        <f t="shared" si="72"/>
        <v>Wednesday</v>
      </c>
      <c r="Q673" s="5">
        <f t="shared" si="73"/>
        <v>15</v>
      </c>
      <c r="R673" s="28">
        <f t="shared" si="74"/>
        <v>0.97674418604651159</v>
      </c>
      <c r="S673" s="29">
        <f t="shared" si="75"/>
        <v>97.674418604651152</v>
      </c>
      <c r="T673" s="5" t="str">
        <f>IF(Delivery_Data3[[#This Row],[Delays (min)]]&gt;0,"No","Yes")</f>
        <v>No</v>
      </c>
      <c r="W673" s="41">
        <f t="shared" si="76"/>
        <v>45175</v>
      </c>
      <c r="X673" s="5">
        <v>126</v>
      </c>
    </row>
    <row r="674" spans="1:24" ht="15.75" customHeight="1" x14ac:dyDescent="0.3">
      <c r="A674" s="4">
        <v>1673</v>
      </c>
      <c r="B674" s="5" t="s">
        <v>798</v>
      </c>
      <c r="C674" s="6">
        <v>45174.352777777778</v>
      </c>
      <c r="D674" s="5" t="s">
        <v>43</v>
      </c>
      <c r="E674" s="5" t="s">
        <v>197</v>
      </c>
      <c r="F674" s="5" t="s">
        <v>24</v>
      </c>
      <c r="G674" s="5" t="s">
        <v>56</v>
      </c>
      <c r="H674" s="5">
        <v>115</v>
      </c>
      <c r="I674" s="5">
        <v>6</v>
      </c>
      <c r="J674" s="5" t="s">
        <v>26</v>
      </c>
      <c r="K674" s="5" t="s">
        <v>27</v>
      </c>
      <c r="L674" s="5" t="s">
        <v>28</v>
      </c>
      <c r="M674" s="7" t="s">
        <v>41</v>
      </c>
      <c r="N674" s="26">
        <f t="shared" si="70"/>
        <v>1</v>
      </c>
      <c r="O674" s="42">
        <f t="shared" si="71"/>
        <v>45174</v>
      </c>
      <c r="P674" s="5" t="str">
        <f t="shared" si="72"/>
        <v>Tuesday</v>
      </c>
      <c r="Q674" s="5">
        <f t="shared" si="73"/>
        <v>8</v>
      </c>
      <c r="R674" s="28">
        <f t="shared" si="74"/>
        <v>0.95041322314049592</v>
      </c>
      <c r="S674" s="29">
        <f t="shared" si="75"/>
        <v>95.041322314049594</v>
      </c>
      <c r="T674" s="5" t="str">
        <f>IF(Delivery_Data3[[#This Row],[Delays (min)]]&gt;0,"No","Yes")</f>
        <v>No</v>
      </c>
      <c r="W674" s="41">
        <f t="shared" si="76"/>
        <v>45174</v>
      </c>
      <c r="X674" s="5">
        <v>115</v>
      </c>
    </row>
    <row r="675" spans="1:24" ht="15.75" customHeight="1" x14ac:dyDescent="0.3">
      <c r="A675" s="4">
        <v>1674</v>
      </c>
      <c r="B675" s="5" t="s">
        <v>799</v>
      </c>
      <c r="C675" s="6">
        <v>45177.370138888888</v>
      </c>
      <c r="D675" s="5" t="s">
        <v>14</v>
      </c>
      <c r="E675" s="5" t="s">
        <v>135</v>
      </c>
      <c r="F675" s="5" t="s">
        <v>38</v>
      </c>
      <c r="G675" s="5" t="s">
        <v>56</v>
      </c>
      <c r="H675" s="5">
        <v>214</v>
      </c>
      <c r="I675" s="5">
        <v>8</v>
      </c>
      <c r="J675" s="5" t="s">
        <v>18</v>
      </c>
      <c r="K675" s="5" t="s">
        <v>27</v>
      </c>
      <c r="L675" s="5" t="s">
        <v>28</v>
      </c>
      <c r="M675" s="7" t="s">
        <v>21</v>
      </c>
      <c r="N675" s="26">
        <f t="shared" si="70"/>
        <v>0</v>
      </c>
      <c r="O675" s="42">
        <f t="shared" si="71"/>
        <v>45177</v>
      </c>
      <c r="P675" s="5" t="str">
        <f t="shared" si="72"/>
        <v>Friday</v>
      </c>
      <c r="Q675" s="5">
        <f t="shared" si="73"/>
        <v>8</v>
      </c>
      <c r="R675" s="28">
        <f t="shared" si="74"/>
        <v>0.963963963963964</v>
      </c>
      <c r="S675" s="29">
        <f t="shared" si="75"/>
        <v>96.396396396396398</v>
      </c>
      <c r="T675" s="5" t="str">
        <f>IF(Delivery_Data3[[#This Row],[Delays (min)]]&gt;0,"No","Yes")</f>
        <v>No</v>
      </c>
      <c r="W675" s="41">
        <f t="shared" si="76"/>
        <v>45177</v>
      </c>
      <c r="X675" s="5">
        <v>214</v>
      </c>
    </row>
    <row r="676" spans="1:24" ht="15.75" customHeight="1" x14ac:dyDescent="0.3">
      <c r="A676" s="4">
        <v>1675</v>
      </c>
      <c r="B676" s="5" t="s">
        <v>800</v>
      </c>
      <c r="C676" s="6">
        <v>45177.408333333333</v>
      </c>
      <c r="D676" s="5" t="s">
        <v>14</v>
      </c>
      <c r="E676" s="5" t="s">
        <v>200</v>
      </c>
      <c r="F676" s="5" t="s">
        <v>16</v>
      </c>
      <c r="G676" s="5" t="s">
        <v>39</v>
      </c>
      <c r="H676" s="5">
        <v>103</v>
      </c>
      <c r="I676" s="5">
        <v>13</v>
      </c>
      <c r="J676" s="5" t="s">
        <v>32</v>
      </c>
      <c r="K676" s="5" t="s">
        <v>27</v>
      </c>
      <c r="L676" s="5" t="s">
        <v>20</v>
      </c>
      <c r="M676" s="7" t="s">
        <v>46</v>
      </c>
      <c r="N676" s="26">
        <f t="shared" si="70"/>
        <v>-1</v>
      </c>
      <c r="O676" s="42">
        <f t="shared" si="71"/>
        <v>45177</v>
      </c>
      <c r="P676" s="5" t="str">
        <f t="shared" si="72"/>
        <v>Friday</v>
      </c>
      <c r="Q676" s="5">
        <f t="shared" si="73"/>
        <v>9</v>
      </c>
      <c r="R676" s="28">
        <f t="shared" si="74"/>
        <v>0.88793103448275867</v>
      </c>
      <c r="S676" s="29">
        <f t="shared" si="75"/>
        <v>88.793103448275872</v>
      </c>
      <c r="T676" s="5" t="str">
        <f>IF(Delivery_Data3[[#This Row],[Delays (min)]]&gt;0,"No","Yes")</f>
        <v>No</v>
      </c>
      <c r="W676" s="41">
        <f t="shared" si="76"/>
        <v>45177</v>
      </c>
      <c r="X676" s="5">
        <v>103</v>
      </c>
    </row>
    <row r="677" spans="1:24" ht="15.75" customHeight="1" x14ac:dyDescent="0.3">
      <c r="A677" s="4">
        <v>1676</v>
      </c>
      <c r="B677" s="5" t="s">
        <v>801</v>
      </c>
      <c r="C677" s="6">
        <v>45172.495833333334</v>
      </c>
      <c r="D677" s="5" t="s">
        <v>14</v>
      </c>
      <c r="E677" s="5" t="s">
        <v>171</v>
      </c>
      <c r="F677" s="5" t="s">
        <v>24</v>
      </c>
      <c r="G677" s="5" t="s">
        <v>56</v>
      </c>
      <c r="H677" s="5">
        <v>161</v>
      </c>
      <c r="I677" s="5">
        <v>1</v>
      </c>
      <c r="J677" s="5" t="s">
        <v>26</v>
      </c>
      <c r="K677" s="5" t="s">
        <v>35</v>
      </c>
      <c r="L677" s="5" t="s">
        <v>20</v>
      </c>
      <c r="M677" s="7" t="s">
        <v>41</v>
      </c>
      <c r="N677" s="26">
        <f t="shared" si="70"/>
        <v>1</v>
      </c>
      <c r="O677" s="42">
        <f t="shared" si="71"/>
        <v>45172</v>
      </c>
      <c r="P677" s="5" t="str">
        <f t="shared" si="72"/>
        <v>Sunday</v>
      </c>
      <c r="Q677" s="5">
        <f t="shared" si="73"/>
        <v>11</v>
      </c>
      <c r="R677" s="28">
        <f t="shared" si="74"/>
        <v>0.99382716049382713</v>
      </c>
      <c r="S677" s="29">
        <f t="shared" si="75"/>
        <v>99.382716049382708</v>
      </c>
      <c r="T677" s="5" t="str">
        <f>IF(Delivery_Data3[[#This Row],[Delays (min)]]&gt;0,"No","Yes")</f>
        <v>No</v>
      </c>
      <c r="W677" s="41">
        <f t="shared" si="76"/>
        <v>45172</v>
      </c>
      <c r="X677" s="5">
        <v>161</v>
      </c>
    </row>
    <row r="678" spans="1:24" ht="15.75" customHeight="1" x14ac:dyDescent="0.3">
      <c r="A678" s="4">
        <v>1677</v>
      </c>
      <c r="B678" s="5" t="s">
        <v>802</v>
      </c>
      <c r="C678" s="6">
        <v>45170.651388888888</v>
      </c>
      <c r="D678" s="5" t="s">
        <v>43</v>
      </c>
      <c r="E678" s="5" t="s">
        <v>249</v>
      </c>
      <c r="F678" s="5" t="s">
        <v>16</v>
      </c>
      <c r="G678" s="5" t="s">
        <v>25</v>
      </c>
      <c r="H678" s="5">
        <v>87</v>
      </c>
      <c r="I678" s="5">
        <v>16</v>
      </c>
      <c r="J678" s="5" t="s">
        <v>18</v>
      </c>
      <c r="K678" s="5" t="s">
        <v>27</v>
      </c>
      <c r="L678" s="5" t="s">
        <v>28</v>
      </c>
      <c r="M678" s="7" t="s">
        <v>21</v>
      </c>
      <c r="N678" s="26">
        <f t="shared" si="70"/>
        <v>0</v>
      </c>
      <c r="O678" s="42">
        <f t="shared" si="71"/>
        <v>45170</v>
      </c>
      <c r="P678" s="5" t="str">
        <f t="shared" si="72"/>
        <v>Friday</v>
      </c>
      <c r="Q678" s="5">
        <f t="shared" si="73"/>
        <v>15</v>
      </c>
      <c r="R678" s="28">
        <f t="shared" si="74"/>
        <v>0.84466019417475724</v>
      </c>
      <c r="S678" s="29">
        <f t="shared" si="75"/>
        <v>84.466019417475721</v>
      </c>
      <c r="T678" s="5" t="str">
        <f>IF(Delivery_Data3[[#This Row],[Delays (min)]]&gt;0,"No","Yes")</f>
        <v>No</v>
      </c>
      <c r="W678" s="41">
        <f t="shared" si="76"/>
        <v>45170</v>
      </c>
      <c r="X678" s="5">
        <v>87</v>
      </c>
    </row>
    <row r="679" spans="1:24" ht="15.75" customHeight="1" x14ac:dyDescent="0.3">
      <c r="A679" s="4">
        <v>1678</v>
      </c>
      <c r="B679" s="5" t="s">
        <v>803</v>
      </c>
      <c r="C679" s="6">
        <v>45175.572916666664</v>
      </c>
      <c r="D679" s="5" t="s">
        <v>43</v>
      </c>
      <c r="E679" s="5" t="s">
        <v>374</v>
      </c>
      <c r="F679" s="5" t="s">
        <v>38</v>
      </c>
      <c r="G679" s="5" t="s">
        <v>56</v>
      </c>
      <c r="H679" s="5">
        <v>99</v>
      </c>
      <c r="I679" s="5">
        <v>17</v>
      </c>
      <c r="J679" s="5" t="s">
        <v>18</v>
      </c>
      <c r="K679" s="5" t="s">
        <v>49</v>
      </c>
      <c r="L679" s="5" t="s">
        <v>28</v>
      </c>
      <c r="M679" s="7" t="s">
        <v>21</v>
      </c>
      <c r="N679" s="26">
        <f t="shared" si="70"/>
        <v>0</v>
      </c>
      <c r="O679" s="42">
        <f t="shared" si="71"/>
        <v>45175</v>
      </c>
      <c r="P679" s="5" t="str">
        <f t="shared" si="72"/>
        <v>Wednesday</v>
      </c>
      <c r="Q679" s="5">
        <f t="shared" si="73"/>
        <v>13</v>
      </c>
      <c r="R679" s="28">
        <f t="shared" si="74"/>
        <v>0.85344827586206895</v>
      </c>
      <c r="S679" s="29">
        <f t="shared" si="75"/>
        <v>85.34482758620689</v>
      </c>
      <c r="T679" s="5" t="str">
        <f>IF(Delivery_Data3[[#This Row],[Delays (min)]]&gt;0,"No","Yes")</f>
        <v>No</v>
      </c>
      <c r="W679" s="41">
        <f t="shared" si="76"/>
        <v>45175</v>
      </c>
      <c r="X679" s="5">
        <v>99</v>
      </c>
    </row>
    <row r="680" spans="1:24" ht="15.75" customHeight="1" x14ac:dyDescent="0.3">
      <c r="A680" s="4">
        <v>1679</v>
      </c>
      <c r="B680" s="5" t="s">
        <v>804</v>
      </c>
      <c r="C680" s="6">
        <v>45173.373611111114</v>
      </c>
      <c r="D680" s="5" t="s">
        <v>14</v>
      </c>
      <c r="E680" s="5" t="s">
        <v>169</v>
      </c>
      <c r="F680" s="5" t="s">
        <v>38</v>
      </c>
      <c r="G680" s="5" t="s">
        <v>39</v>
      </c>
      <c r="H680" s="5">
        <v>158</v>
      </c>
      <c r="I680" s="5">
        <v>3</v>
      </c>
      <c r="J680" s="5" t="s">
        <v>32</v>
      </c>
      <c r="K680" s="5" t="s">
        <v>49</v>
      </c>
      <c r="L680" s="5" t="s">
        <v>40</v>
      </c>
      <c r="M680" s="7" t="s">
        <v>46</v>
      </c>
      <c r="N680" s="26">
        <f t="shared" si="70"/>
        <v>-1</v>
      </c>
      <c r="O680" s="42">
        <f t="shared" si="71"/>
        <v>45173</v>
      </c>
      <c r="P680" s="5" t="str">
        <f t="shared" si="72"/>
        <v>Monday</v>
      </c>
      <c r="Q680" s="5">
        <f t="shared" si="73"/>
        <v>8</v>
      </c>
      <c r="R680" s="28">
        <f t="shared" si="74"/>
        <v>0.98136645962732916</v>
      </c>
      <c r="S680" s="29">
        <f t="shared" si="75"/>
        <v>98.136645962732914</v>
      </c>
      <c r="T680" s="5" t="str">
        <f>IF(Delivery_Data3[[#This Row],[Delays (min)]]&gt;0,"No","Yes")</f>
        <v>No</v>
      </c>
      <c r="W680" s="41">
        <f t="shared" si="76"/>
        <v>45173</v>
      </c>
      <c r="X680" s="5">
        <v>158</v>
      </c>
    </row>
    <row r="681" spans="1:24" ht="15.75" customHeight="1" x14ac:dyDescent="0.3">
      <c r="A681" s="4">
        <v>1680</v>
      </c>
      <c r="B681" s="5" t="s">
        <v>805</v>
      </c>
      <c r="C681" s="6">
        <v>45170.377083333333</v>
      </c>
      <c r="D681" s="5" t="s">
        <v>43</v>
      </c>
      <c r="E681" s="5" t="s">
        <v>118</v>
      </c>
      <c r="F681" s="5" t="s">
        <v>24</v>
      </c>
      <c r="G681" s="5" t="s">
        <v>17</v>
      </c>
      <c r="H681" s="5">
        <v>145</v>
      </c>
      <c r="I681" s="5">
        <v>9</v>
      </c>
      <c r="J681" s="5" t="s">
        <v>18</v>
      </c>
      <c r="K681" s="5" t="s">
        <v>35</v>
      </c>
      <c r="L681" s="5" t="s">
        <v>40</v>
      </c>
      <c r="M681" s="7" t="s">
        <v>21</v>
      </c>
      <c r="N681" s="26">
        <f t="shared" si="70"/>
        <v>0</v>
      </c>
      <c r="O681" s="42">
        <f t="shared" si="71"/>
        <v>45170</v>
      </c>
      <c r="P681" s="5" t="str">
        <f t="shared" si="72"/>
        <v>Friday</v>
      </c>
      <c r="Q681" s="5">
        <f t="shared" si="73"/>
        <v>9</v>
      </c>
      <c r="R681" s="28">
        <f t="shared" si="74"/>
        <v>0.94155844155844159</v>
      </c>
      <c r="S681" s="29">
        <f t="shared" si="75"/>
        <v>94.155844155844164</v>
      </c>
      <c r="T681" s="5" t="str">
        <f>IF(Delivery_Data3[[#This Row],[Delays (min)]]&gt;0,"No","Yes")</f>
        <v>No</v>
      </c>
      <c r="W681" s="41">
        <f t="shared" si="76"/>
        <v>45170</v>
      </c>
      <c r="X681" s="5">
        <v>145</v>
      </c>
    </row>
    <row r="682" spans="1:24" ht="15.75" customHeight="1" x14ac:dyDescent="0.3">
      <c r="A682" s="4">
        <v>1681</v>
      </c>
      <c r="B682" s="5" t="s">
        <v>806</v>
      </c>
      <c r="C682" s="6">
        <v>45173.595833333333</v>
      </c>
      <c r="D682" s="5" t="s">
        <v>14</v>
      </c>
      <c r="E682" s="5" t="s">
        <v>97</v>
      </c>
      <c r="F682" s="5" t="s">
        <v>38</v>
      </c>
      <c r="G682" s="5" t="s">
        <v>56</v>
      </c>
      <c r="H682" s="5">
        <v>134</v>
      </c>
      <c r="I682" s="5">
        <v>5</v>
      </c>
      <c r="J682" s="5" t="s">
        <v>18</v>
      </c>
      <c r="K682" s="5" t="s">
        <v>27</v>
      </c>
      <c r="L682" s="5" t="s">
        <v>28</v>
      </c>
      <c r="M682" s="7" t="s">
        <v>21</v>
      </c>
      <c r="N682" s="26">
        <f t="shared" si="70"/>
        <v>0</v>
      </c>
      <c r="O682" s="42">
        <f t="shared" si="71"/>
        <v>45173</v>
      </c>
      <c r="P682" s="5" t="str">
        <f t="shared" si="72"/>
        <v>Monday</v>
      </c>
      <c r="Q682" s="5">
        <f t="shared" si="73"/>
        <v>14</v>
      </c>
      <c r="R682" s="28">
        <f t="shared" si="74"/>
        <v>0.96402877697841727</v>
      </c>
      <c r="S682" s="29">
        <f t="shared" si="75"/>
        <v>96.402877697841731</v>
      </c>
      <c r="T682" s="5" t="str">
        <f>IF(Delivery_Data3[[#This Row],[Delays (min)]]&gt;0,"No","Yes")</f>
        <v>No</v>
      </c>
      <c r="W682" s="41">
        <f t="shared" si="76"/>
        <v>45173</v>
      </c>
      <c r="X682" s="5">
        <v>134</v>
      </c>
    </row>
    <row r="683" spans="1:24" ht="15.75" customHeight="1" x14ac:dyDescent="0.3">
      <c r="A683" s="4">
        <v>1682</v>
      </c>
      <c r="B683" s="5" t="s">
        <v>807</v>
      </c>
      <c r="C683" s="6">
        <v>45170.53402777778</v>
      </c>
      <c r="D683" s="5" t="s">
        <v>43</v>
      </c>
      <c r="E683" s="5" t="s">
        <v>109</v>
      </c>
      <c r="F683" s="5" t="s">
        <v>38</v>
      </c>
      <c r="G683" s="5" t="s">
        <v>31</v>
      </c>
      <c r="H683" s="5">
        <v>197</v>
      </c>
      <c r="I683" s="5">
        <v>3</v>
      </c>
      <c r="J683" s="5" t="s">
        <v>32</v>
      </c>
      <c r="K683" s="5" t="s">
        <v>19</v>
      </c>
      <c r="L683" s="5" t="s">
        <v>40</v>
      </c>
      <c r="M683" s="7" t="s">
        <v>46</v>
      </c>
      <c r="N683" s="26">
        <f t="shared" si="70"/>
        <v>-1</v>
      </c>
      <c r="O683" s="42">
        <f t="shared" si="71"/>
        <v>45170</v>
      </c>
      <c r="P683" s="5" t="str">
        <f t="shared" si="72"/>
        <v>Friday</v>
      </c>
      <c r="Q683" s="5">
        <f t="shared" si="73"/>
        <v>12</v>
      </c>
      <c r="R683" s="28">
        <f t="shared" si="74"/>
        <v>0.98499999999999999</v>
      </c>
      <c r="S683" s="29">
        <f t="shared" si="75"/>
        <v>98.5</v>
      </c>
      <c r="T683" s="5" t="str">
        <f>IF(Delivery_Data3[[#This Row],[Delays (min)]]&gt;0,"No","Yes")</f>
        <v>No</v>
      </c>
      <c r="W683" s="41">
        <f t="shared" si="76"/>
        <v>45170</v>
      </c>
      <c r="X683" s="5">
        <v>197</v>
      </c>
    </row>
    <row r="684" spans="1:24" ht="15.75" customHeight="1" x14ac:dyDescent="0.3">
      <c r="A684" s="4">
        <v>1683</v>
      </c>
      <c r="B684" s="5" t="s">
        <v>808</v>
      </c>
      <c r="C684" s="6">
        <v>45171.488888888889</v>
      </c>
      <c r="D684" s="5" t="s">
        <v>14</v>
      </c>
      <c r="E684" s="5" t="s">
        <v>120</v>
      </c>
      <c r="F684" s="5" t="s">
        <v>38</v>
      </c>
      <c r="G684" s="5" t="s">
        <v>39</v>
      </c>
      <c r="H684" s="5">
        <v>193</v>
      </c>
      <c r="I684" s="5">
        <v>26</v>
      </c>
      <c r="J684" s="5" t="s">
        <v>18</v>
      </c>
      <c r="K684" s="5" t="s">
        <v>35</v>
      </c>
      <c r="L684" s="5" t="s">
        <v>40</v>
      </c>
      <c r="M684" s="7" t="s">
        <v>41</v>
      </c>
      <c r="N684" s="26">
        <f t="shared" si="70"/>
        <v>0</v>
      </c>
      <c r="O684" s="42">
        <f t="shared" si="71"/>
        <v>45171</v>
      </c>
      <c r="P684" s="5" t="str">
        <f t="shared" si="72"/>
        <v>Saturday</v>
      </c>
      <c r="Q684" s="5">
        <f t="shared" si="73"/>
        <v>11</v>
      </c>
      <c r="R684" s="28">
        <f t="shared" si="74"/>
        <v>0.88127853881278539</v>
      </c>
      <c r="S684" s="29">
        <f t="shared" si="75"/>
        <v>88.12785388127854</v>
      </c>
      <c r="T684" s="5" t="str">
        <f>IF(Delivery_Data3[[#This Row],[Delays (min)]]&gt;0,"No","Yes")</f>
        <v>No</v>
      </c>
      <c r="W684" s="41">
        <f t="shared" si="76"/>
        <v>45171</v>
      </c>
      <c r="X684" s="5">
        <v>193</v>
      </c>
    </row>
    <row r="685" spans="1:24" ht="15.75" customHeight="1" x14ac:dyDescent="0.3">
      <c r="A685" s="4">
        <v>1684</v>
      </c>
      <c r="B685" s="5" t="s">
        <v>809</v>
      </c>
      <c r="C685" s="6">
        <v>45175.345138888886</v>
      </c>
      <c r="D685" s="5" t="s">
        <v>14</v>
      </c>
      <c r="E685" s="5" t="s">
        <v>132</v>
      </c>
      <c r="F685" s="5" t="s">
        <v>16</v>
      </c>
      <c r="G685" s="5" t="s">
        <v>39</v>
      </c>
      <c r="H685" s="5">
        <v>82</v>
      </c>
      <c r="I685" s="5">
        <v>6</v>
      </c>
      <c r="J685" s="5" t="s">
        <v>18</v>
      </c>
      <c r="K685" s="5" t="s">
        <v>35</v>
      </c>
      <c r="L685" s="5" t="s">
        <v>20</v>
      </c>
      <c r="M685" s="7" t="s">
        <v>46</v>
      </c>
      <c r="N685" s="26">
        <f t="shared" si="70"/>
        <v>0</v>
      </c>
      <c r="O685" s="42">
        <f t="shared" si="71"/>
        <v>45175</v>
      </c>
      <c r="P685" s="5" t="str">
        <f t="shared" si="72"/>
        <v>Wednesday</v>
      </c>
      <c r="Q685" s="5">
        <f t="shared" si="73"/>
        <v>8</v>
      </c>
      <c r="R685" s="28">
        <f t="shared" si="74"/>
        <v>0.93181818181818177</v>
      </c>
      <c r="S685" s="29">
        <f t="shared" si="75"/>
        <v>93.181818181818173</v>
      </c>
      <c r="T685" s="5" t="str">
        <f>IF(Delivery_Data3[[#This Row],[Delays (min)]]&gt;0,"No","Yes")</f>
        <v>No</v>
      </c>
      <c r="W685" s="41">
        <f t="shared" si="76"/>
        <v>45175</v>
      </c>
      <c r="X685" s="5">
        <v>82</v>
      </c>
    </row>
    <row r="686" spans="1:24" ht="15.75" customHeight="1" x14ac:dyDescent="0.3">
      <c r="A686" s="4">
        <v>1685</v>
      </c>
      <c r="B686" s="5" t="s">
        <v>810</v>
      </c>
      <c r="C686" s="6">
        <v>45173.418055555558</v>
      </c>
      <c r="D686" s="5" t="s">
        <v>43</v>
      </c>
      <c r="E686" s="5" t="s">
        <v>76</v>
      </c>
      <c r="F686" s="5" t="s">
        <v>16</v>
      </c>
      <c r="G686" s="5" t="s">
        <v>39</v>
      </c>
      <c r="H686" s="5">
        <v>228</v>
      </c>
      <c r="I686" s="5">
        <v>20</v>
      </c>
      <c r="J686" s="5" t="s">
        <v>18</v>
      </c>
      <c r="K686" s="5" t="s">
        <v>35</v>
      </c>
      <c r="L686" s="5" t="s">
        <v>28</v>
      </c>
      <c r="M686" s="7" t="s">
        <v>41</v>
      </c>
      <c r="N686" s="26">
        <f t="shared" si="70"/>
        <v>0</v>
      </c>
      <c r="O686" s="42">
        <f t="shared" si="71"/>
        <v>45173</v>
      </c>
      <c r="P686" s="5" t="str">
        <f t="shared" si="72"/>
        <v>Monday</v>
      </c>
      <c r="Q686" s="5">
        <f t="shared" si="73"/>
        <v>10</v>
      </c>
      <c r="R686" s="28">
        <f t="shared" si="74"/>
        <v>0.91935483870967738</v>
      </c>
      <c r="S686" s="29">
        <f t="shared" si="75"/>
        <v>91.935483870967744</v>
      </c>
      <c r="T686" s="5" t="str">
        <f>IF(Delivery_Data3[[#This Row],[Delays (min)]]&gt;0,"No","Yes")</f>
        <v>No</v>
      </c>
      <c r="W686" s="41">
        <f t="shared" si="76"/>
        <v>45173</v>
      </c>
      <c r="X686" s="5">
        <v>228</v>
      </c>
    </row>
    <row r="687" spans="1:24" ht="15.75" customHeight="1" x14ac:dyDescent="0.3">
      <c r="A687" s="4">
        <v>1686</v>
      </c>
      <c r="B687" s="5" t="s">
        <v>811</v>
      </c>
      <c r="C687" s="6">
        <v>45174.584722222222</v>
      </c>
      <c r="D687" s="5" t="s">
        <v>14</v>
      </c>
      <c r="E687" s="5" t="s">
        <v>441</v>
      </c>
      <c r="F687" s="5" t="s">
        <v>16</v>
      </c>
      <c r="G687" s="5" t="s">
        <v>25</v>
      </c>
      <c r="H687" s="5">
        <v>206</v>
      </c>
      <c r="I687" s="5">
        <v>3</v>
      </c>
      <c r="J687" s="5" t="s">
        <v>18</v>
      </c>
      <c r="K687" s="5" t="s">
        <v>35</v>
      </c>
      <c r="L687" s="5" t="s">
        <v>20</v>
      </c>
      <c r="M687" s="7" t="s">
        <v>21</v>
      </c>
      <c r="N687" s="26">
        <f t="shared" si="70"/>
        <v>0</v>
      </c>
      <c r="O687" s="42">
        <f t="shared" si="71"/>
        <v>45174</v>
      </c>
      <c r="P687" s="5" t="str">
        <f t="shared" si="72"/>
        <v>Tuesday</v>
      </c>
      <c r="Q687" s="5">
        <f t="shared" si="73"/>
        <v>14</v>
      </c>
      <c r="R687" s="28">
        <f t="shared" si="74"/>
        <v>0.9856459330143541</v>
      </c>
      <c r="S687" s="29">
        <f t="shared" si="75"/>
        <v>98.564593301435409</v>
      </c>
      <c r="T687" s="5" t="str">
        <f>IF(Delivery_Data3[[#This Row],[Delays (min)]]&gt;0,"No","Yes")</f>
        <v>No</v>
      </c>
      <c r="W687" s="41">
        <f t="shared" si="76"/>
        <v>45174</v>
      </c>
      <c r="X687" s="5">
        <v>206</v>
      </c>
    </row>
    <row r="688" spans="1:24" ht="15.75" customHeight="1" x14ac:dyDescent="0.3">
      <c r="A688" s="4">
        <v>1687</v>
      </c>
      <c r="B688" s="5" t="s">
        <v>812</v>
      </c>
      <c r="C688" s="6">
        <v>45174.37777777778</v>
      </c>
      <c r="D688" s="5" t="s">
        <v>43</v>
      </c>
      <c r="E688" s="5" t="s">
        <v>99</v>
      </c>
      <c r="F688" s="5" t="s">
        <v>24</v>
      </c>
      <c r="G688" s="5" t="s">
        <v>31</v>
      </c>
      <c r="H688" s="5">
        <v>100</v>
      </c>
      <c r="I688" s="5">
        <v>28</v>
      </c>
      <c r="J688" s="5" t="s">
        <v>18</v>
      </c>
      <c r="K688" s="5" t="s">
        <v>27</v>
      </c>
      <c r="L688" s="5" t="s">
        <v>28</v>
      </c>
      <c r="M688" s="7" t="s">
        <v>21</v>
      </c>
      <c r="N688" s="26">
        <f t="shared" si="70"/>
        <v>0</v>
      </c>
      <c r="O688" s="42">
        <f t="shared" si="71"/>
        <v>45174</v>
      </c>
      <c r="P688" s="5" t="str">
        <f t="shared" si="72"/>
        <v>Tuesday</v>
      </c>
      <c r="Q688" s="5">
        <f t="shared" si="73"/>
        <v>9</v>
      </c>
      <c r="R688" s="28">
        <f t="shared" si="74"/>
        <v>0.78125</v>
      </c>
      <c r="S688" s="29">
        <f t="shared" si="75"/>
        <v>78.125</v>
      </c>
      <c r="T688" s="5" t="str">
        <f>IF(Delivery_Data3[[#This Row],[Delays (min)]]&gt;0,"No","Yes")</f>
        <v>No</v>
      </c>
      <c r="W688" s="41">
        <f t="shared" si="76"/>
        <v>45174</v>
      </c>
      <c r="X688" s="5">
        <v>100</v>
      </c>
    </row>
    <row r="689" spans="1:24" ht="15.75" customHeight="1" x14ac:dyDescent="0.3">
      <c r="A689" s="4">
        <v>1688</v>
      </c>
      <c r="B689" s="5" t="s">
        <v>813</v>
      </c>
      <c r="C689" s="6">
        <v>45175.384722222225</v>
      </c>
      <c r="D689" s="5" t="s">
        <v>43</v>
      </c>
      <c r="E689" s="5" t="s">
        <v>95</v>
      </c>
      <c r="F689" s="5" t="s">
        <v>24</v>
      </c>
      <c r="G689" s="5" t="s">
        <v>56</v>
      </c>
      <c r="H689" s="5">
        <v>202</v>
      </c>
      <c r="I689" s="5">
        <v>14</v>
      </c>
      <c r="J689" s="5" t="s">
        <v>26</v>
      </c>
      <c r="K689" s="5" t="s">
        <v>49</v>
      </c>
      <c r="L689" s="5" t="s">
        <v>40</v>
      </c>
      <c r="M689" s="7" t="s">
        <v>21</v>
      </c>
      <c r="N689" s="26">
        <f t="shared" si="70"/>
        <v>1</v>
      </c>
      <c r="O689" s="42">
        <f t="shared" si="71"/>
        <v>45175</v>
      </c>
      <c r="P689" s="5" t="str">
        <f t="shared" si="72"/>
        <v>Wednesday</v>
      </c>
      <c r="Q689" s="5">
        <f t="shared" si="73"/>
        <v>9</v>
      </c>
      <c r="R689" s="28">
        <f t="shared" si="74"/>
        <v>0.93518518518518523</v>
      </c>
      <c r="S689" s="29">
        <f t="shared" si="75"/>
        <v>93.518518518518519</v>
      </c>
      <c r="T689" s="5" t="str">
        <f>IF(Delivery_Data3[[#This Row],[Delays (min)]]&gt;0,"No","Yes")</f>
        <v>No</v>
      </c>
      <c r="W689" s="41">
        <f t="shared" si="76"/>
        <v>45175</v>
      </c>
      <c r="X689" s="5">
        <v>202</v>
      </c>
    </row>
    <row r="690" spans="1:24" ht="15.75" customHeight="1" x14ac:dyDescent="0.3">
      <c r="A690" s="4">
        <v>1689</v>
      </c>
      <c r="B690" s="5" t="s">
        <v>814</v>
      </c>
      <c r="C690" s="6">
        <v>45175.44027777778</v>
      </c>
      <c r="D690" s="5" t="s">
        <v>14</v>
      </c>
      <c r="E690" s="5" t="s">
        <v>200</v>
      </c>
      <c r="F690" s="5" t="s">
        <v>24</v>
      </c>
      <c r="G690" s="5" t="s">
        <v>56</v>
      </c>
      <c r="H690" s="5">
        <v>157</v>
      </c>
      <c r="I690" s="5">
        <v>26</v>
      </c>
      <c r="J690" s="5" t="s">
        <v>26</v>
      </c>
      <c r="K690" s="5" t="s">
        <v>49</v>
      </c>
      <c r="L690" s="5" t="s">
        <v>40</v>
      </c>
      <c r="M690" s="7" t="s">
        <v>41</v>
      </c>
      <c r="N690" s="26">
        <f t="shared" si="70"/>
        <v>1</v>
      </c>
      <c r="O690" s="42">
        <f t="shared" si="71"/>
        <v>45175</v>
      </c>
      <c r="P690" s="5" t="str">
        <f t="shared" si="72"/>
        <v>Wednesday</v>
      </c>
      <c r="Q690" s="5">
        <f t="shared" si="73"/>
        <v>10</v>
      </c>
      <c r="R690" s="28">
        <f t="shared" si="74"/>
        <v>0.85792349726775952</v>
      </c>
      <c r="S690" s="29">
        <f t="shared" si="75"/>
        <v>85.792349726775953</v>
      </c>
      <c r="T690" s="5" t="str">
        <f>IF(Delivery_Data3[[#This Row],[Delays (min)]]&gt;0,"No","Yes")</f>
        <v>No</v>
      </c>
      <c r="W690" s="41">
        <f t="shared" si="76"/>
        <v>45175</v>
      </c>
      <c r="X690" s="5">
        <v>157</v>
      </c>
    </row>
    <row r="691" spans="1:24" ht="15.75" customHeight="1" x14ac:dyDescent="0.3">
      <c r="A691" s="4">
        <v>1690</v>
      </c>
      <c r="B691" s="5" t="s">
        <v>815</v>
      </c>
      <c r="C691" s="6">
        <v>45173.574999999997</v>
      </c>
      <c r="D691" s="5" t="s">
        <v>14</v>
      </c>
      <c r="E691" s="5" t="s">
        <v>215</v>
      </c>
      <c r="F691" s="5" t="s">
        <v>16</v>
      </c>
      <c r="G691" s="5" t="s">
        <v>39</v>
      </c>
      <c r="H691" s="5">
        <v>90</v>
      </c>
      <c r="I691" s="5">
        <v>4</v>
      </c>
      <c r="J691" s="5" t="s">
        <v>32</v>
      </c>
      <c r="K691" s="5" t="s">
        <v>45</v>
      </c>
      <c r="L691" s="5" t="s">
        <v>20</v>
      </c>
      <c r="M691" s="7" t="s">
        <v>46</v>
      </c>
      <c r="N691" s="26">
        <f t="shared" si="70"/>
        <v>-1</v>
      </c>
      <c r="O691" s="42">
        <f t="shared" si="71"/>
        <v>45173</v>
      </c>
      <c r="P691" s="5" t="str">
        <f t="shared" si="72"/>
        <v>Monday</v>
      </c>
      <c r="Q691" s="5">
        <f t="shared" si="73"/>
        <v>13</v>
      </c>
      <c r="R691" s="28">
        <f t="shared" si="74"/>
        <v>0.95744680851063835</v>
      </c>
      <c r="S691" s="29">
        <f t="shared" si="75"/>
        <v>95.744680851063833</v>
      </c>
      <c r="T691" s="5" t="str">
        <f>IF(Delivery_Data3[[#This Row],[Delays (min)]]&gt;0,"No","Yes")</f>
        <v>No</v>
      </c>
      <c r="W691" s="41">
        <f t="shared" si="76"/>
        <v>45173</v>
      </c>
      <c r="X691" s="5">
        <v>90</v>
      </c>
    </row>
    <row r="692" spans="1:24" ht="15.75" customHeight="1" x14ac:dyDescent="0.3">
      <c r="A692" s="4">
        <v>1691</v>
      </c>
      <c r="B692" s="5" t="s">
        <v>816</v>
      </c>
      <c r="C692" s="6">
        <v>45175.571527777778</v>
      </c>
      <c r="D692" s="5" t="s">
        <v>14</v>
      </c>
      <c r="E692" s="5" t="s">
        <v>202</v>
      </c>
      <c r="F692" s="5" t="s">
        <v>24</v>
      </c>
      <c r="G692" s="5" t="s">
        <v>39</v>
      </c>
      <c r="H692" s="5">
        <v>195</v>
      </c>
      <c r="I692" s="5">
        <v>10</v>
      </c>
      <c r="J692" s="5" t="s">
        <v>32</v>
      </c>
      <c r="K692" s="5" t="s">
        <v>27</v>
      </c>
      <c r="L692" s="5" t="s">
        <v>40</v>
      </c>
      <c r="M692" s="7" t="s">
        <v>21</v>
      </c>
      <c r="N692" s="26">
        <f t="shared" si="70"/>
        <v>-1</v>
      </c>
      <c r="O692" s="42">
        <f t="shared" si="71"/>
        <v>45175</v>
      </c>
      <c r="P692" s="5" t="str">
        <f t="shared" si="72"/>
        <v>Wednesday</v>
      </c>
      <c r="Q692" s="5">
        <f t="shared" si="73"/>
        <v>13</v>
      </c>
      <c r="R692" s="28">
        <f t="shared" si="74"/>
        <v>0.95121951219512191</v>
      </c>
      <c r="S692" s="29">
        <f t="shared" si="75"/>
        <v>95.121951219512198</v>
      </c>
      <c r="T692" s="5" t="str">
        <f>IF(Delivery_Data3[[#This Row],[Delays (min)]]&gt;0,"No","Yes")</f>
        <v>No</v>
      </c>
      <c r="W692" s="41">
        <f t="shared" si="76"/>
        <v>45175</v>
      </c>
      <c r="X692" s="5">
        <v>195</v>
      </c>
    </row>
    <row r="693" spans="1:24" ht="15.75" customHeight="1" x14ac:dyDescent="0.3">
      <c r="A693" s="4">
        <v>1692</v>
      </c>
      <c r="B693" s="5" t="s">
        <v>817</v>
      </c>
      <c r="C693" s="6">
        <v>45175.418055555558</v>
      </c>
      <c r="D693" s="5" t="s">
        <v>43</v>
      </c>
      <c r="E693" s="5" t="s">
        <v>55</v>
      </c>
      <c r="F693" s="5" t="s">
        <v>24</v>
      </c>
      <c r="G693" s="5" t="s">
        <v>31</v>
      </c>
      <c r="H693" s="5">
        <v>114</v>
      </c>
      <c r="I693" s="5">
        <v>14</v>
      </c>
      <c r="J693" s="5" t="s">
        <v>18</v>
      </c>
      <c r="K693" s="5" t="s">
        <v>19</v>
      </c>
      <c r="L693" s="5" t="s">
        <v>40</v>
      </c>
      <c r="M693" s="7" t="s">
        <v>46</v>
      </c>
      <c r="N693" s="26">
        <f t="shared" si="70"/>
        <v>0</v>
      </c>
      <c r="O693" s="42">
        <f t="shared" si="71"/>
        <v>45175</v>
      </c>
      <c r="P693" s="5" t="str">
        <f t="shared" si="72"/>
        <v>Wednesday</v>
      </c>
      <c r="Q693" s="5">
        <f t="shared" si="73"/>
        <v>10</v>
      </c>
      <c r="R693" s="28">
        <f t="shared" si="74"/>
        <v>0.890625</v>
      </c>
      <c r="S693" s="29">
        <f t="shared" si="75"/>
        <v>89.0625</v>
      </c>
      <c r="T693" s="5" t="str">
        <f>IF(Delivery_Data3[[#This Row],[Delays (min)]]&gt;0,"No","Yes")</f>
        <v>No</v>
      </c>
      <c r="W693" s="41">
        <f t="shared" si="76"/>
        <v>45175</v>
      </c>
      <c r="X693" s="5">
        <v>114</v>
      </c>
    </row>
    <row r="694" spans="1:24" ht="15.75" customHeight="1" x14ac:dyDescent="0.3">
      <c r="A694" s="4">
        <v>1693</v>
      </c>
      <c r="B694" s="5" t="s">
        <v>818</v>
      </c>
      <c r="C694" s="6">
        <v>45170.586111111108</v>
      </c>
      <c r="D694" s="5" t="s">
        <v>43</v>
      </c>
      <c r="E694" s="5" t="s">
        <v>55</v>
      </c>
      <c r="F694" s="5" t="s">
        <v>16</v>
      </c>
      <c r="G694" s="5" t="s">
        <v>39</v>
      </c>
      <c r="H694" s="5">
        <v>199</v>
      </c>
      <c r="I694" s="5">
        <v>21</v>
      </c>
      <c r="J694" s="5" t="s">
        <v>26</v>
      </c>
      <c r="K694" s="5" t="s">
        <v>35</v>
      </c>
      <c r="L694" s="5" t="s">
        <v>40</v>
      </c>
      <c r="M694" s="7" t="s">
        <v>21</v>
      </c>
      <c r="N694" s="26">
        <f t="shared" si="70"/>
        <v>1</v>
      </c>
      <c r="O694" s="42">
        <f t="shared" si="71"/>
        <v>45170</v>
      </c>
      <c r="P694" s="5" t="str">
        <f t="shared" si="72"/>
        <v>Friday</v>
      </c>
      <c r="Q694" s="5">
        <f t="shared" si="73"/>
        <v>14</v>
      </c>
      <c r="R694" s="28">
        <f t="shared" si="74"/>
        <v>0.90454545454545454</v>
      </c>
      <c r="S694" s="29">
        <f t="shared" si="75"/>
        <v>90.454545454545453</v>
      </c>
      <c r="T694" s="5" t="str">
        <f>IF(Delivery_Data3[[#This Row],[Delays (min)]]&gt;0,"No","Yes")</f>
        <v>No</v>
      </c>
      <c r="W694" s="41">
        <f t="shared" si="76"/>
        <v>45170</v>
      </c>
      <c r="X694" s="5">
        <v>199</v>
      </c>
    </row>
    <row r="695" spans="1:24" ht="15.75" customHeight="1" x14ac:dyDescent="0.3">
      <c r="A695" s="4">
        <v>1694</v>
      </c>
      <c r="B695" s="5" t="s">
        <v>819</v>
      </c>
      <c r="C695" s="6">
        <v>45177.351388888892</v>
      </c>
      <c r="D695" s="5" t="s">
        <v>43</v>
      </c>
      <c r="E695" s="5" t="s">
        <v>23</v>
      </c>
      <c r="F695" s="5" t="s">
        <v>16</v>
      </c>
      <c r="G695" s="5" t="s">
        <v>56</v>
      </c>
      <c r="H695" s="5">
        <v>173</v>
      </c>
      <c r="I695" s="5">
        <v>15</v>
      </c>
      <c r="J695" s="5" t="s">
        <v>18</v>
      </c>
      <c r="K695" s="5" t="s">
        <v>27</v>
      </c>
      <c r="L695" s="5" t="s">
        <v>40</v>
      </c>
      <c r="M695" s="7" t="s">
        <v>41</v>
      </c>
      <c r="N695" s="26">
        <f t="shared" si="70"/>
        <v>0</v>
      </c>
      <c r="O695" s="42">
        <f t="shared" si="71"/>
        <v>45177</v>
      </c>
      <c r="P695" s="5" t="str">
        <f t="shared" si="72"/>
        <v>Friday</v>
      </c>
      <c r="Q695" s="5">
        <f t="shared" si="73"/>
        <v>8</v>
      </c>
      <c r="R695" s="28">
        <f t="shared" si="74"/>
        <v>0.92021276595744683</v>
      </c>
      <c r="S695" s="29">
        <f t="shared" si="75"/>
        <v>92.021276595744681</v>
      </c>
      <c r="T695" s="5" t="str">
        <f>IF(Delivery_Data3[[#This Row],[Delays (min)]]&gt;0,"No","Yes")</f>
        <v>No</v>
      </c>
      <c r="W695" s="41">
        <f t="shared" si="76"/>
        <v>45177</v>
      </c>
      <c r="X695" s="5">
        <v>173</v>
      </c>
    </row>
    <row r="696" spans="1:24" ht="15.75" customHeight="1" x14ac:dyDescent="0.3">
      <c r="A696" s="4">
        <v>1695</v>
      </c>
      <c r="B696" s="5" t="s">
        <v>820</v>
      </c>
      <c r="C696" s="6">
        <v>45170.361805555556</v>
      </c>
      <c r="D696" s="5" t="s">
        <v>43</v>
      </c>
      <c r="E696" s="5" t="s">
        <v>281</v>
      </c>
      <c r="F696" s="5" t="s">
        <v>16</v>
      </c>
      <c r="G696" s="5" t="s">
        <v>17</v>
      </c>
      <c r="H696" s="5">
        <v>208</v>
      </c>
      <c r="I696" s="5">
        <v>29</v>
      </c>
      <c r="J696" s="5" t="s">
        <v>26</v>
      </c>
      <c r="K696" s="5" t="s">
        <v>49</v>
      </c>
      <c r="L696" s="5" t="s">
        <v>20</v>
      </c>
      <c r="M696" s="7" t="s">
        <v>46</v>
      </c>
      <c r="N696" s="26">
        <f t="shared" si="70"/>
        <v>1</v>
      </c>
      <c r="O696" s="42">
        <f t="shared" si="71"/>
        <v>45170</v>
      </c>
      <c r="P696" s="5" t="str">
        <f t="shared" si="72"/>
        <v>Friday</v>
      </c>
      <c r="Q696" s="5">
        <f t="shared" si="73"/>
        <v>8</v>
      </c>
      <c r="R696" s="28">
        <f t="shared" si="74"/>
        <v>0.87763713080168781</v>
      </c>
      <c r="S696" s="29">
        <f t="shared" si="75"/>
        <v>87.763713080168785</v>
      </c>
      <c r="T696" s="5" t="str">
        <f>IF(Delivery_Data3[[#This Row],[Delays (min)]]&gt;0,"No","Yes")</f>
        <v>No</v>
      </c>
      <c r="W696" s="41">
        <f t="shared" si="76"/>
        <v>45170</v>
      </c>
      <c r="X696" s="5">
        <v>208</v>
      </c>
    </row>
    <row r="697" spans="1:24" ht="15.75" customHeight="1" x14ac:dyDescent="0.3">
      <c r="A697" s="4">
        <v>1696</v>
      </c>
      <c r="B697" s="5" t="s">
        <v>821</v>
      </c>
      <c r="C697" s="6">
        <v>45176.60833333333</v>
      </c>
      <c r="D697" s="5" t="s">
        <v>43</v>
      </c>
      <c r="E697" s="5" t="s">
        <v>95</v>
      </c>
      <c r="F697" s="5" t="s">
        <v>38</v>
      </c>
      <c r="G697" s="5" t="s">
        <v>31</v>
      </c>
      <c r="H697" s="5">
        <v>125</v>
      </c>
      <c r="I697" s="5">
        <v>29</v>
      </c>
      <c r="J697" s="5" t="s">
        <v>32</v>
      </c>
      <c r="K697" s="5" t="s">
        <v>49</v>
      </c>
      <c r="L697" s="5" t="s">
        <v>40</v>
      </c>
      <c r="M697" s="7" t="s">
        <v>21</v>
      </c>
      <c r="N697" s="26">
        <f t="shared" si="70"/>
        <v>-1</v>
      </c>
      <c r="O697" s="42">
        <f t="shared" si="71"/>
        <v>45176</v>
      </c>
      <c r="P697" s="5" t="str">
        <f t="shared" si="72"/>
        <v>Thursday</v>
      </c>
      <c r="Q697" s="5">
        <f t="shared" si="73"/>
        <v>14</v>
      </c>
      <c r="R697" s="28">
        <f t="shared" si="74"/>
        <v>0.81168831168831168</v>
      </c>
      <c r="S697" s="29">
        <f t="shared" si="75"/>
        <v>81.168831168831161</v>
      </c>
      <c r="T697" s="5" t="str">
        <f>IF(Delivery_Data3[[#This Row],[Delays (min)]]&gt;0,"No","Yes")</f>
        <v>No</v>
      </c>
      <c r="W697" s="41">
        <f t="shared" si="76"/>
        <v>45176</v>
      </c>
      <c r="X697" s="5">
        <v>125</v>
      </c>
    </row>
    <row r="698" spans="1:24" ht="15.75" customHeight="1" x14ac:dyDescent="0.3">
      <c r="A698" s="4">
        <v>1697</v>
      </c>
      <c r="B698" s="5" t="s">
        <v>822</v>
      </c>
      <c r="C698" s="6">
        <v>45171.668749999997</v>
      </c>
      <c r="D698" s="5" t="s">
        <v>14</v>
      </c>
      <c r="E698" s="5" t="s">
        <v>53</v>
      </c>
      <c r="F698" s="5" t="s">
        <v>38</v>
      </c>
      <c r="G698" s="5" t="s">
        <v>17</v>
      </c>
      <c r="H698" s="5">
        <v>136</v>
      </c>
      <c r="I698" s="5">
        <v>21</v>
      </c>
      <c r="J698" s="5" t="s">
        <v>32</v>
      </c>
      <c r="K698" s="5" t="s">
        <v>45</v>
      </c>
      <c r="L698" s="5" t="s">
        <v>20</v>
      </c>
      <c r="M698" s="7" t="s">
        <v>41</v>
      </c>
      <c r="N698" s="26">
        <f t="shared" si="70"/>
        <v>-1</v>
      </c>
      <c r="O698" s="42">
        <f t="shared" si="71"/>
        <v>45171</v>
      </c>
      <c r="P698" s="5" t="str">
        <f t="shared" si="72"/>
        <v>Saturday</v>
      </c>
      <c r="Q698" s="5">
        <f t="shared" si="73"/>
        <v>16</v>
      </c>
      <c r="R698" s="28">
        <f t="shared" si="74"/>
        <v>0.86624203821656054</v>
      </c>
      <c r="S698" s="29">
        <f t="shared" si="75"/>
        <v>86.624203821656053</v>
      </c>
      <c r="T698" s="5" t="str">
        <f>IF(Delivery_Data3[[#This Row],[Delays (min)]]&gt;0,"No","Yes")</f>
        <v>No</v>
      </c>
      <c r="W698" s="41">
        <f t="shared" si="76"/>
        <v>45171</v>
      </c>
      <c r="X698" s="5">
        <v>136</v>
      </c>
    </row>
    <row r="699" spans="1:24" ht="15.75" customHeight="1" x14ac:dyDescent="0.3">
      <c r="A699" s="4">
        <v>1698</v>
      </c>
      <c r="B699" s="5" t="s">
        <v>823</v>
      </c>
      <c r="C699" s="6">
        <v>45177.683333333334</v>
      </c>
      <c r="D699" s="5" t="s">
        <v>43</v>
      </c>
      <c r="E699" s="5" t="s">
        <v>171</v>
      </c>
      <c r="F699" s="5" t="s">
        <v>16</v>
      </c>
      <c r="G699" s="5" t="s">
        <v>39</v>
      </c>
      <c r="H699" s="5">
        <v>86</v>
      </c>
      <c r="I699" s="5">
        <v>0</v>
      </c>
      <c r="J699" s="5" t="s">
        <v>32</v>
      </c>
      <c r="K699" s="5" t="s">
        <v>45</v>
      </c>
      <c r="L699" s="5" t="s">
        <v>40</v>
      </c>
      <c r="M699" s="7" t="s">
        <v>41</v>
      </c>
      <c r="N699" s="26">
        <f t="shared" si="70"/>
        <v>-1</v>
      </c>
      <c r="O699" s="42">
        <f t="shared" si="71"/>
        <v>45177</v>
      </c>
      <c r="P699" s="5" t="str">
        <f t="shared" si="72"/>
        <v>Friday</v>
      </c>
      <c r="Q699" s="5">
        <f t="shared" si="73"/>
        <v>16</v>
      </c>
      <c r="R699" s="28">
        <f t="shared" si="74"/>
        <v>1</v>
      </c>
      <c r="S699" s="29">
        <f t="shared" si="75"/>
        <v>100</v>
      </c>
      <c r="T699" s="5" t="str">
        <f>IF(Delivery_Data3[[#This Row],[Delays (min)]]&gt;0,"No","Yes")</f>
        <v>Yes</v>
      </c>
      <c r="W699" s="41">
        <f t="shared" si="76"/>
        <v>45177</v>
      </c>
      <c r="X699" s="5">
        <v>86</v>
      </c>
    </row>
    <row r="700" spans="1:24" ht="15.75" customHeight="1" x14ac:dyDescent="0.3">
      <c r="A700" s="4">
        <v>1699</v>
      </c>
      <c r="B700" s="5" t="s">
        <v>824</v>
      </c>
      <c r="C700" s="6">
        <v>45170.636111111111</v>
      </c>
      <c r="D700" s="5" t="s">
        <v>14</v>
      </c>
      <c r="E700" s="5" t="s">
        <v>187</v>
      </c>
      <c r="F700" s="5" t="s">
        <v>38</v>
      </c>
      <c r="G700" s="5" t="s">
        <v>31</v>
      </c>
      <c r="H700" s="5">
        <v>230</v>
      </c>
      <c r="I700" s="5">
        <v>24</v>
      </c>
      <c r="J700" s="5" t="s">
        <v>32</v>
      </c>
      <c r="K700" s="5" t="s">
        <v>45</v>
      </c>
      <c r="L700" s="5" t="s">
        <v>20</v>
      </c>
      <c r="M700" s="7" t="s">
        <v>46</v>
      </c>
      <c r="N700" s="26">
        <f t="shared" si="70"/>
        <v>-1</v>
      </c>
      <c r="O700" s="42">
        <f t="shared" si="71"/>
        <v>45170</v>
      </c>
      <c r="P700" s="5" t="str">
        <f t="shared" si="72"/>
        <v>Friday</v>
      </c>
      <c r="Q700" s="5">
        <f t="shared" si="73"/>
        <v>15</v>
      </c>
      <c r="R700" s="28">
        <f t="shared" si="74"/>
        <v>0.90551181102362199</v>
      </c>
      <c r="S700" s="29">
        <f t="shared" si="75"/>
        <v>90.551181102362193</v>
      </c>
      <c r="T700" s="5" t="str">
        <f>IF(Delivery_Data3[[#This Row],[Delays (min)]]&gt;0,"No","Yes")</f>
        <v>No</v>
      </c>
      <c r="W700" s="41">
        <f t="shared" si="76"/>
        <v>45170</v>
      </c>
      <c r="X700" s="5">
        <v>230</v>
      </c>
    </row>
    <row r="701" spans="1:24" ht="15.75" customHeight="1" x14ac:dyDescent="0.3">
      <c r="A701" s="4">
        <v>1700</v>
      </c>
      <c r="B701" s="5" t="s">
        <v>825</v>
      </c>
      <c r="C701" s="6">
        <v>45174.479166666664</v>
      </c>
      <c r="D701" s="5" t="s">
        <v>14</v>
      </c>
      <c r="E701" s="5" t="s">
        <v>37</v>
      </c>
      <c r="F701" s="5" t="s">
        <v>16</v>
      </c>
      <c r="G701" s="5" t="s">
        <v>17</v>
      </c>
      <c r="H701" s="5">
        <v>225</v>
      </c>
      <c r="I701" s="5">
        <v>12</v>
      </c>
      <c r="J701" s="5" t="s">
        <v>32</v>
      </c>
      <c r="K701" s="5" t="s">
        <v>45</v>
      </c>
      <c r="L701" s="5" t="s">
        <v>40</v>
      </c>
      <c r="M701" s="7" t="s">
        <v>21</v>
      </c>
      <c r="N701" s="26">
        <f t="shared" si="70"/>
        <v>-1</v>
      </c>
      <c r="O701" s="42">
        <f t="shared" si="71"/>
        <v>45174</v>
      </c>
      <c r="P701" s="5" t="str">
        <f t="shared" si="72"/>
        <v>Tuesday</v>
      </c>
      <c r="Q701" s="5">
        <f t="shared" si="73"/>
        <v>11</v>
      </c>
      <c r="R701" s="28">
        <f t="shared" si="74"/>
        <v>0.94936708860759489</v>
      </c>
      <c r="S701" s="29">
        <f t="shared" si="75"/>
        <v>94.936708860759495</v>
      </c>
      <c r="T701" s="5" t="str">
        <f>IF(Delivery_Data3[[#This Row],[Delays (min)]]&gt;0,"No","Yes")</f>
        <v>No</v>
      </c>
      <c r="W701" s="41">
        <f t="shared" si="76"/>
        <v>45174</v>
      </c>
      <c r="X701" s="5">
        <v>225</v>
      </c>
    </row>
    <row r="702" spans="1:24" ht="15.75" customHeight="1" x14ac:dyDescent="0.3">
      <c r="A702" s="4">
        <v>1701</v>
      </c>
      <c r="B702" s="5" t="s">
        <v>826</v>
      </c>
      <c r="C702" s="6">
        <v>45173.447916666664</v>
      </c>
      <c r="D702" s="5" t="s">
        <v>43</v>
      </c>
      <c r="E702" s="5" t="s">
        <v>73</v>
      </c>
      <c r="F702" s="5" t="s">
        <v>38</v>
      </c>
      <c r="G702" s="5" t="s">
        <v>25</v>
      </c>
      <c r="H702" s="5">
        <v>201</v>
      </c>
      <c r="I702" s="5">
        <v>3</v>
      </c>
      <c r="J702" s="5" t="s">
        <v>18</v>
      </c>
      <c r="K702" s="5" t="s">
        <v>49</v>
      </c>
      <c r="L702" s="5" t="s">
        <v>20</v>
      </c>
      <c r="M702" s="7" t="s">
        <v>46</v>
      </c>
      <c r="N702" s="26">
        <f t="shared" si="70"/>
        <v>0</v>
      </c>
      <c r="O702" s="42">
        <f t="shared" si="71"/>
        <v>45173</v>
      </c>
      <c r="P702" s="5" t="str">
        <f t="shared" si="72"/>
        <v>Monday</v>
      </c>
      <c r="Q702" s="5">
        <f t="shared" si="73"/>
        <v>10</v>
      </c>
      <c r="R702" s="28">
        <f t="shared" si="74"/>
        <v>0.98529411764705888</v>
      </c>
      <c r="S702" s="29">
        <f t="shared" si="75"/>
        <v>98.529411764705884</v>
      </c>
      <c r="T702" s="5" t="str">
        <f>IF(Delivery_Data3[[#This Row],[Delays (min)]]&gt;0,"No","Yes")</f>
        <v>No</v>
      </c>
      <c r="W702" s="41">
        <f t="shared" si="76"/>
        <v>45173</v>
      </c>
      <c r="X702" s="5">
        <v>201</v>
      </c>
    </row>
    <row r="703" spans="1:24" ht="15.75" customHeight="1" x14ac:dyDescent="0.3">
      <c r="A703" s="4">
        <v>1702</v>
      </c>
      <c r="B703" s="5" t="s">
        <v>827</v>
      </c>
      <c r="C703" s="6">
        <v>45174.48333333333</v>
      </c>
      <c r="D703" s="5" t="s">
        <v>14</v>
      </c>
      <c r="E703" s="5" t="s">
        <v>277</v>
      </c>
      <c r="F703" s="5" t="s">
        <v>16</v>
      </c>
      <c r="G703" s="5" t="s">
        <v>56</v>
      </c>
      <c r="H703" s="5">
        <v>69</v>
      </c>
      <c r="I703" s="5">
        <v>2</v>
      </c>
      <c r="J703" s="5" t="s">
        <v>26</v>
      </c>
      <c r="K703" s="5" t="s">
        <v>35</v>
      </c>
      <c r="L703" s="5" t="s">
        <v>28</v>
      </c>
      <c r="M703" s="7" t="s">
        <v>46</v>
      </c>
      <c r="N703" s="26">
        <f t="shared" si="70"/>
        <v>1</v>
      </c>
      <c r="O703" s="42">
        <f t="shared" si="71"/>
        <v>45174</v>
      </c>
      <c r="P703" s="5" t="str">
        <f t="shared" si="72"/>
        <v>Tuesday</v>
      </c>
      <c r="Q703" s="5">
        <f t="shared" si="73"/>
        <v>11</v>
      </c>
      <c r="R703" s="28">
        <f t="shared" si="74"/>
        <v>0.971830985915493</v>
      </c>
      <c r="S703" s="29">
        <f t="shared" si="75"/>
        <v>97.183098591549296</v>
      </c>
      <c r="T703" s="5" t="str">
        <f>IF(Delivery_Data3[[#This Row],[Delays (min)]]&gt;0,"No","Yes")</f>
        <v>No</v>
      </c>
      <c r="W703" s="41">
        <f t="shared" si="76"/>
        <v>45174</v>
      </c>
      <c r="X703" s="5">
        <v>69</v>
      </c>
    </row>
    <row r="704" spans="1:24" ht="15.75" customHeight="1" x14ac:dyDescent="0.3">
      <c r="A704" s="4">
        <v>1703</v>
      </c>
      <c r="B704" s="5" t="s">
        <v>828</v>
      </c>
      <c r="C704" s="6">
        <v>45175.525694444441</v>
      </c>
      <c r="D704" s="5" t="s">
        <v>43</v>
      </c>
      <c r="E704" s="5" t="s">
        <v>160</v>
      </c>
      <c r="F704" s="5" t="s">
        <v>24</v>
      </c>
      <c r="G704" s="5" t="s">
        <v>39</v>
      </c>
      <c r="H704" s="5">
        <v>90</v>
      </c>
      <c r="I704" s="5">
        <v>13</v>
      </c>
      <c r="J704" s="5" t="s">
        <v>32</v>
      </c>
      <c r="K704" s="5" t="s">
        <v>45</v>
      </c>
      <c r="L704" s="5" t="s">
        <v>28</v>
      </c>
      <c r="M704" s="7" t="s">
        <v>41</v>
      </c>
      <c r="N704" s="26">
        <f t="shared" si="70"/>
        <v>-1</v>
      </c>
      <c r="O704" s="42">
        <f t="shared" si="71"/>
        <v>45175</v>
      </c>
      <c r="P704" s="5" t="str">
        <f t="shared" si="72"/>
        <v>Wednesday</v>
      </c>
      <c r="Q704" s="5">
        <f t="shared" si="73"/>
        <v>12</v>
      </c>
      <c r="R704" s="28">
        <f t="shared" si="74"/>
        <v>0.87378640776699024</v>
      </c>
      <c r="S704" s="29">
        <f t="shared" si="75"/>
        <v>87.378640776699029</v>
      </c>
      <c r="T704" s="5" t="str">
        <f>IF(Delivery_Data3[[#This Row],[Delays (min)]]&gt;0,"No","Yes")</f>
        <v>No</v>
      </c>
      <c r="W704" s="41">
        <f t="shared" si="76"/>
        <v>45175</v>
      </c>
      <c r="X704" s="5">
        <v>90</v>
      </c>
    </row>
    <row r="705" spans="1:24" ht="15.75" customHeight="1" x14ac:dyDescent="0.3">
      <c r="A705" s="4">
        <v>1704</v>
      </c>
      <c r="B705" s="5" t="s">
        <v>829</v>
      </c>
      <c r="C705" s="6">
        <v>45170.459027777775</v>
      </c>
      <c r="D705" s="5" t="s">
        <v>14</v>
      </c>
      <c r="E705" s="5" t="s">
        <v>78</v>
      </c>
      <c r="F705" s="5" t="s">
        <v>38</v>
      </c>
      <c r="G705" s="5" t="s">
        <v>39</v>
      </c>
      <c r="H705" s="5">
        <v>108</v>
      </c>
      <c r="I705" s="5">
        <v>26</v>
      </c>
      <c r="J705" s="5" t="s">
        <v>32</v>
      </c>
      <c r="K705" s="5" t="s">
        <v>45</v>
      </c>
      <c r="L705" s="5" t="s">
        <v>40</v>
      </c>
      <c r="M705" s="7" t="s">
        <v>21</v>
      </c>
      <c r="N705" s="26">
        <f t="shared" si="70"/>
        <v>-1</v>
      </c>
      <c r="O705" s="42">
        <f t="shared" si="71"/>
        <v>45170</v>
      </c>
      <c r="P705" s="5" t="str">
        <f t="shared" si="72"/>
        <v>Friday</v>
      </c>
      <c r="Q705" s="5">
        <f t="shared" si="73"/>
        <v>11</v>
      </c>
      <c r="R705" s="28">
        <f t="shared" si="74"/>
        <v>0.80597014925373134</v>
      </c>
      <c r="S705" s="29">
        <f t="shared" si="75"/>
        <v>80.597014925373131</v>
      </c>
      <c r="T705" s="5" t="str">
        <f>IF(Delivery_Data3[[#This Row],[Delays (min)]]&gt;0,"No","Yes")</f>
        <v>No</v>
      </c>
      <c r="W705" s="41">
        <f t="shared" si="76"/>
        <v>45170</v>
      </c>
      <c r="X705" s="5">
        <v>108</v>
      </c>
    </row>
    <row r="706" spans="1:24" ht="15.75" customHeight="1" x14ac:dyDescent="0.3">
      <c r="A706" s="4">
        <v>1705</v>
      </c>
      <c r="B706" s="5" t="s">
        <v>830</v>
      </c>
      <c r="C706" s="6">
        <v>45177.604861111111</v>
      </c>
      <c r="D706" s="5" t="s">
        <v>14</v>
      </c>
      <c r="E706" s="5" t="s">
        <v>151</v>
      </c>
      <c r="F706" s="5" t="s">
        <v>16</v>
      </c>
      <c r="G706" s="5" t="s">
        <v>17</v>
      </c>
      <c r="H706" s="5">
        <v>181</v>
      </c>
      <c r="I706" s="5">
        <v>25</v>
      </c>
      <c r="J706" s="5" t="s">
        <v>26</v>
      </c>
      <c r="K706" s="5" t="s">
        <v>45</v>
      </c>
      <c r="L706" s="5" t="s">
        <v>40</v>
      </c>
      <c r="M706" s="7" t="s">
        <v>46</v>
      </c>
      <c r="N706" s="26">
        <f t="shared" ref="N706:N769" si="77">IF(J706="Positive",1,IF(J706="Neutral",0,IF(J706="Negative",-1,"")))</f>
        <v>1</v>
      </c>
      <c r="O706" s="42">
        <f t="shared" ref="O706:O769" si="78">INT(C706)</f>
        <v>45177</v>
      </c>
      <c r="P706" s="5" t="str">
        <f t="shared" ref="P706:P769" si="79">TEXT(C706,"dddd")</f>
        <v>Friday</v>
      </c>
      <c r="Q706" s="5">
        <f t="shared" ref="Q706:Q769" si="80">HOUR(C706)</f>
        <v>14</v>
      </c>
      <c r="R706" s="28">
        <f t="shared" ref="R706:R769" si="81">H706/(H706+I706)</f>
        <v>0.87864077669902918</v>
      </c>
      <c r="S706" s="29">
        <f t="shared" si="75"/>
        <v>87.864077669902912</v>
      </c>
      <c r="T706" s="5" t="str">
        <f>IF(Delivery_Data3[[#This Row],[Delays (min)]]&gt;0,"No","Yes")</f>
        <v>No</v>
      </c>
      <c r="W706" s="41">
        <f t="shared" si="76"/>
        <v>45177</v>
      </c>
      <c r="X706" s="5">
        <v>181</v>
      </c>
    </row>
    <row r="707" spans="1:24" ht="15.75" customHeight="1" x14ac:dyDescent="0.3">
      <c r="A707" s="4">
        <v>1706</v>
      </c>
      <c r="B707" s="5" t="s">
        <v>831</v>
      </c>
      <c r="C707" s="6">
        <v>45172.616666666669</v>
      </c>
      <c r="D707" s="5" t="s">
        <v>14</v>
      </c>
      <c r="E707" s="5" t="s">
        <v>179</v>
      </c>
      <c r="F707" s="5" t="s">
        <v>38</v>
      </c>
      <c r="G707" s="5" t="s">
        <v>39</v>
      </c>
      <c r="H707" s="5">
        <v>206</v>
      </c>
      <c r="I707" s="5">
        <v>27</v>
      </c>
      <c r="J707" s="5" t="s">
        <v>32</v>
      </c>
      <c r="K707" s="5" t="s">
        <v>35</v>
      </c>
      <c r="L707" s="5" t="s">
        <v>20</v>
      </c>
      <c r="M707" s="7" t="s">
        <v>41</v>
      </c>
      <c r="N707" s="26">
        <f t="shared" si="77"/>
        <v>-1</v>
      </c>
      <c r="O707" s="42">
        <f t="shared" si="78"/>
        <v>45172</v>
      </c>
      <c r="P707" s="5" t="str">
        <f t="shared" si="79"/>
        <v>Sunday</v>
      </c>
      <c r="Q707" s="5">
        <f t="shared" si="80"/>
        <v>14</v>
      </c>
      <c r="R707" s="28">
        <f t="shared" si="81"/>
        <v>0.88412017167381973</v>
      </c>
      <c r="S707" s="29">
        <f t="shared" ref="S707:S770" si="82">IF(H707+I707=0,0,(H707/(H707+I707))*100) + (IFERROR(--J707,0)*10)</f>
        <v>88.412017167381975</v>
      </c>
      <c r="T707" s="5" t="str">
        <f>IF(Delivery_Data3[[#This Row],[Delays (min)]]&gt;0,"No","Yes")</f>
        <v>No</v>
      </c>
      <c r="W707" s="41">
        <f t="shared" ref="W707:W770" si="83">INT(C707)</f>
        <v>45172</v>
      </c>
      <c r="X707" s="5">
        <v>206</v>
      </c>
    </row>
    <row r="708" spans="1:24" ht="15.75" customHeight="1" x14ac:dyDescent="0.3">
      <c r="A708" s="4">
        <v>1707</v>
      </c>
      <c r="B708" s="5" t="s">
        <v>832</v>
      </c>
      <c r="C708" s="6">
        <v>45170.555555555555</v>
      </c>
      <c r="D708" s="5" t="s">
        <v>14</v>
      </c>
      <c r="E708" s="5" t="s">
        <v>410</v>
      </c>
      <c r="F708" s="5" t="s">
        <v>38</v>
      </c>
      <c r="G708" s="5" t="s">
        <v>56</v>
      </c>
      <c r="H708" s="5">
        <v>120</v>
      </c>
      <c r="I708" s="5">
        <v>12</v>
      </c>
      <c r="J708" s="5" t="s">
        <v>32</v>
      </c>
      <c r="K708" s="5" t="s">
        <v>45</v>
      </c>
      <c r="L708" s="5" t="s">
        <v>20</v>
      </c>
      <c r="M708" s="7" t="s">
        <v>41</v>
      </c>
      <c r="N708" s="26">
        <f t="shared" si="77"/>
        <v>-1</v>
      </c>
      <c r="O708" s="42">
        <f t="shared" si="78"/>
        <v>45170</v>
      </c>
      <c r="P708" s="5" t="str">
        <f t="shared" si="79"/>
        <v>Friday</v>
      </c>
      <c r="Q708" s="5">
        <f t="shared" si="80"/>
        <v>13</v>
      </c>
      <c r="R708" s="28">
        <f t="shared" si="81"/>
        <v>0.90909090909090906</v>
      </c>
      <c r="S708" s="29">
        <f t="shared" si="82"/>
        <v>90.909090909090907</v>
      </c>
      <c r="T708" s="5" t="str">
        <f>IF(Delivery_Data3[[#This Row],[Delays (min)]]&gt;0,"No","Yes")</f>
        <v>No</v>
      </c>
      <c r="W708" s="41">
        <f t="shared" si="83"/>
        <v>45170</v>
      </c>
      <c r="X708" s="5">
        <v>120</v>
      </c>
    </row>
    <row r="709" spans="1:24" ht="15.75" customHeight="1" x14ac:dyDescent="0.3">
      <c r="A709" s="4">
        <v>1708</v>
      </c>
      <c r="B709" s="5" t="s">
        <v>833</v>
      </c>
      <c r="C709" s="6">
        <v>45175.465277777781</v>
      </c>
      <c r="D709" s="5" t="s">
        <v>14</v>
      </c>
      <c r="E709" s="5" t="s">
        <v>263</v>
      </c>
      <c r="F709" s="5" t="s">
        <v>38</v>
      </c>
      <c r="G709" s="5" t="s">
        <v>31</v>
      </c>
      <c r="H709" s="5">
        <v>114</v>
      </c>
      <c r="I709" s="5">
        <v>13</v>
      </c>
      <c r="J709" s="5" t="s">
        <v>26</v>
      </c>
      <c r="K709" s="5" t="s">
        <v>19</v>
      </c>
      <c r="L709" s="5" t="s">
        <v>40</v>
      </c>
      <c r="M709" s="7" t="s">
        <v>46</v>
      </c>
      <c r="N709" s="26">
        <f t="shared" si="77"/>
        <v>1</v>
      </c>
      <c r="O709" s="42">
        <f t="shared" si="78"/>
        <v>45175</v>
      </c>
      <c r="P709" s="5" t="str">
        <f t="shared" si="79"/>
        <v>Wednesday</v>
      </c>
      <c r="Q709" s="5">
        <f t="shared" si="80"/>
        <v>11</v>
      </c>
      <c r="R709" s="28">
        <f t="shared" si="81"/>
        <v>0.89763779527559051</v>
      </c>
      <c r="S709" s="29">
        <f t="shared" si="82"/>
        <v>89.763779527559052</v>
      </c>
      <c r="T709" s="5" t="str">
        <f>IF(Delivery_Data3[[#This Row],[Delays (min)]]&gt;0,"No","Yes")</f>
        <v>No</v>
      </c>
      <c r="W709" s="41">
        <f t="shared" si="83"/>
        <v>45175</v>
      </c>
      <c r="X709" s="5">
        <v>114</v>
      </c>
    </row>
    <row r="710" spans="1:24" ht="15.75" customHeight="1" x14ac:dyDescent="0.3">
      <c r="A710" s="4">
        <v>1709</v>
      </c>
      <c r="B710" s="5" t="s">
        <v>834</v>
      </c>
      <c r="C710" s="6">
        <v>45177.336111111108</v>
      </c>
      <c r="D710" s="5" t="s">
        <v>14</v>
      </c>
      <c r="E710" s="5" t="s">
        <v>135</v>
      </c>
      <c r="F710" s="5" t="s">
        <v>38</v>
      </c>
      <c r="G710" s="5" t="s">
        <v>56</v>
      </c>
      <c r="H710" s="5">
        <v>125</v>
      </c>
      <c r="I710" s="5">
        <v>4</v>
      </c>
      <c r="J710" s="5" t="s">
        <v>32</v>
      </c>
      <c r="K710" s="5" t="s">
        <v>19</v>
      </c>
      <c r="L710" s="5" t="s">
        <v>28</v>
      </c>
      <c r="M710" s="7" t="s">
        <v>46</v>
      </c>
      <c r="N710" s="26">
        <f t="shared" si="77"/>
        <v>-1</v>
      </c>
      <c r="O710" s="42">
        <f t="shared" si="78"/>
        <v>45177</v>
      </c>
      <c r="P710" s="5" t="str">
        <f t="shared" si="79"/>
        <v>Friday</v>
      </c>
      <c r="Q710" s="5">
        <f t="shared" si="80"/>
        <v>8</v>
      </c>
      <c r="R710" s="28">
        <f t="shared" si="81"/>
        <v>0.96899224806201545</v>
      </c>
      <c r="S710" s="29">
        <f t="shared" si="82"/>
        <v>96.899224806201545</v>
      </c>
      <c r="T710" s="5" t="str">
        <f>IF(Delivery_Data3[[#This Row],[Delays (min)]]&gt;0,"No","Yes")</f>
        <v>No</v>
      </c>
      <c r="W710" s="41">
        <f t="shared" si="83"/>
        <v>45177</v>
      </c>
      <c r="X710" s="5">
        <v>125</v>
      </c>
    </row>
    <row r="711" spans="1:24" ht="15.75" customHeight="1" x14ac:dyDescent="0.3">
      <c r="A711" s="4">
        <v>1710</v>
      </c>
      <c r="B711" s="5" t="s">
        <v>835</v>
      </c>
      <c r="C711" s="6">
        <v>45175.474999999999</v>
      </c>
      <c r="D711" s="5" t="s">
        <v>14</v>
      </c>
      <c r="E711" s="5" t="s">
        <v>288</v>
      </c>
      <c r="F711" s="5" t="s">
        <v>24</v>
      </c>
      <c r="G711" s="5" t="s">
        <v>31</v>
      </c>
      <c r="H711" s="5">
        <v>194</v>
      </c>
      <c r="I711" s="5">
        <v>17</v>
      </c>
      <c r="J711" s="5" t="s">
        <v>26</v>
      </c>
      <c r="K711" s="5" t="s">
        <v>35</v>
      </c>
      <c r="L711" s="5" t="s">
        <v>20</v>
      </c>
      <c r="M711" s="7" t="s">
        <v>21</v>
      </c>
      <c r="N711" s="26">
        <f t="shared" si="77"/>
        <v>1</v>
      </c>
      <c r="O711" s="42">
        <f t="shared" si="78"/>
        <v>45175</v>
      </c>
      <c r="P711" s="5" t="str">
        <f t="shared" si="79"/>
        <v>Wednesday</v>
      </c>
      <c r="Q711" s="5">
        <f t="shared" si="80"/>
        <v>11</v>
      </c>
      <c r="R711" s="28">
        <f t="shared" si="81"/>
        <v>0.91943127962085303</v>
      </c>
      <c r="S711" s="29">
        <f t="shared" si="82"/>
        <v>91.943127962085299</v>
      </c>
      <c r="T711" s="5" t="str">
        <f>IF(Delivery_Data3[[#This Row],[Delays (min)]]&gt;0,"No","Yes")</f>
        <v>No</v>
      </c>
      <c r="W711" s="41">
        <f t="shared" si="83"/>
        <v>45175</v>
      </c>
      <c r="X711" s="5">
        <v>194</v>
      </c>
    </row>
    <row r="712" spans="1:24" ht="15.75" customHeight="1" x14ac:dyDescent="0.3">
      <c r="A712" s="4">
        <v>1711</v>
      </c>
      <c r="B712" s="5" t="s">
        <v>836</v>
      </c>
      <c r="C712" s="6">
        <v>45176.505555555559</v>
      </c>
      <c r="D712" s="5" t="s">
        <v>43</v>
      </c>
      <c r="E712" s="5" t="s">
        <v>403</v>
      </c>
      <c r="F712" s="5" t="s">
        <v>24</v>
      </c>
      <c r="G712" s="5" t="s">
        <v>17</v>
      </c>
      <c r="H712" s="5">
        <v>151</v>
      </c>
      <c r="I712" s="5">
        <v>7</v>
      </c>
      <c r="J712" s="5" t="s">
        <v>32</v>
      </c>
      <c r="K712" s="5" t="s">
        <v>45</v>
      </c>
      <c r="L712" s="5" t="s">
        <v>20</v>
      </c>
      <c r="M712" s="7" t="s">
        <v>21</v>
      </c>
      <c r="N712" s="26">
        <f t="shared" si="77"/>
        <v>-1</v>
      </c>
      <c r="O712" s="42">
        <f t="shared" si="78"/>
        <v>45176</v>
      </c>
      <c r="P712" s="5" t="str">
        <f t="shared" si="79"/>
        <v>Thursday</v>
      </c>
      <c r="Q712" s="5">
        <f t="shared" si="80"/>
        <v>12</v>
      </c>
      <c r="R712" s="28">
        <f t="shared" si="81"/>
        <v>0.95569620253164556</v>
      </c>
      <c r="S712" s="29">
        <f t="shared" si="82"/>
        <v>95.569620253164558</v>
      </c>
      <c r="T712" s="5" t="str">
        <f>IF(Delivery_Data3[[#This Row],[Delays (min)]]&gt;0,"No","Yes")</f>
        <v>No</v>
      </c>
      <c r="W712" s="41">
        <f t="shared" si="83"/>
        <v>45176</v>
      </c>
      <c r="X712" s="5">
        <v>151</v>
      </c>
    </row>
    <row r="713" spans="1:24" ht="15.75" customHeight="1" x14ac:dyDescent="0.3">
      <c r="A713" s="4">
        <v>1712</v>
      </c>
      <c r="B713" s="5" t="s">
        <v>837</v>
      </c>
      <c r="C713" s="6">
        <v>45171.429166666669</v>
      </c>
      <c r="D713" s="5" t="s">
        <v>43</v>
      </c>
      <c r="E713" s="5" t="s">
        <v>285</v>
      </c>
      <c r="F713" s="5" t="s">
        <v>38</v>
      </c>
      <c r="G713" s="5" t="s">
        <v>17</v>
      </c>
      <c r="H713" s="5">
        <v>195</v>
      </c>
      <c r="I713" s="5">
        <v>22</v>
      </c>
      <c r="J713" s="5" t="s">
        <v>26</v>
      </c>
      <c r="K713" s="5" t="s">
        <v>27</v>
      </c>
      <c r="L713" s="5" t="s">
        <v>40</v>
      </c>
      <c r="M713" s="7" t="s">
        <v>46</v>
      </c>
      <c r="N713" s="26">
        <f t="shared" si="77"/>
        <v>1</v>
      </c>
      <c r="O713" s="42">
        <f t="shared" si="78"/>
        <v>45171</v>
      </c>
      <c r="P713" s="5" t="str">
        <f t="shared" si="79"/>
        <v>Saturday</v>
      </c>
      <c r="Q713" s="5">
        <f t="shared" si="80"/>
        <v>10</v>
      </c>
      <c r="R713" s="28">
        <f t="shared" si="81"/>
        <v>0.89861751152073732</v>
      </c>
      <c r="S713" s="29">
        <f t="shared" si="82"/>
        <v>89.861751152073737</v>
      </c>
      <c r="T713" s="5" t="str">
        <f>IF(Delivery_Data3[[#This Row],[Delays (min)]]&gt;0,"No","Yes")</f>
        <v>No</v>
      </c>
      <c r="W713" s="41">
        <f t="shared" si="83"/>
        <v>45171</v>
      </c>
      <c r="X713" s="5">
        <v>195</v>
      </c>
    </row>
    <row r="714" spans="1:24" ht="15.75" customHeight="1" x14ac:dyDescent="0.3">
      <c r="A714" s="4">
        <v>1713</v>
      </c>
      <c r="B714" s="5" t="s">
        <v>838</v>
      </c>
      <c r="C714" s="6">
        <v>45174.648611111108</v>
      </c>
      <c r="D714" s="5" t="s">
        <v>43</v>
      </c>
      <c r="E714" s="5" t="s">
        <v>333</v>
      </c>
      <c r="F714" s="5" t="s">
        <v>24</v>
      </c>
      <c r="G714" s="5" t="s">
        <v>25</v>
      </c>
      <c r="H714" s="5">
        <v>204</v>
      </c>
      <c r="I714" s="5">
        <v>0</v>
      </c>
      <c r="J714" s="5" t="s">
        <v>26</v>
      </c>
      <c r="K714" s="5" t="s">
        <v>49</v>
      </c>
      <c r="L714" s="5" t="s">
        <v>40</v>
      </c>
      <c r="M714" s="7" t="s">
        <v>41</v>
      </c>
      <c r="N714" s="26">
        <f t="shared" si="77"/>
        <v>1</v>
      </c>
      <c r="O714" s="42">
        <f t="shared" si="78"/>
        <v>45174</v>
      </c>
      <c r="P714" s="5" t="str">
        <f t="shared" si="79"/>
        <v>Tuesday</v>
      </c>
      <c r="Q714" s="5">
        <f t="shared" si="80"/>
        <v>15</v>
      </c>
      <c r="R714" s="28">
        <f t="shared" si="81"/>
        <v>1</v>
      </c>
      <c r="S714" s="29">
        <f t="shared" si="82"/>
        <v>100</v>
      </c>
      <c r="T714" s="5" t="str">
        <f>IF(Delivery_Data3[[#This Row],[Delays (min)]]&gt;0,"No","Yes")</f>
        <v>Yes</v>
      </c>
      <c r="W714" s="41">
        <f t="shared" si="83"/>
        <v>45174</v>
      </c>
      <c r="X714" s="5">
        <v>204</v>
      </c>
    </row>
    <row r="715" spans="1:24" ht="15.75" customHeight="1" x14ac:dyDescent="0.3">
      <c r="A715" s="4">
        <v>1714</v>
      </c>
      <c r="B715" s="5" t="s">
        <v>839</v>
      </c>
      <c r="C715" s="6">
        <v>45170.442361111112</v>
      </c>
      <c r="D715" s="5" t="s">
        <v>14</v>
      </c>
      <c r="E715" s="5" t="s">
        <v>234</v>
      </c>
      <c r="F715" s="5" t="s">
        <v>16</v>
      </c>
      <c r="G715" s="5" t="s">
        <v>39</v>
      </c>
      <c r="H715" s="5">
        <v>150</v>
      </c>
      <c r="I715" s="5">
        <v>27</v>
      </c>
      <c r="J715" s="5" t="s">
        <v>32</v>
      </c>
      <c r="K715" s="5" t="s">
        <v>45</v>
      </c>
      <c r="L715" s="5" t="s">
        <v>28</v>
      </c>
      <c r="M715" s="7" t="s">
        <v>21</v>
      </c>
      <c r="N715" s="26">
        <f t="shared" si="77"/>
        <v>-1</v>
      </c>
      <c r="O715" s="42">
        <f t="shared" si="78"/>
        <v>45170</v>
      </c>
      <c r="P715" s="5" t="str">
        <f t="shared" si="79"/>
        <v>Friday</v>
      </c>
      <c r="Q715" s="5">
        <f t="shared" si="80"/>
        <v>10</v>
      </c>
      <c r="R715" s="28">
        <f t="shared" si="81"/>
        <v>0.84745762711864403</v>
      </c>
      <c r="S715" s="29">
        <f t="shared" si="82"/>
        <v>84.745762711864401</v>
      </c>
      <c r="T715" s="5" t="str">
        <f>IF(Delivery_Data3[[#This Row],[Delays (min)]]&gt;0,"No","Yes")</f>
        <v>No</v>
      </c>
      <c r="W715" s="41">
        <f t="shared" si="83"/>
        <v>45170</v>
      </c>
      <c r="X715" s="5">
        <v>150</v>
      </c>
    </row>
    <row r="716" spans="1:24" ht="15.75" customHeight="1" x14ac:dyDescent="0.3">
      <c r="A716" s="4">
        <v>1715</v>
      </c>
      <c r="B716" s="5" t="s">
        <v>840</v>
      </c>
      <c r="C716" s="6">
        <v>45172.445833333331</v>
      </c>
      <c r="D716" s="5" t="s">
        <v>43</v>
      </c>
      <c r="E716" s="5" t="s">
        <v>126</v>
      </c>
      <c r="F716" s="5" t="s">
        <v>38</v>
      </c>
      <c r="G716" s="5" t="s">
        <v>31</v>
      </c>
      <c r="H716" s="5">
        <v>192</v>
      </c>
      <c r="I716" s="5">
        <v>7</v>
      </c>
      <c r="J716" s="5" t="s">
        <v>32</v>
      </c>
      <c r="K716" s="5" t="s">
        <v>45</v>
      </c>
      <c r="L716" s="5" t="s">
        <v>20</v>
      </c>
      <c r="M716" s="7" t="s">
        <v>46</v>
      </c>
      <c r="N716" s="26">
        <f t="shared" si="77"/>
        <v>-1</v>
      </c>
      <c r="O716" s="42">
        <f t="shared" si="78"/>
        <v>45172</v>
      </c>
      <c r="P716" s="5" t="str">
        <f t="shared" si="79"/>
        <v>Sunday</v>
      </c>
      <c r="Q716" s="5">
        <f t="shared" si="80"/>
        <v>10</v>
      </c>
      <c r="R716" s="28">
        <f t="shared" si="81"/>
        <v>0.96482412060301503</v>
      </c>
      <c r="S716" s="29">
        <f t="shared" si="82"/>
        <v>96.482412060301499</v>
      </c>
      <c r="T716" s="5" t="str">
        <f>IF(Delivery_Data3[[#This Row],[Delays (min)]]&gt;0,"No","Yes")</f>
        <v>No</v>
      </c>
      <c r="W716" s="41">
        <f t="shared" si="83"/>
        <v>45172</v>
      </c>
      <c r="X716" s="5">
        <v>192</v>
      </c>
    </row>
    <row r="717" spans="1:24" ht="15.75" customHeight="1" x14ac:dyDescent="0.3">
      <c r="A717" s="4">
        <v>1716</v>
      </c>
      <c r="B717" s="5" t="s">
        <v>841</v>
      </c>
      <c r="C717" s="6">
        <v>45173.493055555555</v>
      </c>
      <c r="D717" s="5" t="s">
        <v>14</v>
      </c>
      <c r="E717" s="5" t="s">
        <v>151</v>
      </c>
      <c r="F717" s="5" t="s">
        <v>24</v>
      </c>
      <c r="G717" s="5" t="s">
        <v>56</v>
      </c>
      <c r="H717" s="5">
        <v>218</v>
      </c>
      <c r="I717" s="5">
        <v>2</v>
      </c>
      <c r="J717" s="5" t="s">
        <v>26</v>
      </c>
      <c r="K717" s="5" t="s">
        <v>27</v>
      </c>
      <c r="L717" s="5" t="s">
        <v>20</v>
      </c>
      <c r="M717" s="7" t="s">
        <v>46</v>
      </c>
      <c r="N717" s="26">
        <f t="shared" si="77"/>
        <v>1</v>
      </c>
      <c r="O717" s="42">
        <f t="shared" si="78"/>
        <v>45173</v>
      </c>
      <c r="P717" s="5" t="str">
        <f t="shared" si="79"/>
        <v>Monday</v>
      </c>
      <c r="Q717" s="5">
        <f t="shared" si="80"/>
        <v>11</v>
      </c>
      <c r="R717" s="28">
        <f t="shared" si="81"/>
        <v>0.99090909090909096</v>
      </c>
      <c r="S717" s="29">
        <f t="shared" si="82"/>
        <v>99.090909090909093</v>
      </c>
      <c r="T717" s="5" t="str">
        <f>IF(Delivery_Data3[[#This Row],[Delays (min)]]&gt;0,"No","Yes")</f>
        <v>No</v>
      </c>
      <c r="W717" s="41">
        <f t="shared" si="83"/>
        <v>45173</v>
      </c>
      <c r="X717" s="5">
        <v>218</v>
      </c>
    </row>
    <row r="718" spans="1:24" ht="15.75" customHeight="1" x14ac:dyDescent="0.3">
      <c r="A718" s="4">
        <v>1717</v>
      </c>
      <c r="B718" s="5" t="s">
        <v>842</v>
      </c>
      <c r="C718" s="6">
        <v>45171.51458333333</v>
      </c>
      <c r="D718" s="5" t="s">
        <v>14</v>
      </c>
      <c r="E718" s="5" t="s">
        <v>231</v>
      </c>
      <c r="F718" s="5" t="s">
        <v>24</v>
      </c>
      <c r="G718" s="5" t="s">
        <v>56</v>
      </c>
      <c r="H718" s="5">
        <v>161</v>
      </c>
      <c r="I718" s="5">
        <v>24</v>
      </c>
      <c r="J718" s="5" t="s">
        <v>26</v>
      </c>
      <c r="K718" s="5" t="s">
        <v>35</v>
      </c>
      <c r="L718" s="5" t="s">
        <v>40</v>
      </c>
      <c r="M718" s="7" t="s">
        <v>21</v>
      </c>
      <c r="N718" s="26">
        <f t="shared" si="77"/>
        <v>1</v>
      </c>
      <c r="O718" s="42">
        <f t="shared" si="78"/>
        <v>45171</v>
      </c>
      <c r="P718" s="5" t="str">
        <f t="shared" si="79"/>
        <v>Saturday</v>
      </c>
      <c r="Q718" s="5">
        <f t="shared" si="80"/>
        <v>12</v>
      </c>
      <c r="R718" s="28">
        <f t="shared" si="81"/>
        <v>0.87027027027027026</v>
      </c>
      <c r="S718" s="29">
        <f t="shared" si="82"/>
        <v>87.027027027027032</v>
      </c>
      <c r="T718" s="5" t="str">
        <f>IF(Delivery_Data3[[#This Row],[Delays (min)]]&gt;0,"No","Yes")</f>
        <v>No</v>
      </c>
      <c r="W718" s="41">
        <f t="shared" si="83"/>
        <v>45171</v>
      </c>
      <c r="X718" s="5">
        <v>161</v>
      </c>
    </row>
    <row r="719" spans="1:24" ht="15.75" customHeight="1" x14ac:dyDescent="0.3">
      <c r="A719" s="4">
        <v>1718</v>
      </c>
      <c r="B719" s="5" t="s">
        <v>843</v>
      </c>
      <c r="C719" s="6">
        <v>45170.375</v>
      </c>
      <c r="D719" s="5" t="s">
        <v>14</v>
      </c>
      <c r="E719" s="5" t="s">
        <v>245</v>
      </c>
      <c r="F719" s="5" t="s">
        <v>16</v>
      </c>
      <c r="G719" s="5" t="s">
        <v>17</v>
      </c>
      <c r="H719" s="5">
        <v>90</v>
      </c>
      <c r="I719" s="5">
        <v>9</v>
      </c>
      <c r="J719" s="5" t="s">
        <v>18</v>
      </c>
      <c r="K719" s="5" t="s">
        <v>45</v>
      </c>
      <c r="L719" s="5" t="s">
        <v>28</v>
      </c>
      <c r="M719" s="7" t="s">
        <v>21</v>
      </c>
      <c r="N719" s="26">
        <f t="shared" si="77"/>
        <v>0</v>
      </c>
      <c r="O719" s="42">
        <f t="shared" si="78"/>
        <v>45170</v>
      </c>
      <c r="P719" s="5" t="str">
        <f t="shared" si="79"/>
        <v>Friday</v>
      </c>
      <c r="Q719" s="5">
        <f t="shared" si="80"/>
        <v>9</v>
      </c>
      <c r="R719" s="28">
        <f t="shared" si="81"/>
        <v>0.90909090909090906</v>
      </c>
      <c r="S719" s="29">
        <f t="shared" si="82"/>
        <v>90.909090909090907</v>
      </c>
      <c r="T719" s="5" t="str">
        <f>IF(Delivery_Data3[[#This Row],[Delays (min)]]&gt;0,"No","Yes")</f>
        <v>No</v>
      </c>
      <c r="W719" s="41">
        <f t="shared" si="83"/>
        <v>45170</v>
      </c>
      <c r="X719" s="5">
        <v>90</v>
      </c>
    </row>
    <row r="720" spans="1:24" ht="15.75" customHeight="1" x14ac:dyDescent="0.3">
      <c r="A720" s="4">
        <v>1719</v>
      </c>
      <c r="B720" s="5" t="s">
        <v>844</v>
      </c>
      <c r="C720" s="6">
        <v>45176.361805555556</v>
      </c>
      <c r="D720" s="5" t="s">
        <v>14</v>
      </c>
      <c r="E720" s="5" t="s">
        <v>169</v>
      </c>
      <c r="F720" s="5" t="s">
        <v>24</v>
      </c>
      <c r="G720" s="5" t="s">
        <v>31</v>
      </c>
      <c r="H720" s="5">
        <v>209</v>
      </c>
      <c r="I720" s="5">
        <v>21</v>
      </c>
      <c r="J720" s="5" t="s">
        <v>26</v>
      </c>
      <c r="K720" s="5" t="s">
        <v>49</v>
      </c>
      <c r="L720" s="5" t="s">
        <v>28</v>
      </c>
      <c r="M720" s="7" t="s">
        <v>46</v>
      </c>
      <c r="N720" s="26">
        <f t="shared" si="77"/>
        <v>1</v>
      </c>
      <c r="O720" s="42">
        <f t="shared" si="78"/>
        <v>45176</v>
      </c>
      <c r="P720" s="5" t="str">
        <f t="shared" si="79"/>
        <v>Thursday</v>
      </c>
      <c r="Q720" s="5">
        <f t="shared" si="80"/>
        <v>8</v>
      </c>
      <c r="R720" s="28">
        <f t="shared" si="81"/>
        <v>0.90869565217391302</v>
      </c>
      <c r="S720" s="29">
        <f t="shared" si="82"/>
        <v>90.869565217391298</v>
      </c>
      <c r="T720" s="5" t="str">
        <f>IF(Delivery_Data3[[#This Row],[Delays (min)]]&gt;0,"No","Yes")</f>
        <v>No</v>
      </c>
      <c r="W720" s="41">
        <f t="shared" si="83"/>
        <v>45176</v>
      </c>
      <c r="X720" s="5">
        <v>209</v>
      </c>
    </row>
    <row r="721" spans="1:24" ht="15.75" customHeight="1" x14ac:dyDescent="0.3">
      <c r="A721" s="4">
        <v>1720</v>
      </c>
      <c r="B721" s="5" t="s">
        <v>845</v>
      </c>
      <c r="C721" s="6">
        <v>45173.348611111112</v>
      </c>
      <c r="D721" s="5" t="s">
        <v>14</v>
      </c>
      <c r="E721" s="5" t="s">
        <v>126</v>
      </c>
      <c r="F721" s="5" t="s">
        <v>16</v>
      </c>
      <c r="G721" s="5" t="s">
        <v>39</v>
      </c>
      <c r="H721" s="5">
        <v>148</v>
      </c>
      <c r="I721" s="5">
        <v>1</v>
      </c>
      <c r="J721" s="5" t="s">
        <v>32</v>
      </c>
      <c r="K721" s="5" t="s">
        <v>49</v>
      </c>
      <c r="L721" s="5" t="s">
        <v>40</v>
      </c>
      <c r="M721" s="7" t="s">
        <v>41</v>
      </c>
      <c r="N721" s="26">
        <f t="shared" si="77"/>
        <v>-1</v>
      </c>
      <c r="O721" s="42">
        <f t="shared" si="78"/>
        <v>45173</v>
      </c>
      <c r="P721" s="5" t="str">
        <f t="shared" si="79"/>
        <v>Monday</v>
      </c>
      <c r="Q721" s="5">
        <f t="shared" si="80"/>
        <v>8</v>
      </c>
      <c r="R721" s="28">
        <f t="shared" si="81"/>
        <v>0.99328859060402686</v>
      </c>
      <c r="S721" s="29">
        <f t="shared" si="82"/>
        <v>99.328859060402692</v>
      </c>
      <c r="T721" s="5" t="str">
        <f>IF(Delivery_Data3[[#This Row],[Delays (min)]]&gt;0,"No","Yes")</f>
        <v>No</v>
      </c>
      <c r="W721" s="41">
        <f t="shared" si="83"/>
        <v>45173</v>
      </c>
      <c r="X721" s="5">
        <v>148</v>
      </c>
    </row>
    <row r="722" spans="1:24" ht="15.75" customHeight="1" x14ac:dyDescent="0.3">
      <c r="A722" s="4">
        <v>1721</v>
      </c>
      <c r="B722" s="5" t="s">
        <v>706</v>
      </c>
      <c r="C722" s="6">
        <v>45176.361111111109</v>
      </c>
      <c r="D722" s="5" t="s">
        <v>14</v>
      </c>
      <c r="E722" s="5" t="s">
        <v>78</v>
      </c>
      <c r="F722" s="5" t="s">
        <v>24</v>
      </c>
      <c r="G722" s="5" t="s">
        <v>25</v>
      </c>
      <c r="H722" s="5">
        <v>90</v>
      </c>
      <c r="I722" s="5">
        <v>24</v>
      </c>
      <c r="J722" s="5" t="s">
        <v>26</v>
      </c>
      <c r="K722" s="5" t="s">
        <v>35</v>
      </c>
      <c r="L722" s="5" t="s">
        <v>20</v>
      </c>
      <c r="M722" s="7" t="s">
        <v>46</v>
      </c>
      <c r="N722" s="26">
        <f t="shared" si="77"/>
        <v>1</v>
      </c>
      <c r="O722" s="42">
        <f t="shared" si="78"/>
        <v>45176</v>
      </c>
      <c r="P722" s="5" t="str">
        <f t="shared" si="79"/>
        <v>Thursday</v>
      </c>
      <c r="Q722" s="5">
        <f t="shared" si="80"/>
        <v>8</v>
      </c>
      <c r="R722" s="28">
        <f t="shared" si="81"/>
        <v>0.78947368421052633</v>
      </c>
      <c r="S722" s="29">
        <f t="shared" si="82"/>
        <v>78.94736842105263</v>
      </c>
      <c r="T722" s="5" t="str">
        <f>IF(Delivery_Data3[[#This Row],[Delays (min)]]&gt;0,"No","Yes")</f>
        <v>No</v>
      </c>
      <c r="W722" s="41">
        <f t="shared" si="83"/>
        <v>45176</v>
      </c>
      <c r="X722" s="5">
        <v>90</v>
      </c>
    </row>
    <row r="723" spans="1:24" ht="15.75" customHeight="1" x14ac:dyDescent="0.3">
      <c r="A723" s="4">
        <v>1722</v>
      </c>
      <c r="B723" s="5" t="s">
        <v>846</v>
      </c>
      <c r="C723" s="6">
        <v>45173.677777777775</v>
      </c>
      <c r="D723" s="5" t="s">
        <v>14</v>
      </c>
      <c r="E723" s="5" t="s">
        <v>48</v>
      </c>
      <c r="F723" s="5" t="s">
        <v>24</v>
      </c>
      <c r="G723" s="5" t="s">
        <v>25</v>
      </c>
      <c r="H723" s="5">
        <v>190</v>
      </c>
      <c r="I723" s="5">
        <v>16</v>
      </c>
      <c r="J723" s="5" t="s">
        <v>32</v>
      </c>
      <c r="K723" s="5" t="s">
        <v>35</v>
      </c>
      <c r="L723" s="5" t="s">
        <v>40</v>
      </c>
      <c r="M723" s="7" t="s">
        <v>21</v>
      </c>
      <c r="N723" s="26">
        <f t="shared" si="77"/>
        <v>-1</v>
      </c>
      <c r="O723" s="42">
        <f t="shared" si="78"/>
        <v>45173</v>
      </c>
      <c r="P723" s="5" t="str">
        <f t="shared" si="79"/>
        <v>Monday</v>
      </c>
      <c r="Q723" s="5">
        <f t="shared" si="80"/>
        <v>16</v>
      </c>
      <c r="R723" s="28">
        <f t="shared" si="81"/>
        <v>0.92233009708737868</v>
      </c>
      <c r="S723" s="29">
        <f t="shared" si="82"/>
        <v>92.233009708737868</v>
      </c>
      <c r="T723" s="5" t="str">
        <f>IF(Delivery_Data3[[#This Row],[Delays (min)]]&gt;0,"No","Yes")</f>
        <v>No</v>
      </c>
      <c r="W723" s="41">
        <f t="shared" si="83"/>
        <v>45173</v>
      </c>
      <c r="X723" s="5">
        <v>190</v>
      </c>
    </row>
    <row r="724" spans="1:24" ht="15.75" customHeight="1" x14ac:dyDescent="0.3">
      <c r="A724" s="4">
        <v>1723</v>
      </c>
      <c r="B724" s="5" t="s">
        <v>847</v>
      </c>
      <c r="C724" s="6">
        <v>45171.339583333334</v>
      </c>
      <c r="D724" s="5" t="s">
        <v>43</v>
      </c>
      <c r="E724" s="5" t="s">
        <v>34</v>
      </c>
      <c r="F724" s="5" t="s">
        <v>16</v>
      </c>
      <c r="G724" s="5" t="s">
        <v>25</v>
      </c>
      <c r="H724" s="5">
        <v>112</v>
      </c>
      <c r="I724" s="5">
        <v>1</v>
      </c>
      <c r="J724" s="5" t="s">
        <v>32</v>
      </c>
      <c r="K724" s="5" t="s">
        <v>35</v>
      </c>
      <c r="L724" s="5" t="s">
        <v>40</v>
      </c>
      <c r="M724" s="7" t="s">
        <v>21</v>
      </c>
      <c r="N724" s="26">
        <f t="shared" si="77"/>
        <v>-1</v>
      </c>
      <c r="O724" s="42">
        <f t="shared" si="78"/>
        <v>45171</v>
      </c>
      <c r="P724" s="5" t="str">
        <f t="shared" si="79"/>
        <v>Saturday</v>
      </c>
      <c r="Q724" s="5">
        <f t="shared" si="80"/>
        <v>8</v>
      </c>
      <c r="R724" s="28">
        <f t="shared" si="81"/>
        <v>0.99115044247787609</v>
      </c>
      <c r="S724" s="29">
        <f t="shared" si="82"/>
        <v>99.115044247787608</v>
      </c>
      <c r="T724" s="5" t="str">
        <f>IF(Delivery_Data3[[#This Row],[Delays (min)]]&gt;0,"No","Yes")</f>
        <v>No</v>
      </c>
      <c r="W724" s="41">
        <f t="shared" si="83"/>
        <v>45171</v>
      </c>
      <c r="X724" s="5">
        <v>112</v>
      </c>
    </row>
    <row r="725" spans="1:24" ht="15.75" customHeight="1" x14ac:dyDescent="0.3">
      <c r="A725" s="4">
        <v>1724</v>
      </c>
      <c r="B725" s="5" t="s">
        <v>848</v>
      </c>
      <c r="C725" s="6">
        <v>45176.39166666667</v>
      </c>
      <c r="D725" s="5" t="s">
        <v>43</v>
      </c>
      <c r="E725" s="5" t="s">
        <v>468</v>
      </c>
      <c r="F725" s="5" t="s">
        <v>38</v>
      </c>
      <c r="G725" s="5" t="s">
        <v>17</v>
      </c>
      <c r="H725" s="5">
        <v>96</v>
      </c>
      <c r="I725" s="5">
        <v>20</v>
      </c>
      <c r="J725" s="5" t="s">
        <v>32</v>
      </c>
      <c r="K725" s="5" t="s">
        <v>35</v>
      </c>
      <c r="L725" s="5" t="s">
        <v>28</v>
      </c>
      <c r="M725" s="7" t="s">
        <v>46</v>
      </c>
      <c r="N725" s="26">
        <f t="shared" si="77"/>
        <v>-1</v>
      </c>
      <c r="O725" s="42">
        <f t="shared" si="78"/>
        <v>45176</v>
      </c>
      <c r="P725" s="5" t="str">
        <f t="shared" si="79"/>
        <v>Thursday</v>
      </c>
      <c r="Q725" s="5">
        <f t="shared" si="80"/>
        <v>9</v>
      </c>
      <c r="R725" s="28">
        <f t="shared" si="81"/>
        <v>0.82758620689655171</v>
      </c>
      <c r="S725" s="29">
        <f t="shared" si="82"/>
        <v>82.758620689655174</v>
      </c>
      <c r="T725" s="5" t="str">
        <f>IF(Delivery_Data3[[#This Row],[Delays (min)]]&gt;0,"No","Yes")</f>
        <v>No</v>
      </c>
      <c r="W725" s="41">
        <f t="shared" si="83"/>
        <v>45176</v>
      </c>
      <c r="X725" s="5">
        <v>96</v>
      </c>
    </row>
    <row r="726" spans="1:24" ht="15.75" customHeight="1" x14ac:dyDescent="0.3">
      <c r="A726" s="4">
        <v>1725</v>
      </c>
      <c r="B726" s="5" t="s">
        <v>849</v>
      </c>
      <c r="C726" s="6">
        <v>45172.634722222225</v>
      </c>
      <c r="D726" s="5" t="s">
        <v>14</v>
      </c>
      <c r="E726" s="5" t="s">
        <v>182</v>
      </c>
      <c r="F726" s="5" t="s">
        <v>16</v>
      </c>
      <c r="G726" s="5" t="s">
        <v>39</v>
      </c>
      <c r="H726" s="5">
        <v>60</v>
      </c>
      <c r="I726" s="5">
        <v>20</v>
      </c>
      <c r="J726" s="5" t="s">
        <v>32</v>
      </c>
      <c r="K726" s="5" t="s">
        <v>49</v>
      </c>
      <c r="L726" s="5" t="s">
        <v>20</v>
      </c>
      <c r="M726" s="7" t="s">
        <v>41</v>
      </c>
      <c r="N726" s="26">
        <f t="shared" si="77"/>
        <v>-1</v>
      </c>
      <c r="O726" s="42">
        <f t="shared" si="78"/>
        <v>45172</v>
      </c>
      <c r="P726" s="5" t="str">
        <f t="shared" si="79"/>
        <v>Sunday</v>
      </c>
      <c r="Q726" s="5">
        <f t="shared" si="80"/>
        <v>15</v>
      </c>
      <c r="R726" s="28">
        <f t="shared" si="81"/>
        <v>0.75</v>
      </c>
      <c r="S726" s="29">
        <f t="shared" si="82"/>
        <v>75</v>
      </c>
      <c r="T726" s="5" t="str">
        <f>IF(Delivery_Data3[[#This Row],[Delays (min)]]&gt;0,"No","Yes")</f>
        <v>No</v>
      </c>
      <c r="W726" s="41">
        <f t="shared" si="83"/>
        <v>45172</v>
      </c>
      <c r="X726" s="5">
        <v>60</v>
      </c>
    </row>
    <row r="727" spans="1:24" ht="15.75" customHeight="1" x14ac:dyDescent="0.3">
      <c r="A727" s="4">
        <v>1726</v>
      </c>
      <c r="B727" s="5" t="s">
        <v>850</v>
      </c>
      <c r="C727" s="6">
        <v>45175.345833333333</v>
      </c>
      <c r="D727" s="5" t="s">
        <v>14</v>
      </c>
      <c r="E727" s="5" t="s">
        <v>197</v>
      </c>
      <c r="F727" s="5" t="s">
        <v>38</v>
      </c>
      <c r="G727" s="5" t="s">
        <v>56</v>
      </c>
      <c r="H727" s="5">
        <v>153</v>
      </c>
      <c r="I727" s="5">
        <v>26</v>
      </c>
      <c r="J727" s="5" t="s">
        <v>32</v>
      </c>
      <c r="K727" s="5" t="s">
        <v>27</v>
      </c>
      <c r="L727" s="5" t="s">
        <v>20</v>
      </c>
      <c r="M727" s="7" t="s">
        <v>21</v>
      </c>
      <c r="N727" s="26">
        <f t="shared" si="77"/>
        <v>-1</v>
      </c>
      <c r="O727" s="42">
        <f t="shared" si="78"/>
        <v>45175</v>
      </c>
      <c r="P727" s="5" t="str">
        <f t="shared" si="79"/>
        <v>Wednesday</v>
      </c>
      <c r="Q727" s="5">
        <f t="shared" si="80"/>
        <v>8</v>
      </c>
      <c r="R727" s="28">
        <f t="shared" si="81"/>
        <v>0.85474860335195535</v>
      </c>
      <c r="S727" s="29">
        <f t="shared" si="82"/>
        <v>85.47486033519553</v>
      </c>
      <c r="T727" s="5" t="str">
        <f>IF(Delivery_Data3[[#This Row],[Delays (min)]]&gt;0,"No","Yes")</f>
        <v>No</v>
      </c>
      <c r="W727" s="41">
        <f t="shared" si="83"/>
        <v>45175</v>
      </c>
      <c r="X727" s="5">
        <v>153</v>
      </c>
    </row>
    <row r="728" spans="1:24" ht="15.75" customHeight="1" x14ac:dyDescent="0.3">
      <c r="A728" s="4">
        <v>1727</v>
      </c>
      <c r="B728" s="5" t="s">
        <v>851</v>
      </c>
      <c r="C728" s="6">
        <v>45177.63958333333</v>
      </c>
      <c r="D728" s="5" t="s">
        <v>43</v>
      </c>
      <c r="E728" s="5" t="s">
        <v>374</v>
      </c>
      <c r="F728" s="5" t="s">
        <v>16</v>
      </c>
      <c r="G728" s="5" t="s">
        <v>17</v>
      </c>
      <c r="H728" s="5">
        <v>237</v>
      </c>
      <c r="I728" s="5">
        <v>19</v>
      </c>
      <c r="J728" s="5" t="s">
        <v>26</v>
      </c>
      <c r="K728" s="5" t="s">
        <v>45</v>
      </c>
      <c r="L728" s="5" t="s">
        <v>28</v>
      </c>
      <c r="M728" s="7" t="s">
        <v>21</v>
      </c>
      <c r="N728" s="26">
        <f t="shared" si="77"/>
        <v>1</v>
      </c>
      <c r="O728" s="42">
        <f t="shared" si="78"/>
        <v>45177</v>
      </c>
      <c r="P728" s="5" t="str">
        <f t="shared" si="79"/>
        <v>Friday</v>
      </c>
      <c r="Q728" s="5">
        <f t="shared" si="80"/>
        <v>15</v>
      </c>
      <c r="R728" s="28">
        <f t="shared" si="81"/>
        <v>0.92578125</v>
      </c>
      <c r="S728" s="29">
        <f t="shared" si="82"/>
        <v>92.578125</v>
      </c>
      <c r="T728" s="5" t="str">
        <f>IF(Delivery_Data3[[#This Row],[Delays (min)]]&gt;0,"No","Yes")</f>
        <v>No</v>
      </c>
      <c r="W728" s="41">
        <f t="shared" si="83"/>
        <v>45177</v>
      </c>
      <c r="X728" s="5">
        <v>237</v>
      </c>
    </row>
    <row r="729" spans="1:24" ht="15.75" customHeight="1" x14ac:dyDescent="0.3">
      <c r="A729" s="4">
        <v>1728</v>
      </c>
      <c r="B729" s="5" t="s">
        <v>852</v>
      </c>
      <c r="C729" s="6">
        <v>45172.57916666667</v>
      </c>
      <c r="D729" s="5" t="s">
        <v>14</v>
      </c>
      <c r="E729" s="5" t="s">
        <v>126</v>
      </c>
      <c r="F729" s="5" t="s">
        <v>24</v>
      </c>
      <c r="G729" s="5" t="s">
        <v>39</v>
      </c>
      <c r="H729" s="5">
        <v>203</v>
      </c>
      <c r="I729" s="5">
        <v>16</v>
      </c>
      <c r="J729" s="5" t="s">
        <v>32</v>
      </c>
      <c r="K729" s="5" t="s">
        <v>19</v>
      </c>
      <c r="L729" s="5" t="s">
        <v>28</v>
      </c>
      <c r="M729" s="7" t="s">
        <v>41</v>
      </c>
      <c r="N729" s="26">
        <f t="shared" si="77"/>
        <v>-1</v>
      </c>
      <c r="O729" s="42">
        <f t="shared" si="78"/>
        <v>45172</v>
      </c>
      <c r="P729" s="5" t="str">
        <f t="shared" si="79"/>
        <v>Sunday</v>
      </c>
      <c r="Q729" s="5">
        <f t="shared" si="80"/>
        <v>13</v>
      </c>
      <c r="R729" s="28">
        <f t="shared" si="81"/>
        <v>0.9269406392694064</v>
      </c>
      <c r="S729" s="29">
        <f t="shared" si="82"/>
        <v>92.694063926940643</v>
      </c>
      <c r="T729" s="5" t="str">
        <f>IF(Delivery_Data3[[#This Row],[Delays (min)]]&gt;0,"No","Yes")</f>
        <v>No</v>
      </c>
      <c r="W729" s="41">
        <f t="shared" si="83"/>
        <v>45172</v>
      </c>
      <c r="X729" s="5">
        <v>203</v>
      </c>
    </row>
    <row r="730" spans="1:24" ht="15.75" customHeight="1" x14ac:dyDescent="0.3">
      <c r="A730" s="4">
        <v>1729</v>
      </c>
      <c r="B730" s="5" t="s">
        <v>853</v>
      </c>
      <c r="C730" s="6">
        <v>45176.381944444445</v>
      </c>
      <c r="D730" s="5" t="s">
        <v>43</v>
      </c>
      <c r="E730" s="5" t="s">
        <v>51</v>
      </c>
      <c r="F730" s="5" t="s">
        <v>38</v>
      </c>
      <c r="G730" s="5" t="s">
        <v>39</v>
      </c>
      <c r="H730" s="5">
        <v>206</v>
      </c>
      <c r="I730" s="5">
        <v>20</v>
      </c>
      <c r="J730" s="5" t="s">
        <v>32</v>
      </c>
      <c r="K730" s="5" t="s">
        <v>27</v>
      </c>
      <c r="L730" s="5" t="s">
        <v>20</v>
      </c>
      <c r="M730" s="7" t="s">
        <v>41</v>
      </c>
      <c r="N730" s="26">
        <f t="shared" si="77"/>
        <v>-1</v>
      </c>
      <c r="O730" s="42">
        <f t="shared" si="78"/>
        <v>45176</v>
      </c>
      <c r="P730" s="5" t="str">
        <f t="shared" si="79"/>
        <v>Thursday</v>
      </c>
      <c r="Q730" s="5">
        <f t="shared" si="80"/>
        <v>9</v>
      </c>
      <c r="R730" s="28">
        <f t="shared" si="81"/>
        <v>0.91150442477876104</v>
      </c>
      <c r="S730" s="29">
        <f t="shared" si="82"/>
        <v>91.150442477876098</v>
      </c>
      <c r="T730" s="5" t="str">
        <f>IF(Delivery_Data3[[#This Row],[Delays (min)]]&gt;0,"No","Yes")</f>
        <v>No</v>
      </c>
      <c r="W730" s="41">
        <f t="shared" si="83"/>
        <v>45176</v>
      </c>
      <c r="X730" s="5">
        <v>206</v>
      </c>
    </row>
    <row r="731" spans="1:24" ht="15.75" customHeight="1" x14ac:dyDescent="0.3">
      <c r="A731" s="4">
        <v>1730</v>
      </c>
      <c r="B731" s="5" t="s">
        <v>854</v>
      </c>
      <c r="C731" s="6">
        <v>45176.506944444445</v>
      </c>
      <c r="D731" s="5" t="s">
        <v>14</v>
      </c>
      <c r="E731" s="5" t="s">
        <v>270</v>
      </c>
      <c r="F731" s="5" t="s">
        <v>16</v>
      </c>
      <c r="G731" s="5" t="s">
        <v>31</v>
      </c>
      <c r="H731" s="5">
        <v>138</v>
      </c>
      <c r="I731" s="5">
        <v>14</v>
      </c>
      <c r="J731" s="5" t="s">
        <v>26</v>
      </c>
      <c r="K731" s="5" t="s">
        <v>35</v>
      </c>
      <c r="L731" s="5" t="s">
        <v>40</v>
      </c>
      <c r="M731" s="7" t="s">
        <v>41</v>
      </c>
      <c r="N731" s="26">
        <f t="shared" si="77"/>
        <v>1</v>
      </c>
      <c r="O731" s="42">
        <f t="shared" si="78"/>
        <v>45176</v>
      </c>
      <c r="P731" s="5" t="str">
        <f t="shared" si="79"/>
        <v>Thursday</v>
      </c>
      <c r="Q731" s="5">
        <f t="shared" si="80"/>
        <v>12</v>
      </c>
      <c r="R731" s="28">
        <f t="shared" si="81"/>
        <v>0.90789473684210531</v>
      </c>
      <c r="S731" s="29">
        <f t="shared" si="82"/>
        <v>90.789473684210535</v>
      </c>
      <c r="T731" s="5" t="str">
        <f>IF(Delivery_Data3[[#This Row],[Delays (min)]]&gt;0,"No","Yes")</f>
        <v>No</v>
      </c>
      <c r="W731" s="41">
        <f t="shared" si="83"/>
        <v>45176</v>
      </c>
      <c r="X731" s="5">
        <v>138</v>
      </c>
    </row>
    <row r="732" spans="1:24" ht="15.75" customHeight="1" x14ac:dyDescent="0.3">
      <c r="A732" s="4">
        <v>1731</v>
      </c>
      <c r="B732" s="5" t="s">
        <v>855</v>
      </c>
      <c r="C732" s="6">
        <v>45173.343055555553</v>
      </c>
      <c r="D732" s="5" t="s">
        <v>43</v>
      </c>
      <c r="E732" s="5" t="s">
        <v>143</v>
      </c>
      <c r="F732" s="5" t="s">
        <v>38</v>
      </c>
      <c r="G732" s="5" t="s">
        <v>39</v>
      </c>
      <c r="H732" s="5">
        <v>121</v>
      </c>
      <c r="I732" s="5">
        <v>22</v>
      </c>
      <c r="J732" s="5" t="s">
        <v>32</v>
      </c>
      <c r="K732" s="5" t="s">
        <v>27</v>
      </c>
      <c r="L732" s="5" t="s">
        <v>40</v>
      </c>
      <c r="M732" s="7" t="s">
        <v>21</v>
      </c>
      <c r="N732" s="26">
        <f t="shared" si="77"/>
        <v>-1</v>
      </c>
      <c r="O732" s="42">
        <f t="shared" si="78"/>
        <v>45173</v>
      </c>
      <c r="P732" s="5" t="str">
        <f t="shared" si="79"/>
        <v>Monday</v>
      </c>
      <c r="Q732" s="5">
        <f t="shared" si="80"/>
        <v>8</v>
      </c>
      <c r="R732" s="28">
        <f t="shared" si="81"/>
        <v>0.84615384615384615</v>
      </c>
      <c r="S732" s="29">
        <f t="shared" si="82"/>
        <v>84.615384615384613</v>
      </c>
      <c r="T732" s="5" t="str">
        <f>IF(Delivery_Data3[[#This Row],[Delays (min)]]&gt;0,"No","Yes")</f>
        <v>No</v>
      </c>
      <c r="W732" s="41">
        <f t="shared" si="83"/>
        <v>45173</v>
      </c>
      <c r="X732" s="5">
        <v>121</v>
      </c>
    </row>
    <row r="733" spans="1:24" ht="15.75" customHeight="1" x14ac:dyDescent="0.3">
      <c r="A733" s="4">
        <v>1732</v>
      </c>
      <c r="B733" s="5" t="s">
        <v>856</v>
      </c>
      <c r="C733" s="6">
        <v>45172.612500000003</v>
      </c>
      <c r="D733" s="5" t="s">
        <v>14</v>
      </c>
      <c r="E733" s="5" t="s">
        <v>281</v>
      </c>
      <c r="F733" s="5" t="s">
        <v>16</v>
      </c>
      <c r="G733" s="5" t="s">
        <v>56</v>
      </c>
      <c r="H733" s="5">
        <v>204</v>
      </c>
      <c r="I733" s="5">
        <v>3</v>
      </c>
      <c r="J733" s="5" t="s">
        <v>32</v>
      </c>
      <c r="K733" s="5" t="s">
        <v>19</v>
      </c>
      <c r="L733" s="5" t="s">
        <v>28</v>
      </c>
      <c r="M733" s="7" t="s">
        <v>46</v>
      </c>
      <c r="N733" s="26">
        <f t="shared" si="77"/>
        <v>-1</v>
      </c>
      <c r="O733" s="42">
        <f t="shared" si="78"/>
        <v>45172</v>
      </c>
      <c r="P733" s="5" t="str">
        <f t="shared" si="79"/>
        <v>Sunday</v>
      </c>
      <c r="Q733" s="5">
        <f t="shared" si="80"/>
        <v>14</v>
      </c>
      <c r="R733" s="28">
        <f t="shared" si="81"/>
        <v>0.98550724637681164</v>
      </c>
      <c r="S733" s="29">
        <f t="shared" si="82"/>
        <v>98.550724637681171</v>
      </c>
      <c r="T733" s="5" t="str">
        <f>IF(Delivery_Data3[[#This Row],[Delays (min)]]&gt;0,"No","Yes")</f>
        <v>No</v>
      </c>
      <c r="W733" s="41">
        <f t="shared" si="83"/>
        <v>45172</v>
      </c>
      <c r="X733" s="5">
        <v>204</v>
      </c>
    </row>
    <row r="734" spans="1:24" ht="15.75" customHeight="1" x14ac:dyDescent="0.3">
      <c r="A734" s="4">
        <v>1733</v>
      </c>
      <c r="B734" s="5" t="s">
        <v>857</v>
      </c>
      <c r="C734" s="6">
        <v>45172.37222222222</v>
      </c>
      <c r="D734" s="5" t="s">
        <v>14</v>
      </c>
      <c r="E734" s="5" t="s">
        <v>37</v>
      </c>
      <c r="F734" s="5" t="s">
        <v>38</v>
      </c>
      <c r="G734" s="5" t="s">
        <v>25</v>
      </c>
      <c r="H734" s="5">
        <v>137</v>
      </c>
      <c r="I734" s="5">
        <v>24</v>
      </c>
      <c r="J734" s="5" t="s">
        <v>32</v>
      </c>
      <c r="K734" s="5" t="s">
        <v>49</v>
      </c>
      <c r="L734" s="5" t="s">
        <v>20</v>
      </c>
      <c r="M734" s="7" t="s">
        <v>41</v>
      </c>
      <c r="N734" s="26">
        <f t="shared" si="77"/>
        <v>-1</v>
      </c>
      <c r="O734" s="42">
        <f t="shared" si="78"/>
        <v>45172</v>
      </c>
      <c r="P734" s="5" t="str">
        <f t="shared" si="79"/>
        <v>Sunday</v>
      </c>
      <c r="Q734" s="5">
        <f t="shared" si="80"/>
        <v>8</v>
      </c>
      <c r="R734" s="28">
        <f t="shared" si="81"/>
        <v>0.85093167701863359</v>
      </c>
      <c r="S734" s="29">
        <f t="shared" si="82"/>
        <v>85.093167701863365</v>
      </c>
      <c r="T734" s="5" t="str">
        <f>IF(Delivery_Data3[[#This Row],[Delays (min)]]&gt;0,"No","Yes")</f>
        <v>No</v>
      </c>
      <c r="W734" s="41">
        <f t="shared" si="83"/>
        <v>45172</v>
      </c>
      <c r="X734" s="5">
        <v>137</v>
      </c>
    </row>
    <row r="735" spans="1:24" ht="15.75" customHeight="1" x14ac:dyDescent="0.3">
      <c r="A735" s="4">
        <v>1734</v>
      </c>
      <c r="B735" s="5" t="s">
        <v>858</v>
      </c>
      <c r="C735" s="6">
        <v>45175.640972222223</v>
      </c>
      <c r="D735" s="5" t="s">
        <v>43</v>
      </c>
      <c r="E735" s="5" t="s">
        <v>48</v>
      </c>
      <c r="F735" s="5" t="s">
        <v>38</v>
      </c>
      <c r="G735" s="5" t="s">
        <v>31</v>
      </c>
      <c r="H735" s="5">
        <v>196</v>
      </c>
      <c r="I735" s="5">
        <v>5</v>
      </c>
      <c r="J735" s="5" t="s">
        <v>18</v>
      </c>
      <c r="K735" s="5" t="s">
        <v>19</v>
      </c>
      <c r="L735" s="5" t="s">
        <v>40</v>
      </c>
      <c r="M735" s="7" t="s">
        <v>46</v>
      </c>
      <c r="N735" s="26">
        <f t="shared" si="77"/>
        <v>0</v>
      </c>
      <c r="O735" s="42">
        <f t="shared" si="78"/>
        <v>45175</v>
      </c>
      <c r="P735" s="5" t="str">
        <f t="shared" si="79"/>
        <v>Wednesday</v>
      </c>
      <c r="Q735" s="5">
        <f t="shared" si="80"/>
        <v>15</v>
      </c>
      <c r="R735" s="28">
        <f t="shared" si="81"/>
        <v>0.97512437810945274</v>
      </c>
      <c r="S735" s="29">
        <f t="shared" si="82"/>
        <v>97.512437810945272</v>
      </c>
      <c r="T735" s="5" t="str">
        <f>IF(Delivery_Data3[[#This Row],[Delays (min)]]&gt;0,"No","Yes")</f>
        <v>No</v>
      </c>
      <c r="W735" s="41">
        <f t="shared" si="83"/>
        <v>45175</v>
      </c>
      <c r="X735" s="5">
        <v>196</v>
      </c>
    </row>
    <row r="736" spans="1:24" ht="15.75" customHeight="1" x14ac:dyDescent="0.3">
      <c r="A736" s="4">
        <v>1735</v>
      </c>
      <c r="B736" s="5" t="s">
        <v>859</v>
      </c>
      <c r="C736" s="6">
        <v>45171.674305555556</v>
      </c>
      <c r="D736" s="5" t="s">
        <v>43</v>
      </c>
      <c r="E736" s="5" t="s">
        <v>277</v>
      </c>
      <c r="F736" s="5" t="s">
        <v>16</v>
      </c>
      <c r="G736" s="5" t="s">
        <v>39</v>
      </c>
      <c r="H736" s="5">
        <v>228</v>
      </c>
      <c r="I736" s="5">
        <v>1</v>
      </c>
      <c r="J736" s="5" t="s">
        <v>18</v>
      </c>
      <c r="K736" s="5" t="s">
        <v>27</v>
      </c>
      <c r="L736" s="5" t="s">
        <v>28</v>
      </c>
      <c r="M736" s="7" t="s">
        <v>46</v>
      </c>
      <c r="N736" s="26">
        <f t="shared" si="77"/>
        <v>0</v>
      </c>
      <c r="O736" s="42">
        <f t="shared" si="78"/>
        <v>45171</v>
      </c>
      <c r="P736" s="5" t="str">
        <f t="shared" si="79"/>
        <v>Saturday</v>
      </c>
      <c r="Q736" s="5">
        <f t="shared" si="80"/>
        <v>16</v>
      </c>
      <c r="R736" s="28">
        <f t="shared" si="81"/>
        <v>0.99563318777292575</v>
      </c>
      <c r="S736" s="29">
        <f t="shared" si="82"/>
        <v>99.563318777292579</v>
      </c>
      <c r="T736" s="5" t="str">
        <f>IF(Delivery_Data3[[#This Row],[Delays (min)]]&gt;0,"No","Yes")</f>
        <v>No</v>
      </c>
      <c r="W736" s="41">
        <f t="shared" si="83"/>
        <v>45171</v>
      </c>
      <c r="X736" s="5">
        <v>228</v>
      </c>
    </row>
    <row r="737" spans="1:24" ht="15.75" customHeight="1" x14ac:dyDescent="0.3">
      <c r="A737" s="4">
        <v>1736</v>
      </c>
      <c r="B737" s="5" t="s">
        <v>860</v>
      </c>
      <c r="C737" s="6">
        <v>45177.520138888889</v>
      </c>
      <c r="D737" s="5" t="s">
        <v>43</v>
      </c>
      <c r="E737" s="5" t="s">
        <v>58</v>
      </c>
      <c r="F737" s="5" t="s">
        <v>16</v>
      </c>
      <c r="G737" s="5" t="s">
        <v>56</v>
      </c>
      <c r="H737" s="5">
        <v>100</v>
      </c>
      <c r="I737" s="5">
        <v>26</v>
      </c>
      <c r="J737" s="5" t="s">
        <v>18</v>
      </c>
      <c r="K737" s="5" t="s">
        <v>19</v>
      </c>
      <c r="L737" s="5" t="s">
        <v>40</v>
      </c>
      <c r="M737" s="7" t="s">
        <v>46</v>
      </c>
      <c r="N737" s="26">
        <f t="shared" si="77"/>
        <v>0</v>
      </c>
      <c r="O737" s="42">
        <f t="shared" si="78"/>
        <v>45177</v>
      </c>
      <c r="P737" s="5" t="str">
        <f t="shared" si="79"/>
        <v>Friday</v>
      </c>
      <c r="Q737" s="5">
        <f t="shared" si="80"/>
        <v>12</v>
      </c>
      <c r="R737" s="28">
        <f t="shared" si="81"/>
        <v>0.79365079365079361</v>
      </c>
      <c r="S737" s="29">
        <f t="shared" si="82"/>
        <v>79.365079365079367</v>
      </c>
      <c r="T737" s="5" t="str">
        <f>IF(Delivery_Data3[[#This Row],[Delays (min)]]&gt;0,"No","Yes")</f>
        <v>No</v>
      </c>
      <c r="W737" s="41">
        <f t="shared" si="83"/>
        <v>45177</v>
      </c>
      <c r="X737" s="5">
        <v>100</v>
      </c>
    </row>
    <row r="738" spans="1:24" ht="15.75" customHeight="1" x14ac:dyDescent="0.3">
      <c r="A738" s="4">
        <v>1737</v>
      </c>
      <c r="B738" s="5" t="s">
        <v>861</v>
      </c>
      <c r="C738" s="6">
        <v>45172.363888888889</v>
      </c>
      <c r="D738" s="5" t="s">
        <v>43</v>
      </c>
      <c r="E738" s="5" t="s">
        <v>374</v>
      </c>
      <c r="F738" s="5" t="s">
        <v>24</v>
      </c>
      <c r="G738" s="5" t="s">
        <v>39</v>
      </c>
      <c r="H738" s="5">
        <v>232</v>
      </c>
      <c r="I738" s="5">
        <v>19</v>
      </c>
      <c r="J738" s="5" t="s">
        <v>26</v>
      </c>
      <c r="K738" s="5" t="s">
        <v>49</v>
      </c>
      <c r="L738" s="5" t="s">
        <v>20</v>
      </c>
      <c r="M738" s="7" t="s">
        <v>41</v>
      </c>
      <c r="N738" s="26">
        <f t="shared" si="77"/>
        <v>1</v>
      </c>
      <c r="O738" s="42">
        <f t="shared" si="78"/>
        <v>45172</v>
      </c>
      <c r="P738" s="5" t="str">
        <f t="shared" si="79"/>
        <v>Sunday</v>
      </c>
      <c r="Q738" s="5">
        <f t="shared" si="80"/>
        <v>8</v>
      </c>
      <c r="R738" s="28">
        <f t="shared" si="81"/>
        <v>0.92430278884462147</v>
      </c>
      <c r="S738" s="29">
        <f t="shared" si="82"/>
        <v>92.43027888446214</v>
      </c>
      <c r="T738" s="5" t="str">
        <f>IF(Delivery_Data3[[#This Row],[Delays (min)]]&gt;0,"No","Yes")</f>
        <v>No</v>
      </c>
      <c r="W738" s="41">
        <f t="shared" si="83"/>
        <v>45172</v>
      </c>
      <c r="X738" s="5">
        <v>232</v>
      </c>
    </row>
    <row r="739" spans="1:24" ht="15.75" customHeight="1" x14ac:dyDescent="0.3">
      <c r="A739" s="4">
        <v>1738</v>
      </c>
      <c r="B739" s="5" t="s">
        <v>862</v>
      </c>
      <c r="C739" s="6">
        <v>45177.373611111114</v>
      </c>
      <c r="D739" s="5" t="s">
        <v>14</v>
      </c>
      <c r="E739" s="5" t="s">
        <v>306</v>
      </c>
      <c r="F739" s="5" t="s">
        <v>38</v>
      </c>
      <c r="G739" s="5" t="s">
        <v>17</v>
      </c>
      <c r="H739" s="5">
        <v>186</v>
      </c>
      <c r="I739" s="5">
        <v>13</v>
      </c>
      <c r="J739" s="5" t="s">
        <v>32</v>
      </c>
      <c r="K739" s="5" t="s">
        <v>45</v>
      </c>
      <c r="L739" s="5" t="s">
        <v>28</v>
      </c>
      <c r="M739" s="7" t="s">
        <v>46</v>
      </c>
      <c r="N739" s="26">
        <f t="shared" si="77"/>
        <v>-1</v>
      </c>
      <c r="O739" s="42">
        <f t="shared" si="78"/>
        <v>45177</v>
      </c>
      <c r="P739" s="5" t="str">
        <f t="shared" si="79"/>
        <v>Friday</v>
      </c>
      <c r="Q739" s="5">
        <f t="shared" si="80"/>
        <v>8</v>
      </c>
      <c r="R739" s="28">
        <f t="shared" si="81"/>
        <v>0.9346733668341709</v>
      </c>
      <c r="S739" s="29">
        <f t="shared" si="82"/>
        <v>93.467336683417088</v>
      </c>
      <c r="T739" s="5" t="str">
        <f>IF(Delivery_Data3[[#This Row],[Delays (min)]]&gt;0,"No","Yes")</f>
        <v>No</v>
      </c>
      <c r="W739" s="41">
        <f t="shared" si="83"/>
        <v>45177</v>
      </c>
      <c r="X739" s="5">
        <v>186</v>
      </c>
    </row>
    <row r="740" spans="1:24" ht="15.75" customHeight="1" x14ac:dyDescent="0.3">
      <c r="A740" s="4">
        <v>1739</v>
      </c>
      <c r="B740" s="5" t="s">
        <v>863</v>
      </c>
      <c r="C740" s="6">
        <v>45175.378472222219</v>
      </c>
      <c r="D740" s="5" t="s">
        <v>14</v>
      </c>
      <c r="E740" s="5" t="s">
        <v>135</v>
      </c>
      <c r="F740" s="5" t="s">
        <v>16</v>
      </c>
      <c r="G740" s="5" t="s">
        <v>17</v>
      </c>
      <c r="H740" s="5">
        <v>197</v>
      </c>
      <c r="I740" s="5">
        <v>2</v>
      </c>
      <c r="J740" s="5" t="s">
        <v>32</v>
      </c>
      <c r="K740" s="5" t="s">
        <v>45</v>
      </c>
      <c r="L740" s="5" t="s">
        <v>20</v>
      </c>
      <c r="M740" s="7" t="s">
        <v>41</v>
      </c>
      <c r="N740" s="26">
        <f t="shared" si="77"/>
        <v>-1</v>
      </c>
      <c r="O740" s="42">
        <f t="shared" si="78"/>
        <v>45175</v>
      </c>
      <c r="P740" s="5" t="str">
        <f t="shared" si="79"/>
        <v>Wednesday</v>
      </c>
      <c r="Q740" s="5">
        <f t="shared" si="80"/>
        <v>9</v>
      </c>
      <c r="R740" s="28">
        <f t="shared" si="81"/>
        <v>0.98994974874371855</v>
      </c>
      <c r="S740" s="29">
        <f t="shared" si="82"/>
        <v>98.994974874371849</v>
      </c>
      <c r="T740" s="5" t="str">
        <f>IF(Delivery_Data3[[#This Row],[Delays (min)]]&gt;0,"No","Yes")</f>
        <v>No</v>
      </c>
      <c r="W740" s="41">
        <f t="shared" si="83"/>
        <v>45175</v>
      </c>
      <c r="X740" s="5">
        <v>197</v>
      </c>
    </row>
    <row r="741" spans="1:24" ht="15.75" customHeight="1" x14ac:dyDescent="0.3">
      <c r="A741" s="4">
        <v>1740</v>
      </c>
      <c r="B741" s="5" t="s">
        <v>864</v>
      </c>
      <c r="C741" s="6">
        <v>45170.426388888889</v>
      </c>
      <c r="D741" s="5" t="s">
        <v>43</v>
      </c>
      <c r="E741" s="5" t="s">
        <v>85</v>
      </c>
      <c r="F741" s="5" t="s">
        <v>16</v>
      </c>
      <c r="G741" s="5" t="s">
        <v>25</v>
      </c>
      <c r="H741" s="5">
        <v>159</v>
      </c>
      <c r="I741" s="5">
        <v>28</v>
      </c>
      <c r="J741" s="5" t="s">
        <v>26</v>
      </c>
      <c r="K741" s="5" t="s">
        <v>27</v>
      </c>
      <c r="L741" s="5" t="s">
        <v>20</v>
      </c>
      <c r="M741" s="7" t="s">
        <v>46</v>
      </c>
      <c r="N741" s="26">
        <f t="shared" si="77"/>
        <v>1</v>
      </c>
      <c r="O741" s="42">
        <f t="shared" si="78"/>
        <v>45170</v>
      </c>
      <c r="P741" s="5" t="str">
        <f t="shared" si="79"/>
        <v>Friday</v>
      </c>
      <c r="Q741" s="5">
        <f t="shared" si="80"/>
        <v>10</v>
      </c>
      <c r="R741" s="28">
        <f t="shared" si="81"/>
        <v>0.85026737967914434</v>
      </c>
      <c r="S741" s="29">
        <f t="shared" si="82"/>
        <v>85.026737967914428</v>
      </c>
      <c r="T741" s="5" t="str">
        <f>IF(Delivery_Data3[[#This Row],[Delays (min)]]&gt;0,"No","Yes")</f>
        <v>No</v>
      </c>
      <c r="W741" s="41">
        <f t="shared" si="83"/>
        <v>45170</v>
      </c>
      <c r="X741" s="5">
        <v>159</v>
      </c>
    </row>
    <row r="742" spans="1:24" ht="15.75" customHeight="1" x14ac:dyDescent="0.3">
      <c r="A742" s="4">
        <v>1741</v>
      </c>
      <c r="B742" s="5" t="s">
        <v>865</v>
      </c>
      <c r="C742" s="6">
        <v>45176.425000000003</v>
      </c>
      <c r="D742" s="5" t="s">
        <v>14</v>
      </c>
      <c r="E742" s="5" t="s">
        <v>156</v>
      </c>
      <c r="F742" s="5" t="s">
        <v>16</v>
      </c>
      <c r="G742" s="5" t="s">
        <v>25</v>
      </c>
      <c r="H742" s="5">
        <v>181</v>
      </c>
      <c r="I742" s="5">
        <v>19</v>
      </c>
      <c r="J742" s="5" t="s">
        <v>18</v>
      </c>
      <c r="K742" s="5" t="s">
        <v>19</v>
      </c>
      <c r="L742" s="5" t="s">
        <v>28</v>
      </c>
      <c r="M742" s="7" t="s">
        <v>21</v>
      </c>
      <c r="N742" s="26">
        <f t="shared" si="77"/>
        <v>0</v>
      </c>
      <c r="O742" s="42">
        <f t="shared" si="78"/>
        <v>45176</v>
      </c>
      <c r="P742" s="5" t="str">
        <f t="shared" si="79"/>
        <v>Thursday</v>
      </c>
      <c r="Q742" s="5">
        <f t="shared" si="80"/>
        <v>10</v>
      </c>
      <c r="R742" s="28">
        <f t="shared" si="81"/>
        <v>0.90500000000000003</v>
      </c>
      <c r="S742" s="29">
        <f t="shared" si="82"/>
        <v>90.5</v>
      </c>
      <c r="T742" s="5" t="str">
        <f>IF(Delivery_Data3[[#This Row],[Delays (min)]]&gt;0,"No","Yes")</f>
        <v>No</v>
      </c>
      <c r="W742" s="41">
        <f t="shared" si="83"/>
        <v>45176</v>
      </c>
      <c r="X742" s="5">
        <v>181</v>
      </c>
    </row>
    <row r="743" spans="1:24" ht="15.75" customHeight="1" x14ac:dyDescent="0.3">
      <c r="A743" s="4">
        <v>1742</v>
      </c>
      <c r="B743" s="5" t="s">
        <v>866</v>
      </c>
      <c r="C743" s="6">
        <v>45172.42083333333</v>
      </c>
      <c r="D743" s="5" t="s">
        <v>14</v>
      </c>
      <c r="E743" s="5" t="s">
        <v>211</v>
      </c>
      <c r="F743" s="5" t="s">
        <v>38</v>
      </c>
      <c r="G743" s="5" t="s">
        <v>17</v>
      </c>
      <c r="H743" s="5">
        <v>64</v>
      </c>
      <c r="I743" s="5">
        <v>24</v>
      </c>
      <c r="J743" s="5" t="s">
        <v>26</v>
      </c>
      <c r="K743" s="5" t="s">
        <v>27</v>
      </c>
      <c r="L743" s="5" t="s">
        <v>40</v>
      </c>
      <c r="M743" s="7" t="s">
        <v>46</v>
      </c>
      <c r="N743" s="26">
        <f t="shared" si="77"/>
        <v>1</v>
      </c>
      <c r="O743" s="42">
        <f t="shared" si="78"/>
        <v>45172</v>
      </c>
      <c r="P743" s="5" t="str">
        <f t="shared" si="79"/>
        <v>Sunday</v>
      </c>
      <c r="Q743" s="5">
        <f t="shared" si="80"/>
        <v>10</v>
      </c>
      <c r="R743" s="28">
        <f t="shared" si="81"/>
        <v>0.72727272727272729</v>
      </c>
      <c r="S743" s="29">
        <f t="shared" si="82"/>
        <v>72.727272727272734</v>
      </c>
      <c r="T743" s="5" t="str">
        <f>IF(Delivery_Data3[[#This Row],[Delays (min)]]&gt;0,"No","Yes")</f>
        <v>No</v>
      </c>
      <c r="W743" s="41">
        <f t="shared" si="83"/>
        <v>45172</v>
      </c>
      <c r="X743" s="5">
        <v>64</v>
      </c>
    </row>
    <row r="744" spans="1:24" ht="15.75" customHeight="1" x14ac:dyDescent="0.3">
      <c r="A744" s="4">
        <v>1743</v>
      </c>
      <c r="B744" s="5" t="s">
        <v>867</v>
      </c>
      <c r="C744" s="6">
        <v>45171.390277777777</v>
      </c>
      <c r="D744" s="5" t="s">
        <v>43</v>
      </c>
      <c r="E744" s="5" t="s">
        <v>197</v>
      </c>
      <c r="F744" s="5" t="s">
        <v>38</v>
      </c>
      <c r="G744" s="5" t="s">
        <v>56</v>
      </c>
      <c r="H744" s="5">
        <v>194</v>
      </c>
      <c r="I744" s="5">
        <v>14</v>
      </c>
      <c r="J744" s="5" t="s">
        <v>26</v>
      </c>
      <c r="K744" s="5" t="s">
        <v>19</v>
      </c>
      <c r="L744" s="5" t="s">
        <v>40</v>
      </c>
      <c r="M744" s="7" t="s">
        <v>46</v>
      </c>
      <c r="N744" s="26">
        <f t="shared" si="77"/>
        <v>1</v>
      </c>
      <c r="O744" s="42">
        <f t="shared" si="78"/>
        <v>45171</v>
      </c>
      <c r="P744" s="5" t="str">
        <f t="shared" si="79"/>
        <v>Saturday</v>
      </c>
      <c r="Q744" s="5">
        <f t="shared" si="80"/>
        <v>9</v>
      </c>
      <c r="R744" s="28">
        <f t="shared" si="81"/>
        <v>0.93269230769230771</v>
      </c>
      <c r="S744" s="29">
        <f t="shared" si="82"/>
        <v>93.269230769230774</v>
      </c>
      <c r="T744" s="5" t="str">
        <f>IF(Delivery_Data3[[#This Row],[Delays (min)]]&gt;0,"No","Yes")</f>
        <v>No</v>
      </c>
      <c r="W744" s="41">
        <f t="shared" si="83"/>
        <v>45171</v>
      </c>
      <c r="X744" s="5">
        <v>194</v>
      </c>
    </row>
    <row r="745" spans="1:24" ht="15.75" customHeight="1" x14ac:dyDescent="0.3">
      <c r="A745" s="4">
        <v>1744</v>
      </c>
      <c r="B745" s="5" t="s">
        <v>868</v>
      </c>
      <c r="C745" s="6">
        <v>45177.691666666666</v>
      </c>
      <c r="D745" s="5" t="s">
        <v>43</v>
      </c>
      <c r="E745" s="5" t="s">
        <v>76</v>
      </c>
      <c r="F745" s="5" t="s">
        <v>16</v>
      </c>
      <c r="G745" s="5" t="s">
        <v>31</v>
      </c>
      <c r="H745" s="5">
        <v>163</v>
      </c>
      <c r="I745" s="5">
        <v>2</v>
      </c>
      <c r="J745" s="5" t="s">
        <v>32</v>
      </c>
      <c r="K745" s="5" t="s">
        <v>49</v>
      </c>
      <c r="L745" s="5" t="s">
        <v>40</v>
      </c>
      <c r="M745" s="7" t="s">
        <v>46</v>
      </c>
      <c r="N745" s="26">
        <f t="shared" si="77"/>
        <v>-1</v>
      </c>
      <c r="O745" s="42">
        <f t="shared" si="78"/>
        <v>45177</v>
      </c>
      <c r="P745" s="5" t="str">
        <f t="shared" si="79"/>
        <v>Friday</v>
      </c>
      <c r="Q745" s="5">
        <f t="shared" si="80"/>
        <v>16</v>
      </c>
      <c r="R745" s="28">
        <f t="shared" si="81"/>
        <v>0.98787878787878791</v>
      </c>
      <c r="S745" s="29">
        <f t="shared" si="82"/>
        <v>98.787878787878796</v>
      </c>
      <c r="T745" s="5" t="str">
        <f>IF(Delivery_Data3[[#This Row],[Delays (min)]]&gt;0,"No","Yes")</f>
        <v>No</v>
      </c>
      <c r="W745" s="41">
        <f t="shared" si="83"/>
        <v>45177</v>
      </c>
      <c r="X745" s="5">
        <v>163</v>
      </c>
    </row>
    <row r="746" spans="1:24" ht="15.75" customHeight="1" x14ac:dyDescent="0.3">
      <c r="A746" s="4">
        <v>1745</v>
      </c>
      <c r="B746" s="5" t="s">
        <v>869</v>
      </c>
      <c r="C746" s="6">
        <v>45175.363194444442</v>
      </c>
      <c r="D746" s="5" t="s">
        <v>14</v>
      </c>
      <c r="E746" s="5" t="s">
        <v>177</v>
      </c>
      <c r="F746" s="5" t="s">
        <v>16</v>
      </c>
      <c r="G746" s="5" t="s">
        <v>17</v>
      </c>
      <c r="H746" s="5">
        <v>222</v>
      </c>
      <c r="I746" s="5">
        <v>19</v>
      </c>
      <c r="J746" s="5" t="s">
        <v>32</v>
      </c>
      <c r="K746" s="5" t="s">
        <v>19</v>
      </c>
      <c r="L746" s="5" t="s">
        <v>20</v>
      </c>
      <c r="M746" s="7" t="s">
        <v>41</v>
      </c>
      <c r="N746" s="26">
        <f t="shared" si="77"/>
        <v>-1</v>
      </c>
      <c r="O746" s="42">
        <f t="shared" si="78"/>
        <v>45175</v>
      </c>
      <c r="P746" s="5" t="str">
        <f t="shared" si="79"/>
        <v>Wednesday</v>
      </c>
      <c r="Q746" s="5">
        <f t="shared" si="80"/>
        <v>8</v>
      </c>
      <c r="R746" s="28">
        <f t="shared" si="81"/>
        <v>0.92116182572614103</v>
      </c>
      <c r="S746" s="29">
        <f t="shared" si="82"/>
        <v>92.116182572614107</v>
      </c>
      <c r="T746" s="5" t="str">
        <f>IF(Delivery_Data3[[#This Row],[Delays (min)]]&gt;0,"No","Yes")</f>
        <v>No</v>
      </c>
      <c r="W746" s="41">
        <f t="shared" si="83"/>
        <v>45175</v>
      </c>
      <c r="X746" s="5">
        <v>222</v>
      </c>
    </row>
    <row r="747" spans="1:24" ht="15.75" customHeight="1" x14ac:dyDescent="0.3">
      <c r="A747" s="4">
        <v>1746</v>
      </c>
      <c r="B747" s="5" t="s">
        <v>870</v>
      </c>
      <c r="C747" s="6">
        <v>45171.393750000003</v>
      </c>
      <c r="D747" s="5" t="s">
        <v>14</v>
      </c>
      <c r="E747" s="5" t="s">
        <v>109</v>
      </c>
      <c r="F747" s="5" t="s">
        <v>38</v>
      </c>
      <c r="G747" s="5" t="s">
        <v>25</v>
      </c>
      <c r="H747" s="5">
        <v>233</v>
      </c>
      <c r="I747" s="5">
        <v>10</v>
      </c>
      <c r="J747" s="5" t="s">
        <v>32</v>
      </c>
      <c r="K747" s="5" t="s">
        <v>45</v>
      </c>
      <c r="L747" s="5" t="s">
        <v>28</v>
      </c>
      <c r="M747" s="7" t="s">
        <v>21</v>
      </c>
      <c r="N747" s="26">
        <f t="shared" si="77"/>
        <v>-1</v>
      </c>
      <c r="O747" s="42">
        <f t="shared" si="78"/>
        <v>45171</v>
      </c>
      <c r="P747" s="5" t="str">
        <f t="shared" si="79"/>
        <v>Saturday</v>
      </c>
      <c r="Q747" s="5">
        <f t="shared" si="80"/>
        <v>9</v>
      </c>
      <c r="R747" s="28">
        <f t="shared" si="81"/>
        <v>0.95884773662551437</v>
      </c>
      <c r="S747" s="29">
        <f t="shared" si="82"/>
        <v>95.884773662551439</v>
      </c>
      <c r="T747" s="5" t="str">
        <f>IF(Delivery_Data3[[#This Row],[Delays (min)]]&gt;0,"No","Yes")</f>
        <v>No</v>
      </c>
      <c r="W747" s="41">
        <f t="shared" si="83"/>
        <v>45171</v>
      </c>
      <c r="X747" s="5">
        <v>233</v>
      </c>
    </row>
    <row r="748" spans="1:24" ht="15.75" customHeight="1" x14ac:dyDescent="0.3">
      <c r="A748" s="4">
        <v>1747</v>
      </c>
      <c r="B748" s="5" t="s">
        <v>433</v>
      </c>
      <c r="C748" s="6">
        <v>45176.397222222222</v>
      </c>
      <c r="D748" s="5" t="s">
        <v>43</v>
      </c>
      <c r="E748" s="5" t="s">
        <v>182</v>
      </c>
      <c r="F748" s="5" t="s">
        <v>16</v>
      </c>
      <c r="G748" s="5" t="s">
        <v>39</v>
      </c>
      <c r="H748" s="5">
        <v>149</v>
      </c>
      <c r="I748" s="5">
        <v>19</v>
      </c>
      <c r="J748" s="5" t="s">
        <v>18</v>
      </c>
      <c r="K748" s="5" t="s">
        <v>45</v>
      </c>
      <c r="L748" s="5" t="s">
        <v>40</v>
      </c>
      <c r="M748" s="7" t="s">
        <v>41</v>
      </c>
      <c r="N748" s="26">
        <f t="shared" si="77"/>
        <v>0</v>
      </c>
      <c r="O748" s="42">
        <f t="shared" si="78"/>
        <v>45176</v>
      </c>
      <c r="P748" s="5" t="str">
        <f t="shared" si="79"/>
        <v>Thursday</v>
      </c>
      <c r="Q748" s="5">
        <f t="shared" si="80"/>
        <v>9</v>
      </c>
      <c r="R748" s="28">
        <f t="shared" si="81"/>
        <v>0.88690476190476186</v>
      </c>
      <c r="S748" s="29">
        <f t="shared" si="82"/>
        <v>88.69047619047619</v>
      </c>
      <c r="T748" s="5" t="str">
        <f>IF(Delivery_Data3[[#This Row],[Delays (min)]]&gt;0,"No","Yes")</f>
        <v>No</v>
      </c>
      <c r="W748" s="41">
        <f t="shared" si="83"/>
        <v>45176</v>
      </c>
      <c r="X748" s="5">
        <v>149</v>
      </c>
    </row>
    <row r="749" spans="1:24" ht="15.75" customHeight="1" x14ac:dyDescent="0.3">
      <c r="A749" s="4">
        <v>1748</v>
      </c>
      <c r="B749" s="5" t="s">
        <v>871</v>
      </c>
      <c r="C749" s="6">
        <v>45175.481944444444</v>
      </c>
      <c r="D749" s="5" t="s">
        <v>43</v>
      </c>
      <c r="E749" s="5" t="s">
        <v>95</v>
      </c>
      <c r="F749" s="5" t="s">
        <v>38</v>
      </c>
      <c r="G749" s="5" t="s">
        <v>31</v>
      </c>
      <c r="H749" s="5">
        <v>114</v>
      </c>
      <c r="I749" s="5">
        <v>25</v>
      </c>
      <c r="J749" s="5" t="s">
        <v>32</v>
      </c>
      <c r="K749" s="5" t="s">
        <v>35</v>
      </c>
      <c r="L749" s="5" t="s">
        <v>28</v>
      </c>
      <c r="M749" s="7" t="s">
        <v>46</v>
      </c>
      <c r="N749" s="26">
        <f t="shared" si="77"/>
        <v>-1</v>
      </c>
      <c r="O749" s="42">
        <f t="shared" si="78"/>
        <v>45175</v>
      </c>
      <c r="P749" s="5" t="str">
        <f t="shared" si="79"/>
        <v>Wednesday</v>
      </c>
      <c r="Q749" s="5">
        <f t="shared" si="80"/>
        <v>11</v>
      </c>
      <c r="R749" s="28">
        <f t="shared" si="81"/>
        <v>0.82014388489208634</v>
      </c>
      <c r="S749" s="29">
        <f t="shared" si="82"/>
        <v>82.014388489208628</v>
      </c>
      <c r="T749" s="5" t="str">
        <f>IF(Delivery_Data3[[#This Row],[Delays (min)]]&gt;0,"No","Yes")</f>
        <v>No</v>
      </c>
      <c r="W749" s="41">
        <f t="shared" si="83"/>
        <v>45175</v>
      </c>
      <c r="X749" s="5">
        <v>114</v>
      </c>
    </row>
    <row r="750" spans="1:24" ht="15.75" customHeight="1" x14ac:dyDescent="0.3">
      <c r="A750" s="4">
        <v>1749</v>
      </c>
      <c r="B750" s="5" t="s">
        <v>872</v>
      </c>
      <c r="C750" s="6">
        <v>45171.565972222219</v>
      </c>
      <c r="D750" s="5" t="s">
        <v>43</v>
      </c>
      <c r="E750" s="5" t="s">
        <v>126</v>
      </c>
      <c r="F750" s="5" t="s">
        <v>24</v>
      </c>
      <c r="G750" s="5" t="s">
        <v>25</v>
      </c>
      <c r="H750" s="5">
        <v>110</v>
      </c>
      <c r="I750" s="5">
        <v>8</v>
      </c>
      <c r="J750" s="5" t="s">
        <v>32</v>
      </c>
      <c r="K750" s="5" t="s">
        <v>27</v>
      </c>
      <c r="L750" s="5" t="s">
        <v>20</v>
      </c>
      <c r="M750" s="7" t="s">
        <v>46</v>
      </c>
      <c r="N750" s="26">
        <f t="shared" si="77"/>
        <v>-1</v>
      </c>
      <c r="O750" s="42">
        <f t="shared" si="78"/>
        <v>45171</v>
      </c>
      <c r="P750" s="5" t="str">
        <f t="shared" si="79"/>
        <v>Saturday</v>
      </c>
      <c r="Q750" s="5">
        <f t="shared" si="80"/>
        <v>13</v>
      </c>
      <c r="R750" s="28">
        <f t="shared" si="81"/>
        <v>0.93220338983050843</v>
      </c>
      <c r="S750" s="29">
        <f t="shared" si="82"/>
        <v>93.220338983050837</v>
      </c>
      <c r="T750" s="5" t="str">
        <f>IF(Delivery_Data3[[#This Row],[Delays (min)]]&gt;0,"No","Yes")</f>
        <v>No</v>
      </c>
      <c r="W750" s="41">
        <f t="shared" si="83"/>
        <v>45171</v>
      </c>
      <c r="X750" s="5">
        <v>110</v>
      </c>
    </row>
    <row r="751" spans="1:24" ht="15.75" customHeight="1" x14ac:dyDescent="0.3">
      <c r="A751" s="4">
        <v>1750</v>
      </c>
      <c r="B751" s="5" t="s">
        <v>873</v>
      </c>
      <c r="C751" s="6">
        <v>45177.566666666666</v>
      </c>
      <c r="D751" s="5" t="s">
        <v>14</v>
      </c>
      <c r="E751" s="5" t="s">
        <v>93</v>
      </c>
      <c r="F751" s="5" t="s">
        <v>38</v>
      </c>
      <c r="G751" s="5" t="s">
        <v>39</v>
      </c>
      <c r="H751" s="5">
        <v>199</v>
      </c>
      <c r="I751" s="5">
        <v>0</v>
      </c>
      <c r="J751" s="5" t="s">
        <v>26</v>
      </c>
      <c r="K751" s="5" t="s">
        <v>19</v>
      </c>
      <c r="L751" s="5" t="s">
        <v>40</v>
      </c>
      <c r="M751" s="7" t="s">
        <v>21</v>
      </c>
      <c r="N751" s="26">
        <f t="shared" si="77"/>
        <v>1</v>
      </c>
      <c r="O751" s="42">
        <f t="shared" si="78"/>
        <v>45177</v>
      </c>
      <c r="P751" s="5" t="str">
        <f t="shared" si="79"/>
        <v>Friday</v>
      </c>
      <c r="Q751" s="5">
        <f t="shared" si="80"/>
        <v>13</v>
      </c>
      <c r="R751" s="28">
        <f t="shared" si="81"/>
        <v>1</v>
      </c>
      <c r="S751" s="29">
        <f t="shared" si="82"/>
        <v>100</v>
      </c>
      <c r="T751" s="5" t="str">
        <f>IF(Delivery_Data3[[#This Row],[Delays (min)]]&gt;0,"No","Yes")</f>
        <v>Yes</v>
      </c>
      <c r="W751" s="41">
        <f t="shared" si="83"/>
        <v>45177</v>
      </c>
      <c r="X751" s="5">
        <v>199</v>
      </c>
    </row>
    <row r="752" spans="1:24" ht="15.75" customHeight="1" x14ac:dyDescent="0.3">
      <c r="A752" s="4">
        <v>1751</v>
      </c>
      <c r="B752" s="5" t="s">
        <v>874</v>
      </c>
      <c r="C752" s="6">
        <v>45171.631944444445</v>
      </c>
      <c r="D752" s="5" t="s">
        <v>43</v>
      </c>
      <c r="E752" s="5" t="s">
        <v>162</v>
      </c>
      <c r="F752" s="5" t="s">
        <v>16</v>
      </c>
      <c r="G752" s="5" t="s">
        <v>31</v>
      </c>
      <c r="H752" s="5">
        <v>169</v>
      </c>
      <c r="I752" s="5">
        <v>8</v>
      </c>
      <c r="J752" s="5" t="s">
        <v>26</v>
      </c>
      <c r="K752" s="5" t="s">
        <v>35</v>
      </c>
      <c r="L752" s="5" t="s">
        <v>40</v>
      </c>
      <c r="M752" s="7" t="s">
        <v>21</v>
      </c>
      <c r="N752" s="26">
        <f t="shared" si="77"/>
        <v>1</v>
      </c>
      <c r="O752" s="42">
        <f t="shared" si="78"/>
        <v>45171</v>
      </c>
      <c r="P752" s="5" t="str">
        <f t="shared" si="79"/>
        <v>Saturday</v>
      </c>
      <c r="Q752" s="5">
        <f t="shared" si="80"/>
        <v>15</v>
      </c>
      <c r="R752" s="28">
        <f t="shared" si="81"/>
        <v>0.95480225988700562</v>
      </c>
      <c r="S752" s="29">
        <f t="shared" si="82"/>
        <v>95.480225988700568</v>
      </c>
      <c r="T752" s="5" t="str">
        <f>IF(Delivery_Data3[[#This Row],[Delays (min)]]&gt;0,"No","Yes")</f>
        <v>No</v>
      </c>
      <c r="W752" s="41">
        <f t="shared" si="83"/>
        <v>45171</v>
      </c>
      <c r="X752" s="5">
        <v>169</v>
      </c>
    </row>
    <row r="753" spans="1:24" ht="15.75" customHeight="1" x14ac:dyDescent="0.3">
      <c r="A753" s="4">
        <v>1752</v>
      </c>
      <c r="B753" s="5" t="s">
        <v>875</v>
      </c>
      <c r="C753" s="6">
        <v>45170.607638888891</v>
      </c>
      <c r="D753" s="5" t="s">
        <v>14</v>
      </c>
      <c r="E753" s="5" t="s">
        <v>267</v>
      </c>
      <c r="F753" s="5" t="s">
        <v>16</v>
      </c>
      <c r="G753" s="5" t="s">
        <v>31</v>
      </c>
      <c r="H753" s="5">
        <v>128</v>
      </c>
      <c r="I753" s="5">
        <v>4</v>
      </c>
      <c r="J753" s="5" t="s">
        <v>18</v>
      </c>
      <c r="K753" s="5" t="s">
        <v>45</v>
      </c>
      <c r="L753" s="5" t="s">
        <v>20</v>
      </c>
      <c r="M753" s="7" t="s">
        <v>46</v>
      </c>
      <c r="N753" s="26">
        <f t="shared" si="77"/>
        <v>0</v>
      </c>
      <c r="O753" s="42">
        <f t="shared" si="78"/>
        <v>45170</v>
      </c>
      <c r="P753" s="5" t="str">
        <f t="shared" si="79"/>
        <v>Friday</v>
      </c>
      <c r="Q753" s="5">
        <f t="shared" si="80"/>
        <v>14</v>
      </c>
      <c r="R753" s="28">
        <f t="shared" si="81"/>
        <v>0.96969696969696972</v>
      </c>
      <c r="S753" s="29">
        <f t="shared" si="82"/>
        <v>96.969696969696969</v>
      </c>
      <c r="T753" s="5" t="str">
        <f>IF(Delivery_Data3[[#This Row],[Delays (min)]]&gt;0,"No","Yes")</f>
        <v>No</v>
      </c>
      <c r="W753" s="41">
        <f t="shared" si="83"/>
        <v>45170</v>
      </c>
      <c r="X753" s="5">
        <v>128</v>
      </c>
    </row>
    <row r="754" spans="1:24" ht="15.75" customHeight="1" x14ac:dyDescent="0.3">
      <c r="A754" s="4">
        <v>1753</v>
      </c>
      <c r="B754" s="5" t="s">
        <v>876</v>
      </c>
      <c r="C754" s="6">
        <v>45175.366666666669</v>
      </c>
      <c r="D754" s="5" t="s">
        <v>14</v>
      </c>
      <c r="E754" s="5" t="s">
        <v>97</v>
      </c>
      <c r="F754" s="5" t="s">
        <v>24</v>
      </c>
      <c r="G754" s="5" t="s">
        <v>25</v>
      </c>
      <c r="H754" s="5">
        <v>227</v>
      </c>
      <c r="I754" s="5">
        <v>1</v>
      </c>
      <c r="J754" s="5" t="s">
        <v>26</v>
      </c>
      <c r="K754" s="5" t="s">
        <v>49</v>
      </c>
      <c r="L754" s="5" t="s">
        <v>20</v>
      </c>
      <c r="M754" s="7" t="s">
        <v>41</v>
      </c>
      <c r="N754" s="26">
        <f t="shared" si="77"/>
        <v>1</v>
      </c>
      <c r="O754" s="42">
        <f t="shared" si="78"/>
        <v>45175</v>
      </c>
      <c r="P754" s="5" t="str">
        <f t="shared" si="79"/>
        <v>Wednesday</v>
      </c>
      <c r="Q754" s="5">
        <f t="shared" si="80"/>
        <v>8</v>
      </c>
      <c r="R754" s="28">
        <f t="shared" si="81"/>
        <v>0.99561403508771928</v>
      </c>
      <c r="S754" s="29">
        <f t="shared" si="82"/>
        <v>99.561403508771932</v>
      </c>
      <c r="T754" s="5" t="str">
        <f>IF(Delivery_Data3[[#This Row],[Delays (min)]]&gt;0,"No","Yes")</f>
        <v>No</v>
      </c>
      <c r="W754" s="41">
        <f t="shared" si="83"/>
        <v>45175</v>
      </c>
      <c r="X754" s="5">
        <v>227</v>
      </c>
    </row>
    <row r="755" spans="1:24" ht="15.75" customHeight="1" x14ac:dyDescent="0.3">
      <c r="A755" s="4">
        <v>1754</v>
      </c>
      <c r="B755" s="5" t="s">
        <v>877</v>
      </c>
      <c r="C755" s="6">
        <v>45173.479166666664</v>
      </c>
      <c r="D755" s="5" t="s">
        <v>14</v>
      </c>
      <c r="E755" s="5" t="s">
        <v>118</v>
      </c>
      <c r="F755" s="5" t="s">
        <v>24</v>
      </c>
      <c r="G755" s="5" t="s">
        <v>39</v>
      </c>
      <c r="H755" s="5">
        <v>145</v>
      </c>
      <c r="I755" s="5">
        <v>23</v>
      </c>
      <c r="J755" s="5" t="s">
        <v>32</v>
      </c>
      <c r="K755" s="5" t="s">
        <v>45</v>
      </c>
      <c r="L755" s="5" t="s">
        <v>28</v>
      </c>
      <c r="M755" s="7" t="s">
        <v>41</v>
      </c>
      <c r="N755" s="26">
        <f t="shared" si="77"/>
        <v>-1</v>
      </c>
      <c r="O755" s="42">
        <f t="shared" si="78"/>
        <v>45173</v>
      </c>
      <c r="P755" s="5" t="str">
        <f t="shared" si="79"/>
        <v>Monday</v>
      </c>
      <c r="Q755" s="5">
        <f t="shared" si="80"/>
        <v>11</v>
      </c>
      <c r="R755" s="28">
        <f t="shared" si="81"/>
        <v>0.86309523809523814</v>
      </c>
      <c r="S755" s="29">
        <f t="shared" si="82"/>
        <v>86.30952380952381</v>
      </c>
      <c r="T755" s="5" t="str">
        <f>IF(Delivery_Data3[[#This Row],[Delays (min)]]&gt;0,"No","Yes")</f>
        <v>No</v>
      </c>
      <c r="W755" s="41">
        <f t="shared" si="83"/>
        <v>45173</v>
      </c>
      <c r="X755" s="5">
        <v>145</v>
      </c>
    </row>
    <row r="756" spans="1:24" ht="15.75" customHeight="1" x14ac:dyDescent="0.3">
      <c r="A756" s="4">
        <v>1755</v>
      </c>
      <c r="B756" s="5" t="s">
        <v>878</v>
      </c>
      <c r="C756" s="6">
        <v>45176.399305555555</v>
      </c>
      <c r="D756" s="5" t="s">
        <v>43</v>
      </c>
      <c r="E756" s="5" t="s">
        <v>55</v>
      </c>
      <c r="F756" s="5" t="s">
        <v>16</v>
      </c>
      <c r="G756" s="5" t="s">
        <v>56</v>
      </c>
      <c r="H756" s="5">
        <v>143</v>
      </c>
      <c r="I756" s="5">
        <v>11</v>
      </c>
      <c r="J756" s="5" t="s">
        <v>32</v>
      </c>
      <c r="K756" s="5" t="s">
        <v>27</v>
      </c>
      <c r="L756" s="5" t="s">
        <v>28</v>
      </c>
      <c r="M756" s="7" t="s">
        <v>46</v>
      </c>
      <c r="N756" s="26">
        <f t="shared" si="77"/>
        <v>-1</v>
      </c>
      <c r="O756" s="42">
        <f t="shared" si="78"/>
        <v>45176</v>
      </c>
      <c r="P756" s="5" t="str">
        <f t="shared" si="79"/>
        <v>Thursday</v>
      </c>
      <c r="Q756" s="5">
        <f t="shared" si="80"/>
        <v>9</v>
      </c>
      <c r="R756" s="28">
        <f t="shared" si="81"/>
        <v>0.9285714285714286</v>
      </c>
      <c r="S756" s="29">
        <f t="shared" si="82"/>
        <v>92.857142857142861</v>
      </c>
      <c r="T756" s="5" t="str">
        <f>IF(Delivery_Data3[[#This Row],[Delays (min)]]&gt;0,"No","Yes")</f>
        <v>No</v>
      </c>
      <c r="W756" s="41">
        <f t="shared" si="83"/>
        <v>45176</v>
      </c>
      <c r="X756" s="5">
        <v>143</v>
      </c>
    </row>
    <row r="757" spans="1:24" ht="15.75" customHeight="1" x14ac:dyDescent="0.3">
      <c r="A757" s="4">
        <v>1756</v>
      </c>
      <c r="B757" s="5" t="s">
        <v>879</v>
      </c>
      <c r="C757" s="6">
        <v>45177.438888888886</v>
      </c>
      <c r="D757" s="5" t="s">
        <v>43</v>
      </c>
      <c r="E757" s="5" t="s">
        <v>249</v>
      </c>
      <c r="F757" s="5" t="s">
        <v>16</v>
      </c>
      <c r="G757" s="5" t="s">
        <v>31</v>
      </c>
      <c r="H757" s="5">
        <v>100</v>
      </c>
      <c r="I757" s="5">
        <v>12</v>
      </c>
      <c r="J757" s="5" t="s">
        <v>26</v>
      </c>
      <c r="K757" s="5" t="s">
        <v>35</v>
      </c>
      <c r="L757" s="5" t="s">
        <v>28</v>
      </c>
      <c r="M757" s="7" t="s">
        <v>46</v>
      </c>
      <c r="N757" s="26">
        <f t="shared" si="77"/>
        <v>1</v>
      </c>
      <c r="O757" s="42">
        <f t="shared" si="78"/>
        <v>45177</v>
      </c>
      <c r="P757" s="5" t="str">
        <f t="shared" si="79"/>
        <v>Friday</v>
      </c>
      <c r="Q757" s="5">
        <f t="shared" si="80"/>
        <v>10</v>
      </c>
      <c r="R757" s="28">
        <f t="shared" si="81"/>
        <v>0.8928571428571429</v>
      </c>
      <c r="S757" s="29">
        <f t="shared" si="82"/>
        <v>89.285714285714292</v>
      </c>
      <c r="T757" s="5" t="str">
        <f>IF(Delivery_Data3[[#This Row],[Delays (min)]]&gt;0,"No","Yes")</f>
        <v>No</v>
      </c>
      <c r="W757" s="41">
        <f t="shared" si="83"/>
        <v>45177</v>
      </c>
      <c r="X757" s="5">
        <v>100</v>
      </c>
    </row>
    <row r="758" spans="1:24" ht="15.75" customHeight="1" x14ac:dyDescent="0.3">
      <c r="A758" s="4">
        <v>1757</v>
      </c>
      <c r="B758" s="5" t="s">
        <v>880</v>
      </c>
      <c r="C758" s="6">
        <v>45174.45208333333</v>
      </c>
      <c r="D758" s="5" t="s">
        <v>14</v>
      </c>
      <c r="E758" s="5" t="s">
        <v>30</v>
      </c>
      <c r="F758" s="5" t="s">
        <v>24</v>
      </c>
      <c r="G758" s="5" t="s">
        <v>17</v>
      </c>
      <c r="H758" s="5">
        <v>109</v>
      </c>
      <c r="I758" s="5">
        <v>17</v>
      </c>
      <c r="J758" s="5" t="s">
        <v>26</v>
      </c>
      <c r="K758" s="5" t="s">
        <v>27</v>
      </c>
      <c r="L758" s="5" t="s">
        <v>28</v>
      </c>
      <c r="M758" s="7" t="s">
        <v>41</v>
      </c>
      <c r="N758" s="26">
        <f t="shared" si="77"/>
        <v>1</v>
      </c>
      <c r="O758" s="42">
        <f t="shared" si="78"/>
        <v>45174</v>
      </c>
      <c r="P758" s="5" t="str">
        <f t="shared" si="79"/>
        <v>Tuesday</v>
      </c>
      <c r="Q758" s="5">
        <f t="shared" si="80"/>
        <v>10</v>
      </c>
      <c r="R758" s="28">
        <f t="shared" si="81"/>
        <v>0.86507936507936511</v>
      </c>
      <c r="S758" s="29">
        <f t="shared" si="82"/>
        <v>86.507936507936506</v>
      </c>
      <c r="T758" s="5" t="str">
        <f>IF(Delivery_Data3[[#This Row],[Delays (min)]]&gt;0,"No","Yes")</f>
        <v>No</v>
      </c>
      <c r="W758" s="41">
        <f t="shared" si="83"/>
        <v>45174</v>
      </c>
      <c r="X758" s="5">
        <v>109</v>
      </c>
    </row>
    <row r="759" spans="1:24" ht="15.75" customHeight="1" x14ac:dyDescent="0.3">
      <c r="A759" s="4">
        <v>1758</v>
      </c>
      <c r="B759" s="5" t="s">
        <v>881</v>
      </c>
      <c r="C759" s="6">
        <v>45174.580555555556</v>
      </c>
      <c r="D759" s="5" t="s">
        <v>43</v>
      </c>
      <c r="E759" s="5" t="s">
        <v>270</v>
      </c>
      <c r="F759" s="5" t="s">
        <v>38</v>
      </c>
      <c r="G759" s="5" t="s">
        <v>17</v>
      </c>
      <c r="H759" s="5">
        <v>94</v>
      </c>
      <c r="I759" s="5">
        <v>23</v>
      </c>
      <c r="J759" s="5" t="s">
        <v>32</v>
      </c>
      <c r="K759" s="5" t="s">
        <v>19</v>
      </c>
      <c r="L759" s="5" t="s">
        <v>28</v>
      </c>
      <c r="M759" s="7" t="s">
        <v>46</v>
      </c>
      <c r="N759" s="26">
        <f t="shared" si="77"/>
        <v>-1</v>
      </c>
      <c r="O759" s="42">
        <f t="shared" si="78"/>
        <v>45174</v>
      </c>
      <c r="P759" s="5" t="str">
        <f t="shared" si="79"/>
        <v>Tuesday</v>
      </c>
      <c r="Q759" s="5">
        <f t="shared" si="80"/>
        <v>13</v>
      </c>
      <c r="R759" s="28">
        <f t="shared" si="81"/>
        <v>0.80341880341880345</v>
      </c>
      <c r="S759" s="29">
        <f t="shared" si="82"/>
        <v>80.341880341880341</v>
      </c>
      <c r="T759" s="5" t="str">
        <f>IF(Delivery_Data3[[#This Row],[Delays (min)]]&gt;0,"No","Yes")</f>
        <v>No</v>
      </c>
      <c r="W759" s="41">
        <f t="shared" si="83"/>
        <v>45174</v>
      </c>
      <c r="X759" s="5">
        <v>94</v>
      </c>
    </row>
    <row r="760" spans="1:24" ht="15.75" customHeight="1" x14ac:dyDescent="0.3">
      <c r="A760" s="4">
        <v>1759</v>
      </c>
      <c r="B760" s="5" t="s">
        <v>882</v>
      </c>
      <c r="C760" s="6">
        <v>45171.362500000003</v>
      </c>
      <c r="D760" s="5" t="s">
        <v>43</v>
      </c>
      <c r="E760" s="5" t="s">
        <v>211</v>
      </c>
      <c r="F760" s="5" t="s">
        <v>24</v>
      </c>
      <c r="G760" s="5" t="s">
        <v>39</v>
      </c>
      <c r="H760" s="5">
        <v>165</v>
      </c>
      <c r="I760" s="5">
        <v>21</v>
      </c>
      <c r="J760" s="5" t="s">
        <v>18</v>
      </c>
      <c r="K760" s="5" t="s">
        <v>35</v>
      </c>
      <c r="L760" s="5" t="s">
        <v>20</v>
      </c>
      <c r="M760" s="7" t="s">
        <v>41</v>
      </c>
      <c r="N760" s="26">
        <f t="shared" si="77"/>
        <v>0</v>
      </c>
      <c r="O760" s="42">
        <f t="shared" si="78"/>
        <v>45171</v>
      </c>
      <c r="P760" s="5" t="str">
        <f t="shared" si="79"/>
        <v>Saturday</v>
      </c>
      <c r="Q760" s="5">
        <f t="shared" si="80"/>
        <v>8</v>
      </c>
      <c r="R760" s="28">
        <f t="shared" si="81"/>
        <v>0.88709677419354838</v>
      </c>
      <c r="S760" s="29">
        <f t="shared" si="82"/>
        <v>88.709677419354833</v>
      </c>
      <c r="T760" s="5" t="str">
        <f>IF(Delivery_Data3[[#This Row],[Delays (min)]]&gt;0,"No","Yes")</f>
        <v>No</v>
      </c>
      <c r="W760" s="41">
        <f t="shared" si="83"/>
        <v>45171</v>
      </c>
      <c r="X760" s="5">
        <v>165</v>
      </c>
    </row>
    <row r="761" spans="1:24" ht="15.75" customHeight="1" x14ac:dyDescent="0.3">
      <c r="A761" s="4">
        <v>1760</v>
      </c>
      <c r="B761" s="5" t="s">
        <v>883</v>
      </c>
      <c r="C761" s="6">
        <v>45172.672222222223</v>
      </c>
      <c r="D761" s="5" t="s">
        <v>14</v>
      </c>
      <c r="E761" s="5" t="s">
        <v>15</v>
      </c>
      <c r="F761" s="5" t="s">
        <v>24</v>
      </c>
      <c r="G761" s="5" t="s">
        <v>39</v>
      </c>
      <c r="H761" s="5">
        <v>97</v>
      </c>
      <c r="I761" s="5">
        <v>10</v>
      </c>
      <c r="J761" s="5" t="s">
        <v>18</v>
      </c>
      <c r="K761" s="5" t="s">
        <v>49</v>
      </c>
      <c r="L761" s="5" t="s">
        <v>40</v>
      </c>
      <c r="M761" s="7" t="s">
        <v>21</v>
      </c>
      <c r="N761" s="26">
        <f t="shared" si="77"/>
        <v>0</v>
      </c>
      <c r="O761" s="42">
        <f t="shared" si="78"/>
        <v>45172</v>
      </c>
      <c r="P761" s="5" t="str">
        <f t="shared" si="79"/>
        <v>Sunday</v>
      </c>
      <c r="Q761" s="5">
        <f t="shared" si="80"/>
        <v>16</v>
      </c>
      <c r="R761" s="28">
        <f t="shared" si="81"/>
        <v>0.90654205607476634</v>
      </c>
      <c r="S761" s="29">
        <f t="shared" si="82"/>
        <v>90.654205607476641</v>
      </c>
      <c r="T761" s="5" t="str">
        <f>IF(Delivery_Data3[[#This Row],[Delays (min)]]&gt;0,"No","Yes")</f>
        <v>No</v>
      </c>
      <c r="W761" s="41">
        <f t="shared" si="83"/>
        <v>45172</v>
      </c>
      <c r="X761" s="5">
        <v>97</v>
      </c>
    </row>
    <row r="762" spans="1:24" ht="15.75" customHeight="1" x14ac:dyDescent="0.3">
      <c r="A762" s="4">
        <v>1761</v>
      </c>
      <c r="B762" s="5" t="s">
        <v>884</v>
      </c>
      <c r="C762" s="6">
        <v>45170.631944444445</v>
      </c>
      <c r="D762" s="5" t="s">
        <v>14</v>
      </c>
      <c r="E762" s="5" t="s">
        <v>169</v>
      </c>
      <c r="F762" s="5" t="s">
        <v>16</v>
      </c>
      <c r="G762" s="5" t="s">
        <v>56</v>
      </c>
      <c r="H762" s="5">
        <v>207</v>
      </c>
      <c r="I762" s="5">
        <v>6</v>
      </c>
      <c r="J762" s="5" t="s">
        <v>18</v>
      </c>
      <c r="K762" s="5" t="s">
        <v>45</v>
      </c>
      <c r="L762" s="5" t="s">
        <v>40</v>
      </c>
      <c r="M762" s="7" t="s">
        <v>21</v>
      </c>
      <c r="N762" s="26">
        <f t="shared" si="77"/>
        <v>0</v>
      </c>
      <c r="O762" s="42">
        <f t="shared" si="78"/>
        <v>45170</v>
      </c>
      <c r="P762" s="5" t="str">
        <f t="shared" si="79"/>
        <v>Friday</v>
      </c>
      <c r="Q762" s="5">
        <f t="shared" si="80"/>
        <v>15</v>
      </c>
      <c r="R762" s="28">
        <f t="shared" si="81"/>
        <v>0.971830985915493</v>
      </c>
      <c r="S762" s="29">
        <f t="shared" si="82"/>
        <v>97.183098591549296</v>
      </c>
      <c r="T762" s="5" t="str">
        <f>IF(Delivery_Data3[[#This Row],[Delays (min)]]&gt;0,"No","Yes")</f>
        <v>No</v>
      </c>
      <c r="W762" s="41">
        <f t="shared" si="83"/>
        <v>45170</v>
      </c>
      <c r="X762" s="5">
        <v>207</v>
      </c>
    </row>
    <row r="763" spans="1:24" ht="15.75" customHeight="1" x14ac:dyDescent="0.3">
      <c r="A763" s="4">
        <v>1762</v>
      </c>
      <c r="B763" s="5" t="s">
        <v>885</v>
      </c>
      <c r="C763" s="6">
        <v>45173.34097222222</v>
      </c>
      <c r="D763" s="5" t="s">
        <v>14</v>
      </c>
      <c r="E763" s="5" t="s">
        <v>132</v>
      </c>
      <c r="F763" s="5" t="s">
        <v>24</v>
      </c>
      <c r="G763" s="5" t="s">
        <v>31</v>
      </c>
      <c r="H763" s="5">
        <v>211</v>
      </c>
      <c r="I763" s="5">
        <v>26</v>
      </c>
      <c r="J763" s="5" t="s">
        <v>32</v>
      </c>
      <c r="K763" s="5" t="s">
        <v>45</v>
      </c>
      <c r="L763" s="5" t="s">
        <v>40</v>
      </c>
      <c r="M763" s="7" t="s">
        <v>41</v>
      </c>
      <c r="N763" s="26">
        <f t="shared" si="77"/>
        <v>-1</v>
      </c>
      <c r="O763" s="42">
        <f t="shared" si="78"/>
        <v>45173</v>
      </c>
      <c r="P763" s="5" t="str">
        <f t="shared" si="79"/>
        <v>Monday</v>
      </c>
      <c r="Q763" s="5">
        <f t="shared" si="80"/>
        <v>8</v>
      </c>
      <c r="R763" s="28">
        <f t="shared" si="81"/>
        <v>0.89029535864978904</v>
      </c>
      <c r="S763" s="29">
        <f t="shared" si="82"/>
        <v>89.029535864978897</v>
      </c>
      <c r="T763" s="5" t="str">
        <f>IF(Delivery_Data3[[#This Row],[Delays (min)]]&gt;0,"No","Yes")</f>
        <v>No</v>
      </c>
      <c r="W763" s="41">
        <f t="shared" si="83"/>
        <v>45173</v>
      </c>
      <c r="X763" s="5">
        <v>211</v>
      </c>
    </row>
    <row r="764" spans="1:24" ht="15.75" customHeight="1" x14ac:dyDescent="0.3">
      <c r="A764" s="4">
        <v>1763</v>
      </c>
      <c r="B764" s="5" t="s">
        <v>886</v>
      </c>
      <c r="C764" s="6">
        <v>45172.523611111108</v>
      </c>
      <c r="D764" s="5" t="s">
        <v>14</v>
      </c>
      <c r="E764" s="5" t="s">
        <v>64</v>
      </c>
      <c r="F764" s="5" t="s">
        <v>38</v>
      </c>
      <c r="G764" s="5" t="s">
        <v>25</v>
      </c>
      <c r="H764" s="5">
        <v>124</v>
      </c>
      <c r="I764" s="5">
        <v>10</v>
      </c>
      <c r="J764" s="5" t="s">
        <v>26</v>
      </c>
      <c r="K764" s="5" t="s">
        <v>27</v>
      </c>
      <c r="L764" s="5" t="s">
        <v>28</v>
      </c>
      <c r="M764" s="7" t="s">
        <v>21</v>
      </c>
      <c r="N764" s="26">
        <f t="shared" si="77"/>
        <v>1</v>
      </c>
      <c r="O764" s="42">
        <f t="shared" si="78"/>
        <v>45172</v>
      </c>
      <c r="P764" s="5" t="str">
        <f t="shared" si="79"/>
        <v>Sunday</v>
      </c>
      <c r="Q764" s="5">
        <f t="shared" si="80"/>
        <v>12</v>
      </c>
      <c r="R764" s="28">
        <f t="shared" si="81"/>
        <v>0.92537313432835822</v>
      </c>
      <c r="S764" s="29">
        <f t="shared" si="82"/>
        <v>92.537313432835816</v>
      </c>
      <c r="T764" s="5" t="str">
        <f>IF(Delivery_Data3[[#This Row],[Delays (min)]]&gt;0,"No","Yes")</f>
        <v>No</v>
      </c>
      <c r="W764" s="41">
        <f t="shared" si="83"/>
        <v>45172</v>
      </c>
      <c r="X764" s="5">
        <v>124</v>
      </c>
    </row>
    <row r="765" spans="1:24" ht="15.75" customHeight="1" x14ac:dyDescent="0.3">
      <c r="A765" s="4">
        <v>1764</v>
      </c>
      <c r="B765" s="5" t="s">
        <v>887</v>
      </c>
      <c r="C765" s="6">
        <v>45172.463888888888</v>
      </c>
      <c r="D765" s="5" t="s">
        <v>14</v>
      </c>
      <c r="E765" s="5" t="s">
        <v>468</v>
      </c>
      <c r="F765" s="5" t="s">
        <v>24</v>
      </c>
      <c r="G765" s="5" t="s">
        <v>31</v>
      </c>
      <c r="H765" s="5">
        <v>150</v>
      </c>
      <c r="I765" s="5">
        <v>22</v>
      </c>
      <c r="J765" s="5" t="s">
        <v>18</v>
      </c>
      <c r="K765" s="5" t="s">
        <v>19</v>
      </c>
      <c r="L765" s="5" t="s">
        <v>40</v>
      </c>
      <c r="M765" s="7" t="s">
        <v>21</v>
      </c>
      <c r="N765" s="26">
        <f t="shared" si="77"/>
        <v>0</v>
      </c>
      <c r="O765" s="42">
        <f t="shared" si="78"/>
        <v>45172</v>
      </c>
      <c r="P765" s="5" t="str">
        <f t="shared" si="79"/>
        <v>Sunday</v>
      </c>
      <c r="Q765" s="5">
        <f t="shared" si="80"/>
        <v>11</v>
      </c>
      <c r="R765" s="28">
        <f t="shared" si="81"/>
        <v>0.87209302325581395</v>
      </c>
      <c r="S765" s="29">
        <f t="shared" si="82"/>
        <v>87.20930232558139</v>
      </c>
      <c r="T765" s="5" t="str">
        <f>IF(Delivery_Data3[[#This Row],[Delays (min)]]&gt;0,"No","Yes")</f>
        <v>No</v>
      </c>
      <c r="W765" s="41">
        <f t="shared" si="83"/>
        <v>45172</v>
      </c>
      <c r="X765" s="5">
        <v>150</v>
      </c>
    </row>
    <row r="766" spans="1:24" ht="15.75" customHeight="1" x14ac:dyDescent="0.3">
      <c r="A766" s="4">
        <v>1765</v>
      </c>
      <c r="B766" s="5" t="s">
        <v>888</v>
      </c>
      <c r="C766" s="6">
        <v>45171.344444444447</v>
      </c>
      <c r="D766" s="5" t="s">
        <v>14</v>
      </c>
      <c r="E766" s="5" t="s">
        <v>30</v>
      </c>
      <c r="F766" s="5" t="s">
        <v>24</v>
      </c>
      <c r="G766" s="5" t="s">
        <v>31</v>
      </c>
      <c r="H766" s="5">
        <v>73</v>
      </c>
      <c r="I766" s="5">
        <v>1</v>
      </c>
      <c r="J766" s="5" t="s">
        <v>32</v>
      </c>
      <c r="K766" s="5" t="s">
        <v>27</v>
      </c>
      <c r="L766" s="5" t="s">
        <v>20</v>
      </c>
      <c r="M766" s="7" t="s">
        <v>21</v>
      </c>
      <c r="N766" s="26">
        <f t="shared" si="77"/>
        <v>-1</v>
      </c>
      <c r="O766" s="42">
        <f t="shared" si="78"/>
        <v>45171</v>
      </c>
      <c r="P766" s="5" t="str">
        <f t="shared" si="79"/>
        <v>Saturday</v>
      </c>
      <c r="Q766" s="5">
        <f t="shared" si="80"/>
        <v>8</v>
      </c>
      <c r="R766" s="28">
        <f t="shared" si="81"/>
        <v>0.98648648648648651</v>
      </c>
      <c r="S766" s="29">
        <f t="shared" si="82"/>
        <v>98.648648648648646</v>
      </c>
      <c r="T766" s="5" t="str">
        <f>IF(Delivery_Data3[[#This Row],[Delays (min)]]&gt;0,"No","Yes")</f>
        <v>No</v>
      </c>
      <c r="W766" s="41">
        <f t="shared" si="83"/>
        <v>45171</v>
      </c>
      <c r="X766" s="5">
        <v>73</v>
      </c>
    </row>
    <row r="767" spans="1:24" ht="15.75" customHeight="1" x14ac:dyDescent="0.3">
      <c r="A767" s="4">
        <v>1766</v>
      </c>
      <c r="B767" s="5" t="s">
        <v>889</v>
      </c>
      <c r="C767" s="6">
        <v>45177.511805555558</v>
      </c>
      <c r="D767" s="5" t="s">
        <v>14</v>
      </c>
      <c r="E767" s="5" t="s">
        <v>89</v>
      </c>
      <c r="F767" s="5" t="s">
        <v>38</v>
      </c>
      <c r="G767" s="5" t="s">
        <v>25</v>
      </c>
      <c r="H767" s="5">
        <v>134</v>
      </c>
      <c r="I767" s="5">
        <v>13</v>
      </c>
      <c r="J767" s="5" t="s">
        <v>32</v>
      </c>
      <c r="K767" s="5" t="s">
        <v>19</v>
      </c>
      <c r="L767" s="5" t="s">
        <v>20</v>
      </c>
      <c r="M767" s="7" t="s">
        <v>21</v>
      </c>
      <c r="N767" s="26">
        <f t="shared" si="77"/>
        <v>-1</v>
      </c>
      <c r="O767" s="42">
        <f t="shared" si="78"/>
        <v>45177</v>
      </c>
      <c r="P767" s="5" t="str">
        <f t="shared" si="79"/>
        <v>Friday</v>
      </c>
      <c r="Q767" s="5">
        <f t="shared" si="80"/>
        <v>12</v>
      </c>
      <c r="R767" s="28">
        <f t="shared" si="81"/>
        <v>0.91156462585034015</v>
      </c>
      <c r="S767" s="29">
        <f t="shared" si="82"/>
        <v>91.156462585034021</v>
      </c>
      <c r="T767" s="5" t="str">
        <f>IF(Delivery_Data3[[#This Row],[Delays (min)]]&gt;0,"No","Yes")</f>
        <v>No</v>
      </c>
      <c r="W767" s="41">
        <f t="shared" si="83"/>
        <v>45177</v>
      </c>
      <c r="X767" s="5">
        <v>134</v>
      </c>
    </row>
    <row r="768" spans="1:24" ht="15.75" customHeight="1" x14ac:dyDescent="0.3">
      <c r="A768" s="4">
        <v>1767</v>
      </c>
      <c r="B768" s="5" t="s">
        <v>890</v>
      </c>
      <c r="C768" s="6">
        <v>45173.52847222222</v>
      </c>
      <c r="D768" s="5" t="s">
        <v>14</v>
      </c>
      <c r="E768" s="5" t="s">
        <v>285</v>
      </c>
      <c r="F768" s="5" t="s">
        <v>24</v>
      </c>
      <c r="G768" s="5" t="s">
        <v>17</v>
      </c>
      <c r="H768" s="5">
        <v>171</v>
      </c>
      <c r="I768" s="5">
        <v>2</v>
      </c>
      <c r="J768" s="5" t="s">
        <v>18</v>
      </c>
      <c r="K768" s="5" t="s">
        <v>27</v>
      </c>
      <c r="L768" s="5" t="s">
        <v>20</v>
      </c>
      <c r="M768" s="7" t="s">
        <v>21</v>
      </c>
      <c r="N768" s="26">
        <f t="shared" si="77"/>
        <v>0</v>
      </c>
      <c r="O768" s="42">
        <f t="shared" si="78"/>
        <v>45173</v>
      </c>
      <c r="P768" s="5" t="str">
        <f t="shared" si="79"/>
        <v>Monday</v>
      </c>
      <c r="Q768" s="5">
        <f t="shared" si="80"/>
        <v>12</v>
      </c>
      <c r="R768" s="28">
        <f t="shared" si="81"/>
        <v>0.98843930635838151</v>
      </c>
      <c r="S768" s="29">
        <f t="shared" si="82"/>
        <v>98.843930635838149</v>
      </c>
      <c r="T768" s="5" t="str">
        <f>IF(Delivery_Data3[[#This Row],[Delays (min)]]&gt;0,"No","Yes")</f>
        <v>No</v>
      </c>
      <c r="W768" s="41">
        <f t="shared" si="83"/>
        <v>45173</v>
      </c>
      <c r="X768" s="5">
        <v>171</v>
      </c>
    </row>
    <row r="769" spans="1:24" ht="15.75" customHeight="1" x14ac:dyDescent="0.3">
      <c r="A769" s="4">
        <v>1768</v>
      </c>
      <c r="B769" s="5" t="s">
        <v>891</v>
      </c>
      <c r="C769" s="6">
        <v>45171.457638888889</v>
      </c>
      <c r="D769" s="5" t="s">
        <v>14</v>
      </c>
      <c r="E769" s="5" t="s">
        <v>48</v>
      </c>
      <c r="F769" s="5" t="s">
        <v>16</v>
      </c>
      <c r="G769" s="5" t="s">
        <v>31</v>
      </c>
      <c r="H769" s="5">
        <v>61</v>
      </c>
      <c r="I769" s="5">
        <v>6</v>
      </c>
      <c r="J769" s="5" t="s">
        <v>26</v>
      </c>
      <c r="K769" s="5" t="s">
        <v>49</v>
      </c>
      <c r="L769" s="5" t="s">
        <v>28</v>
      </c>
      <c r="M769" s="7" t="s">
        <v>46</v>
      </c>
      <c r="N769" s="26">
        <f t="shared" si="77"/>
        <v>1</v>
      </c>
      <c r="O769" s="42">
        <f t="shared" si="78"/>
        <v>45171</v>
      </c>
      <c r="P769" s="5" t="str">
        <f t="shared" si="79"/>
        <v>Saturday</v>
      </c>
      <c r="Q769" s="5">
        <f t="shared" si="80"/>
        <v>10</v>
      </c>
      <c r="R769" s="28">
        <f t="shared" si="81"/>
        <v>0.91044776119402981</v>
      </c>
      <c r="S769" s="29">
        <f t="shared" si="82"/>
        <v>91.044776119402982</v>
      </c>
      <c r="T769" s="5" t="str">
        <f>IF(Delivery_Data3[[#This Row],[Delays (min)]]&gt;0,"No","Yes")</f>
        <v>No</v>
      </c>
      <c r="W769" s="41">
        <f t="shared" si="83"/>
        <v>45171</v>
      </c>
      <c r="X769" s="5">
        <v>61</v>
      </c>
    </row>
    <row r="770" spans="1:24" ht="15.75" customHeight="1" x14ac:dyDescent="0.3">
      <c r="A770" s="4">
        <v>1769</v>
      </c>
      <c r="B770" s="5" t="s">
        <v>673</v>
      </c>
      <c r="C770" s="6">
        <v>45175.393055555556</v>
      </c>
      <c r="D770" s="5" t="s">
        <v>43</v>
      </c>
      <c r="E770" s="5" t="s">
        <v>122</v>
      </c>
      <c r="F770" s="5" t="s">
        <v>38</v>
      </c>
      <c r="G770" s="5" t="s">
        <v>39</v>
      </c>
      <c r="H770" s="5">
        <v>222</v>
      </c>
      <c r="I770" s="5">
        <v>27</v>
      </c>
      <c r="J770" s="5" t="s">
        <v>26</v>
      </c>
      <c r="K770" s="5" t="s">
        <v>35</v>
      </c>
      <c r="L770" s="5" t="s">
        <v>28</v>
      </c>
      <c r="M770" s="7" t="s">
        <v>41</v>
      </c>
      <c r="N770" s="26">
        <f t="shared" ref="N770:N833" si="84">IF(J770="Positive",1,IF(J770="Neutral",0,IF(J770="Negative",-1,"")))</f>
        <v>1</v>
      </c>
      <c r="O770" s="42">
        <f t="shared" ref="O770:O833" si="85">INT(C770)</f>
        <v>45175</v>
      </c>
      <c r="P770" s="5" t="str">
        <f t="shared" ref="P770:P833" si="86">TEXT(C770,"dddd")</f>
        <v>Wednesday</v>
      </c>
      <c r="Q770" s="5">
        <f t="shared" ref="Q770:Q833" si="87">HOUR(C770)</f>
        <v>9</v>
      </c>
      <c r="R770" s="28">
        <f t="shared" ref="R770:R833" si="88">H770/(H770+I770)</f>
        <v>0.89156626506024095</v>
      </c>
      <c r="S770" s="29">
        <f t="shared" si="82"/>
        <v>89.156626506024097</v>
      </c>
      <c r="T770" s="5" t="str">
        <f>IF(Delivery_Data3[[#This Row],[Delays (min)]]&gt;0,"No","Yes")</f>
        <v>No</v>
      </c>
      <c r="W770" s="41">
        <f t="shared" si="83"/>
        <v>45175</v>
      </c>
      <c r="X770" s="5">
        <v>222</v>
      </c>
    </row>
    <row r="771" spans="1:24" ht="15.75" customHeight="1" x14ac:dyDescent="0.3">
      <c r="A771" s="4">
        <v>1770</v>
      </c>
      <c r="B771" s="5" t="s">
        <v>892</v>
      </c>
      <c r="C771" s="6">
        <v>45170.488888888889</v>
      </c>
      <c r="D771" s="5" t="s">
        <v>14</v>
      </c>
      <c r="E771" s="5" t="s">
        <v>126</v>
      </c>
      <c r="F771" s="5" t="s">
        <v>38</v>
      </c>
      <c r="G771" s="5" t="s">
        <v>31</v>
      </c>
      <c r="H771" s="5">
        <v>81</v>
      </c>
      <c r="I771" s="5">
        <v>15</v>
      </c>
      <c r="J771" s="5" t="s">
        <v>26</v>
      </c>
      <c r="K771" s="5" t="s">
        <v>45</v>
      </c>
      <c r="L771" s="5" t="s">
        <v>40</v>
      </c>
      <c r="M771" s="7" t="s">
        <v>21</v>
      </c>
      <c r="N771" s="26">
        <f t="shared" si="84"/>
        <v>1</v>
      </c>
      <c r="O771" s="42">
        <f t="shared" si="85"/>
        <v>45170</v>
      </c>
      <c r="P771" s="5" t="str">
        <f t="shared" si="86"/>
        <v>Friday</v>
      </c>
      <c r="Q771" s="5">
        <f t="shared" si="87"/>
        <v>11</v>
      </c>
      <c r="R771" s="28">
        <f t="shared" si="88"/>
        <v>0.84375</v>
      </c>
      <c r="S771" s="29">
        <f t="shared" ref="S771:S834" si="89">IF(H771+I771=0,0,(H771/(H771+I771))*100) + (IFERROR(--J771,0)*10)</f>
        <v>84.375</v>
      </c>
      <c r="T771" s="5" t="str">
        <f>IF(Delivery_Data3[[#This Row],[Delays (min)]]&gt;0,"No","Yes")</f>
        <v>No</v>
      </c>
      <c r="W771" s="41">
        <f t="shared" ref="W771:W834" si="90">INT(C771)</f>
        <v>45170</v>
      </c>
      <c r="X771" s="5">
        <v>81</v>
      </c>
    </row>
    <row r="772" spans="1:24" ht="15.75" customHeight="1" x14ac:dyDescent="0.3">
      <c r="A772" s="4">
        <v>1771</v>
      </c>
      <c r="B772" s="5" t="s">
        <v>893</v>
      </c>
      <c r="C772" s="6">
        <v>45170.449305555558</v>
      </c>
      <c r="D772" s="5" t="s">
        <v>14</v>
      </c>
      <c r="E772" s="5" t="s">
        <v>234</v>
      </c>
      <c r="F772" s="5" t="s">
        <v>16</v>
      </c>
      <c r="G772" s="5" t="s">
        <v>39</v>
      </c>
      <c r="H772" s="5">
        <v>61</v>
      </c>
      <c r="I772" s="5">
        <v>10</v>
      </c>
      <c r="J772" s="5" t="s">
        <v>26</v>
      </c>
      <c r="K772" s="5" t="s">
        <v>35</v>
      </c>
      <c r="L772" s="5" t="s">
        <v>28</v>
      </c>
      <c r="M772" s="7" t="s">
        <v>46</v>
      </c>
      <c r="N772" s="26">
        <f t="shared" si="84"/>
        <v>1</v>
      </c>
      <c r="O772" s="42">
        <f t="shared" si="85"/>
        <v>45170</v>
      </c>
      <c r="P772" s="5" t="str">
        <f t="shared" si="86"/>
        <v>Friday</v>
      </c>
      <c r="Q772" s="5">
        <f t="shared" si="87"/>
        <v>10</v>
      </c>
      <c r="R772" s="28">
        <f t="shared" si="88"/>
        <v>0.85915492957746475</v>
      </c>
      <c r="S772" s="29">
        <f t="shared" si="89"/>
        <v>85.91549295774648</v>
      </c>
      <c r="T772" s="5" t="str">
        <f>IF(Delivery_Data3[[#This Row],[Delays (min)]]&gt;0,"No","Yes")</f>
        <v>No</v>
      </c>
      <c r="W772" s="41">
        <f t="shared" si="90"/>
        <v>45170</v>
      </c>
      <c r="X772" s="5">
        <v>61</v>
      </c>
    </row>
    <row r="773" spans="1:24" ht="15.75" customHeight="1" x14ac:dyDescent="0.3">
      <c r="A773" s="4">
        <v>1772</v>
      </c>
      <c r="B773" s="5" t="s">
        <v>894</v>
      </c>
      <c r="C773" s="6">
        <v>45173.418055555558</v>
      </c>
      <c r="D773" s="5" t="s">
        <v>14</v>
      </c>
      <c r="E773" s="5" t="s">
        <v>91</v>
      </c>
      <c r="F773" s="5" t="s">
        <v>16</v>
      </c>
      <c r="G773" s="5" t="s">
        <v>31</v>
      </c>
      <c r="H773" s="5">
        <v>114</v>
      </c>
      <c r="I773" s="5">
        <v>3</v>
      </c>
      <c r="J773" s="5" t="s">
        <v>32</v>
      </c>
      <c r="K773" s="5" t="s">
        <v>49</v>
      </c>
      <c r="L773" s="5" t="s">
        <v>20</v>
      </c>
      <c r="M773" s="7" t="s">
        <v>46</v>
      </c>
      <c r="N773" s="26">
        <f t="shared" si="84"/>
        <v>-1</v>
      </c>
      <c r="O773" s="42">
        <f t="shared" si="85"/>
        <v>45173</v>
      </c>
      <c r="P773" s="5" t="str">
        <f t="shared" si="86"/>
        <v>Monday</v>
      </c>
      <c r="Q773" s="5">
        <f t="shared" si="87"/>
        <v>10</v>
      </c>
      <c r="R773" s="28">
        <f t="shared" si="88"/>
        <v>0.97435897435897434</v>
      </c>
      <c r="S773" s="29">
        <f t="shared" si="89"/>
        <v>97.435897435897431</v>
      </c>
      <c r="T773" s="5" t="str">
        <f>IF(Delivery_Data3[[#This Row],[Delays (min)]]&gt;0,"No","Yes")</f>
        <v>No</v>
      </c>
      <c r="W773" s="41">
        <f t="shared" si="90"/>
        <v>45173</v>
      </c>
      <c r="X773" s="5">
        <v>114</v>
      </c>
    </row>
    <row r="774" spans="1:24" ht="15.75" customHeight="1" x14ac:dyDescent="0.3">
      <c r="A774" s="4">
        <v>1773</v>
      </c>
      <c r="B774" s="5" t="s">
        <v>895</v>
      </c>
      <c r="C774" s="6">
        <v>45172.345138888886</v>
      </c>
      <c r="D774" s="5" t="s">
        <v>43</v>
      </c>
      <c r="E774" s="5" t="s">
        <v>101</v>
      </c>
      <c r="F774" s="5" t="s">
        <v>16</v>
      </c>
      <c r="G774" s="5" t="s">
        <v>31</v>
      </c>
      <c r="H774" s="5">
        <v>238</v>
      </c>
      <c r="I774" s="5">
        <v>9</v>
      </c>
      <c r="J774" s="5" t="s">
        <v>26</v>
      </c>
      <c r="K774" s="5" t="s">
        <v>49</v>
      </c>
      <c r="L774" s="5" t="s">
        <v>28</v>
      </c>
      <c r="M774" s="7" t="s">
        <v>41</v>
      </c>
      <c r="N774" s="26">
        <f t="shared" si="84"/>
        <v>1</v>
      </c>
      <c r="O774" s="42">
        <f t="shared" si="85"/>
        <v>45172</v>
      </c>
      <c r="P774" s="5" t="str">
        <f t="shared" si="86"/>
        <v>Sunday</v>
      </c>
      <c r="Q774" s="5">
        <f t="shared" si="87"/>
        <v>8</v>
      </c>
      <c r="R774" s="28">
        <f t="shared" si="88"/>
        <v>0.96356275303643724</v>
      </c>
      <c r="S774" s="29">
        <f t="shared" si="89"/>
        <v>96.356275303643727</v>
      </c>
      <c r="T774" s="5" t="str">
        <f>IF(Delivery_Data3[[#This Row],[Delays (min)]]&gt;0,"No","Yes")</f>
        <v>No</v>
      </c>
      <c r="W774" s="41">
        <f t="shared" si="90"/>
        <v>45172</v>
      </c>
      <c r="X774" s="5">
        <v>238</v>
      </c>
    </row>
    <row r="775" spans="1:24" ht="15.75" customHeight="1" x14ac:dyDescent="0.3">
      <c r="A775" s="4">
        <v>1774</v>
      </c>
      <c r="B775" s="5" t="s">
        <v>896</v>
      </c>
      <c r="C775" s="6">
        <v>45172.495833333334</v>
      </c>
      <c r="D775" s="5" t="s">
        <v>14</v>
      </c>
      <c r="E775" s="5" t="s">
        <v>87</v>
      </c>
      <c r="F775" s="5" t="s">
        <v>38</v>
      </c>
      <c r="G775" s="5" t="s">
        <v>56</v>
      </c>
      <c r="H775" s="5">
        <v>161</v>
      </c>
      <c r="I775" s="5">
        <v>1</v>
      </c>
      <c r="J775" s="5" t="s">
        <v>26</v>
      </c>
      <c r="K775" s="5" t="s">
        <v>35</v>
      </c>
      <c r="L775" s="5" t="s">
        <v>20</v>
      </c>
      <c r="M775" s="7" t="s">
        <v>21</v>
      </c>
      <c r="N775" s="26">
        <f t="shared" si="84"/>
        <v>1</v>
      </c>
      <c r="O775" s="42">
        <f t="shared" si="85"/>
        <v>45172</v>
      </c>
      <c r="P775" s="5" t="str">
        <f t="shared" si="86"/>
        <v>Sunday</v>
      </c>
      <c r="Q775" s="5">
        <f t="shared" si="87"/>
        <v>11</v>
      </c>
      <c r="R775" s="28">
        <f t="shared" si="88"/>
        <v>0.99382716049382713</v>
      </c>
      <c r="S775" s="29">
        <f t="shared" si="89"/>
        <v>99.382716049382708</v>
      </c>
      <c r="T775" s="5" t="str">
        <f>IF(Delivery_Data3[[#This Row],[Delays (min)]]&gt;0,"No","Yes")</f>
        <v>No</v>
      </c>
      <c r="W775" s="41">
        <f t="shared" si="90"/>
        <v>45172</v>
      </c>
      <c r="X775" s="5">
        <v>161</v>
      </c>
    </row>
    <row r="776" spans="1:24" ht="15.75" customHeight="1" x14ac:dyDescent="0.3">
      <c r="A776" s="4">
        <v>1775</v>
      </c>
      <c r="B776" s="5" t="s">
        <v>719</v>
      </c>
      <c r="C776" s="6">
        <v>45177.447916666664</v>
      </c>
      <c r="D776" s="5" t="s">
        <v>43</v>
      </c>
      <c r="E776" s="5" t="s">
        <v>234</v>
      </c>
      <c r="F776" s="5" t="s">
        <v>38</v>
      </c>
      <c r="G776" s="5" t="s">
        <v>31</v>
      </c>
      <c r="H776" s="5">
        <v>125</v>
      </c>
      <c r="I776" s="5">
        <v>13</v>
      </c>
      <c r="J776" s="5" t="s">
        <v>32</v>
      </c>
      <c r="K776" s="5" t="s">
        <v>19</v>
      </c>
      <c r="L776" s="5" t="s">
        <v>28</v>
      </c>
      <c r="M776" s="7" t="s">
        <v>21</v>
      </c>
      <c r="N776" s="26">
        <f t="shared" si="84"/>
        <v>-1</v>
      </c>
      <c r="O776" s="42">
        <f t="shared" si="85"/>
        <v>45177</v>
      </c>
      <c r="P776" s="5" t="str">
        <f t="shared" si="86"/>
        <v>Friday</v>
      </c>
      <c r="Q776" s="5">
        <f t="shared" si="87"/>
        <v>10</v>
      </c>
      <c r="R776" s="28">
        <f t="shared" si="88"/>
        <v>0.90579710144927539</v>
      </c>
      <c r="S776" s="29">
        <f t="shared" si="89"/>
        <v>90.579710144927532</v>
      </c>
      <c r="T776" s="5" t="str">
        <f>IF(Delivery_Data3[[#This Row],[Delays (min)]]&gt;0,"No","Yes")</f>
        <v>No</v>
      </c>
      <c r="W776" s="41">
        <f t="shared" si="90"/>
        <v>45177</v>
      </c>
      <c r="X776" s="5">
        <v>125</v>
      </c>
    </row>
    <row r="777" spans="1:24" ht="15.75" customHeight="1" x14ac:dyDescent="0.3">
      <c r="A777" s="4">
        <v>1776</v>
      </c>
      <c r="B777" s="5" t="s">
        <v>897</v>
      </c>
      <c r="C777" s="6">
        <v>45172.640277777777</v>
      </c>
      <c r="D777" s="5" t="s">
        <v>14</v>
      </c>
      <c r="E777" s="5" t="s">
        <v>154</v>
      </c>
      <c r="F777" s="5" t="s">
        <v>16</v>
      </c>
      <c r="G777" s="5" t="s">
        <v>56</v>
      </c>
      <c r="H777" s="5">
        <v>159</v>
      </c>
      <c r="I777" s="5">
        <v>22</v>
      </c>
      <c r="J777" s="5" t="s">
        <v>26</v>
      </c>
      <c r="K777" s="5" t="s">
        <v>45</v>
      </c>
      <c r="L777" s="5" t="s">
        <v>20</v>
      </c>
      <c r="M777" s="7" t="s">
        <v>41</v>
      </c>
      <c r="N777" s="26">
        <f t="shared" si="84"/>
        <v>1</v>
      </c>
      <c r="O777" s="42">
        <f t="shared" si="85"/>
        <v>45172</v>
      </c>
      <c r="P777" s="5" t="str">
        <f t="shared" si="86"/>
        <v>Sunday</v>
      </c>
      <c r="Q777" s="5">
        <f t="shared" si="87"/>
        <v>15</v>
      </c>
      <c r="R777" s="28">
        <f t="shared" si="88"/>
        <v>0.87845303867403313</v>
      </c>
      <c r="S777" s="29">
        <f t="shared" si="89"/>
        <v>87.845303867403317</v>
      </c>
      <c r="T777" s="5" t="str">
        <f>IF(Delivery_Data3[[#This Row],[Delays (min)]]&gt;0,"No","Yes")</f>
        <v>No</v>
      </c>
      <c r="W777" s="41">
        <f t="shared" si="90"/>
        <v>45172</v>
      </c>
      <c r="X777" s="5">
        <v>159</v>
      </c>
    </row>
    <row r="778" spans="1:24" ht="15.75" customHeight="1" x14ac:dyDescent="0.3">
      <c r="A778" s="4">
        <v>1777</v>
      </c>
      <c r="B778" s="5" t="s">
        <v>898</v>
      </c>
      <c r="C778" s="6">
        <v>45175.385416666664</v>
      </c>
      <c r="D778" s="5" t="s">
        <v>14</v>
      </c>
      <c r="E778" s="5" t="s">
        <v>80</v>
      </c>
      <c r="F778" s="5" t="s">
        <v>16</v>
      </c>
      <c r="G778" s="5" t="s">
        <v>31</v>
      </c>
      <c r="H778" s="5">
        <v>115</v>
      </c>
      <c r="I778" s="5">
        <v>22</v>
      </c>
      <c r="J778" s="5" t="s">
        <v>32</v>
      </c>
      <c r="K778" s="5" t="s">
        <v>19</v>
      </c>
      <c r="L778" s="5" t="s">
        <v>40</v>
      </c>
      <c r="M778" s="7" t="s">
        <v>41</v>
      </c>
      <c r="N778" s="26">
        <f t="shared" si="84"/>
        <v>-1</v>
      </c>
      <c r="O778" s="42">
        <f t="shared" si="85"/>
        <v>45175</v>
      </c>
      <c r="P778" s="5" t="str">
        <f t="shared" si="86"/>
        <v>Wednesday</v>
      </c>
      <c r="Q778" s="5">
        <f t="shared" si="87"/>
        <v>9</v>
      </c>
      <c r="R778" s="28">
        <f t="shared" si="88"/>
        <v>0.83941605839416056</v>
      </c>
      <c r="S778" s="29">
        <f t="shared" si="89"/>
        <v>83.941605839416056</v>
      </c>
      <c r="T778" s="5" t="str">
        <f>IF(Delivery_Data3[[#This Row],[Delays (min)]]&gt;0,"No","Yes")</f>
        <v>No</v>
      </c>
      <c r="W778" s="41">
        <f t="shared" si="90"/>
        <v>45175</v>
      </c>
      <c r="X778" s="5">
        <v>115</v>
      </c>
    </row>
    <row r="779" spans="1:24" ht="15.75" customHeight="1" x14ac:dyDescent="0.3">
      <c r="A779" s="4">
        <v>1778</v>
      </c>
      <c r="B779" s="5" t="s">
        <v>899</v>
      </c>
      <c r="C779" s="6">
        <v>45172.459722222222</v>
      </c>
      <c r="D779" s="5" t="s">
        <v>14</v>
      </c>
      <c r="E779" s="5" t="s">
        <v>44</v>
      </c>
      <c r="F779" s="5" t="s">
        <v>16</v>
      </c>
      <c r="G779" s="5" t="s">
        <v>17</v>
      </c>
      <c r="H779" s="5">
        <v>143</v>
      </c>
      <c r="I779" s="5">
        <v>4</v>
      </c>
      <c r="J779" s="5" t="s">
        <v>26</v>
      </c>
      <c r="K779" s="5" t="s">
        <v>19</v>
      </c>
      <c r="L779" s="5" t="s">
        <v>28</v>
      </c>
      <c r="M779" s="7" t="s">
        <v>46</v>
      </c>
      <c r="N779" s="26">
        <f t="shared" si="84"/>
        <v>1</v>
      </c>
      <c r="O779" s="42">
        <f t="shared" si="85"/>
        <v>45172</v>
      </c>
      <c r="P779" s="5" t="str">
        <f t="shared" si="86"/>
        <v>Sunday</v>
      </c>
      <c r="Q779" s="5">
        <f t="shared" si="87"/>
        <v>11</v>
      </c>
      <c r="R779" s="28">
        <f t="shared" si="88"/>
        <v>0.97278911564625847</v>
      </c>
      <c r="S779" s="29">
        <f t="shared" si="89"/>
        <v>97.278911564625844</v>
      </c>
      <c r="T779" s="5" t="str">
        <f>IF(Delivery_Data3[[#This Row],[Delays (min)]]&gt;0,"No","Yes")</f>
        <v>No</v>
      </c>
      <c r="W779" s="41">
        <f t="shared" si="90"/>
        <v>45172</v>
      </c>
      <c r="X779" s="5">
        <v>143</v>
      </c>
    </row>
    <row r="780" spans="1:24" ht="15.75" customHeight="1" x14ac:dyDescent="0.3">
      <c r="A780" s="4">
        <v>1779</v>
      </c>
      <c r="B780" s="5" t="s">
        <v>900</v>
      </c>
      <c r="C780" s="6">
        <v>45176.670138888891</v>
      </c>
      <c r="D780" s="5" t="s">
        <v>43</v>
      </c>
      <c r="E780" s="5" t="s">
        <v>76</v>
      </c>
      <c r="F780" s="5" t="s">
        <v>16</v>
      </c>
      <c r="G780" s="5" t="s">
        <v>25</v>
      </c>
      <c r="H780" s="5">
        <v>98</v>
      </c>
      <c r="I780" s="5">
        <v>1</v>
      </c>
      <c r="J780" s="5" t="s">
        <v>18</v>
      </c>
      <c r="K780" s="5" t="s">
        <v>45</v>
      </c>
      <c r="L780" s="5" t="s">
        <v>40</v>
      </c>
      <c r="M780" s="7" t="s">
        <v>21</v>
      </c>
      <c r="N780" s="26">
        <f t="shared" si="84"/>
        <v>0</v>
      </c>
      <c r="O780" s="42">
        <f t="shared" si="85"/>
        <v>45176</v>
      </c>
      <c r="P780" s="5" t="str">
        <f t="shared" si="86"/>
        <v>Thursday</v>
      </c>
      <c r="Q780" s="5">
        <f t="shared" si="87"/>
        <v>16</v>
      </c>
      <c r="R780" s="28">
        <f t="shared" si="88"/>
        <v>0.98989898989898994</v>
      </c>
      <c r="S780" s="29">
        <f t="shared" si="89"/>
        <v>98.98989898989899</v>
      </c>
      <c r="T780" s="5" t="str">
        <f>IF(Delivery_Data3[[#This Row],[Delays (min)]]&gt;0,"No","Yes")</f>
        <v>No</v>
      </c>
      <c r="W780" s="41">
        <f t="shared" si="90"/>
        <v>45176</v>
      </c>
      <c r="X780" s="5">
        <v>98</v>
      </c>
    </row>
    <row r="781" spans="1:24" ht="15.75" customHeight="1" x14ac:dyDescent="0.3">
      <c r="A781" s="4">
        <v>1780</v>
      </c>
      <c r="B781" s="5" t="s">
        <v>901</v>
      </c>
      <c r="C781" s="6">
        <v>45170.580555555556</v>
      </c>
      <c r="D781" s="5" t="s">
        <v>14</v>
      </c>
      <c r="E781" s="5" t="s">
        <v>189</v>
      </c>
      <c r="F781" s="5" t="s">
        <v>24</v>
      </c>
      <c r="G781" s="5" t="s">
        <v>39</v>
      </c>
      <c r="H781" s="5">
        <v>184</v>
      </c>
      <c r="I781" s="5">
        <v>7</v>
      </c>
      <c r="J781" s="5" t="s">
        <v>26</v>
      </c>
      <c r="K781" s="5" t="s">
        <v>45</v>
      </c>
      <c r="L781" s="5" t="s">
        <v>40</v>
      </c>
      <c r="M781" s="7" t="s">
        <v>41</v>
      </c>
      <c r="N781" s="26">
        <f t="shared" si="84"/>
        <v>1</v>
      </c>
      <c r="O781" s="42">
        <f t="shared" si="85"/>
        <v>45170</v>
      </c>
      <c r="P781" s="5" t="str">
        <f t="shared" si="86"/>
        <v>Friday</v>
      </c>
      <c r="Q781" s="5">
        <f t="shared" si="87"/>
        <v>13</v>
      </c>
      <c r="R781" s="28">
        <f t="shared" si="88"/>
        <v>0.96335078534031415</v>
      </c>
      <c r="S781" s="29">
        <f t="shared" si="89"/>
        <v>96.33507853403141</v>
      </c>
      <c r="T781" s="5" t="str">
        <f>IF(Delivery_Data3[[#This Row],[Delays (min)]]&gt;0,"No","Yes")</f>
        <v>No</v>
      </c>
      <c r="W781" s="41">
        <f t="shared" si="90"/>
        <v>45170</v>
      </c>
      <c r="X781" s="5">
        <v>184</v>
      </c>
    </row>
    <row r="782" spans="1:24" ht="15.75" customHeight="1" x14ac:dyDescent="0.3">
      <c r="A782" s="4">
        <v>1781</v>
      </c>
      <c r="B782" s="5" t="s">
        <v>902</v>
      </c>
      <c r="C782" s="6">
        <v>45176.594444444447</v>
      </c>
      <c r="D782" s="5" t="s">
        <v>43</v>
      </c>
      <c r="E782" s="5" t="s">
        <v>66</v>
      </c>
      <c r="F782" s="5" t="s">
        <v>24</v>
      </c>
      <c r="G782" s="5" t="s">
        <v>39</v>
      </c>
      <c r="H782" s="5">
        <v>153</v>
      </c>
      <c r="I782" s="5">
        <v>5</v>
      </c>
      <c r="J782" s="5" t="s">
        <v>18</v>
      </c>
      <c r="K782" s="5" t="s">
        <v>19</v>
      </c>
      <c r="L782" s="5" t="s">
        <v>28</v>
      </c>
      <c r="M782" s="7" t="s">
        <v>41</v>
      </c>
      <c r="N782" s="26">
        <f t="shared" si="84"/>
        <v>0</v>
      </c>
      <c r="O782" s="42">
        <f t="shared" si="85"/>
        <v>45176</v>
      </c>
      <c r="P782" s="5" t="str">
        <f t="shared" si="86"/>
        <v>Thursday</v>
      </c>
      <c r="Q782" s="5">
        <f t="shared" si="87"/>
        <v>14</v>
      </c>
      <c r="R782" s="28">
        <f t="shared" si="88"/>
        <v>0.96835443037974689</v>
      </c>
      <c r="S782" s="29">
        <f t="shared" si="89"/>
        <v>96.835443037974684</v>
      </c>
      <c r="T782" s="5" t="str">
        <f>IF(Delivery_Data3[[#This Row],[Delays (min)]]&gt;0,"No","Yes")</f>
        <v>No</v>
      </c>
      <c r="W782" s="41">
        <f t="shared" si="90"/>
        <v>45176</v>
      </c>
      <c r="X782" s="5">
        <v>153</v>
      </c>
    </row>
    <row r="783" spans="1:24" ht="15.75" customHeight="1" x14ac:dyDescent="0.3">
      <c r="A783" s="4">
        <v>1782</v>
      </c>
      <c r="B783" s="5" t="s">
        <v>903</v>
      </c>
      <c r="C783" s="6">
        <v>45170.458333333336</v>
      </c>
      <c r="D783" s="5" t="s">
        <v>14</v>
      </c>
      <c r="E783" s="5" t="s">
        <v>189</v>
      </c>
      <c r="F783" s="5" t="s">
        <v>24</v>
      </c>
      <c r="G783" s="5" t="s">
        <v>25</v>
      </c>
      <c r="H783" s="5">
        <v>146</v>
      </c>
      <c r="I783" s="5">
        <v>29</v>
      </c>
      <c r="J783" s="5" t="s">
        <v>32</v>
      </c>
      <c r="K783" s="5" t="s">
        <v>35</v>
      </c>
      <c r="L783" s="5" t="s">
        <v>40</v>
      </c>
      <c r="M783" s="7" t="s">
        <v>41</v>
      </c>
      <c r="N783" s="26">
        <f t="shared" si="84"/>
        <v>-1</v>
      </c>
      <c r="O783" s="42">
        <f t="shared" si="85"/>
        <v>45170</v>
      </c>
      <c r="P783" s="5" t="str">
        <f t="shared" si="86"/>
        <v>Friday</v>
      </c>
      <c r="Q783" s="5">
        <f t="shared" si="87"/>
        <v>11</v>
      </c>
      <c r="R783" s="28">
        <f t="shared" si="88"/>
        <v>0.8342857142857143</v>
      </c>
      <c r="S783" s="29">
        <f t="shared" si="89"/>
        <v>83.428571428571431</v>
      </c>
      <c r="T783" s="5" t="str">
        <f>IF(Delivery_Data3[[#This Row],[Delays (min)]]&gt;0,"No","Yes")</f>
        <v>No</v>
      </c>
      <c r="W783" s="41">
        <f t="shared" si="90"/>
        <v>45170</v>
      </c>
      <c r="X783" s="5">
        <v>146</v>
      </c>
    </row>
    <row r="784" spans="1:24" ht="15.75" customHeight="1" x14ac:dyDescent="0.3">
      <c r="A784" s="4">
        <v>1783</v>
      </c>
      <c r="B784" s="5" t="s">
        <v>904</v>
      </c>
      <c r="C784" s="6">
        <v>45173.572916666664</v>
      </c>
      <c r="D784" s="5" t="s">
        <v>43</v>
      </c>
      <c r="E784" s="5" t="s">
        <v>95</v>
      </c>
      <c r="F784" s="5" t="s">
        <v>38</v>
      </c>
      <c r="G784" s="5" t="s">
        <v>17</v>
      </c>
      <c r="H784" s="5">
        <v>149</v>
      </c>
      <c r="I784" s="5">
        <v>8</v>
      </c>
      <c r="J784" s="5" t="s">
        <v>26</v>
      </c>
      <c r="K784" s="5" t="s">
        <v>35</v>
      </c>
      <c r="L784" s="5" t="s">
        <v>40</v>
      </c>
      <c r="M784" s="7" t="s">
        <v>41</v>
      </c>
      <c r="N784" s="26">
        <f t="shared" si="84"/>
        <v>1</v>
      </c>
      <c r="O784" s="42">
        <f t="shared" si="85"/>
        <v>45173</v>
      </c>
      <c r="P784" s="5" t="str">
        <f t="shared" si="86"/>
        <v>Monday</v>
      </c>
      <c r="Q784" s="5">
        <f t="shared" si="87"/>
        <v>13</v>
      </c>
      <c r="R784" s="28">
        <f t="shared" si="88"/>
        <v>0.94904458598726116</v>
      </c>
      <c r="S784" s="29">
        <f t="shared" si="89"/>
        <v>94.904458598726109</v>
      </c>
      <c r="T784" s="5" t="str">
        <f>IF(Delivery_Data3[[#This Row],[Delays (min)]]&gt;0,"No","Yes")</f>
        <v>No</v>
      </c>
      <c r="W784" s="41">
        <f t="shared" si="90"/>
        <v>45173</v>
      </c>
      <c r="X784" s="5">
        <v>149</v>
      </c>
    </row>
    <row r="785" spans="1:24" ht="15.75" customHeight="1" x14ac:dyDescent="0.3">
      <c r="A785" s="4">
        <v>1784</v>
      </c>
      <c r="B785" s="5" t="s">
        <v>549</v>
      </c>
      <c r="C785" s="6">
        <v>45177.645138888889</v>
      </c>
      <c r="D785" s="5" t="s">
        <v>14</v>
      </c>
      <c r="E785" s="5" t="s">
        <v>211</v>
      </c>
      <c r="F785" s="5" t="s">
        <v>24</v>
      </c>
      <c r="G785" s="5" t="s">
        <v>39</v>
      </c>
      <c r="H785" s="5">
        <v>209</v>
      </c>
      <c r="I785" s="5">
        <v>24</v>
      </c>
      <c r="J785" s="5" t="s">
        <v>18</v>
      </c>
      <c r="K785" s="5" t="s">
        <v>35</v>
      </c>
      <c r="L785" s="5" t="s">
        <v>40</v>
      </c>
      <c r="M785" s="7" t="s">
        <v>41</v>
      </c>
      <c r="N785" s="26">
        <f t="shared" si="84"/>
        <v>0</v>
      </c>
      <c r="O785" s="42">
        <f t="shared" si="85"/>
        <v>45177</v>
      </c>
      <c r="P785" s="5" t="str">
        <f t="shared" si="86"/>
        <v>Friday</v>
      </c>
      <c r="Q785" s="5">
        <f t="shared" si="87"/>
        <v>15</v>
      </c>
      <c r="R785" s="28">
        <f t="shared" si="88"/>
        <v>0.89699570815450647</v>
      </c>
      <c r="S785" s="29">
        <f t="shared" si="89"/>
        <v>89.699570815450642</v>
      </c>
      <c r="T785" s="5" t="str">
        <f>IF(Delivery_Data3[[#This Row],[Delays (min)]]&gt;0,"No","Yes")</f>
        <v>No</v>
      </c>
      <c r="W785" s="41">
        <f t="shared" si="90"/>
        <v>45177</v>
      </c>
      <c r="X785" s="5">
        <v>209</v>
      </c>
    </row>
    <row r="786" spans="1:24" ht="15.75" customHeight="1" x14ac:dyDescent="0.3">
      <c r="A786" s="4">
        <v>1785</v>
      </c>
      <c r="B786" s="5" t="s">
        <v>905</v>
      </c>
      <c r="C786" s="6">
        <v>45171.559027777781</v>
      </c>
      <c r="D786" s="5" t="s">
        <v>14</v>
      </c>
      <c r="E786" s="5" t="s">
        <v>193</v>
      </c>
      <c r="F786" s="5" t="s">
        <v>24</v>
      </c>
      <c r="G786" s="5" t="s">
        <v>17</v>
      </c>
      <c r="H786" s="5">
        <v>143</v>
      </c>
      <c r="I786" s="5">
        <v>21</v>
      </c>
      <c r="J786" s="5" t="s">
        <v>26</v>
      </c>
      <c r="K786" s="5" t="s">
        <v>27</v>
      </c>
      <c r="L786" s="5" t="s">
        <v>28</v>
      </c>
      <c r="M786" s="7" t="s">
        <v>21</v>
      </c>
      <c r="N786" s="26">
        <f t="shared" si="84"/>
        <v>1</v>
      </c>
      <c r="O786" s="42">
        <f t="shared" si="85"/>
        <v>45171</v>
      </c>
      <c r="P786" s="5" t="str">
        <f t="shared" si="86"/>
        <v>Saturday</v>
      </c>
      <c r="Q786" s="5">
        <f t="shared" si="87"/>
        <v>13</v>
      </c>
      <c r="R786" s="28">
        <f t="shared" si="88"/>
        <v>0.87195121951219512</v>
      </c>
      <c r="S786" s="29">
        <f t="shared" si="89"/>
        <v>87.195121951219505</v>
      </c>
      <c r="T786" s="5" t="str">
        <f>IF(Delivery_Data3[[#This Row],[Delays (min)]]&gt;0,"No","Yes")</f>
        <v>No</v>
      </c>
      <c r="W786" s="41">
        <f t="shared" si="90"/>
        <v>45171</v>
      </c>
      <c r="X786" s="5">
        <v>143</v>
      </c>
    </row>
    <row r="787" spans="1:24" ht="15.75" customHeight="1" x14ac:dyDescent="0.3">
      <c r="A787" s="4">
        <v>1786</v>
      </c>
      <c r="B787" s="5" t="s">
        <v>906</v>
      </c>
      <c r="C787" s="6">
        <v>45172.676388888889</v>
      </c>
      <c r="D787" s="5" t="s">
        <v>14</v>
      </c>
      <c r="E787" s="5" t="s">
        <v>169</v>
      </c>
      <c r="F787" s="5" t="s">
        <v>38</v>
      </c>
      <c r="G787" s="5" t="s">
        <v>17</v>
      </c>
      <c r="H787" s="5">
        <v>237</v>
      </c>
      <c r="I787" s="5">
        <v>10</v>
      </c>
      <c r="J787" s="5" t="s">
        <v>32</v>
      </c>
      <c r="K787" s="5" t="s">
        <v>27</v>
      </c>
      <c r="L787" s="5" t="s">
        <v>28</v>
      </c>
      <c r="M787" s="7" t="s">
        <v>46</v>
      </c>
      <c r="N787" s="26">
        <f t="shared" si="84"/>
        <v>-1</v>
      </c>
      <c r="O787" s="42">
        <f t="shared" si="85"/>
        <v>45172</v>
      </c>
      <c r="P787" s="5" t="str">
        <f t="shared" si="86"/>
        <v>Sunday</v>
      </c>
      <c r="Q787" s="5">
        <f t="shared" si="87"/>
        <v>16</v>
      </c>
      <c r="R787" s="28">
        <f t="shared" si="88"/>
        <v>0.95951417004048578</v>
      </c>
      <c r="S787" s="29">
        <f t="shared" si="89"/>
        <v>95.951417004048579</v>
      </c>
      <c r="T787" s="5" t="str">
        <f>IF(Delivery_Data3[[#This Row],[Delays (min)]]&gt;0,"No","Yes")</f>
        <v>No</v>
      </c>
      <c r="W787" s="41">
        <f t="shared" si="90"/>
        <v>45172</v>
      </c>
      <c r="X787" s="5">
        <v>237</v>
      </c>
    </row>
    <row r="788" spans="1:24" ht="15.75" customHeight="1" x14ac:dyDescent="0.3">
      <c r="A788" s="4">
        <v>1787</v>
      </c>
      <c r="B788" s="5" t="s">
        <v>907</v>
      </c>
      <c r="C788" s="6">
        <v>45170.404861111114</v>
      </c>
      <c r="D788" s="5" t="s">
        <v>43</v>
      </c>
      <c r="E788" s="5" t="s">
        <v>277</v>
      </c>
      <c r="F788" s="5" t="s">
        <v>16</v>
      </c>
      <c r="G788" s="5" t="s">
        <v>17</v>
      </c>
      <c r="H788" s="5">
        <v>115</v>
      </c>
      <c r="I788" s="5">
        <v>20</v>
      </c>
      <c r="J788" s="5" t="s">
        <v>18</v>
      </c>
      <c r="K788" s="5" t="s">
        <v>35</v>
      </c>
      <c r="L788" s="5" t="s">
        <v>20</v>
      </c>
      <c r="M788" s="7" t="s">
        <v>46</v>
      </c>
      <c r="N788" s="26">
        <f t="shared" si="84"/>
        <v>0</v>
      </c>
      <c r="O788" s="42">
        <f t="shared" si="85"/>
        <v>45170</v>
      </c>
      <c r="P788" s="5" t="str">
        <f t="shared" si="86"/>
        <v>Friday</v>
      </c>
      <c r="Q788" s="5">
        <f t="shared" si="87"/>
        <v>9</v>
      </c>
      <c r="R788" s="28">
        <f t="shared" si="88"/>
        <v>0.85185185185185186</v>
      </c>
      <c r="S788" s="29">
        <f t="shared" si="89"/>
        <v>85.18518518518519</v>
      </c>
      <c r="T788" s="5" t="str">
        <f>IF(Delivery_Data3[[#This Row],[Delays (min)]]&gt;0,"No","Yes")</f>
        <v>No</v>
      </c>
      <c r="W788" s="41">
        <f t="shared" si="90"/>
        <v>45170</v>
      </c>
      <c r="X788" s="5">
        <v>115</v>
      </c>
    </row>
    <row r="789" spans="1:24" ht="15.75" customHeight="1" x14ac:dyDescent="0.3">
      <c r="A789" s="4">
        <v>1788</v>
      </c>
      <c r="B789" s="5" t="s">
        <v>908</v>
      </c>
      <c r="C789" s="6">
        <v>45171.443055555559</v>
      </c>
      <c r="D789" s="5" t="s">
        <v>43</v>
      </c>
      <c r="E789" s="5" t="s">
        <v>120</v>
      </c>
      <c r="F789" s="5" t="s">
        <v>24</v>
      </c>
      <c r="G789" s="5" t="s">
        <v>25</v>
      </c>
      <c r="H789" s="5">
        <v>150</v>
      </c>
      <c r="I789" s="5">
        <v>18</v>
      </c>
      <c r="J789" s="5" t="s">
        <v>32</v>
      </c>
      <c r="K789" s="5" t="s">
        <v>19</v>
      </c>
      <c r="L789" s="5" t="s">
        <v>40</v>
      </c>
      <c r="M789" s="7" t="s">
        <v>46</v>
      </c>
      <c r="N789" s="26">
        <f t="shared" si="84"/>
        <v>-1</v>
      </c>
      <c r="O789" s="42">
        <f t="shared" si="85"/>
        <v>45171</v>
      </c>
      <c r="P789" s="5" t="str">
        <f t="shared" si="86"/>
        <v>Saturday</v>
      </c>
      <c r="Q789" s="5">
        <f t="shared" si="87"/>
        <v>10</v>
      </c>
      <c r="R789" s="28">
        <f t="shared" si="88"/>
        <v>0.8928571428571429</v>
      </c>
      <c r="S789" s="29">
        <f t="shared" si="89"/>
        <v>89.285714285714292</v>
      </c>
      <c r="T789" s="5" t="str">
        <f>IF(Delivery_Data3[[#This Row],[Delays (min)]]&gt;0,"No","Yes")</f>
        <v>No</v>
      </c>
      <c r="W789" s="41">
        <f t="shared" si="90"/>
        <v>45171</v>
      </c>
      <c r="X789" s="5">
        <v>150</v>
      </c>
    </row>
    <row r="790" spans="1:24" ht="15.75" customHeight="1" x14ac:dyDescent="0.3">
      <c r="A790" s="4">
        <v>1789</v>
      </c>
      <c r="B790" s="5" t="s">
        <v>909</v>
      </c>
      <c r="C790" s="6">
        <v>45171.613194444442</v>
      </c>
      <c r="D790" s="5" t="s">
        <v>43</v>
      </c>
      <c r="E790" s="5" t="s">
        <v>306</v>
      </c>
      <c r="F790" s="5" t="s">
        <v>38</v>
      </c>
      <c r="G790" s="5" t="s">
        <v>25</v>
      </c>
      <c r="H790" s="5">
        <v>181</v>
      </c>
      <c r="I790" s="5">
        <v>13</v>
      </c>
      <c r="J790" s="5" t="s">
        <v>26</v>
      </c>
      <c r="K790" s="5" t="s">
        <v>49</v>
      </c>
      <c r="L790" s="5" t="s">
        <v>20</v>
      </c>
      <c r="M790" s="7" t="s">
        <v>21</v>
      </c>
      <c r="N790" s="26">
        <f t="shared" si="84"/>
        <v>1</v>
      </c>
      <c r="O790" s="42">
        <f t="shared" si="85"/>
        <v>45171</v>
      </c>
      <c r="P790" s="5" t="str">
        <f t="shared" si="86"/>
        <v>Saturday</v>
      </c>
      <c r="Q790" s="5">
        <f t="shared" si="87"/>
        <v>14</v>
      </c>
      <c r="R790" s="28">
        <f t="shared" si="88"/>
        <v>0.9329896907216495</v>
      </c>
      <c r="S790" s="29">
        <f t="shared" si="89"/>
        <v>93.298969072164951</v>
      </c>
      <c r="T790" s="5" t="str">
        <f>IF(Delivery_Data3[[#This Row],[Delays (min)]]&gt;0,"No","Yes")</f>
        <v>No</v>
      </c>
      <c r="W790" s="41">
        <f t="shared" si="90"/>
        <v>45171</v>
      </c>
      <c r="X790" s="5">
        <v>181</v>
      </c>
    </row>
    <row r="791" spans="1:24" ht="15.75" customHeight="1" x14ac:dyDescent="0.3">
      <c r="A791" s="4">
        <v>1790</v>
      </c>
      <c r="B791" s="5" t="s">
        <v>910</v>
      </c>
      <c r="C791" s="6">
        <v>45176.638194444444</v>
      </c>
      <c r="D791" s="5" t="s">
        <v>14</v>
      </c>
      <c r="E791" s="5" t="s">
        <v>154</v>
      </c>
      <c r="F791" s="5" t="s">
        <v>16</v>
      </c>
      <c r="G791" s="5" t="s">
        <v>56</v>
      </c>
      <c r="H791" s="5">
        <v>146</v>
      </c>
      <c r="I791" s="5">
        <v>29</v>
      </c>
      <c r="J791" s="5" t="s">
        <v>26</v>
      </c>
      <c r="K791" s="5" t="s">
        <v>49</v>
      </c>
      <c r="L791" s="5" t="s">
        <v>28</v>
      </c>
      <c r="M791" s="7" t="s">
        <v>41</v>
      </c>
      <c r="N791" s="26">
        <f t="shared" si="84"/>
        <v>1</v>
      </c>
      <c r="O791" s="42">
        <f t="shared" si="85"/>
        <v>45176</v>
      </c>
      <c r="P791" s="5" t="str">
        <f t="shared" si="86"/>
        <v>Thursday</v>
      </c>
      <c r="Q791" s="5">
        <f t="shared" si="87"/>
        <v>15</v>
      </c>
      <c r="R791" s="28">
        <f t="shared" si="88"/>
        <v>0.8342857142857143</v>
      </c>
      <c r="S791" s="29">
        <f t="shared" si="89"/>
        <v>83.428571428571431</v>
      </c>
      <c r="T791" s="5" t="str">
        <f>IF(Delivery_Data3[[#This Row],[Delays (min)]]&gt;0,"No","Yes")</f>
        <v>No</v>
      </c>
      <c r="W791" s="41">
        <f t="shared" si="90"/>
        <v>45176</v>
      </c>
      <c r="X791" s="5">
        <v>146</v>
      </c>
    </row>
    <row r="792" spans="1:24" ht="15.75" customHeight="1" x14ac:dyDescent="0.3">
      <c r="A792" s="4">
        <v>1791</v>
      </c>
      <c r="B792" s="5" t="s">
        <v>911</v>
      </c>
      <c r="C792" s="6">
        <v>45172.371527777781</v>
      </c>
      <c r="D792" s="5" t="s">
        <v>43</v>
      </c>
      <c r="E792" s="5" t="s">
        <v>85</v>
      </c>
      <c r="F792" s="5" t="s">
        <v>16</v>
      </c>
      <c r="G792" s="5" t="s">
        <v>31</v>
      </c>
      <c r="H792" s="5">
        <v>140</v>
      </c>
      <c r="I792" s="5">
        <v>9</v>
      </c>
      <c r="J792" s="5" t="s">
        <v>26</v>
      </c>
      <c r="K792" s="5" t="s">
        <v>35</v>
      </c>
      <c r="L792" s="5" t="s">
        <v>20</v>
      </c>
      <c r="M792" s="7" t="s">
        <v>46</v>
      </c>
      <c r="N792" s="26">
        <f t="shared" si="84"/>
        <v>1</v>
      </c>
      <c r="O792" s="42">
        <f t="shared" si="85"/>
        <v>45172</v>
      </c>
      <c r="P792" s="5" t="str">
        <f t="shared" si="86"/>
        <v>Sunday</v>
      </c>
      <c r="Q792" s="5">
        <f t="shared" si="87"/>
        <v>8</v>
      </c>
      <c r="R792" s="28">
        <f t="shared" si="88"/>
        <v>0.93959731543624159</v>
      </c>
      <c r="S792" s="29">
        <f t="shared" si="89"/>
        <v>93.959731543624159</v>
      </c>
      <c r="T792" s="5" t="str">
        <f>IF(Delivery_Data3[[#This Row],[Delays (min)]]&gt;0,"No","Yes")</f>
        <v>No</v>
      </c>
      <c r="W792" s="41">
        <f t="shared" si="90"/>
        <v>45172</v>
      </c>
      <c r="X792" s="5">
        <v>140</v>
      </c>
    </row>
    <row r="793" spans="1:24" ht="15.75" customHeight="1" x14ac:dyDescent="0.3">
      <c r="A793" s="4">
        <v>1792</v>
      </c>
      <c r="B793" s="5" t="s">
        <v>912</v>
      </c>
      <c r="C793" s="6">
        <v>45171.675694444442</v>
      </c>
      <c r="D793" s="5" t="s">
        <v>14</v>
      </c>
      <c r="E793" s="5" t="s">
        <v>333</v>
      </c>
      <c r="F793" s="5" t="s">
        <v>16</v>
      </c>
      <c r="G793" s="5" t="s">
        <v>31</v>
      </c>
      <c r="H793" s="5">
        <v>198</v>
      </c>
      <c r="I793" s="5">
        <v>5</v>
      </c>
      <c r="J793" s="5" t="s">
        <v>18</v>
      </c>
      <c r="K793" s="5" t="s">
        <v>35</v>
      </c>
      <c r="L793" s="5" t="s">
        <v>28</v>
      </c>
      <c r="M793" s="7" t="s">
        <v>21</v>
      </c>
      <c r="N793" s="26">
        <f t="shared" si="84"/>
        <v>0</v>
      </c>
      <c r="O793" s="42">
        <f t="shared" si="85"/>
        <v>45171</v>
      </c>
      <c r="P793" s="5" t="str">
        <f t="shared" si="86"/>
        <v>Saturday</v>
      </c>
      <c r="Q793" s="5">
        <f t="shared" si="87"/>
        <v>16</v>
      </c>
      <c r="R793" s="28">
        <f t="shared" si="88"/>
        <v>0.97536945812807885</v>
      </c>
      <c r="S793" s="29">
        <f t="shared" si="89"/>
        <v>97.536945812807886</v>
      </c>
      <c r="T793" s="5" t="str">
        <f>IF(Delivery_Data3[[#This Row],[Delays (min)]]&gt;0,"No","Yes")</f>
        <v>No</v>
      </c>
      <c r="W793" s="41">
        <f t="shared" si="90"/>
        <v>45171</v>
      </c>
      <c r="X793" s="5">
        <v>198</v>
      </c>
    </row>
    <row r="794" spans="1:24" ht="15.75" customHeight="1" x14ac:dyDescent="0.3">
      <c r="A794" s="4">
        <v>1793</v>
      </c>
      <c r="B794" s="5" t="s">
        <v>913</v>
      </c>
      <c r="C794" s="6">
        <v>45173.344444444447</v>
      </c>
      <c r="D794" s="5" t="s">
        <v>14</v>
      </c>
      <c r="E794" s="5" t="s">
        <v>93</v>
      </c>
      <c r="F794" s="5" t="s">
        <v>38</v>
      </c>
      <c r="G794" s="5" t="s">
        <v>56</v>
      </c>
      <c r="H794" s="5">
        <v>65</v>
      </c>
      <c r="I794" s="5">
        <v>6</v>
      </c>
      <c r="J794" s="5" t="s">
        <v>18</v>
      </c>
      <c r="K794" s="5" t="s">
        <v>27</v>
      </c>
      <c r="L794" s="5" t="s">
        <v>20</v>
      </c>
      <c r="M794" s="7" t="s">
        <v>41</v>
      </c>
      <c r="N794" s="26">
        <f t="shared" si="84"/>
        <v>0</v>
      </c>
      <c r="O794" s="42">
        <f t="shared" si="85"/>
        <v>45173</v>
      </c>
      <c r="P794" s="5" t="str">
        <f t="shared" si="86"/>
        <v>Monday</v>
      </c>
      <c r="Q794" s="5">
        <f t="shared" si="87"/>
        <v>8</v>
      </c>
      <c r="R794" s="28">
        <f t="shared" si="88"/>
        <v>0.91549295774647887</v>
      </c>
      <c r="S794" s="29">
        <f t="shared" si="89"/>
        <v>91.549295774647888</v>
      </c>
      <c r="T794" s="5" t="str">
        <f>IF(Delivery_Data3[[#This Row],[Delays (min)]]&gt;0,"No","Yes")</f>
        <v>No</v>
      </c>
      <c r="W794" s="41">
        <f t="shared" si="90"/>
        <v>45173</v>
      </c>
      <c r="X794" s="5">
        <v>65</v>
      </c>
    </row>
    <row r="795" spans="1:24" ht="15.75" customHeight="1" x14ac:dyDescent="0.3">
      <c r="A795" s="4">
        <v>1794</v>
      </c>
      <c r="B795" s="5" t="s">
        <v>914</v>
      </c>
      <c r="C795" s="6">
        <v>45174.702777777777</v>
      </c>
      <c r="D795" s="5" t="s">
        <v>14</v>
      </c>
      <c r="E795" s="5" t="s">
        <v>187</v>
      </c>
      <c r="F795" s="5" t="s">
        <v>16</v>
      </c>
      <c r="G795" s="5" t="s">
        <v>17</v>
      </c>
      <c r="H795" s="5">
        <v>89</v>
      </c>
      <c r="I795" s="5">
        <v>7</v>
      </c>
      <c r="J795" s="5" t="s">
        <v>26</v>
      </c>
      <c r="K795" s="5" t="s">
        <v>49</v>
      </c>
      <c r="L795" s="5" t="s">
        <v>20</v>
      </c>
      <c r="M795" s="7" t="s">
        <v>41</v>
      </c>
      <c r="N795" s="26">
        <f t="shared" si="84"/>
        <v>1</v>
      </c>
      <c r="O795" s="42">
        <f t="shared" si="85"/>
        <v>45174</v>
      </c>
      <c r="P795" s="5" t="str">
        <f t="shared" si="86"/>
        <v>Tuesday</v>
      </c>
      <c r="Q795" s="5">
        <f t="shared" si="87"/>
        <v>16</v>
      </c>
      <c r="R795" s="28">
        <f t="shared" si="88"/>
        <v>0.92708333333333337</v>
      </c>
      <c r="S795" s="29">
        <f t="shared" si="89"/>
        <v>92.708333333333343</v>
      </c>
      <c r="T795" s="5" t="str">
        <f>IF(Delivery_Data3[[#This Row],[Delays (min)]]&gt;0,"No","Yes")</f>
        <v>No</v>
      </c>
      <c r="W795" s="41">
        <f t="shared" si="90"/>
        <v>45174</v>
      </c>
      <c r="X795" s="5">
        <v>89</v>
      </c>
    </row>
    <row r="796" spans="1:24" ht="15.75" customHeight="1" x14ac:dyDescent="0.3">
      <c r="A796" s="4">
        <v>1795</v>
      </c>
      <c r="B796" s="5" t="s">
        <v>915</v>
      </c>
      <c r="C796" s="6">
        <v>45176.402083333334</v>
      </c>
      <c r="D796" s="5" t="s">
        <v>14</v>
      </c>
      <c r="E796" s="5" t="s">
        <v>66</v>
      </c>
      <c r="F796" s="5" t="s">
        <v>38</v>
      </c>
      <c r="G796" s="5" t="s">
        <v>25</v>
      </c>
      <c r="H796" s="5">
        <v>195</v>
      </c>
      <c r="I796" s="5">
        <v>6</v>
      </c>
      <c r="J796" s="5" t="s">
        <v>18</v>
      </c>
      <c r="K796" s="5" t="s">
        <v>45</v>
      </c>
      <c r="L796" s="5" t="s">
        <v>20</v>
      </c>
      <c r="M796" s="7" t="s">
        <v>46</v>
      </c>
      <c r="N796" s="26">
        <f t="shared" si="84"/>
        <v>0</v>
      </c>
      <c r="O796" s="42">
        <f t="shared" si="85"/>
        <v>45176</v>
      </c>
      <c r="P796" s="5" t="str">
        <f t="shared" si="86"/>
        <v>Thursday</v>
      </c>
      <c r="Q796" s="5">
        <f t="shared" si="87"/>
        <v>9</v>
      </c>
      <c r="R796" s="28">
        <f t="shared" si="88"/>
        <v>0.97014925373134331</v>
      </c>
      <c r="S796" s="29">
        <f t="shared" si="89"/>
        <v>97.014925373134332</v>
      </c>
      <c r="T796" s="5" t="str">
        <f>IF(Delivery_Data3[[#This Row],[Delays (min)]]&gt;0,"No","Yes")</f>
        <v>No</v>
      </c>
      <c r="W796" s="41">
        <f t="shared" si="90"/>
        <v>45176</v>
      </c>
      <c r="X796" s="5">
        <v>195</v>
      </c>
    </row>
    <row r="797" spans="1:24" ht="15.75" customHeight="1" x14ac:dyDescent="0.3">
      <c r="A797" s="4">
        <v>1796</v>
      </c>
      <c r="B797" s="5" t="s">
        <v>916</v>
      </c>
      <c r="C797" s="6">
        <v>45172.590277777781</v>
      </c>
      <c r="D797" s="5" t="s">
        <v>14</v>
      </c>
      <c r="E797" s="5" t="s">
        <v>270</v>
      </c>
      <c r="F797" s="5" t="s">
        <v>24</v>
      </c>
      <c r="G797" s="5" t="s">
        <v>25</v>
      </c>
      <c r="H797" s="5">
        <v>151</v>
      </c>
      <c r="I797" s="5">
        <v>2</v>
      </c>
      <c r="J797" s="5" t="s">
        <v>32</v>
      </c>
      <c r="K797" s="5" t="s">
        <v>49</v>
      </c>
      <c r="L797" s="5" t="s">
        <v>40</v>
      </c>
      <c r="M797" s="7" t="s">
        <v>21</v>
      </c>
      <c r="N797" s="26">
        <f t="shared" si="84"/>
        <v>-1</v>
      </c>
      <c r="O797" s="42">
        <f t="shared" si="85"/>
        <v>45172</v>
      </c>
      <c r="P797" s="5" t="str">
        <f t="shared" si="86"/>
        <v>Sunday</v>
      </c>
      <c r="Q797" s="5">
        <f t="shared" si="87"/>
        <v>14</v>
      </c>
      <c r="R797" s="28">
        <f t="shared" si="88"/>
        <v>0.98692810457516345</v>
      </c>
      <c r="S797" s="29">
        <f t="shared" si="89"/>
        <v>98.692810457516345</v>
      </c>
      <c r="T797" s="5" t="str">
        <f>IF(Delivery_Data3[[#This Row],[Delays (min)]]&gt;0,"No","Yes")</f>
        <v>No</v>
      </c>
      <c r="W797" s="41">
        <f t="shared" si="90"/>
        <v>45172</v>
      </c>
      <c r="X797" s="5">
        <v>151</v>
      </c>
    </row>
    <row r="798" spans="1:24" ht="15.75" customHeight="1" x14ac:dyDescent="0.3">
      <c r="A798" s="4">
        <v>1797</v>
      </c>
      <c r="B798" s="5" t="s">
        <v>917</v>
      </c>
      <c r="C798" s="6">
        <v>45173.410416666666</v>
      </c>
      <c r="D798" s="5" t="s">
        <v>43</v>
      </c>
      <c r="E798" s="5" t="s">
        <v>333</v>
      </c>
      <c r="F798" s="5" t="s">
        <v>24</v>
      </c>
      <c r="G798" s="5" t="s">
        <v>17</v>
      </c>
      <c r="H798" s="5">
        <v>208</v>
      </c>
      <c r="I798" s="5">
        <v>6</v>
      </c>
      <c r="J798" s="5" t="s">
        <v>32</v>
      </c>
      <c r="K798" s="5" t="s">
        <v>19</v>
      </c>
      <c r="L798" s="5" t="s">
        <v>28</v>
      </c>
      <c r="M798" s="7" t="s">
        <v>21</v>
      </c>
      <c r="N798" s="26">
        <f t="shared" si="84"/>
        <v>-1</v>
      </c>
      <c r="O798" s="42">
        <f t="shared" si="85"/>
        <v>45173</v>
      </c>
      <c r="P798" s="5" t="str">
        <f t="shared" si="86"/>
        <v>Monday</v>
      </c>
      <c r="Q798" s="5">
        <f t="shared" si="87"/>
        <v>9</v>
      </c>
      <c r="R798" s="28">
        <f t="shared" si="88"/>
        <v>0.9719626168224299</v>
      </c>
      <c r="S798" s="29">
        <f t="shared" si="89"/>
        <v>97.196261682242991</v>
      </c>
      <c r="T798" s="5" t="str">
        <f>IF(Delivery_Data3[[#This Row],[Delays (min)]]&gt;0,"No","Yes")</f>
        <v>No</v>
      </c>
      <c r="W798" s="41">
        <f t="shared" si="90"/>
        <v>45173</v>
      </c>
      <c r="X798" s="5">
        <v>208</v>
      </c>
    </row>
    <row r="799" spans="1:24" ht="15.75" customHeight="1" x14ac:dyDescent="0.3">
      <c r="A799" s="4">
        <v>1798</v>
      </c>
      <c r="B799" s="5" t="s">
        <v>918</v>
      </c>
      <c r="C799" s="6">
        <v>45177.393055555556</v>
      </c>
      <c r="D799" s="5" t="s">
        <v>43</v>
      </c>
      <c r="E799" s="5" t="s">
        <v>109</v>
      </c>
      <c r="F799" s="5" t="s">
        <v>24</v>
      </c>
      <c r="G799" s="5" t="s">
        <v>39</v>
      </c>
      <c r="H799" s="5">
        <v>201</v>
      </c>
      <c r="I799" s="5">
        <v>10</v>
      </c>
      <c r="J799" s="5" t="s">
        <v>32</v>
      </c>
      <c r="K799" s="5" t="s">
        <v>27</v>
      </c>
      <c r="L799" s="5" t="s">
        <v>40</v>
      </c>
      <c r="M799" s="7" t="s">
        <v>21</v>
      </c>
      <c r="N799" s="26">
        <f t="shared" si="84"/>
        <v>-1</v>
      </c>
      <c r="O799" s="42">
        <f t="shared" si="85"/>
        <v>45177</v>
      </c>
      <c r="P799" s="5" t="str">
        <f t="shared" si="86"/>
        <v>Friday</v>
      </c>
      <c r="Q799" s="5">
        <f t="shared" si="87"/>
        <v>9</v>
      </c>
      <c r="R799" s="28">
        <f t="shared" si="88"/>
        <v>0.95260663507109</v>
      </c>
      <c r="S799" s="29">
        <f t="shared" si="89"/>
        <v>95.260663507109001</v>
      </c>
      <c r="T799" s="5" t="str">
        <f>IF(Delivery_Data3[[#This Row],[Delays (min)]]&gt;0,"No","Yes")</f>
        <v>No</v>
      </c>
      <c r="W799" s="41">
        <f t="shared" si="90"/>
        <v>45177</v>
      </c>
      <c r="X799" s="5">
        <v>201</v>
      </c>
    </row>
    <row r="800" spans="1:24" ht="15.75" customHeight="1" x14ac:dyDescent="0.3">
      <c r="A800" s="4">
        <v>1799</v>
      </c>
      <c r="B800" s="5" t="s">
        <v>919</v>
      </c>
      <c r="C800" s="6">
        <v>45170.355555555558</v>
      </c>
      <c r="D800" s="5" t="s">
        <v>43</v>
      </c>
      <c r="E800" s="5" t="s">
        <v>140</v>
      </c>
      <c r="F800" s="5" t="s">
        <v>38</v>
      </c>
      <c r="G800" s="5" t="s">
        <v>39</v>
      </c>
      <c r="H800" s="5">
        <v>68</v>
      </c>
      <c r="I800" s="5">
        <v>4</v>
      </c>
      <c r="J800" s="5" t="s">
        <v>18</v>
      </c>
      <c r="K800" s="5" t="s">
        <v>49</v>
      </c>
      <c r="L800" s="5" t="s">
        <v>40</v>
      </c>
      <c r="M800" s="7" t="s">
        <v>21</v>
      </c>
      <c r="N800" s="26">
        <f t="shared" si="84"/>
        <v>0</v>
      </c>
      <c r="O800" s="42">
        <f t="shared" si="85"/>
        <v>45170</v>
      </c>
      <c r="P800" s="5" t="str">
        <f t="shared" si="86"/>
        <v>Friday</v>
      </c>
      <c r="Q800" s="5">
        <f t="shared" si="87"/>
        <v>8</v>
      </c>
      <c r="R800" s="28">
        <f t="shared" si="88"/>
        <v>0.94444444444444442</v>
      </c>
      <c r="S800" s="29">
        <f t="shared" si="89"/>
        <v>94.444444444444443</v>
      </c>
      <c r="T800" s="5" t="str">
        <f>IF(Delivery_Data3[[#This Row],[Delays (min)]]&gt;0,"No","Yes")</f>
        <v>No</v>
      </c>
      <c r="W800" s="41">
        <f t="shared" si="90"/>
        <v>45170</v>
      </c>
      <c r="X800" s="5">
        <v>68</v>
      </c>
    </row>
    <row r="801" spans="1:24" ht="15.75" customHeight="1" x14ac:dyDescent="0.3">
      <c r="A801" s="4">
        <v>1800</v>
      </c>
      <c r="B801" s="5" t="s">
        <v>920</v>
      </c>
      <c r="C801" s="6">
        <v>45175.559027777781</v>
      </c>
      <c r="D801" s="5" t="s">
        <v>43</v>
      </c>
      <c r="E801" s="5" t="s">
        <v>55</v>
      </c>
      <c r="F801" s="5" t="s">
        <v>24</v>
      </c>
      <c r="G801" s="5" t="s">
        <v>25</v>
      </c>
      <c r="H801" s="5">
        <v>87</v>
      </c>
      <c r="I801" s="5">
        <v>14</v>
      </c>
      <c r="J801" s="5" t="s">
        <v>26</v>
      </c>
      <c r="K801" s="5" t="s">
        <v>27</v>
      </c>
      <c r="L801" s="5" t="s">
        <v>28</v>
      </c>
      <c r="M801" s="7" t="s">
        <v>46</v>
      </c>
      <c r="N801" s="26">
        <f t="shared" si="84"/>
        <v>1</v>
      </c>
      <c r="O801" s="42">
        <f t="shared" si="85"/>
        <v>45175</v>
      </c>
      <c r="P801" s="5" t="str">
        <f t="shared" si="86"/>
        <v>Wednesday</v>
      </c>
      <c r="Q801" s="5">
        <f t="shared" si="87"/>
        <v>13</v>
      </c>
      <c r="R801" s="28">
        <f t="shared" si="88"/>
        <v>0.86138613861386137</v>
      </c>
      <c r="S801" s="29">
        <f t="shared" si="89"/>
        <v>86.138613861386133</v>
      </c>
      <c r="T801" s="5" t="str">
        <f>IF(Delivery_Data3[[#This Row],[Delays (min)]]&gt;0,"No","Yes")</f>
        <v>No</v>
      </c>
      <c r="W801" s="41">
        <f t="shared" si="90"/>
        <v>45175</v>
      </c>
      <c r="X801" s="5">
        <v>87</v>
      </c>
    </row>
    <row r="802" spans="1:24" ht="15.75" customHeight="1" x14ac:dyDescent="0.3">
      <c r="A802" s="4">
        <v>1801</v>
      </c>
      <c r="B802" s="5" t="s">
        <v>921</v>
      </c>
      <c r="C802" s="6">
        <v>45176.620138888888</v>
      </c>
      <c r="D802" s="5" t="s">
        <v>43</v>
      </c>
      <c r="E802" s="5" t="s">
        <v>23</v>
      </c>
      <c r="F802" s="5" t="s">
        <v>16</v>
      </c>
      <c r="G802" s="5" t="s">
        <v>31</v>
      </c>
      <c r="H802" s="5">
        <v>121</v>
      </c>
      <c r="I802" s="5">
        <v>16</v>
      </c>
      <c r="J802" s="5" t="s">
        <v>18</v>
      </c>
      <c r="K802" s="5" t="s">
        <v>49</v>
      </c>
      <c r="L802" s="5" t="s">
        <v>28</v>
      </c>
      <c r="M802" s="7" t="s">
        <v>46</v>
      </c>
      <c r="N802" s="26">
        <f t="shared" si="84"/>
        <v>0</v>
      </c>
      <c r="O802" s="42">
        <f t="shared" si="85"/>
        <v>45176</v>
      </c>
      <c r="P802" s="5" t="str">
        <f t="shared" si="86"/>
        <v>Thursday</v>
      </c>
      <c r="Q802" s="5">
        <f t="shared" si="87"/>
        <v>14</v>
      </c>
      <c r="R802" s="28">
        <f t="shared" si="88"/>
        <v>0.88321167883211682</v>
      </c>
      <c r="S802" s="29">
        <f t="shared" si="89"/>
        <v>88.321167883211686</v>
      </c>
      <c r="T802" s="5" t="str">
        <f>IF(Delivery_Data3[[#This Row],[Delays (min)]]&gt;0,"No","Yes")</f>
        <v>No</v>
      </c>
      <c r="W802" s="41">
        <f t="shared" si="90"/>
        <v>45176</v>
      </c>
      <c r="X802" s="5">
        <v>121</v>
      </c>
    </row>
    <row r="803" spans="1:24" ht="15.75" customHeight="1" x14ac:dyDescent="0.3">
      <c r="A803" s="4">
        <v>1802</v>
      </c>
      <c r="B803" s="5" t="s">
        <v>922</v>
      </c>
      <c r="C803" s="6">
        <v>45170.658333333333</v>
      </c>
      <c r="D803" s="5" t="s">
        <v>14</v>
      </c>
      <c r="E803" s="5" t="s">
        <v>403</v>
      </c>
      <c r="F803" s="5" t="s">
        <v>16</v>
      </c>
      <c r="G803" s="5" t="s">
        <v>17</v>
      </c>
      <c r="H803" s="5">
        <v>235</v>
      </c>
      <c r="I803" s="5">
        <v>7</v>
      </c>
      <c r="J803" s="5" t="s">
        <v>32</v>
      </c>
      <c r="K803" s="5" t="s">
        <v>49</v>
      </c>
      <c r="L803" s="5" t="s">
        <v>40</v>
      </c>
      <c r="M803" s="7" t="s">
        <v>41</v>
      </c>
      <c r="N803" s="26">
        <f t="shared" si="84"/>
        <v>-1</v>
      </c>
      <c r="O803" s="42">
        <f t="shared" si="85"/>
        <v>45170</v>
      </c>
      <c r="P803" s="5" t="str">
        <f t="shared" si="86"/>
        <v>Friday</v>
      </c>
      <c r="Q803" s="5">
        <f t="shared" si="87"/>
        <v>15</v>
      </c>
      <c r="R803" s="28">
        <f t="shared" si="88"/>
        <v>0.97107438016528924</v>
      </c>
      <c r="S803" s="29">
        <f t="shared" si="89"/>
        <v>97.107438016528931</v>
      </c>
      <c r="T803" s="5" t="str">
        <f>IF(Delivery_Data3[[#This Row],[Delays (min)]]&gt;0,"No","Yes")</f>
        <v>No</v>
      </c>
      <c r="W803" s="41">
        <f t="shared" si="90"/>
        <v>45170</v>
      </c>
      <c r="X803" s="5">
        <v>235</v>
      </c>
    </row>
    <row r="804" spans="1:24" ht="15.75" customHeight="1" x14ac:dyDescent="0.3">
      <c r="A804" s="4">
        <v>1803</v>
      </c>
      <c r="B804" s="5" t="s">
        <v>923</v>
      </c>
      <c r="C804" s="6">
        <v>45176.593055555553</v>
      </c>
      <c r="D804" s="5" t="s">
        <v>43</v>
      </c>
      <c r="E804" s="5" t="s">
        <v>70</v>
      </c>
      <c r="F804" s="5" t="s">
        <v>16</v>
      </c>
      <c r="G804" s="5" t="s">
        <v>31</v>
      </c>
      <c r="H804" s="5">
        <v>125</v>
      </c>
      <c r="I804" s="5">
        <v>10</v>
      </c>
      <c r="J804" s="5" t="s">
        <v>18</v>
      </c>
      <c r="K804" s="5" t="s">
        <v>35</v>
      </c>
      <c r="L804" s="5" t="s">
        <v>40</v>
      </c>
      <c r="M804" s="7" t="s">
        <v>21</v>
      </c>
      <c r="N804" s="26">
        <f t="shared" si="84"/>
        <v>0</v>
      </c>
      <c r="O804" s="42">
        <f t="shared" si="85"/>
        <v>45176</v>
      </c>
      <c r="P804" s="5" t="str">
        <f t="shared" si="86"/>
        <v>Thursday</v>
      </c>
      <c r="Q804" s="5">
        <f t="shared" si="87"/>
        <v>14</v>
      </c>
      <c r="R804" s="28">
        <f t="shared" si="88"/>
        <v>0.92592592592592593</v>
      </c>
      <c r="S804" s="29">
        <f t="shared" si="89"/>
        <v>92.592592592592595</v>
      </c>
      <c r="T804" s="5" t="str">
        <f>IF(Delivery_Data3[[#This Row],[Delays (min)]]&gt;0,"No","Yes")</f>
        <v>No</v>
      </c>
      <c r="W804" s="41">
        <f t="shared" si="90"/>
        <v>45176</v>
      </c>
      <c r="X804" s="5">
        <v>125</v>
      </c>
    </row>
    <row r="805" spans="1:24" ht="15.75" customHeight="1" x14ac:dyDescent="0.3">
      <c r="A805" s="4">
        <v>1804</v>
      </c>
      <c r="B805" s="5" t="s">
        <v>924</v>
      </c>
      <c r="C805" s="6">
        <v>45176.420138888891</v>
      </c>
      <c r="D805" s="5" t="s">
        <v>43</v>
      </c>
      <c r="E805" s="5" t="s">
        <v>304</v>
      </c>
      <c r="F805" s="5" t="s">
        <v>24</v>
      </c>
      <c r="G805" s="5" t="s">
        <v>25</v>
      </c>
      <c r="H805" s="5">
        <v>168</v>
      </c>
      <c r="I805" s="5">
        <v>17</v>
      </c>
      <c r="J805" s="5" t="s">
        <v>26</v>
      </c>
      <c r="K805" s="5" t="s">
        <v>35</v>
      </c>
      <c r="L805" s="5" t="s">
        <v>28</v>
      </c>
      <c r="M805" s="7" t="s">
        <v>41</v>
      </c>
      <c r="N805" s="26">
        <f t="shared" si="84"/>
        <v>1</v>
      </c>
      <c r="O805" s="42">
        <f t="shared" si="85"/>
        <v>45176</v>
      </c>
      <c r="P805" s="5" t="str">
        <f t="shared" si="86"/>
        <v>Thursday</v>
      </c>
      <c r="Q805" s="5">
        <f t="shared" si="87"/>
        <v>10</v>
      </c>
      <c r="R805" s="28">
        <f t="shared" si="88"/>
        <v>0.90810810810810816</v>
      </c>
      <c r="S805" s="29">
        <f t="shared" si="89"/>
        <v>90.810810810810821</v>
      </c>
      <c r="T805" s="5" t="str">
        <f>IF(Delivery_Data3[[#This Row],[Delays (min)]]&gt;0,"No","Yes")</f>
        <v>No</v>
      </c>
      <c r="W805" s="41">
        <f t="shared" si="90"/>
        <v>45176</v>
      </c>
      <c r="X805" s="5">
        <v>168</v>
      </c>
    </row>
    <row r="806" spans="1:24" ht="15.75" customHeight="1" x14ac:dyDescent="0.3">
      <c r="A806" s="4">
        <v>1805</v>
      </c>
      <c r="B806" s="5" t="s">
        <v>925</v>
      </c>
      <c r="C806" s="6">
        <v>45170.557638888888</v>
      </c>
      <c r="D806" s="5" t="s">
        <v>43</v>
      </c>
      <c r="E806" s="5" t="s">
        <v>122</v>
      </c>
      <c r="F806" s="5" t="s">
        <v>24</v>
      </c>
      <c r="G806" s="5" t="s">
        <v>39</v>
      </c>
      <c r="H806" s="5">
        <v>153</v>
      </c>
      <c r="I806" s="5">
        <v>3</v>
      </c>
      <c r="J806" s="5" t="s">
        <v>18</v>
      </c>
      <c r="K806" s="5" t="s">
        <v>19</v>
      </c>
      <c r="L806" s="5" t="s">
        <v>28</v>
      </c>
      <c r="M806" s="7" t="s">
        <v>41</v>
      </c>
      <c r="N806" s="26">
        <f t="shared" si="84"/>
        <v>0</v>
      </c>
      <c r="O806" s="42">
        <f t="shared" si="85"/>
        <v>45170</v>
      </c>
      <c r="P806" s="5" t="str">
        <f t="shared" si="86"/>
        <v>Friday</v>
      </c>
      <c r="Q806" s="5">
        <f t="shared" si="87"/>
        <v>13</v>
      </c>
      <c r="R806" s="28">
        <f t="shared" si="88"/>
        <v>0.98076923076923073</v>
      </c>
      <c r="S806" s="29">
        <f t="shared" si="89"/>
        <v>98.076923076923066</v>
      </c>
      <c r="T806" s="5" t="str">
        <f>IF(Delivery_Data3[[#This Row],[Delays (min)]]&gt;0,"No","Yes")</f>
        <v>No</v>
      </c>
      <c r="W806" s="41">
        <f t="shared" si="90"/>
        <v>45170</v>
      </c>
      <c r="X806" s="5">
        <v>153</v>
      </c>
    </row>
    <row r="807" spans="1:24" ht="15.75" customHeight="1" x14ac:dyDescent="0.3">
      <c r="A807" s="4">
        <v>1806</v>
      </c>
      <c r="B807" s="5" t="s">
        <v>926</v>
      </c>
      <c r="C807" s="6">
        <v>45174.525694444441</v>
      </c>
      <c r="D807" s="5" t="s">
        <v>43</v>
      </c>
      <c r="E807" s="5" t="s">
        <v>62</v>
      </c>
      <c r="F807" s="5" t="s">
        <v>24</v>
      </c>
      <c r="G807" s="5" t="s">
        <v>56</v>
      </c>
      <c r="H807" s="5">
        <v>110</v>
      </c>
      <c r="I807" s="5">
        <v>22</v>
      </c>
      <c r="J807" s="5" t="s">
        <v>32</v>
      </c>
      <c r="K807" s="5" t="s">
        <v>49</v>
      </c>
      <c r="L807" s="5" t="s">
        <v>20</v>
      </c>
      <c r="M807" s="7" t="s">
        <v>21</v>
      </c>
      <c r="N807" s="26">
        <f t="shared" si="84"/>
        <v>-1</v>
      </c>
      <c r="O807" s="42">
        <f t="shared" si="85"/>
        <v>45174</v>
      </c>
      <c r="P807" s="5" t="str">
        <f t="shared" si="86"/>
        <v>Tuesday</v>
      </c>
      <c r="Q807" s="5">
        <f t="shared" si="87"/>
        <v>12</v>
      </c>
      <c r="R807" s="28">
        <f t="shared" si="88"/>
        <v>0.83333333333333337</v>
      </c>
      <c r="S807" s="29">
        <f t="shared" si="89"/>
        <v>83.333333333333343</v>
      </c>
      <c r="T807" s="5" t="str">
        <f>IF(Delivery_Data3[[#This Row],[Delays (min)]]&gt;0,"No","Yes")</f>
        <v>No</v>
      </c>
      <c r="W807" s="41">
        <f t="shared" si="90"/>
        <v>45174</v>
      </c>
      <c r="X807" s="5">
        <v>110</v>
      </c>
    </row>
    <row r="808" spans="1:24" ht="15.75" customHeight="1" x14ac:dyDescent="0.3">
      <c r="A808" s="4">
        <v>1807</v>
      </c>
      <c r="B808" s="5" t="s">
        <v>476</v>
      </c>
      <c r="C808" s="6">
        <v>45170.513194444444</v>
      </c>
      <c r="D808" s="5" t="s">
        <v>14</v>
      </c>
      <c r="E808" s="5" t="s">
        <v>68</v>
      </c>
      <c r="F808" s="5" t="s">
        <v>16</v>
      </c>
      <c r="G808" s="5" t="s">
        <v>39</v>
      </c>
      <c r="H808" s="5">
        <v>157</v>
      </c>
      <c r="I808" s="5">
        <v>10</v>
      </c>
      <c r="J808" s="5" t="s">
        <v>18</v>
      </c>
      <c r="K808" s="5" t="s">
        <v>27</v>
      </c>
      <c r="L808" s="5" t="s">
        <v>28</v>
      </c>
      <c r="M808" s="7" t="s">
        <v>21</v>
      </c>
      <c r="N808" s="26">
        <f t="shared" si="84"/>
        <v>0</v>
      </c>
      <c r="O808" s="42">
        <f t="shared" si="85"/>
        <v>45170</v>
      </c>
      <c r="P808" s="5" t="str">
        <f t="shared" si="86"/>
        <v>Friday</v>
      </c>
      <c r="Q808" s="5">
        <f t="shared" si="87"/>
        <v>12</v>
      </c>
      <c r="R808" s="28">
        <f t="shared" si="88"/>
        <v>0.94011976047904189</v>
      </c>
      <c r="S808" s="29">
        <f t="shared" si="89"/>
        <v>94.011976047904184</v>
      </c>
      <c r="T808" s="5" t="str">
        <f>IF(Delivery_Data3[[#This Row],[Delays (min)]]&gt;0,"No","Yes")</f>
        <v>No</v>
      </c>
      <c r="W808" s="41">
        <f t="shared" si="90"/>
        <v>45170</v>
      </c>
      <c r="X808" s="5">
        <v>157</v>
      </c>
    </row>
    <row r="809" spans="1:24" ht="15.75" customHeight="1" x14ac:dyDescent="0.3">
      <c r="A809" s="4">
        <v>1808</v>
      </c>
      <c r="B809" s="5" t="s">
        <v>927</v>
      </c>
      <c r="C809" s="6">
        <v>45176.643750000003</v>
      </c>
      <c r="D809" s="5" t="s">
        <v>14</v>
      </c>
      <c r="E809" s="5" t="s">
        <v>135</v>
      </c>
      <c r="F809" s="5" t="s">
        <v>16</v>
      </c>
      <c r="G809" s="5" t="s">
        <v>31</v>
      </c>
      <c r="H809" s="5">
        <v>150</v>
      </c>
      <c r="I809" s="5">
        <v>6</v>
      </c>
      <c r="J809" s="5" t="s">
        <v>18</v>
      </c>
      <c r="K809" s="5" t="s">
        <v>27</v>
      </c>
      <c r="L809" s="5" t="s">
        <v>40</v>
      </c>
      <c r="M809" s="7" t="s">
        <v>21</v>
      </c>
      <c r="N809" s="26">
        <f t="shared" si="84"/>
        <v>0</v>
      </c>
      <c r="O809" s="42">
        <f t="shared" si="85"/>
        <v>45176</v>
      </c>
      <c r="P809" s="5" t="str">
        <f t="shared" si="86"/>
        <v>Thursday</v>
      </c>
      <c r="Q809" s="5">
        <f t="shared" si="87"/>
        <v>15</v>
      </c>
      <c r="R809" s="28">
        <f t="shared" si="88"/>
        <v>0.96153846153846156</v>
      </c>
      <c r="S809" s="29">
        <f t="shared" si="89"/>
        <v>96.15384615384616</v>
      </c>
      <c r="T809" s="5" t="str">
        <f>IF(Delivery_Data3[[#This Row],[Delays (min)]]&gt;0,"No","Yes")</f>
        <v>No</v>
      </c>
      <c r="W809" s="41">
        <f t="shared" si="90"/>
        <v>45176</v>
      </c>
      <c r="X809" s="5">
        <v>150</v>
      </c>
    </row>
    <row r="810" spans="1:24" ht="15.75" customHeight="1" x14ac:dyDescent="0.3">
      <c r="A810" s="4">
        <v>1809</v>
      </c>
      <c r="B810" s="5" t="s">
        <v>928</v>
      </c>
      <c r="C810" s="6">
        <v>45174.488194444442</v>
      </c>
      <c r="D810" s="5" t="s">
        <v>14</v>
      </c>
      <c r="E810" s="5" t="s">
        <v>15</v>
      </c>
      <c r="F810" s="5" t="s">
        <v>24</v>
      </c>
      <c r="G810" s="5" t="s">
        <v>31</v>
      </c>
      <c r="H810" s="5">
        <v>81</v>
      </c>
      <c r="I810" s="5">
        <v>12</v>
      </c>
      <c r="J810" s="5" t="s">
        <v>26</v>
      </c>
      <c r="K810" s="5" t="s">
        <v>45</v>
      </c>
      <c r="L810" s="5" t="s">
        <v>28</v>
      </c>
      <c r="M810" s="7" t="s">
        <v>41</v>
      </c>
      <c r="N810" s="26">
        <f t="shared" si="84"/>
        <v>1</v>
      </c>
      <c r="O810" s="42">
        <f t="shared" si="85"/>
        <v>45174</v>
      </c>
      <c r="P810" s="5" t="str">
        <f t="shared" si="86"/>
        <v>Tuesday</v>
      </c>
      <c r="Q810" s="5">
        <f t="shared" si="87"/>
        <v>11</v>
      </c>
      <c r="R810" s="28">
        <f t="shared" si="88"/>
        <v>0.87096774193548387</v>
      </c>
      <c r="S810" s="29">
        <f t="shared" si="89"/>
        <v>87.096774193548384</v>
      </c>
      <c r="T810" s="5" t="str">
        <f>IF(Delivery_Data3[[#This Row],[Delays (min)]]&gt;0,"No","Yes")</f>
        <v>No</v>
      </c>
      <c r="W810" s="41">
        <f t="shared" si="90"/>
        <v>45174</v>
      </c>
      <c r="X810" s="5">
        <v>81</v>
      </c>
    </row>
    <row r="811" spans="1:24" ht="15.75" customHeight="1" x14ac:dyDescent="0.3">
      <c r="A811" s="4">
        <v>1810</v>
      </c>
      <c r="B811" s="5" t="s">
        <v>929</v>
      </c>
      <c r="C811" s="6">
        <v>45173.489583333336</v>
      </c>
      <c r="D811" s="5" t="s">
        <v>43</v>
      </c>
      <c r="E811" s="5" t="s">
        <v>468</v>
      </c>
      <c r="F811" s="5" t="s">
        <v>38</v>
      </c>
      <c r="G811" s="5" t="s">
        <v>25</v>
      </c>
      <c r="H811" s="5">
        <v>131</v>
      </c>
      <c r="I811" s="5">
        <v>26</v>
      </c>
      <c r="J811" s="5" t="s">
        <v>32</v>
      </c>
      <c r="K811" s="5" t="s">
        <v>27</v>
      </c>
      <c r="L811" s="5" t="s">
        <v>40</v>
      </c>
      <c r="M811" s="7" t="s">
        <v>21</v>
      </c>
      <c r="N811" s="26">
        <f t="shared" si="84"/>
        <v>-1</v>
      </c>
      <c r="O811" s="42">
        <f t="shared" si="85"/>
        <v>45173</v>
      </c>
      <c r="P811" s="5" t="str">
        <f t="shared" si="86"/>
        <v>Monday</v>
      </c>
      <c r="Q811" s="5">
        <f t="shared" si="87"/>
        <v>11</v>
      </c>
      <c r="R811" s="28">
        <f t="shared" si="88"/>
        <v>0.83439490445859876</v>
      </c>
      <c r="S811" s="29">
        <f t="shared" si="89"/>
        <v>83.439490445859875</v>
      </c>
      <c r="T811" s="5" t="str">
        <f>IF(Delivery_Data3[[#This Row],[Delays (min)]]&gt;0,"No","Yes")</f>
        <v>No</v>
      </c>
      <c r="W811" s="41">
        <f t="shared" si="90"/>
        <v>45173</v>
      </c>
      <c r="X811" s="5">
        <v>131</v>
      </c>
    </row>
    <row r="812" spans="1:24" ht="15.75" customHeight="1" x14ac:dyDescent="0.3">
      <c r="A812" s="4">
        <v>1811</v>
      </c>
      <c r="B812" s="5" t="s">
        <v>930</v>
      </c>
      <c r="C812" s="6">
        <v>45170.598611111112</v>
      </c>
      <c r="D812" s="5" t="s">
        <v>43</v>
      </c>
      <c r="E812" s="5" t="s">
        <v>23</v>
      </c>
      <c r="F812" s="5" t="s">
        <v>24</v>
      </c>
      <c r="G812" s="5" t="s">
        <v>39</v>
      </c>
      <c r="H812" s="5">
        <v>176</v>
      </c>
      <c r="I812" s="5">
        <v>24</v>
      </c>
      <c r="J812" s="5" t="s">
        <v>26</v>
      </c>
      <c r="K812" s="5" t="s">
        <v>35</v>
      </c>
      <c r="L812" s="5" t="s">
        <v>28</v>
      </c>
      <c r="M812" s="7" t="s">
        <v>41</v>
      </c>
      <c r="N812" s="26">
        <f t="shared" si="84"/>
        <v>1</v>
      </c>
      <c r="O812" s="42">
        <f t="shared" si="85"/>
        <v>45170</v>
      </c>
      <c r="P812" s="5" t="str">
        <f t="shared" si="86"/>
        <v>Friday</v>
      </c>
      <c r="Q812" s="5">
        <f t="shared" si="87"/>
        <v>14</v>
      </c>
      <c r="R812" s="28">
        <f t="shared" si="88"/>
        <v>0.88</v>
      </c>
      <c r="S812" s="29">
        <f t="shared" si="89"/>
        <v>88</v>
      </c>
      <c r="T812" s="5" t="str">
        <f>IF(Delivery_Data3[[#This Row],[Delays (min)]]&gt;0,"No","Yes")</f>
        <v>No</v>
      </c>
      <c r="W812" s="41">
        <f t="shared" si="90"/>
        <v>45170</v>
      </c>
      <c r="X812" s="5">
        <v>176</v>
      </c>
    </row>
    <row r="813" spans="1:24" ht="15.75" customHeight="1" x14ac:dyDescent="0.3">
      <c r="A813" s="4">
        <v>1812</v>
      </c>
      <c r="B813" s="5" t="s">
        <v>931</v>
      </c>
      <c r="C813" s="6">
        <v>45176.52847222222</v>
      </c>
      <c r="D813" s="5" t="s">
        <v>14</v>
      </c>
      <c r="E813" s="5" t="s">
        <v>468</v>
      </c>
      <c r="F813" s="5" t="s">
        <v>24</v>
      </c>
      <c r="G813" s="5" t="s">
        <v>25</v>
      </c>
      <c r="H813" s="5">
        <v>211</v>
      </c>
      <c r="I813" s="5">
        <v>23</v>
      </c>
      <c r="J813" s="5" t="s">
        <v>32</v>
      </c>
      <c r="K813" s="5" t="s">
        <v>27</v>
      </c>
      <c r="L813" s="5" t="s">
        <v>40</v>
      </c>
      <c r="M813" s="7" t="s">
        <v>46</v>
      </c>
      <c r="N813" s="26">
        <f t="shared" si="84"/>
        <v>-1</v>
      </c>
      <c r="O813" s="42">
        <f t="shared" si="85"/>
        <v>45176</v>
      </c>
      <c r="P813" s="5" t="str">
        <f t="shared" si="86"/>
        <v>Thursday</v>
      </c>
      <c r="Q813" s="5">
        <f t="shared" si="87"/>
        <v>12</v>
      </c>
      <c r="R813" s="28">
        <f t="shared" si="88"/>
        <v>0.90170940170940173</v>
      </c>
      <c r="S813" s="29">
        <f t="shared" si="89"/>
        <v>90.17094017094017</v>
      </c>
      <c r="T813" s="5" t="str">
        <f>IF(Delivery_Data3[[#This Row],[Delays (min)]]&gt;0,"No","Yes")</f>
        <v>No</v>
      </c>
      <c r="W813" s="41">
        <f t="shared" si="90"/>
        <v>45176</v>
      </c>
      <c r="X813" s="5">
        <v>211</v>
      </c>
    </row>
    <row r="814" spans="1:24" ht="15.75" customHeight="1" x14ac:dyDescent="0.3">
      <c r="A814" s="4">
        <v>1813</v>
      </c>
      <c r="B814" s="5" t="s">
        <v>932</v>
      </c>
      <c r="C814" s="6">
        <v>45173.436805555553</v>
      </c>
      <c r="D814" s="5" t="s">
        <v>14</v>
      </c>
      <c r="E814" s="5" t="s">
        <v>245</v>
      </c>
      <c r="F814" s="5" t="s">
        <v>24</v>
      </c>
      <c r="G814" s="5" t="s">
        <v>56</v>
      </c>
      <c r="H814" s="5">
        <v>128</v>
      </c>
      <c r="I814" s="5">
        <v>0</v>
      </c>
      <c r="J814" s="5" t="s">
        <v>32</v>
      </c>
      <c r="K814" s="5" t="s">
        <v>49</v>
      </c>
      <c r="L814" s="5" t="s">
        <v>28</v>
      </c>
      <c r="M814" s="7" t="s">
        <v>21</v>
      </c>
      <c r="N814" s="26">
        <f t="shared" si="84"/>
        <v>-1</v>
      </c>
      <c r="O814" s="42">
        <f t="shared" si="85"/>
        <v>45173</v>
      </c>
      <c r="P814" s="5" t="str">
        <f t="shared" si="86"/>
        <v>Monday</v>
      </c>
      <c r="Q814" s="5">
        <f t="shared" si="87"/>
        <v>10</v>
      </c>
      <c r="R814" s="28">
        <f t="shared" si="88"/>
        <v>1</v>
      </c>
      <c r="S814" s="29">
        <f t="shared" si="89"/>
        <v>100</v>
      </c>
      <c r="T814" s="5" t="str">
        <f>IF(Delivery_Data3[[#This Row],[Delays (min)]]&gt;0,"No","Yes")</f>
        <v>Yes</v>
      </c>
      <c r="W814" s="41">
        <f t="shared" si="90"/>
        <v>45173</v>
      </c>
      <c r="X814" s="5">
        <v>128</v>
      </c>
    </row>
    <row r="815" spans="1:24" ht="15.75" customHeight="1" x14ac:dyDescent="0.3">
      <c r="A815" s="4">
        <v>1814</v>
      </c>
      <c r="B815" s="5" t="s">
        <v>933</v>
      </c>
      <c r="C815" s="6">
        <v>45172.45416666667</v>
      </c>
      <c r="D815" s="5" t="s">
        <v>43</v>
      </c>
      <c r="E815" s="5" t="s">
        <v>220</v>
      </c>
      <c r="F815" s="5" t="s">
        <v>16</v>
      </c>
      <c r="G815" s="5" t="s">
        <v>56</v>
      </c>
      <c r="H815" s="5">
        <v>238</v>
      </c>
      <c r="I815" s="5">
        <v>27</v>
      </c>
      <c r="J815" s="5" t="s">
        <v>32</v>
      </c>
      <c r="K815" s="5" t="s">
        <v>49</v>
      </c>
      <c r="L815" s="5" t="s">
        <v>28</v>
      </c>
      <c r="M815" s="7" t="s">
        <v>21</v>
      </c>
      <c r="N815" s="26">
        <f t="shared" si="84"/>
        <v>-1</v>
      </c>
      <c r="O815" s="42">
        <f t="shared" si="85"/>
        <v>45172</v>
      </c>
      <c r="P815" s="5" t="str">
        <f t="shared" si="86"/>
        <v>Sunday</v>
      </c>
      <c r="Q815" s="5">
        <f t="shared" si="87"/>
        <v>10</v>
      </c>
      <c r="R815" s="28">
        <f t="shared" si="88"/>
        <v>0.89811320754716983</v>
      </c>
      <c r="S815" s="29">
        <f t="shared" si="89"/>
        <v>89.811320754716988</v>
      </c>
      <c r="T815" s="5" t="str">
        <f>IF(Delivery_Data3[[#This Row],[Delays (min)]]&gt;0,"No","Yes")</f>
        <v>No</v>
      </c>
      <c r="W815" s="41">
        <f t="shared" si="90"/>
        <v>45172</v>
      </c>
      <c r="X815" s="5">
        <v>238</v>
      </c>
    </row>
    <row r="816" spans="1:24" ht="15.75" customHeight="1" x14ac:dyDescent="0.3">
      <c r="A816" s="4">
        <v>1815</v>
      </c>
      <c r="B816" s="5" t="s">
        <v>934</v>
      </c>
      <c r="C816" s="6">
        <v>45176.588888888888</v>
      </c>
      <c r="D816" s="5" t="s">
        <v>14</v>
      </c>
      <c r="E816" s="5" t="s">
        <v>66</v>
      </c>
      <c r="F816" s="5" t="s">
        <v>38</v>
      </c>
      <c r="G816" s="5" t="s">
        <v>31</v>
      </c>
      <c r="H816" s="5">
        <v>205</v>
      </c>
      <c r="I816" s="5">
        <v>5</v>
      </c>
      <c r="J816" s="5" t="s">
        <v>26</v>
      </c>
      <c r="K816" s="5" t="s">
        <v>49</v>
      </c>
      <c r="L816" s="5" t="s">
        <v>40</v>
      </c>
      <c r="M816" s="7" t="s">
        <v>46</v>
      </c>
      <c r="N816" s="26">
        <f t="shared" si="84"/>
        <v>1</v>
      </c>
      <c r="O816" s="42">
        <f t="shared" si="85"/>
        <v>45176</v>
      </c>
      <c r="P816" s="5" t="str">
        <f t="shared" si="86"/>
        <v>Thursday</v>
      </c>
      <c r="Q816" s="5">
        <f t="shared" si="87"/>
        <v>14</v>
      </c>
      <c r="R816" s="28">
        <f t="shared" si="88"/>
        <v>0.97619047619047616</v>
      </c>
      <c r="S816" s="29">
        <f t="shared" si="89"/>
        <v>97.61904761904762</v>
      </c>
      <c r="T816" s="5" t="str">
        <f>IF(Delivery_Data3[[#This Row],[Delays (min)]]&gt;0,"No","Yes")</f>
        <v>No</v>
      </c>
      <c r="W816" s="41">
        <f t="shared" si="90"/>
        <v>45176</v>
      </c>
      <c r="X816" s="5">
        <v>205</v>
      </c>
    </row>
    <row r="817" spans="1:24" ht="15.75" customHeight="1" x14ac:dyDescent="0.3">
      <c r="A817" s="4">
        <v>1816</v>
      </c>
      <c r="B817" s="5" t="s">
        <v>935</v>
      </c>
      <c r="C817" s="6">
        <v>45174.378472222219</v>
      </c>
      <c r="D817" s="5" t="s">
        <v>14</v>
      </c>
      <c r="E817" s="5" t="s">
        <v>228</v>
      </c>
      <c r="F817" s="5" t="s">
        <v>38</v>
      </c>
      <c r="G817" s="5" t="s">
        <v>39</v>
      </c>
      <c r="H817" s="5">
        <v>68</v>
      </c>
      <c r="I817" s="5">
        <v>21</v>
      </c>
      <c r="J817" s="5" t="s">
        <v>32</v>
      </c>
      <c r="K817" s="5" t="s">
        <v>49</v>
      </c>
      <c r="L817" s="5" t="s">
        <v>28</v>
      </c>
      <c r="M817" s="7" t="s">
        <v>21</v>
      </c>
      <c r="N817" s="26">
        <f t="shared" si="84"/>
        <v>-1</v>
      </c>
      <c r="O817" s="42">
        <f t="shared" si="85"/>
        <v>45174</v>
      </c>
      <c r="P817" s="5" t="str">
        <f t="shared" si="86"/>
        <v>Tuesday</v>
      </c>
      <c r="Q817" s="5">
        <f t="shared" si="87"/>
        <v>9</v>
      </c>
      <c r="R817" s="28">
        <f t="shared" si="88"/>
        <v>0.7640449438202247</v>
      </c>
      <c r="S817" s="29">
        <f t="shared" si="89"/>
        <v>76.404494382022463</v>
      </c>
      <c r="T817" s="5" t="str">
        <f>IF(Delivery_Data3[[#This Row],[Delays (min)]]&gt;0,"No","Yes")</f>
        <v>No</v>
      </c>
      <c r="W817" s="41">
        <f t="shared" si="90"/>
        <v>45174</v>
      </c>
      <c r="X817" s="5">
        <v>68</v>
      </c>
    </row>
    <row r="818" spans="1:24" ht="15.75" customHeight="1" x14ac:dyDescent="0.3">
      <c r="A818" s="4">
        <v>1817</v>
      </c>
      <c r="B818" s="5" t="s">
        <v>936</v>
      </c>
      <c r="C818" s="6">
        <v>45173.427777777775</v>
      </c>
      <c r="D818" s="5" t="s">
        <v>43</v>
      </c>
      <c r="E818" s="5" t="s">
        <v>304</v>
      </c>
      <c r="F818" s="5" t="s">
        <v>38</v>
      </c>
      <c r="G818" s="5" t="s">
        <v>31</v>
      </c>
      <c r="H818" s="5">
        <v>159</v>
      </c>
      <c r="I818" s="5">
        <v>1</v>
      </c>
      <c r="J818" s="5" t="s">
        <v>26</v>
      </c>
      <c r="K818" s="5" t="s">
        <v>45</v>
      </c>
      <c r="L818" s="5" t="s">
        <v>28</v>
      </c>
      <c r="M818" s="7" t="s">
        <v>46</v>
      </c>
      <c r="N818" s="26">
        <f t="shared" si="84"/>
        <v>1</v>
      </c>
      <c r="O818" s="42">
        <f t="shared" si="85"/>
        <v>45173</v>
      </c>
      <c r="P818" s="5" t="str">
        <f t="shared" si="86"/>
        <v>Monday</v>
      </c>
      <c r="Q818" s="5">
        <f t="shared" si="87"/>
        <v>10</v>
      </c>
      <c r="R818" s="28">
        <f t="shared" si="88"/>
        <v>0.99375000000000002</v>
      </c>
      <c r="S818" s="29">
        <f t="shared" si="89"/>
        <v>99.375</v>
      </c>
      <c r="T818" s="5" t="str">
        <f>IF(Delivery_Data3[[#This Row],[Delays (min)]]&gt;0,"No","Yes")</f>
        <v>No</v>
      </c>
      <c r="W818" s="41">
        <f t="shared" si="90"/>
        <v>45173</v>
      </c>
      <c r="X818" s="5">
        <v>159</v>
      </c>
    </row>
    <row r="819" spans="1:24" ht="15.75" customHeight="1" x14ac:dyDescent="0.3">
      <c r="A819" s="4">
        <v>1818</v>
      </c>
      <c r="B819" s="5" t="s">
        <v>937</v>
      </c>
      <c r="C819" s="6">
        <v>45172.612500000003</v>
      </c>
      <c r="D819" s="5" t="s">
        <v>14</v>
      </c>
      <c r="E819" s="5" t="s">
        <v>193</v>
      </c>
      <c r="F819" s="5" t="s">
        <v>24</v>
      </c>
      <c r="G819" s="5" t="s">
        <v>17</v>
      </c>
      <c r="H819" s="5">
        <v>182</v>
      </c>
      <c r="I819" s="5">
        <v>25</v>
      </c>
      <c r="J819" s="5" t="s">
        <v>26</v>
      </c>
      <c r="K819" s="5" t="s">
        <v>35</v>
      </c>
      <c r="L819" s="5" t="s">
        <v>40</v>
      </c>
      <c r="M819" s="7" t="s">
        <v>41</v>
      </c>
      <c r="N819" s="26">
        <f t="shared" si="84"/>
        <v>1</v>
      </c>
      <c r="O819" s="42">
        <f t="shared" si="85"/>
        <v>45172</v>
      </c>
      <c r="P819" s="5" t="str">
        <f t="shared" si="86"/>
        <v>Sunday</v>
      </c>
      <c r="Q819" s="5">
        <f t="shared" si="87"/>
        <v>14</v>
      </c>
      <c r="R819" s="28">
        <f t="shared" si="88"/>
        <v>0.87922705314009664</v>
      </c>
      <c r="S819" s="29">
        <f t="shared" si="89"/>
        <v>87.922705314009661</v>
      </c>
      <c r="T819" s="5" t="str">
        <f>IF(Delivery_Data3[[#This Row],[Delays (min)]]&gt;0,"No","Yes")</f>
        <v>No</v>
      </c>
      <c r="W819" s="41">
        <f t="shared" si="90"/>
        <v>45172</v>
      </c>
      <c r="X819" s="5">
        <v>182</v>
      </c>
    </row>
    <row r="820" spans="1:24" ht="15.75" customHeight="1" x14ac:dyDescent="0.3">
      <c r="A820" s="4">
        <v>1819</v>
      </c>
      <c r="B820" s="5" t="s">
        <v>938</v>
      </c>
      <c r="C820" s="6">
        <v>45175.570138888892</v>
      </c>
      <c r="D820" s="5" t="s">
        <v>43</v>
      </c>
      <c r="E820" s="5" t="s">
        <v>370</v>
      </c>
      <c r="F820" s="5" t="s">
        <v>38</v>
      </c>
      <c r="G820" s="5" t="s">
        <v>17</v>
      </c>
      <c r="H820" s="5">
        <v>162</v>
      </c>
      <c r="I820" s="5">
        <v>27</v>
      </c>
      <c r="J820" s="5" t="s">
        <v>18</v>
      </c>
      <c r="K820" s="5" t="s">
        <v>19</v>
      </c>
      <c r="L820" s="5" t="s">
        <v>20</v>
      </c>
      <c r="M820" s="7" t="s">
        <v>41</v>
      </c>
      <c r="N820" s="26">
        <f t="shared" si="84"/>
        <v>0</v>
      </c>
      <c r="O820" s="42">
        <f t="shared" si="85"/>
        <v>45175</v>
      </c>
      <c r="P820" s="5" t="str">
        <f t="shared" si="86"/>
        <v>Wednesday</v>
      </c>
      <c r="Q820" s="5">
        <f t="shared" si="87"/>
        <v>13</v>
      </c>
      <c r="R820" s="28">
        <f t="shared" si="88"/>
        <v>0.8571428571428571</v>
      </c>
      <c r="S820" s="29">
        <f t="shared" si="89"/>
        <v>85.714285714285708</v>
      </c>
      <c r="T820" s="5" t="str">
        <f>IF(Delivery_Data3[[#This Row],[Delays (min)]]&gt;0,"No","Yes")</f>
        <v>No</v>
      </c>
      <c r="W820" s="41">
        <f t="shared" si="90"/>
        <v>45175</v>
      </c>
      <c r="X820" s="5">
        <v>162</v>
      </c>
    </row>
    <row r="821" spans="1:24" ht="15.75" customHeight="1" x14ac:dyDescent="0.3">
      <c r="A821" s="4">
        <v>1820</v>
      </c>
      <c r="B821" s="5" t="s">
        <v>939</v>
      </c>
      <c r="C821" s="6">
        <v>45172.529861111114</v>
      </c>
      <c r="D821" s="5" t="s">
        <v>14</v>
      </c>
      <c r="E821" s="5" t="s">
        <v>189</v>
      </c>
      <c r="F821" s="5" t="s">
        <v>16</v>
      </c>
      <c r="G821" s="5" t="s">
        <v>56</v>
      </c>
      <c r="H821" s="5">
        <v>136</v>
      </c>
      <c r="I821" s="5">
        <v>22</v>
      </c>
      <c r="J821" s="5" t="s">
        <v>32</v>
      </c>
      <c r="K821" s="5" t="s">
        <v>19</v>
      </c>
      <c r="L821" s="5" t="s">
        <v>40</v>
      </c>
      <c r="M821" s="7" t="s">
        <v>46</v>
      </c>
      <c r="N821" s="26">
        <f t="shared" si="84"/>
        <v>-1</v>
      </c>
      <c r="O821" s="42">
        <f t="shared" si="85"/>
        <v>45172</v>
      </c>
      <c r="P821" s="5" t="str">
        <f t="shared" si="86"/>
        <v>Sunday</v>
      </c>
      <c r="Q821" s="5">
        <f t="shared" si="87"/>
        <v>12</v>
      </c>
      <c r="R821" s="28">
        <f t="shared" si="88"/>
        <v>0.86075949367088611</v>
      </c>
      <c r="S821" s="29">
        <f t="shared" si="89"/>
        <v>86.075949367088612</v>
      </c>
      <c r="T821" s="5" t="str">
        <f>IF(Delivery_Data3[[#This Row],[Delays (min)]]&gt;0,"No","Yes")</f>
        <v>No</v>
      </c>
      <c r="W821" s="41">
        <f t="shared" si="90"/>
        <v>45172</v>
      </c>
      <c r="X821" s="5">
        <v>136</v>
      </c>
    </row>
    <row r="822" spans="1:24" ht="15.75" customHeight="1" x14ac:dyDescent="0.3">
      <c r="A822" s="4">
        <v>1821</v>
      </c>
      <c r="B822" s="5" t="s">
        <v>940</v>
      </c>
      <c r="C822" s="6">
        <v>45170.404861111114</v>
      </c>
      <c r="D822" s="5" t="s">
        <v>43</v>
      </c>
      <c r="E822" s="5" t="s">
        <v>140</v>
      </c>
      <c r="F822" s="5" t="s">
        <v>16</v>
      </c>
      <c r="G822" s="5" t="s">
        <v>56</v>
      </c>
      <c r="H822" s="5">
        <v>142</v>
      </c>
      <c r="I822" s="5">
        <v>2</v>
      </c>
      <c r="J822" s="5" t="s">
        <v>18</v>
      </c>
      <c r="K822" s="5" t="s">
        <v>45</v>
      </c>
      <c r="L822" s="5" t="s">
        <v>20</v>
      </c>
      <c r="M822" s="7" t="s">
        <v>21</v>
      </c>
      <c r="N822" s="26">
        <f t="shared" si="84"/>
        <v>0</v>
      </c>
      <c r="O822" s="42">
        <f t="shared" si="85"/>
        <v>45170</v>
      </c>
      <c r="P822" s="5" t="str">
        <f t="shared" si="86"/>
        <v>Friday</v>
      </c>
      <c r="Q822" s="5">
        <f t="shared" si="87"/>
        <v>9</v>
      </c>
      <c r="R822" s="28">
        <f t="shared" si="88"/>
        <v>0.98611111111111116</v>
      </c>
      <c r="S822" s="29">
        <f t="shared" si="89"/>
        <v>98.611111111111114</v>
      </c>
      <c r="T822" s="5" t="str">
        <f>IF(Delivery_Data3[[#This Row],[Delays (min)]]&gt;0,"No","Yes")</f>
        <v>No</v>
      </c>
      <c r="W822" s="41">
        <f t="shared" si="90"/>
        <v>45170</v>
      </c>
      <c r="X822" s="5">
        <v>142</v>
      </c>
    </row>
    <row r="823" spans="1:24" ht="15.75" customHeight="1" x14ac:dyDescent="0.3">
      <c r="A823" s="4">
        <v>1822</v>
      </c>
      <c r="B823" s="5" t="s">
        <v>941</v>
      </c>
      <c r="C823" s="6">
        <v>45177.699305555558</v>
      </c>
      <c r="D823" s="5" t="s">
        <v>43</v>
      </c>
      <c r="E823" s="5" t="s">
        <v>76</v>
      </c>
      <c r="F823" s="5" t="s">
        <v>16</v>
      </c>
      <c r="G823" s="5" t="s">
        <v>25</v>
      </c>
      <c r="H823" s="5">
        <v>113</v>
      </c>
      <c r="I823" s="5">
        <v>8</v>
      </c>
      <c r="J823" s="5" t="s">
        <v>26</v>
      </c>
      <c r="K823" s="5" t="s">
        <v>19</v>
      </c>
      <c r="L823" s="5" t="s">
        <v>28</v>
      </c>
      <c r="M823" s="7" t="s">
        <v>41</v>
      </c>
      <c r="N823" s="26">
        <f t="shared" si="84"/>
        <v>1</v>
      </c>
      <c r="O823" s="42">
        <f t="shared" si="85"/>
        <v>45177</v>
      </c>
      <c r="P823" s="5" t="str">
        <f t="shared" si="86"/>
        <v>Friday</v>
      </c>
      <c r="Q823" s="5">
        <f t="shared" si="87"/>
        <v>16</v>
      </c>
      <c r="R823" s="28">
        <f t="shared" si="88"/>
        <v>0.93388429752066116</v>
      </c>
      <c r="S823" s="29">
        <f t="shared" si="89"/>
        <v>93.388429752066116</v>
      </c>
      <c r="T823" s="5" t="str">
        <f>IF(Delivery_Data3[[#This Row],[Delays (min)]]&gt;0,"No","Yes")</f>
        <v>No</v>
      </c>
      <c r="W823" s="41">
        <f t="shared" si="90"/>
        <v>45177</v>
      </c>
      <c r="X823" s="5">
        <v>113</v>
      </c>
    </row>
    <row r="824" spans="1:24" ht="15.75" customHeight="1" x14ac:dyDescent="0.3">
      <c r="A824" s="4">
        <v>1823</v>
      </c>
      <c r="B824" s="5" t="s">
        <v>942</v>
      </c>
      <c r="C824" s="6">
        <v>45176.407638888886</v>
      </c>
      <c r="D824" s="5" t="s">
        <v>43</v>
      </c>
      <c r="E824" s="5" t="s">
        <v>211</v>
      </c>
      <c r="F824" s="5" t="s">
        <v>16</v>
      </c>
      <c r="G824" s="5" t="s">
        <v>31</v>
      </c>
      <c r="H824" s="5">
        <v>231</v>
      </c>
      <c r="I824" s="5">
        <v>9</v>
      </c>
      <c r="J824" s="5" t="s">
        <v>32</v>
      </c>
      <c r="K824" s="5" t="s">
        <v>27</v>
      </c>
      <c r="L824" s="5" t="s">
        <v>20</v>
      </c>
      <c r="M824" s="7" t="s">
        <v>21</v>
      </c>
      <c r="N824" s="26">
        <f t="shared" si="84"/>
        <v>-1</v>
      </c>
      <c r="O824" s="42">
        <f t="shared" si="85"/>
        <v>45176</v>
      </c>
      <c r="P824" s="5" t="str">
        <f t="shared" si="86"/>
        <v>Thursday</v>
      </c>
      <c r="Q824" s="5">
        <f t="shared" si="87"/>
        <v>9</v>
      </c>
      <c r="R824" s="28">
        <f t="shared" si="88"/>
        <v>0.96250000000000002</v>
      </c>
      <c r="S824" s="29">
        <f t="shared" si="89"/>
        <v>96.25</v>
      </c>
      <c r="T824" s="5" t="str">
        <f>IF(Delivery_Data3[[#This Row],[Delays (min)]]&gt;0,"No","Yes")</f>
        <v>No</v>
      </c>
      <c r="W824" s="41">
        <f t="shared" si="90"/>
        <v>45176</v>
      </c>
      <c r="X824" s="5">
        <v>231</v>
      </c>
    </row>
    <row r="825" spans="1:24" ht="15.75" customHeight="1" x14ac:dyDescent="0.3">
      <c r="A825" s="4">
        <v>1824</v>
      </c>
      <c r="B825" s="5" t="s">
        <v>943</v>
      </c>
      <c r="C825" s="6">
        <v>45173.444444444445</v>
      </c>
      <c r="D825" s="5" t="s">
        <v>14</v>
      </c>
      <c r="E825" s="5" t="s">
        <v>468</v>
      </c>
      <c r="F825" s="5" t="s">
        <v>16</v>
      </c>
      <c r="G825" s="5" t="s">
        <v>31</v>
      </c>
      <c r="H825" s="5">
        <v>203</v>
      </c>
      <c r="I825" s="5">
        <v>10</v>
      </c>
      <c r="J825" s="5" t="s">
        <v>26</v>
      </c>
      <c r="K825" s="5" t="s">
        <v>27</v>
      </c>
      <c r="L825" s="5" t="s">
        <v>28</v>
      </c>
      <c r="M825" s="7" t="s">
        <v>41</v>
      </c>
      <c r="N825" s="26">
        <f t="shared" si="84"/>
        <v>1</v>
      </c>
      <c r="O825" s="42">
        <f t="shared" si="85"/>
        <v>45173</v>
      </c>
      <c r="P825" s="5" t="str">
        <f t="shared" si="86"/>
        <v>Monday</v>
      </c>
      <c r="Q825" s="5">
        <f t="shared" si="87"/>
        <v>10</v>
      </c>
      <c r="R825" s="28">
        <f t="shared" si="88"/>
        <v>0.95305164319248825</v>
      </c>
      <c r="S825" s="29">
        <f t="shared" si="89"/>
        <v>95.305164319248831</v>
      </c>
      <c r="T825" s="5" t="str">
        <f>IF(Delivery_Data3[[#This Row],[Delays (min)]]&gt;0,"No","Yes")</f>
        <v>No</v>
      </c>
      <c r="W825" s="41">
        <f t="shared" si="90"/>
        <v>45173</v>
      </c>
      <c r="X825" s="5">
        <v>203</v>
      </c>
    </row>
    <row r="826" spans="1:24" ht="15.75" customHeight="1" x14ac:dyDescent="0.3">
      <c r="A826" s="4">
        <v>1825</v>
      </c>
      <c r="B826" s="5" t="s">
        <v>944</v>
      </c>
      <c r="C826" s="6">
        <v>45171.540277777778</v>
      </c>
      <c r="D826" s="5" t="s">
        <v>43</v>
      </c>
      <c r="E826" s="5" t="s">
        <v>304</v>
      </c>
      <c r="F826" s="5" t="s">
        <v>38</v>
      </c>
      <c r="G826" s="5" t="s">
        <v>31</v>
      </c>
      <c r="H826" s="5">
        <v>239</v>
      </c>
      <c r="I826" s="5">
        <v>24</v>
      </c>
      <c r="J826" s="5" t="s">
        <v>18</v>
      </c>
      <c r="K826" s="5" t="s">
        <v>27</v>
      </c>
      <c r="L826" s="5" t="s">
        <v>20</v>
      </c>
      <c r="M826" s="7" t="s">
        <v>21</v>
      </c>
      <c r="N826" s="26">
        <f t="shared" si="84"/>
        <v>0</v>
      </c>
      <c r="O826" s="42">
        <f t="shared" si="85"/>
        <v>45171</v>
      </c>
      <c r="P826" s="5" t="str">
        <f t="shared" si="86"/>
        <v>Saturday</v>
      </c>
      <c r="Q826" s="5">
        <f t="shared" si="87"/>
        <v>12</v>
      </c>
      <c r="R826" s="28">
        <f t="shared" si="88"/>
        <v>0.90874524714828897</v>
      </c>
      <c r="S826" s="29">
        <f t="shared" si="89"/>
        <v>90.874524714828894</v>
      </c>
      <c r="T826" s="5" t="str">
        <f>IF(Delivery_Data3[[#This Row],[Delays (min)]]&gt;0,"No","Yes")</f>
        <v>No</v>
      </c>
      <c r="W826" s="41">
        <f t="shared" si="90"/>
        <v>45171</v>
      </c>
      <c r="X826" s="5">
        <v>239</v>
      </c>
    </row>
    <row r="827" spans="1:24" ht="15.75" customHeight="1" x14ac:dyDescent="0.3">
      <c r="A827" s="4">
        <v>1826</v>
      </c>
      <c r="B827" s="5" t="s">
        <v>945</v>
      </c>
      <c r="C827" s="6">
        <v>45173.594444444447</v>
      </c>
      <c r="D827" s="5" t="s">
        <v>43</v>
      </c>
      <c r="E827" s="5" t="s">
        <v>23</v>
      </c>
      <c r="F827" s="5" t="s">
        <v>38</v>
      </c>
      <c r="G827" s="5" t="s">
        <v>56</v>
      </c>
      <c r="H827" s="5">
        <v>74</v>
      </c>
      <c r="I827" s="5">
        <v>22</v>
      </c>
      <c r="J827" s="5" t="s">
        <v>32</v>
      </c>
      <c r="K827" s="5" t="s">
        <v>49</v>
      </c>
      <c r="L827" s="5" t="s">
        <v>20</v>
      </c>
      <c r="M827" s="7" t="s">
        <v>41</v>
      </c>
      <c r="N827" s="26">
        <f t="shared" si="84"/>
        <v>-1</v>
      </c>
      <c r="O827" s="42">
        <f t="shared" si="85"/>
        <v>45173</v>
      </c>
      <c r="P827" s="5" t="str">
        <f t="shared" si="86"/>
        <v>Monday</v>
      </c>
      <c r="Q827" s="5">
        <f t="shared" si="87"/>
        <v>14</v>
      </c>
      <c r="R827" s="28">
        <f t="shared" si="88"/>
        <v>0.77083333333333337</v>
      </c>
      <c r="S827" s="29">
        <f t="shared" si="89"/>
        <v>77.083333333333343</v>
      </c>
      <c r="T827" s="5" t="str">
        <f>IF(Delivery_Data3[[#This Row],[Delays (min)]]&gt;0,"No","Yes")</f>
        <v>No</v>
      </c>
      <c r="W827" s="41">
        <f t="shared" si="90"/>
        <v>45173</v>
      </c>
      <c r="X827" s="5">
        <v>74</v>
      </c>
    </row>
    <row r="828" spans="1:24" ht="15.75" customHeight="1" x14ac:dyDescent="0.3">
      <c r="A828" s="4">
        <v>1827</v>
      </c>
      <c r="B828" s="5" t="s">
        <v>946</v>
      </c>
      <c r="C828" s="6">
        <v>45175.482638888891</v>
      </c>
      <c r="D828" s="5" t="s">
        <v>14</v>
      </c>
      <c r="E828" s="5" t="s">
        <v>51</v>
      </c>
      <c r="F828" s="5" t="s">
        <v>24</v>
      </c>
      <c r="G828" s="5" t="s">
        <v>25</v>
      </c>
      <c r="H828" s="5">
        <v>238</v>
      </c>
      <c r="I828" s="5">
        <v>4</v>
      </c>
      <c r="J828" s="5" t="s">
        <v>18</v>
      </c>
      <c r="K828" s="5" t="s">
        <v>19</v>
      </c>
      <c r="L828" s="5" t="s">
        <v>40</v>
      </c>
      <c r="M828" s="7" t="s">
        <v>41</v>
      </c>
      <c r="N828" s="26">
        <f t="shared" si="84"/>
        <v>0</v>
      </c>
      <c r="O828" s="42">
        <f t="shared" si="85"/>
        <v>45175</v>
      </c>
      <c r="P828" s="5" t="str">
        <f t="shared" si="86"/>
        <v>Wednesday</v>
      </c>
      <c r="Q828" s="5">
        <f t="shared" si="87"/>
        <v>11</v>
      </c>
      <c r="R828" s="28">
        <f t="shared" si="88"/>
        <v>0.98347107438016534</v>
      </c>
      <c r="S828" s="29">
        <f t="shared" si="89"/>
        <v>98.347107438016536</v>
      </c>
      <c r="T828" s="5" t="str">
        <f>IF(Delivery_Data3[[#This Row],[Delays (min)]]&gt;0,"No","Yes")</f>
        <v>No</v>
      </c>
      <c r="W828" s="41">
        <f t="shared" si="90"/>
        <v>45175</v>
      </c>
      <c r="X828" s="5">
        <v>238</v>
      </c>
    </row>
    <row r="829" spans="1:24" ht="15.75" customHeight="1" x14ac:dyDescent="0.3">
      <c r="A829" s="4">
        <v>1828</v>
      </c>
      <c r="B829" s="5" t="s">
        <v>947</v>
      </c>
      <c r="C829" s="6">
        <v>45172.49722222222</v>
      </c>
      <c r="D829" s="5" t="s">
        <v>14</v>
      </c>
      <c r="E829" s="5" t="s">
        <v>109</v>
      </c>
      <c r="F829" s="5" t="s">
        <v>24</v>
      </c>
      <c r="G829" s="5" t="s">
        <v>31</v>
      </c>
      <c r="H829" s="5">
        <v>68</v>
      </c>
      <c r="I829" s="5">
        <v>4</v>
      </c>
      <c r="J829" s="5" t="s">
        <v>32</v>
      </c>
      <c r="K829" s="5" t="s">
        <v>49</v>
      </c>
      <c r="L829" s="5" t="s">
        <v>40</v>
      </c>
      <c r="M829" s="7" t="s">
        <v>21</v>
      </c>
      <c r="N829" s="26">
        <f t="shared" si="84"/>
        <v>-1</v>
      </c>
      <c r="O829" s="42">
        <f t="shared" si="85"/>
        <v>45172</v>
      </c>
      <c r="P829" s="5" t="str">
        <f t="shared" si="86"/>
        <v>Sunday</v>
      </c>
      <c r="Q829" s="5">
        <f t="shared" si="87"/>
        <v>11</v>
      </c>
      <c r="R829" s="28">
        <f t="shared" si="88"/>
        <v>0.94444444444444442</v>
      </c>
      <c r="S829" s="29">
        <f t="shared" si="89"/>
        <v>94.444444444444443</v>
      </c>
      <c r="T829" s="5" t="str">
        <f>IF(Delivery_Data3[[#This Row],[Delays (min)]]&gt;0,"No","Yes")</f>
        <v>No</v>
      </c>
      <c r="W829" s="41">
        <f t="shared" si="90"/>
        <v>45172</v>
      </c>
      <c r="X829" s="5">
        <v>68</v>
      </c>
    </row>
    <row r="830" spans="1:24" ht="15.75" customHeight="1" x14ac:dyDescent="0.3">
      <c r="A830" s="4">
        <v>1829</v>
      </c>
      <c r="B830" s="5" t="s">
        <v>948</v>
      </c>
      <c r="C830" s="6">
        <v>45172.520138888889</v>
      </c>
      <c r="D830" s="5" t="s">
        <v>14</v>
      </c>
      <c r="E830" s="5" t="s">
        <v>103</v>
      </c>
      <c r="F830" s="5" t="s">
        <v>16</v>
      </c>
      <c r="G830" s="5" t="s">
        <v>31</v>
      </c>
      <c r="H830" s="5">
        <v>131</v>
      </c>
      <c r="I830" s="5">
        <v>3</v>
      </c>
      <c r="J830" s="5" t="s">
        <v>18</v>
      </c>
      <c r="K830" s="5" t="s">
        <v>27</v>
      </c>
      <c r="L830" s="5" t="s">
        <v>40</v>
      </c>
      <c r="M830" s="7" t="s">
        <v>21</v>
      </c>
      <c r="N830" s="26">
        <f t="shared" si="84"/>
        <v>0</v>
      </c>
      <c r="O830" s="42">
        <f t="shared" si="85"/>
        <v>45172</v>
      </c>
      <c r="P830" s="5" t="str">
        <f t="shared" si="86"/>
        <v>Sunday</v>
      </c>
      <c r="Q830" s="5">
        <f t="shared" si="87"/>
        <v>12</v>
      </c>
      <c r="R830" s="28">
        <f t="shared" si="88"/>
        <v>0.97761194029850751</v>
      </c>
      <c r="S830" s="29">
        <f t="shared" si="89"/>
        <v>97.761194029850756</v>
      </c>
      <c r="T830" s="5" t="str">
        <f>IF(Delivery_Data3[[#This Row],[Delays (min)]]&gt;0,"No","Yes")</f>
        <v>No</v>
      </c>
      <c r="W830" s="41">
        <f t="shared" si="90"/>
        <v>45172</v>
      </c>
      <c r="X830" s="5">
        <v>131</v>
      </c>
    </row>
    <row r="831" spans="1:24" ht="15.75" customHeight="1" x14ac:dyDescent="0.3">
      <c r="A831" s="4">
        <v>1830</v>
      </c>
      <c r="B831" s="5" t="s">
        <v>949</v>
      </c>
      <c r="C831" s="6">
        <v>45170.570833333331</v>
      </c>
      <c r="D831" s="5" t="s">
        <v>43</v>
      </c>
      <c r="E831" s="5" t="s">
        <v>288</v>
      </c>
      <c r="F831" s="5" t="s">
        <v>16</v>
      </c>
      <c r="G831" s="5" t="s">
        <v>25</v>
      </c>
      <c r="H831" s="5">
        <v>80</v>
      </c>
      <c r="I831" s="5">
        <v>8</v>
      </c>
      <c r="J831" s="5" t="s">
        <v>18</v>
      </c>
      <c r="K831" s="5" t="s">
        <v>35</v>
      </c>
      <c r="L831" s="5" t="s">
        <v>28</v>
      </c>
      <c r="M831" s="7" t="s">
        <v>21</v>
      </c>
      <c r="N831" s="26">
        <f t="shared" si="84"/>
        <v>0</v>
      </c>
      <c r="O831" s="42">
        <f t="shared" si="85"/>
        <v>45170</v>
      </c>
      <c r="P831" s="5" t="str">
        <f t="shared" si="86"/>
        <v>Friday</v>
      </c>
      <c r="Q831" s="5">
        <f t="shared" si="87"/>
        <v>13</v>
      </c>
      <c r="R831" s="28">
        <f t="shared" si="88"/>
        <v>0.90909090909090906</v>
      </c>
      <c r="S831" s="29">
        <f t="shared" si="89"/>
        <v>90.909090909090907</v>
      </c>
      <c r="T831" s="5" t="str">
        <f>IF(Delivery_Data3[[#This Row],[Delays (min)]]&gt;0,"No","Yes")</f>
        <v>No</v>
      </c>
      <c r="W831" s="41">
        <f t="shared" si="90"/>
        <v>45170</v>
      </c>
      <c r="X831" s="5">
        <v>80</v>
      </c>
    </row>
    <row r="832" spans="1:24" ht="15.75" customHeight="1" x14ac:dyDescent="0.3">
      <c r="A832" s="4">
        <v>1831</v>
      </c>
      <c r="B832" s="5" t="s">
        <v>950</v>
      </c>
      <c r="C832" s="6">
        <v>45173.56527777778</v>
      </c>
      <c r="D832" s="5" t="s">
        <v>43</v>
      </c>
      <c r="E832" s="5" t="s">
        <v>113</v>
      </c>
      <c r="F832" s="5" t="s">
        <v>24</v>
      </c>
      <c r="G832" s="5" t="s">
        <v>17</v>
      </c>
      <c r="H832" s="5">
        <v>177</v>
      </c>
      <c r="I832" s="5">
        <v>23</v>
      </c>
      <c r="J832" s="5" t="s">
        <v>26</v>
      </c>
      <c r="K832" s="5" t="s">
        <v>45</v>
      </c>
      <c r="L832" s="5" t="s">
        <v>20</v>
      </c>
      <c r="M832" s="7" t="s">
        <v>21</v>
      </c>
      <c r="N832" s="26">
        <f t="shared" si="84"/>
        <v>1</v>
      </c>
      <c r="O832" s="42">
        <f t="shared" si="85"/>
        <v>45173</v>
      </c>
      <c r="P832" s="5" t="str">
        <f t="shared" si="86"/>
        <v>Monday</v>
      </c>
      <c r="Q832" s="5">
        <f t="shared" si="87"/>
        <v>13</v>
      </c>
      <c r="R832" s="28">
        <f t="shared" si="88"/>
        <v>0.88500000000000001</v>
      </c>
      <c r="S832" s="29">
        <f t="shared" si="89"/>
        <v>88.5</v>
      </c>
      <c r="T832" s="5" t="str">
        <f>IF(Delivery_Data3[[#This Row],[Delays (min)]]&gt;0,"No","Yes")</f>
        <v>No</v>
      </c>
      <c r="W832" s="41">
        <f t="shared" si="90"/>
        <v>45173</v>
      </c>
      <c r="X832" s="5">
        <v>177</v>
      </c>
    </row>
    <row r="833" spans="1:24" ht="15.75" customHeight="1" x14ac:dyDescent="0.3">
      <c r="A833" s="4">
        <v>1832</v>
      </c>
      <c r="B833" s="5" t="s">
        <v>951</v>
      </c>
      <c r="C833" s="6">
        <v>45174.46875</v>
      </c>
      <c r="D833" s="5" t="s">
        <v>14</v>
      </c>
      <c r="E833" s="5" t="s">
        <v>132</v>
      </c>
      <c r="F833" s="5" t="s">
        <v>16</v>
      </c>
      <c r="G833" s="5" t="s">
        <v>56</v>
      </c>
      <c r="H833" s="5">
        <v>171</v>
      </c>
      <c r="I833" s="5">
        <v>28</v>
      </c>
      <c r="J833" s="5" t="s">
        <v>26</v>
      </c>
      <c r="K833" s="5" t="s">
        <v>27</v>
      </c>
      <c r="L833" s="5" t="s">
        <v>40</v>
      </c>
      <c r="M833" s="7" t="s">
        <v>21</v>
      </c>
      <c r="N833" s="26">
        <f t="shared" si="84"/>
        <v>1</v>
      </c>
      <c r="O833" s="42">
        <f t="shared" si="85"/>
        <v>45174</v>
      </c>
      <c r="P833" s="5" t="str">
        <f t="shared" si="86"/>
        <v>Tuesday</v>
      </c>
      <c r="Q833" s="5">
        <f t="shared" si="87"/>
        <v>11</v>
      </c>
      <c r="R833" s="28">
        <f t="shared" si="88"/>
        <v>0.85929648241206025</v>
      </c>
      <c r="S833" s="29">
        <f t="shared" si="89"/>
        <v>85.929648241206024</v>
      </c>
      <c r="T833" s="5" t="str">
        <f>IF(Delivery_Data3[[#This Row],[Delays (min)]]&gt;0,"No","Yes")</f>
        <v>No</v>
      </c>
      <c r="W833" s="41">
        <f t="shared" si="90"/>
        <v>45174</v>
      </c>
      <c r="X833" s="5">
        <v>171</v>
      </c>
    </row>
    <row r="834" spans="1:24" ht="15.75" customHeight="1" x14ac:dyDescent="0.3">
      <c r="A834" s="4">
        <v>1833</v>
      </c>
      <c r="B834" s="5" t="s">
        <v>952</v>
      </c>
      <c r="C834" s="6">
        <v>45170.494444444441</v>
      </c>
      <c r="D834" s="5" t="s">
        <v>14</v>
      </c>
      <c r="E834" s="5" t="s">
        <v>177</v>
      </c>
      <c r="F834" s="5" t="s">
        <v>24</v>
      </c>
      <c r="G834" s="5" t="s">
        <v>56</v>
      </c>
      <c r="H834" s="5">
        <v>219</v>
      </c>
      <c r="I834" s="5">
        <v>1</v>
      </c>
      <c r="J834" s="5" t="s">
        <v>32</v>
      </c>
      <c r="K834" s="5" t="s">
        <v>19</v>
      </c>
      <c r="L834" s="5" t="s">
        <v>28</v>
      </c>
      <c r="M834" s="7" t="s">
        <v>41</v>
      </c>
      <c r="N834" s="26">
        <f t="shared" ref="N834:N897" si="91">IF(J834="Positive",1,IF(J834="Neutral",0,IF(J834="Negative",-1,"")))</f>
        <v>-1</v>
      </c>
      <c r="O834" s="42">
        <f t="shared" ref="O834:O897" si="92">INT(C834)</f>
        <v>45170</v>
      </c>
      <c r="P834" s="5" t="str">
        <f t="shared" ref="P834:P897" si="93">TEXT(C834,"dddd")</f>
        <v>Friday</v>
      </c>
      <c r="Q834" s="5">
        <f t="shared" ref="Q834:Q897" si="94">HOUR(C834)</f>
        <v>11</v>
      </c>
      <c r="R834" s="28">
        <f t="shared" ref="R834:R897" si="95">H834/(H834+I834)</f>
        <v>0.99545454545454548</v>
      </c>
      <c r="S834" s="29">
        <f t="shared" si="89"/>
        <v>99.545454545454547</v>
      </c>
      <c r="T834" s="5" t="str">
        <f>IF(Delivery_Data3[[#This Row],[Delays (min)]]&gt;0,"No","Yes")</f>
        <v>No</v>
      </c>
      <c r="W834" s="41">
        <f t="shared" si="90"/>
        <v>45170</v>
      </c>
      <c r="X834" s="5">
        <v>219</v>
      </c>
    </row>
    <row r="835" spans="1:24" ht="15.75" customHeight="1" x14ac:dyDescent="0.3">
      <c r="A835" s="4">
        <v>1834</v>
      </c>
      <c r="B835" s="5" t="s">
        <v>953</v>
      </c>
      <c r="C835" s="6">
        <v>45171.461111111108</v>
      </c>
      <c r="D835" s="5" t="s">
        <v>43</v>
      </c>
      <c r="E835" s="5" t="s">
        <v>370</v>
      </c>
      <c r="F835" s="5" t="s">
        <v>38</v>
      </c>
      <c r="G835" s="5" t="s">
        <v>56</v>
      </c>
      <c r="H835" s="5">
        <v>61</v>
      </c>
      <c r="I835" s="5">
        <v>16</v>
      </c>
      <c r="J835" s="5" t="s">
        <v>18</v>
      </c>
      <c r="K835" s="5" t="s">
        <v>45</v>
      </c>
      <c r="L835" s="5" t="s">
        <v>40</v>
      </c>
      <c r="M835" s="7" t="s">
        <v>21</v>
      </c>
      <c r="N835" s="26">
        <f t="shared" si="91"/>
        <v>0</v>
      </c>
      <c r="O835" s="42">
        <f t="shared" si="92"/>
        <v>45171</v>
      </c>
      <c r="P835" s="5" t="str">
        <f t="shared" si="93"/>
        <v>Saturday</v>
      </c>
      <c r="Q835" s="5">
        <f t="shared" si="94"/>
        <v>11</v>
      </c>
      <c r="R835" s="28">
        <f t="shared" si="95"/>
        <v>0.79220779220779225</v>
      </c>
      <c r="S835" s="29">
        <f t="shared" ref="S835:S898" si="96">IF(H835+I835=0,0,(H835/(H835+I835))*100) + (IFERROR(--J835,0)*10)</f>
        <v>79.220779220779221</v>
      </c>
      <c r="T835" s="5" t="str">
        <f>IF(Delivery_Data3[[#This Row],[Delays (min)]]&gt;0,"No","Yes")</f>
        <v>No</v>
      </c>
      <c r="W835" s="41">
        <f t="shared" ref="W835:W898" si="97">INT(C835)</f>
        <v>45171</v>
      </c>
      <c r="X835" s="5">
        <v>61</v>
      </c>
    </row>
    <row r="836" spans="1:24" ht="15.75" customHeight="1" x14ac:dyDescent="0.3">
      <c r="A836" s="4">
        <v>1835</v>
      </c>
      <c r="B836" s="5" t="s">
        <v>954</v>
      </c>
      <c r="C836" s="6">
        <v>45177.57916666667</v>
      </c>
      <c r="D836" s="5" t="s">
        <v>14</v>
      </c>
      <c r="E836" s="5" t="s">
        <v>140</v>
      </c>
      <c r="F836" s="5" t="s">
        <v>38</v>
      </c>
      <c r="G836" s="5" t="s">
        <v>31</v>
      </c>
      <c r="H836" s="5">
        <v>195</v>
      </c>
      <c r="I836" s="5">
        <v>13</v>
      </c>
      <c r="J836" s="5" t="s">
        <v>26</v>
      </c>
      <c r="K836" s="5" t="s">
        <v>27</v>
      </c>
      <c r="L836" s="5" t="s">
        <v>40</v>
      </c>
      <c r="M836" s="7" t="s">
        <v>41</v>
      </c>
      <c r="N836" s="26">
        <f t="shared" si="91"/>
        <v>1</v>
      </c>
      <c r="O836" s="42">
        <f t="shared" si="92"/>
        <v>45177</v>
      </c>
      <c r="P836" s="5" t="str">
        <f t="shared" si="93"/>
        <v>Friday</v>
      </c>
      <c r="Q836" s="5">
        <f t="shared" si="94"/>
        <v>13</v>
      </c>
      <c r="R836" s="28">
        <f t="shared" si="95"/>
        <v>0.9375</v>
      </c>
      <c r="S836" s="29">
        <f t="shared" si="96"/>
        <v>93.75</v>
      </c>
      <c r="T836" s="5" t="str">
        <f>IF(Delivery_Data3[[#This Row],[Delays (min)]]&gt;0,"No","Yes")</f>
        <v>No</v>
      </c>
      <c r="W836" s="41">
        <f t="shared" si="97"/>
        <v>45177</v>
      </c>
      <c r="X836" s="5">
        <v>195</v>
      </c>
    </row>
    <row r="837" spans="1:24" ht="15.75" customHeight="1" x14ac:dyDescent="0.3">
      <c r="A837" s="4">
        <v>1836</v>
      </c>
      <c r="B837" s="5" t="s">
        <v>955</v>
      </c>
      <c r="C837" s="6">
        <v>45175.584027777775</v>
      </c>
      <c r="D837" s="5" t="s">
        <v>43</v>
      </c>
      <c r="E837" s="5" t="s">
        <v>410</v>
      </c>
      <c r="F837" s="5" t="s">
        <v>16</v>
      </c>
      <c r="G837" s="5" t="s">
        <v>31</v>
      </c>
      <c r="H837" s="5">
        <v>70</v>
      </c>
      <c r="I837" s="5">
        <v>21</v>
      </c>
      <c r="J837" s="5" t="s">
        <v>18</v>
      </c>
      <c r="K837" s="5" t="s">
        <v>19</v>
      </c>
      <c r="L837" s="5" t="s">
        <v>40</v>
      </c>
      <c r="M837" s="7" t="s">
        <v>21</v>
      </c>
      <c r="N837" s="26">
        <f t="shared" si="91"/>
        <v>0</v>
      </c>
      <c r="O837" s="42">
        <f t="shared" si="92"/>
        <v>45175</v>
      </c>
      <c r="P837" s="5" t="str">
        <f t="shared" si="93"/>
        <v>Wednesday</v>
      </c>
      <c r="Q837" s="5">
        <f t="shared" si="94"/>
        <v>14</v>
      </c>
      <c r="R837" s="28">
        <f t="shared" si="95"/>
        <v>0.76923076923076927</v>
      </c>
      <c r="S837" s="29">
        <f t="shared" si="96"/>
        <v>76.923076923076934</v>
      </c>
      <c r="T837" s="5" t="str">
        <f>IF(Delivery_Data3[[#This Row],[Delays (min)]]&gt;0,"No","Yes")</f>
        <v>No</v>
      </c>
      <c r="W837" s="41">
        <f t="shared" si="97"/>
        <v>45175</v>
      </c>
      <c r="X837" s="5">
        <v>70</v>
      </c>
    </row>
    <row r="838" spans="1:24" ht="15.75" customHeight="1" x14ac:dyDescent="0.3">
      <c r="A838" s="4">
        <v>1837</v>
      </c>
      <c r="B838" s="5" t="s">
        <v>956</v>
      </c>
      <c r="C838" s="6">
        <v>45177.515972222223</v>
      </c>
      <c r="D838" s="5" t="s">
        <v>14</v>
      </c>
      <c r="E838" s="5" t="s">
        <v>158</v>
      </c>
      <c r="F838" s="5" t="s">
        <v>24</v>
      </c>
      <c r="G838" s="5" t="s">
        <v>31</v>
      </c>
      <c r="H838" s="5">
        <v>114</v>
      </c>
      <c r="I838" s="5">
        <v>17</v>
      </c>
      <c r="J838" s="5" t="s">
        <v>26</v>
      </c>
      <c r="K838" s="5" t="s">
        <v>19</v>
      </c>
      <c r="L838" s="5" t="s">
        <v>40</v>
      </c>
      <c r="M838" s="7" t="s">
        <v>41</v>
      </c>
      <c r="N838" s="26">
        <f t="shared" si="91"/>
        <v>1</v>
      </c>
      <c r="O838" s="42">
        <f t="shared" si="92"/>
        <v>45177</v>
      </c>
      <c r="P838" s="5" t="str">
        <f t="shared" si="93"/>
        <v>Friday</v>
      </c>
      <c r="Q838" s="5">
        <f t="shared" si="94"/>
        <v>12</v>
      </c>
      <c r="R838" s="28">
        <f t="shared" si="95"/>
        <v>0.87022900763358779</v>
      </c>
      <c r="S838" s="29">
        <f t="shared" si="96"/>
        <v>87.022900763358777</v>
      </c>
      <c r="T838" s="5" t="str">
        <f>IF(Delivery_Data3[[#This Row],[Delays (min)]]&gt;0,"No","Yes")</f>
        <v>No</v>
      </c>
      <c r="W838" s="41">
        <f t="shared" si="97"/>
        <v>45177</v>
      </c>
      <c r="X838" s="5">
        <v>114</v>
      </c>
    </row>
    <row r="839" spans="1:24" ht="15.75" customHeight="1" x14ac:dyDescent="0.3">
      <c r="A839" s="4">
        <v>1838</v>
      </c>
      <c r="B839" s="5" t="s">
        <v>957</v>
      </c>
      <c r="C839" s="6">
        <v>45174.623611111114</v>
      </c>
      <c r="D839" s="5" t="s">
        <v>43</v>
      </c>
      <c r="E839" s="5" t="s">
        <v>95</v>
      </c>
      <c r="F839" s="5" t="s">
        <v>24</v>
      </c>
      <c r="G839" s="5" t="s">
        <v>17</v>
      </c>
      <c r="H839" s="5">
        <v>206</v>
      </c>
      <c r="I839" s="5">
        <v>20</v>
      </c>
      <c r="J839" s="5" t="s">
        <v>32</v>
      </c>
      <c r="K839" s="5" t="s">
        <v>27</v>
      </c>
      <c r="L839" s="5" t="s">
        <v>40</v>
      </c>
      <c r="M839" s="7" t="s">
        <v>46</v>
      </c>
      <c r="N839" s="26">
        <f t="shared" si="91"/>
        <v>-1</v>
      </c>
      <c r="O839" s="42">
        <f t="shared" si="92"/>
        <v>45174</v>
      </c>
      <c r="P839" s="5" t="str">
        <f t="shared" si="93"/>
        <v>Tuesday</v>
      </c>
      <c r="Q839" s="5">
        <f t="shared" si="94"/>
        <v>14</v>
      </c>
      <c r="R839" s="28">
        <f t="shared" si="95"/>
        <v>0.91150442477876104</v>
      </c>
      <c r="S839" s="29">
        <f t="shared" si="96"/>
        <v>91.150442477876098</v>
      </c>
      <c r="T839" s="5" t="str">
        <f>IF(Delivery_Data3[[#This Row],[Delays (min)]]&gt;0,"No","Yes")</f>
        <v>No</v>
      </c>
      <c r="W839" s="41">
        <f t="shared" si="97"/>
        <v>45174</v>
      </c>
      <c r="X839" s="5">
        <v>206</v>
      </c>
    </row>
    <row r="840" spans="1:24" ht="15.75" customHeight="1" x14ac:dyDescent="0.3">
      <c r="A840" s="4">
        <v>1839</v>
      </c>
      <c r="B840" s="5" t="s">
        <v>958</v>
      </c>
      <c r="C840" s="6">
        <v>45177.63958333333</v>
      </c>
      <c r="D840" s="5" t="s">
        <v>14</v>
      </c>
      <c r="E840" s="5" t="s">
        <v>270</v>
      </c>
      <c r="F840" s="5" t="s">
        <v>24</v>
      </c>
      <c r="G840" s="5" t="s">
        <v>39</v>
      </c>
      <c r="H840" s="5">
        <v>140</v>
      </c>
      <c r="I840" s="5">
        <v>18</v>
      </c>
      <c r="J840" s="5" t="s">
        <v>26</v>
      </c>
      <c r="K840" s="5" t="s">
        <v>49</v>
      </c>
      <c r="L840" s="5" t="s">
        <v>40</v>
      </c>
      <c r="M840" s="7" t="s">
        <v>21</v>
      </c>
      <c r="N840" s="26">
        <f t="shared" si="91"/>
        <v>1</v>
      </c>
      <c r="O840" s="42">
        <f t="shared" si="92"/>
        <v>45177</v>
      </c>
      <c r="P840" s="5" t="str">
        <f t="shared" si="93"/>
        <v>Friday</v>
      </c>
      <c r="Q840" s="5">
        <f t="shared" si="94"/>
        <v>15</v>
      </c>
      <c r="R840" s="28">
        <f t="shared" si="95"/>
        <v>0.88607594936708856</v>
      </c>
      <c r="S840" s="29">
        <f t="shared" si="96"/>
        <v>88.60759493670885</v>
      </c>
      <c r="T840" s="5" t="str">
        <f>IF(Delivery_Data3[[#This Row],[Delays (min)]]&gt;0,"No","Yes")</f>
        <v>No</v>
      </c>
      <c r="W840" s="41">
        <f t="shared" si="97"/>
        <v>45177</v>
      </c>
      <c r="X840" s="5">
        <v>140</v>
      </c>
    </row>
    <row r="841" spans="1:24" ht="15.75" customHeight="1" x14ac:dyDescent="0.3">
      <c r="A841" s="4">
        <v>1840</v>
      </c>
      <c r="B841" s="5" t="s">
        <v>959</v>
      </c>
      <c r="C841" s="6">
        <v>45174.609027777777</v>
      </c>
      <c r="D841" s="5" t="s">
        <v>14</v>
      </c>
      <c r="E841" s="5" t="s">
        <v>48</v>
      </c>
      <c r="F841" s="5" t="s">
        <v>16</v>
      </c>
      <c r="G841" s="5" t="s">
        <v>25</v>
      </c>
      <c r="H841" s="5">
        <v>134</v>
      </c>
      <c r="I841" s="5">
        <v>5</v>
      </c>
      <c r="J841" s="5" t="s">
        <v>32</v>
      </c>
      <c r="K841" s="5" t="s">
        <v>45</v>
      </c>
      <c r="L841" s="5" t="s">
        <v>20</v>
      </c>
      <c r="M841" s="7" t="s">
        <v>46</v>
      </c>
      <c r="N841" s="26">
        <f t="shared" si="91"/>
        <v>-1</v>
      </c>
      <c r="O841" s="42">
        <f t="shared" si="92"/>
        <v>45174</v>
      </c>
      <c r="P841" s="5" t="str">
        <f t="shared" si="93"/>
        <v>Tuesday</v>
      </c>
      <c r="Q841" s="5">
        <f t="shared" si="94"/>
        <v>14</v>
      </c>
      <c r="R841" s="28">
        <f t="shared" si="95"/>
        <v>0.96402877697841727</v>
      </c>
      <c r="S841" s="29">
        <f t="shared" si="96"/>
        <v>96.402877697841731</v>
      </c>
      <c r="T841" s="5" t="str">
        <f>IF(Delivery_Data3[[#This Row],[Delays (min)]]&gt;0,"No","Yes")</f>
        <v>No</v>
      </c>
      <c r="W841" s="41">
        <f t="shared" si="97"/>
        <v>45174</v>
      </c>
      <c r="X841" s="5">
        <v>134</v>
      </c>
    </row>
    <row r="842" spans="1:24" ht="15.75" customHeight="1" x14ac:dyDescent="0.3">
      <c r="A842" s="4">
        <v>1841</v>
      </c>
      <c r="B842" s="5" t="s">
        <v>960</v>
      </c>
      <c r="C842" s="6">
        <v>45175.55</v>
      </c>
      <c r="D842" s="5" t="s">
        <v>14</v>
      </c>
      <c r="E842" s="5" t="s">
        <v>272</v>
      </c>
      <c r="F842" s="5" t="s">
        <v>24</v>
      </c>
      <c r="G842" s="5" t="s">
        <v>17</v>
      </c>
      <c r="H842" s="5">
        <v>124</v>
      </c>
      <c r="I842" s="5">
        <v>23</v>
      </c>
      <c r="J842" s="5" t="s">
        <v>18</v>
      </c>
      <c r="K842" s="5" t="s">
        <v>49</v>
      </c>
      <c r="L842" s="5" t="s">
        <v>20</v>
      </c>
      <c r="M842" s="7" t="s">
        <v>21</v>
      </c>
      <c r="N842" s="26">
        <f t="shared" si="91"/>
        <v>0</v>
      </c>
      <c r="O842" s="42">
        <f t="shared" si="92"/>
        <v>45175</v>
      </c>
      <c r="P842" s="5" t="str">
        <f t="shared" si="93"/>
        <v>Wednesday</v>
      </c>
      <c r="Q842" s="5">
        <f t="shared" si="94"/>
        <v>13</v>
      </c>
      <c r="R842" s="28">
        <f t="shared" si="95"/>
        <v>0.84353741496598644</v>
      </c>
      <c r="S842" s="29">
        <f t="shared" si="96"/>
        <v>84.353741496598644</v>
      </c>
      <c r="T842" s="5" t="str">
        <f>IF(Delivery_Data3[[#This Row],[Delays (min)]]&gt;0,"No","Yes")</f>
        <v>No</v>
      </c>
      <c r="W842" s="41">
        <f t="shared" si="97"/>
        <v>45175</v>
      </c>
      <c r="X842" s="5">
        <v>124</v>
      </c>
    </row>
    <row r="843" spans="1:24" ht="15.75" customHeight="1" x14ac:dyDescent="0.3">
      <c r="A843" s="4">
        <v>1842</v>
      </c>
      <c r="B843" s="5" t="s">
        <v>825</v>
      </c>
      <c r="C843" s="6">
        <v>45175.477083333331</v>
      </c>
      <c r="D843" s="5" t="s">
        <v>14</v>
      </c>
      <c r="E843" s="5" t="s">
        <v>158</v>
      </c>
      <c r="F843" s="5" t="s">
        <v>16</v>
      </c>
      <c r="G843" s="5" t="s">
        <v>25</v>
      </c>
      <c r="H843" s="5">
        <v>121</v>
      </c>
      <c r="I843" s="5">
        <v>4</v>
      </c>
      <c r="J843" s="5" t="s">
        <v>18</v>
      </c>
      <c r="K843" s="5" t="s">
        <v>49</v>
      </c>
      <c r="L843" s="5" t="s">
        <v>40</v>
      </c>
      <c r="M843" s="7" t="s">
        <v>46</v>
      </c>
      <c r="N843" s="26">
        <f t="shared" si="91"/>
        <v>0</v>
      </c>
      <c r="O843" s="42">
        <f t="shared" si="92"/>
        <v>45175</v>
      </c>
      <c r="P843" s="5" t="str">
        <f t="shared" si="93"/>
        <v>Wednesday</v>
      </c>
      <c r="Q843" s="5">
        <f t="shared" si="94"/>
        <v>11</v>
      </c>
      <c r="R843" s="28">
        <f t="shared" si="95"/>
        <v>0.96799999999999997</v>
      </c>
      <c r="S843" s="29">
        <f t="shared" si="96"/>
        <v>96.8</v>
      </c>
      <c r="T843" s="5" t="str">
        <f>IF(Delivery_Data3[[#This Row],[Delays (min)]]&gt;0,"No","Yes")</f>
        <v>No</v>
      </c>
      <c r="W843" s="41">
        <f t="shared" si="97"/>
        <v>45175</v>
      </c>
      <c r="X843" s="5">
        <v>121</v>
      </c>
    </row>
    <row r="844" spans="1:24" ht="15.75" customHeight="1" x14ac:dyDescent="0.3">
      <c r="A844" s="4">
        <v>1843</v>
      </c>
      <c r="B844" s="5" t="s">
        <v>961</v>
      </c>
      <c r="C844" s="6">
        <v>45174.662499999999</v>
      </c>
      <c r="D844" s="5" t="s">
        <v>14</v>
      </c>
      <c r="E844" s="5" t="s">
        <v>109</v>
      </c>
      <c r="F844" s="5" t="s">
        <v>16</v>
      </c>
      <c r="G844" s="5" t="s">
        <v>17</v>
      </c>
      <c r="H844" s="5">
        <v>131</v>
      </c>
      <c r="I844" s="5">
        <v>22</v>
      </c>
      <c r="J844" s="5" t="s">
        <v>26</v>
      </c>
      <c r="K844" s="5" t="s">
        <v>49</v>
      </c>
      <c r="L844" s="5" t="s">
        <v>28</v>
      </c>
      <c r="M844" s="7" t="s">
        <v>46</v>
      </c>
      <c r="N844" s="26">
        <f t="shared" si="91"/>
        <v>1</v>
      </c>
      <c r="O844" s="42">
        <f t="shared" si="92"/>
        <v>45174</v>
      </c>
      <c r="P844" s="5" t="str">
        <f t="shared" si="93"/>
        <v>Tuesday</v>
      </c>
      <c r="Q844" s="5">
        <f t="shared" si="94"/>
        <v>15</v>
      </c>
      <c r="R844" s="28">
        <f t="shared" si="95"/>
        <v>0.85620915032679734</v>
      </c>
      <c r="S844" s="29">
        <f t="shared" si="96"/>
        <v>85.620915032679733</v>
      </c>
      <c r="T844" s="5" t="str">
        <f>IF(Delivery_Data3[[#This Row],[Delays (min)]]&gt;0,"No","Yes")</f>
        <v>No</v>
      </c>
      <c r="W844" s="41">
        <f t="shared" si="97"/>
        <v>45174</v>
      </c>
      <c r="X844" s="5">
        <v>131</v>
      </c>
    </row>
    <row r="845" spans="1:24" ht="15.75" customHeight="1" x14ac:dyDescent="0.3">
      <c r="A845" s="4">
        <v>1844</v>
      </c>
      <c r="B845" s="5" t="s">
        <v>962</v>
      </c>
      <c r="C845" s="6">
        <v>45176.6</v>
      </c>
      <c r="D845" s="5" t="s">
        <v>14</v>
      </c>
      <c r="E845" s="5" t="s">
        <v>249</v>
      </c>
      <c r="F845" s="5" t="s">
        <v>16</v>
      </c>
      <c r="G845" s="5" t="s">
        <v>31</v>
      </c>
      <c r="H845" s="5">
        <v>95</v>
      </c>
      <c r="I845" s="5">
        <v>4</v>
      </c>
      <c r="J845" s="5" t="s">
        <v>26</v>
      </c>
      <c r="K845" s="5" t="s">
        <v>45</v>
      </c>
      <c r="L845" s="5" t="s">
        <v>40</v>
      </c>
      <c r="M845" s="7" t="s">
        <v>41</v>
      </c>
      <c r="N845" s="26">
        <f t="shared" si="91"/>
        <v>1</v>
      </c>
      <c r="O845" s="42">
        <f t="shared" si="92"/>
        <v>45176</v>
      </c>
      <c r="P845" s="5" t="str">
        <f t="shared" si="93"/>
        <v>Thursday</v>
      </c>
      <c r="Q845" s="5">
        <f t="shared" si="94"/>
        <v>14</v>
      </c>
      <c r="R845" s="28">
        <f t="shared" si="95"/>
        <v>0.95959595959595956</v>
      </c>
      <c r="S845" s="29">
        <f t="shared" si="96"/>
        <v>95.959595959595958</v>
      </c>
      <c r="T845" s="5" t="str">
        <f>IF(Delivery_Data3[[#This Row],[Delays (min)]]&gt;0,"No","Yes")</f>
        <v>No</v>
      </c>
      <c r="W845" s="41">
        <f t="shared" si="97"/>
        <v>45176</v>
      </c>
      <c r="X845" s="5">
        <v>95</v>
      </c>
    </row>
    <row r="846" spans="1:24" ht="15.75" customHeight="1" x14ac:dyDescent="0.3">
      <c r="A846" s="4">
        <v>1845</v>
      </c>
      <c r="B846" s="5" t="s">
        <v>963</v>
      </c>
      <c r="C846" s="6">
        <v>45173.393750000003</v>
      </c>
      <c r="D846" s="5" t="s">
        <v>14</v>
      </c>
      <c r="E846" s="5" t="s">
        <v>53</v>
      </c>
      <c r="F846" s="5" t="s">
        <v>16</v>
      </c>
      <c r="G846" s="5" t="s">
        <v>17</v>
      </c>
      <c r="H846" s="5">
        <v>109</v>
      </c>
      <c r="I846" s="5">
        <v>21</v>
      </c>
      <c r="J846" s="5" t="s">
        <v>18</v>
      </c>
      <c r="K846" s="5" t="s">
        <v>35</v>
      </c>
      <c r="L846" s="5" t="s">
        <v>40</v>
      </c>
      <c r="M846" s="7" t="s">
        <v>41</v>
      </c>
      <c r="N846" s="26">
        <f t="shared" si="91"/>
        <v>0</v>
      </c>
      <c r="O846" s="42">
        <f t="shared" si="92"/>
        <v>45173</v>
      </c>
      <c r="P846" s="5" t="str">
        <f t="shared" si="93"/>
        <v>Monday</v>
      </c>
      <c r="Q846" s="5">
        <f t="shared" si="94"/>
        <v>9</v>
      </c>
      <c r="R846" s="28">
        <f t="shared" si="95"/>
        <v>0.83846153846153848</v>
      </c>
      <c r="S846" s="29">
        <f t="shared" si="96"/>
        <v>83.846153846153854</v>
      </c>
      <c r="T846" s="5" t="str">
        <f>IF(Delivery_Data3[[#This Row],[Delays (min)]]&gt;0,"No","Yes")</f>
        <v>No</v>
      </c>
      <c r="W846" s="41">
        <f t="shared" si="97"/>
        <v>45173</v>
      </c>
      <c r="X846" s="5">
        <v>109</v>
      </c>
    </row>
    <row r="847" spans="1:24" ht="15.75" customHeight="1" x14ac:dyDescent="0.3">
      <c r="A847" s="4">
        <v>1846</v>
      </c>
      <c r="B847" s="5" t="s">
        <v>964</v>
      </c>
      <c r="C847" s="6">
        <v>45171.505555555559</v>
      </c>
      <c r="D847" s="5" t="s">
        <v>43</v>
      </c>
      <c r="E847" s="5" t="s">
        <v>245</v>
      </c>
      <c r="F847" s="5" t="s">
        <v>16</v>
      </c>
      <c r="G847" s="5" t="s">
        <v>17</v>
      </c>
      <c r="H847" s="5">
        <v>168</v>
      </c>
      <c r="I847" s="5">
        <v>12</v>
      </c>
      <c r="J847" s="5" t="s">
        <v>26</v>
      </c>
      <c r="K847" s="5" t="s">
        <v>49</v>
      </c>
      <c r="L847" s="5" t="s">
        <v>20</v>
      </c>
      <c r="M847" s="7" t="s">
        <v>46</v>
      </c>
      <c r="N847" s="26">
        <f t="shared" si="91"/>
        <v>1</v>
      </c>
      <c r="O847" s="42">
        <f t="shared" si="92"/>
        <v>45171</v>
      </c>
      <c r="P847" s="5" t="str">
        <f t="shared" si="93"/>
        <v>Saturday</v>
      </c>
      <c r="Q847" s="5">
        <f t="shared" si="94"/>
        <v>12</v>
      </c>
      <c r="R847" s="28">
        <f t="shared" si="95"/>
        <v>0.93333333333333335</v>
      </c>
      <c r="S847" s="29">
        <f t="shared" si="96"/>
        <v>93.333333333333329</v>
      </c>
      <c r="T847" s="5" t="str">
        <f>IF(Delivery_Data3[[#This Row],[Delays (min)]]&gt;0,"No","Yes")</f>
        <v>No</v>
      </c>
      <c r="W847" s="41">
        <f t="shared" si="97"/>
        <v>45171</v>
      </c>
      <c r="X847" s="5">
        <v>168</v>
      </c>
    </row>
    <row r="848" spans="1:24" ht="15.75" customHeight="1" x14ac:dyDescent="0.3">
      <c r="A848" s="4">
        <v>1847</v>
      </c>
      <c r="B848" s="5" t="s">
        <v>965</v>
      </c>
      <c r="C848" s="6">
        <v>45174.431250000001</v>
      </c>
      <c r="D848" s="5" t="s">
        <v>14</v>
      </c>
      <c r="E848" s="5" t="s">
        <v>111</v>
      </c>
      <c r="F848" s="5" t="s">
        <v>38</v>
      </c>
      <c r="G848" s="5" t="s">
        <v>31</v>
      </c>
      <c r="H848" s="5">
        <v>187</v>
      </c>
      <c r="I848" s="5">
        <v>28</v>
      </c>
      <c r="J848" s="5" t="s">
        <v>32</v>
      </c>
      <c r="K848" s="5" t="s">
        <v>35</v>
      </c>
      <c r="L848" s="5" t="s">
        <v>20</v>
      </c>
      <c r="M848" s="7" t="s">
        <v>21</v>
      </c>
      <c r="N848" s="26">
        <f t="shared" si="91"/>
        <v>-1</v>
      </c>
      <c r="O848" s="42">
        <f t="shared" si="92"/>
        <v>45174</v>
      </c>
      <c r="P848" s="5" t="str">
        <f t="shared" si="93"/>
        <v>Tuesday</v>
      </c>
      <c r="Q848" s="5">
        <f t="shared" si="94"/>
        <v>10</v>
      </c>
      <c r="R848" s="28">
        <f t="shared" si="95"/>
        <v>0.86976744186046506</v>
      </c>
      <c r="S848" s="29">
        <f t="shared" si="96"/>
        <v>86.976744186046503</v>
      </c>
      <c r="T848" s="5" t="str">
        <f>IF(Delivery_Data3[[#This Row],[Delays (min)]]&gt;0,"No","Yes")</f>
        <v>No</v>
      </c>
      <c r="W848" s="41">
        <f t="shared" si="97"/>
        <v>45174</v>
      </c>
      <c r="X848" s="5">
        <v>187</v>
      </c>
    </row>
    <row r="849" spans="1:24" ht="15.75" customHeight="1" x14ac:dyDescent="0.3">
      <c r="A849" s="4">
        <v>1848</v>
      </c>
      <c r="B849" s="5" t="s">
        <v>966</v>
      </c>
      <c r="C849" s="6">
        <v>45170.542361111111</v>
      </c>
      <c r="D849" s="5" t="s">
        <v>43</v>
      </c>
      <c r="E849" s="5" t="s">
        <v>249</v>
      </c>
      <c r="F849" s="5" t="s">
        <v>38</v>
      </c>
      <c r="G849" s="5" t="s">
        <v>39</v>
      </c>
      <c r="H849" s="5">
        <v>188</v>
      </c>
      <c r="I849" s="5">
        <v>8</v>
      </c>
      <c r="J849" s="5" t="s">
        <v>18</v>
      </c>
      <c r="K849" s="5" t="s">
        <v>19</v>
      </c>
      <c r="L849" s="5" t="s">
        <v>40</v>
      </c>
      <c r="M849" s="7" t="s">
        <v>21</v>
      </c>
      <c r="N849" s="26">
        <f t="shared" si="91"/>
        <v>0</v>
      </c>
      <c r="O849" s="42">
        <f t="shared" si="92"/>
        <v>45170</v>
      </c>
      <c r="P849" s="5" t="str">
        <f t="shared" si="93"/>
        <v>Friday</v>
      </c>
      <c r="Q849" s="5">
        <f t="shared" si="94"/>
        <v>13</v>
      </c>
      <c r="R849" s="28">
        <f t="shared" si="95"/>
        <v>0.95918367346938771</v>
      </c>
      <c r="S849" s="29">
        <f t="shared" si="96"/>
        <v>95.918367346938766</v>
      </c>
      <c r="T849" s="5" t="str">
        <f>IF(Delivery_Data3[[#This Row],[Delays (min)]]&gt;0,"No","Yes")</f>
        <v>No</v>
      </c>
      <c r="W849" s="41">
        <f t="shared" si="97"/>
        <v>45170</v>
      </c>
      <c r="X849" s="5">
        <v>188</v>
      </c>
    </row>
    <row r="850" spans="1:24" ht="15.75" customHeight="1" x14ac:dyDescent="0.3">
      <c r="A850" s="4">
        <v>1849</v>
      </c>
      <c r="B850" s="5" t="s">
        <v>967</v>
      </c>
      <c r="C850" s="6">
        <v>45174.582638888889</v>
      </c>
      <c r="D850" s="5" t="s">
        <v>43</v>
      </c>
      <c r="E850" s="5" t="s">
        <v>51</v>
      </c>
      <c r="F850" s="5" t="s">
        <v>24</v>
      </c>
      <c r="G850" s="5" t="s">
        <v>56</v>
      </c>
      <c r="H850" s="5">
        <v>168</v>
      </c>
      <c r="I850" s="5">
        <v>27</v>
      </c>
      <c r="J850" s="5" t="s">
        <v>18</v>
      </c>
      <c r="K850" s="5" t="s">
        <v>49</v>
      </c>
      <c r="L850" s="5" t="s">
        <v>40</v>
      </c>
      <c r="M850" s="7" t="s">
        <v>21</v>
      </c>
      <c r="N850" s="26">
        <f t="shared" si="91"/>
        <v>0</v>
      </c>
      <c r="O850" s="42">
        <f t="shared" si="92"/>
        <v>45174</v>
      </c>
      <c r="P850" s="5" t="str">
        <f t="shared" si="93"/>
        <v>Tuesday</v>
      </c>
      <c r="Q850" s="5">
        <f t="shared" si="94"/>
        <v>13</v>
      </c>
      <c r="R850" s="28">
        <f t="shared" si="95"/>
        <v>0.86153846153846159</v>
      </c>
      <c r="S850" s="29">
        <f t="shared" si="96"/>
        <v>86.15384615384616</v>
      </c>
      <c r="T850" s="5" t="str">
        <f>IF(Delivery_Data3[[#This Row],[Delays (min)]]&gt;0,"No","Yes")</f>
        <v>No</v>
      </c>
      <c r="W850" s="41">
        <f t="shared" si="97"/>
        <v>45174</v>
      </c>
      <c r="X850" s="5">
        <v>168</v>
      </c>
    </row>
    <row r="851" spans="1:24" ht="15.75" customHeight="1" x14ac:dyDescent="0.3">
      <c r="A851" s="4">
        <v>1850</v>
      </c>
      <c r="B851" s="5" t="s">
        <v>968</v>
      </c>
      <c r="C851" s="6">
        <v>45175.670138888891</v>
      </c>
      <c r="D851" s="5" t="s">
        <v>14</v>
      </c>
      <c r="E851" s="5" t="s">
        <v>66</v>
      </c>
      <c r="F851" s="5" t="s">
        <v>38</v>
      </c>
      <c r="G851" s="5" t="s">
        <v>17</v>
      </c>
      <c r="H851" s="5">
        <v>199</v>
      </c>
      <c r="I851" s="5">
        <v>27</v>
      </c>
      <c r="J851" s="5" t="s">
        <v>18</v>
      </c>
      <c r="K851" s="5" t="s">
        <v>35</v>
      </c>
      <c r="L851" s="5" t="s">
        <v>40</v>
      </c>
      <c r="M851" s="7" t="s">
        <v>21</v>
      </c>
      <c r="N851" s="26">
        <f t="shared" si="91"/>
        <v>0</v>
      </c>
      <c r="O851" s="42">
        <f t="shared" si="92"/>
        <v>45175</v>
      </c>
      <c r="P851" s="5" t="str">
        <f t="shared" si="93"/>
        <v>Wednesday</v>
      </c>
      <c r="Q851" s="5">
        <f t="shared" si="94"/>
        <v>16</v>
      </c>
      <c r="R851" s="28">
        <f t="shared" si="95"/>
        <v>0.88053097345132747</v>
      </c>
      <c r="S851" s="29">
        <f t="shared" si="96"/>
        <v>88.053097345132741</v>
      </c>
      <c r="T851" s="5" t="str">
        <f>IF(Delivery_Data3[[#This Row],[Delays (min)]]&gt;0,"No","Yes")</f>
        <v>No</v>
      </c>
      <c r="W851" s="41">
        <f t="shared" si="97"/>
        <v>45175</v>
      </c>
      <c r="X851" s="5">
        <v>199</v>
      </c>
    </row>
    <row r="852" spans="1:24" ht="15.75" customHeight="1" x14ac:dyDescent="0.3">
      <c r="A852" s="4">
        <v>1851</v>
      </c>
      <c r="B852" s="5" t="s">
        <v>969</v>
      </c>
      <c r="C852" s="6">
        <v>45176.45</v>
      </c>
      <c r="D852" s="5" t="s">
        <v>43</v>
      </c>
      <c r="E852" s="5" t="s">
        <v>135</v>
      </c>
      <c r="F852" s="5" t="s">
        <v>38</v>
      </c>
      <c r="G852" s="5" t="s">
        <v>39</v>
      </c>
      <c r="H852" s="5">
        <v>129</v>
      </c>
      <c r="I852" s="5">
        <v>17</v>
      </c>
      <c r="J852" s="5" t="s">
        <v>32</v>
      </c>
      <c r="K852" s="5" t="s">
        <v>27</v>
      </c>
      <c r="L852" s="5" t="s">
        <v>40</v>
      </c>
      <c r="M852" s="7" t="s">
        <v>21</v>
      </c>
      <c r="N852" s="26">
        <f t="shared" si="91"/>
        <v>-1</v>
      </c>
      <c r="O852" s="42">
        <f t="shared" si="92"/>
        <v>45176</v>
      </c>
      <c r="P852" s="5" t="str">
        <f t="shared" si="93"/>
        <v>Thursday</v>
      </c>
      <c r="Q852" s="5">
        <f t="shared" si="94"/>
        <v>10</v>
      </c>
      <c r="R852" s="28">
        <f t="shared" si="95"/>
        <v>0.88356164383561642</v>
      </c>
      <c r="S852" s="29">
        <f t="shared" si="96"/>
        <v>88.356164383561648</v>
      </c>
      <c r="T852" s="5" t="str">
        <f>IF(Delivery_Data3[[#This Row],[Delays (min)]]&gt;0,"No","Yes")</f>
        <v>No</v>
      </c>
      <c r="W852" s="41">
        <f t="shared" si="97"/>
        <v>45176</v>
      </c>
      <c r="X852" s="5">
        <v>129</v>
      </c>
    </row>
    <row r="853" spans="1:24" ht="15.75" customHeight="1" x14ac:dyDescent="0.3">
      <c r="A853" s="4">
        <v>1852</v>
      </c>
      <c r="B853" s="5" t="s">
        <v>970</v>
      </c>
      <c r="C853" s="6">
        <v>45175.430555555555</v>
      </c>
      <c r="D853" s="5" t="s">
        <v>14</v>
      </c>
      <c r="E853" s="5" t="s">
        <v>263</v>
      </c>
      <c r="F853" s="5" t="s">
        <v>38</v>
      </c>
      <c r="G853" s="5" t="s">
        <v>17</v>
      </c>
      <c r="H853" s="5">
        <v>213</v>
      </c>
      <c r="I853" s="5">
        <v>27</v>
      </c>
      <c r="J853" s="5" t="s">
        <v>18</v>
      </c>
      <c r="K853" s="5" t="s">
        <v>45</v>
      </c>
      <c r="L853" s="5" t="s">
        <v>40</v>
      </c>
      <c r="M853" s="7" t="s">
        <v>46</v>
      </c>
      <c r="N853" s="26">
        <f t="shared" si="91"/>
        <v>0</v>
      </c>
      <c r="O853" s="42">
        <f t="shared" si="92"/>
        <v>45175</v>
      </c>
      <c r="P853" s="5" t="str">
        <f t="shared" si="93"/>
        <v>Wednesday</v>
      </c>
      <c r="Q853" s="5">
        <f t="shared" si="94"/>
        <v>10</v>
      </c>
      <c r="R853" s="28">
        <f t="shared" si="95"/>
        <v>0.88749999999999996</v>
      </c>
      <c r="S853" s="29">
        <f t="shared" si="96"/>
        <v>88.75</v>
      </c>
      <c r="T853" s="5" t="str">
        <f>IF(Delivery_Data3[[#This Row],[Delays (min)]]&gt;0,"No","Yes")</f>
        <v>No</v>
      </c>
      <c r="W853" s="41">
        <f t="shared" si="97"/>
        <v>45175</v>
      </c>
      <c r="X853" s="5">
        <v>213</v>
      </c>
    </row>
    <row r="854" spans="1:24" ht="15.75" customHeight="1" x14ac:dyDescent="0.3">
      <c r="A854" s="4">
        <v>1853</v>
      </c>
      <c r="B854" s="5" t="s">
        <v>447</v>
      </c>
      <c r="C854" s="6">
        <v>45174.600694444445</v>
      </c>
      <c r="D854" s="5" t="s">
        <v>14</v>
      </c>
      <c r="E854" s="5" t="s">
        <v>44</v>
      </c>
      <c r="F854" s="5" t="s">
        <v>16</v>
      </c>
      <c r="G854" s="5" t="s">
        <v>25</v>
      </c>
      <c r="H854" s="5">
        <v>111</v>
      </c>
      <c r="I854" s="5">
        <v>4</v>
      </c>
      <c r="J854" s="5" t="s">
        <v>32</v>
      </c>
      <c r="K854" s="5" t="s">
        <v>19</v>
      </c>
      <c r="L854" s="5" t="s">
        <v>20</v>
      </c>
      <c r="M854" s="7" t="s">
        <v>41</v>
      </c>
      <c r="N854" s="26">
        <f t="shared" si="91"/>
        <v>-1</v>
      </c>
      <c r="O854" s="42">
        <f t="shared" si="92"/>
        <v>45174</v>
      </c>
      <c r="P854" s="5" t="str">
        <f t="shared" si="93"/>
        <v>Tuesday</v>
      </c>
      <c r="Q854" s="5">
        <f t="shared" si="94"/>
        <v>14</v>
      </c>
      <c r="R854" s="28">
        <f t="shared" si="95"/>
        <v>0.9652173913043478</v>
      </c>
      <c r="S854" s="29">
        <f t="shared" si="96"/>
        <v>96.521739130434781</v>
      </c>
      <c r="T854" s="5" t="str">
        <f>IF(Delivery_Data3[[#This Row],[Delays (min)]]&gt;0,"No","Yes")</f>
        <v>No</v>
      </c>
      <c r="W854" s="41">
        <f t="shared" si="97"/>
        <v>45174</v>
      </c>
      <c r="X854" s="5">
        <v>111</v>
      </c>
    </row>
    <row r="855" spans="1:24" ht="15.75" customHeight="1" x14ac:dyDescent="0.3">
      <c r="A855" s="4">
        <v>1854</v>
      </c>
      <c r="B855" s="5" t="s">
        <v>971</v>
      </c>
      <c r="C855" s="6">
        <v>45171.632638888892</v>
      </c>
      <c r="D855" s="5" t="s">
        <v>43</v>
      </c>
      <c r="E855" s="5" t="s">
        <v>270</v>
      </c>
      <c r="F855" s="5" t="s">
        <v>16</v>
      </c>
      <c r="G855" s="5" t="s">
        <v>31</v>
      </c>
      <c r="H855" s="5">
        <v>173</v>
      </c>
      <c r="I855" s="5">
        <v>29</v>
      </c>
      <c r="J855" s="5" t="s">
        <v>18</v>
      </c>
      <c r="K855" s="5" t="s">
        <v>27</v>
      </c>
      <c r="L855" s="5" t="s">
        <v>28</v>
      </c>
      <c r="M855" s="7" t="s">
        <v>41</v>
      </c>
      <c r="N855" s="26">
        <f t="shared" si="91"/>
        <v>0</v>
      </c>
      <c r="O855" s="42">
        <f t="shared" si="92"/>
        <v>45171</v>
      </c>
      <c r="P855" s="5" t="str">
        <f t="shared" si="93"/>
        <v>Saturday</v>
      </c>
      <c r="Q855" s="5">
        <f t="shared" si="94"/>
        <v>15</v>
      </c>
      <c r="R855" s="28">
        <f t="shared" si="95"/>
        <v>0.85643564356435642</v>
      </c>
      <c r="S855" s="29">
        <f t="shared" si="96"/>
        <v>85.643564356435647</v>
      </c>
      <c r="T855" s="5" t="str">
        <f>IF(Delivery_Data3[[#This Row],[Delays (min)]]&gt;0,"No","Yes")</f>
        <v>No</v>
      </c>
      <c r="W855" s="41">
        <f t="shared" si="97"/>
        <v>45171</v>
      </c>
      <c r="X855" s="5">
        <v>173</v>
      </c>
    </row>
    <row r="856" spans="1:24" ht="15.75" customHeight="1" x14ac:dyDescent="0.3">
      <c r="A856" s="4">
        <v>1855</v>
      </c>
      <c r="B856" s="5" t="s">
        <v>972</v>
      </c>
      <c r="C856" s="6">
        <v>45177.458333333336</v>
      </c>
      <c r="D856" s="5" t="s">
        <v>14</v>
      </c>
      <c r="E856" s="5" t="s">
        <v>97</v>
      </c>
      <c r="F856" s="5" t="s">
        <v>38</v>
      </c>
      <c r="G856" s="5" t="s">
        <v>31</v>
      </c>
      <c r="H856" s="5">
        <v>155</v>
      </c>
      <c r="I856" s="5">
        <v>20</v>
      </c>
      <c r="J856" s="5" t="s">
        <v>26</v>
      </c>
      <c r="K856" s="5" t="s">
        <v>49</v>
      </c>
      <c r="L856" s="5" t="s">
        <v>20</v>
      </c>
      <c r="M856" s="7" t="s">
        <v>41</v>
      </c>
      <c r="N856" s="26">
        <f t="shared" si="91"/>
        <v>1</v>
      </c>
      <c r="O856" s="42">
        <f t="shared" si="92"/>
        <v>45177</v>
      </c>
      <c r="P856" s="5" t="str">
        <f t="shared" si="93"/>
        <v>Friday</v>
      </c>
      <c r="Q856" s="5">
        <f t="shared" si="94"/>
        <v>11</v>
      </c>
      <c r="R856" s="28">
        <f t="shared" si="95"/>
        <v>0.88571428571428568</v>
      </c>
      <c r="S856" s="29">
        <f t="shared" si="96"/>
        <v>88.571428571428569</v>
      </c>
      <c r="T856" s="5" t="str">
        <f>IF(Delivery_Data3[[#This Row],[Delays (min)]]&gt;0,"No","Yes")</f>
        <v>No</v>
      </c>
      <c r="W856" s="41">
        <f t="shared" si="97"/>
        <v>45177</v>
      </c>
      <c r="X856" s="5">
        <v>155</v>
      </c>
    </row>
    <row r="857" spans="1:24" ht="15.75" customHeight="1" x14ac:dyDescent="0.3">
      <c r="A857" s="4">
        <v>1856</v>
      </c>
      <c r="B857" s="5" t="s">
        <v>973</v>
      </c>
      <c r="C857" s="6">
        <v>45173.505555555559</v>
      </c>
      <c r="D857" s="5" t="s">
        <v>43</v>
      </c>
      <c r="E857" s="5" t="s">
        <v>106</v>
      </c>
      <c r="F857" s="5" t="s">
        <v>24</v>
      </c>
      <c r="G857" s="5" t="s">
        <v>56</v>
      </c>
      <c r="H857" s="5">
        <v>122</v>
      </c>
      <c r="I857" s="5">
        <v>5</v>
      </c>
      <c r="J857" s="5" t="s">
        <v>32</v>
      </c>
      <c r="K857" s="5" t="s">
        <v>49</v>
      </c>
      <c r="L857" s="5" t="s">
        <v>28</v>
      </c>
      <c r="M857" s="7" t="s">
        <v>41</v>
      </c>
      <c r="N857" s="26">
        <f t="shared" si="91"/>
        <v>-1</v>
      </c>
      <c r="O857" s="42">
        <f t="shared" si="92"/>
        <v>45173</v>
      </c>
      <c r="P857" s="5" t="str">
        <f t="shared" si="93"/>
        <v>Monday</v>
      </c>
      <c r="Q857" s="5">
        <f t="shared" si="94"/>
        <v>12</v>
      </c>
      <c r="R857" s="28">
        <f t="shared" si="95"/>
        <v>0.96062992125984248</v>
      </c>
      <c r="S857" s="29">
        <f t="shared" si="96"/>
        <v>96.062992125984252</v>
      </c>
      <c r="T857" s="5" t="str">
        <f>IF(Delivery_Data3[[#This Row],[Delays (min)]]&gt;0,"No","Yes")</f>
        <v>No</v>
      </c>
      <c r="W857" s="41">
        <f t="shared" si="97"/>
        <v>45173</v>
      </c>
      <c r="X857" s="5">
        <v>122</v>
      </c>
    </row>
    <row r="858" spans="1:24" ht="15.75" customHeight="1" x14ac:dyDescent="0.3">
      <c r="A858" s="4">
        <v>1857</v>
      </c>
      <c r="B858" s="5" t="s">
        <v>974</v>
      </c>
      <c r="C858" s="6">
        <v>45171.575694444444</v>
      </c>
      <c r="D858" s="5" t="s">
        <v>14</v>
      </c>
      <c r="E858" s="5" t="s">
        <v>240</v>
      </c>
      <c r="F858" s="5" t="s">
        <v>24</v>
      </c>
      <c r="G858" s="5" t="s">
        <v>17</v>
      </c>
      <c r="H858" s="5">
        <v>141</v>
      </c>
      <c r="I858" s="5">
        <v>7</v>
      </c>
      <c r="J858" s="5" t="s">
        <v>32</v>
      </c>
      <c r="K858" s="5" t="s">
        <v>35</v>
      </c>
      <c r="L858" s="5" t="s">
        <v>40</v>
      </c>
      <c r="M858" s="7" t="s">
        <v>21</v>
      </c>
      <c r="N858" s="26">
        <f t="shared" si="91"/>
        <v>-1</v>
      </c>
      <c r="O858" s="42">
        <f t="shared" si="92"/>
        <v>45171</v>
      </c>
      <c r="P858" s="5" t="str">
        <f t="shared" si="93"/>
        <v>Saturday</v>
      </c>
      <c r="Q858" s="5">
        <f t="shared" si="94"/>
        <v>13</v>
      </c>
      <c r="R858" s="28">
        <f t="shared" si="95"/>
        <v>0.95270270270270274</v>
      </c>
      <c r="S858" s="29">
        <f t="shared" si="96"/>
        <v>95.270270270270274</v>
      </c>
      <c r="T858" s="5" t="str">
        <f>IF(Delivery_Data3[[#This Row],[Delays (min)]]&gt;0,"No","Yes")</f>
        <v>No</v>
      </c>
      <c r="W858" s="41">
        <f t="shared" si="97"/>
        <v>45171</v>
      </c>
      <c r="X858" s="5">
        <v>141</v>
      </c>
    </row>
    <row r="859" spans="1:24" ht="15.75" customHeight="1" x14ac:dyDescent="0.3">
      <c r="A859" s="4">
        <v>1858</v>
      </c>
      <c r="B859" s="5" t="s">
        <v>975</v>
      </c>
      <c r="C859" s="6">
        <v>45176.507638888892</v>
      </c>
      <c r="D859" s="5" t="s">
        <v>14</v>
      </c>
      <c r="E859" s="5" t="s">
        <v>23</v>
      </c>
      <c r="F859" s="5" t="s">
        <v>24</v>
      </c>
      <c r="G859" s="5" t="s">
        <v>31</v>
      </c>
      <c r="H859" s="5">
        <v>153</v>
      </c>
      <c r="I859" s="5">
        <v>20</v>
      </c>
      <c r="J859" s="5" t="s">
        <v>26</v>
      </c>
      <c r="K859" s="5" t="s">
        <v>19</v>
      </c>
      <c r="L859" s="5" t="s">
        <v>28</v>
      </c>
      <c r="M859" s="7" t="s">
        <v>21</v>
      </c>
      <c r="N859" s="26">
        <f t="shared" si="91"/>
        <v>1</v>
      </c>
      <c r="O859" s="42">
        <f t="shared" si="92"/>
        <v>45176</v>
      </c>
      <c r="P859" s="5" t="str">
        <f t="shared" si="93"/>
        <v>Thursday</v>
      </c>
      <c r="Q859" s="5">
        <f t="shared" si="94"/>
        <v>12</v>
      </c>
      <c r="R859" s="28">
        <f t="shared" si="95"/>
        <v>0.88439306358381498</v>
      </c>
      <c r="S859" s="29">
        <f t="shared" si="96"/>
        <v>88.439306358381501</v>
      </c>
      <c r="T859" s="5" t="str">
        <f>IF(Delivery_Data3[[#This Row],[Delays (min)]]&gt;0,"No","Yes")</f>
        <v>No</v>
      </c>
      <c r="W859" s="41">
        <f t="shared" si="97"/>
        <v>45176</v>
      </c>
      <c r="X859" s="5">
        <v>153</v>
      </c>
    </row>
    <row r="860" spans="1:24" ht="15.75" customHeight="1" x14ac:dyDescent="0.3">
      <c r="A860" s="4">
        <v>1859</v>
      </c>
      <c r="B860" s="5" t="s">
        <v>976</v>
      </c>
      <c r="C860" s="6">
        <v>45174.415972222225</v>
      </c>
      <c r="D860" s="5" t="s">
        <v>43</v>
      </c>
      <c r="E860" s="5" t="s">
        <v>87</v>
      </c>
      <c r="F860" s="5" t="s">
        <v>38</v>
      </c>
      <c r="G860" s="5" t="s">
        <v>56</v>
      </c>
      <c r="H860" s="5">
        <v>215</v>
      </c>
      <c r="I860" s="5">
        <v>13</v>
      </c>
      <c r="J860" s="5" t="s">
        <v>18</v>
      </c>
      <c r="K860" s="5" t="s">
        <v>27</v>
      </c>
      <c r="L860" s="5" t="s">
        <v>20</v>
      </c>
      <c r="M860" s="7" t="s">
        <v>41</v>
      </c>
      <c r="N860" s="26">
        <f t="shared" si="91"/>
        <v>0</v>
      </c>
      <c r="O860" s="42">
        <f t="shared" si="92"/>
        <v>45174</v>
      </c>
      <c r="P860" s="5" t="str">
        <f t="shared" si="93"/>
        <v>Tuesday</v>
      </c>
      <c r="Q860" s="5">
        <f t="shared" si="94"/>
        <v>9</v>
      </c>
      <c r="R860" s="28">
        <f t="shared" si="95"/>
        <v>0.94298245614035092</v>
      </c>
      <c r="S860" s="29">
        <f t="shared" si="96"/>
        <v>94.298245614035096</v>
      </c>
      <c r="T860" s="5" t="str">
        <f>IF(Delivery_Data3[[#This Row],[Delays (min)]]&gt;0,"No","Yes")</f>
        <v>No</v>
      </c>
      <c r="W860" s="41">
        <f t="shared" si="97"/>
        <v>45174</v>
      </c>
      <c r="X860" s="5">
        <v>215</v>
      </c>
    </row>
    <row r="861" spans="1:24" ht="15.75" customHeight="1" x14ac:dyDescent="0.3">
      <c r="A861" s="4">
        <v>1860</v>
      </c>
      <c r="B861" s="5" t="s">
        <v>977</v>
      </c>
      <c r="C861" s="6">
        <v>45174.362500000003</v>
      </c>
      <c r="D861" s="5" t="s">
        <v>14</v>
      </c>
      <c r="E861" s="5" t="s">
        <v>89</v>
      </c>
      <c r="F861" s="5" t="s">
        <v>24</v>
      </c>
      <c r="G861" s="5" t="s">
        <v>39</v>
      </c>
      <c r="H861" s="5">
        <v>222</v>
      </c>
      <c r="I861" s="5">
        <v>22</v>
      </c>
      <c r="J861" s="5" t="s">
        <v>26</v>
      </c>
      <c r="K861" s="5" t="s">
        <v>49</v>
      </c>
      <c r="L861" s="5" t="s">
        <v>28</v>
      </c>
      <c r="M861" s="7" t="s">
        <v>46</v>
      </c>
      <c r="N861" s="26">
        <f t="shared" si="91"/>
        <v>1</v>
      </c>
      <c r="O861" s="42">
        <f t="shared" si="92"/>
        <v>45174</v>
      </c>
      <c r="P861" s="5" t="str">
        <f t="shared" si="93"/>
        <v>Tuesday</v>
      </c>
      <c r="Q861" s="5">
        <f t="shared" si="94"/>
        <v>8</v>
      </c>
      <c r="R861" s="28">
        <f t="shared" si="95"/>
        <v>0.9098360655737705</v>
      </c>
      <c r="S861" s="29">
        <f t="shared" si="96"/>
        <v>90.983606557377044</v>
      </c>
      <c r="T861" s="5" t="str">
        <f>IF(Delivery_Data3[[#This Row],[Delays (min)]]&gt;0,"No","Yes")</f>
        <v>No</v>
      </c>
      <c r="W861" s="41">
        <f t="shared" si="97"/>
        <v>45174</v>
      </c>
      <c r="X861" s="5">
        <v>222</v>
      </c>
    </row>
    <row r="862" spans="1:24" ht="15.75" customHeight="1" x14ac:dyDescent="0.3">
      <c r="A862" s="4">
        <v>1861</v>
      </c>
      <c r="B862" s="5" t="s">
        <v>978</v>
      </c>
      <c r="C862" s="6">
        <v>45173.692361111112</v>
      </c>
      <c r="D862" s="5" t="s">
        <v>43</v>
      </c>
      <c r="E862" s="5" t="s">
        <v>468</v>
      </c>
      <c r="F862" s="5" t="s">
        <v>38</v>
      </c>
      <c r="G862" s="5" t="s">
        <v>56</v>
      </c>
      <c r="H862" s="5">
        <v>127</v>
      </c>
      <c r="I862" s="5">
        <v>7</v>
      </c>
      <c r="J862" s="5" t="s">
        <v>26</v>
      </c>
      <c r="K862" s="5" t="s">
        <v>35</v>
      </c>
      <c r="L862" s="5" t="s">
        <v>40</v>
      </c>
      <c r="M862" s="7" t="s">
        <v>46</v>
      </c>
      <c r="N862" s="26">
        <f t="shared" si="91"/>
        <v>1</v>
      </c>
      <c r="O862" s="42">
        <f t="shared" si="92"/>
        <v>45173</v>
      </c>
      <c r="P862" s="5" t="str">
        <f t="shared" si="93"/>
        <v>Monday</v>
      </c>
      <c r="Q862" s="5">
        <f t="shared" si="94"/>
        <v>16</v>
      </c>
      <c r="R862" s="28">
        <f t="shared" si="95"/>
        <v>0.94776119402985071</v>
      </c>
      <c r="S862" s="29">
        <f t="shared" si="96"/>
        <v>94.776119402985074</v>
      </c>
      <c r="T862" s="5" t="str">
        <f>IF(Delivery_Data3[[#This Row],[Delays (min)]]&gt;0,"No","Yes")</f>
        <v>No</v>
      </c>
      <c r="W862" s="41">
        <f t="shared" si="97"/>
        <v>45173</v>
      </c>
      <c r="X862" s="5">
        <v>127</v>
      </c>
    </row>
    <row r="863" spans="1:24" ht="15.75" customHeight="1" x14ac:dyDescent="0.3">
      <c r="A863" s="4">
        <v>1862</v>
      </c>
      <c r="B863" s="5" t="s">
        <v>979</v>
      </c>
      <c r="C863" s="6">
        <v>45172.493055555555</v>
      </c>
      <c r="D863" s="5" t="s">
        <v>14</v>
      </c>
      <c r="E863" s="5" t="s">
        <v>101</v>
      </c>
      <c r="F863" s="5" t="s">
        <v>16</v>
      </c>
      <c r="G863" s="5" t="s">
        <v>17</v>
      </c>
      <c r="H863" s="5">
        <v>128</v>
      </c>
      <c r="I863" s="5">
        <v>22</v>
      </c>
      <c r="J863" s="5" t="s">
        <v>32</v>
      </c>
      <c r="K863" s="5" t="s">
        <v>49</v>
      </c>
      <c r="L863" s="5" t="s">
        <v>20</v>
      </c>
      <c r="M863" s="7" t="s">
        <v>46</v>
      </c>
      <c r="N863" s="26">
        <f t="shared" si="91"/>
        <v>-1</v>
      </c>
      <c r="O863" s="42">
        <f t="shared" si="92"/>
        <v>45172</v>
      </c>
      <c r="P863" s="5" t="str">
        <f t="shared" si="93"/>
        <v>Sunday</v>
      </c>
      <c r="Q863" s="5">
        <f t="shared" si="94"/>
        <v>11</v>
      </c>
      <c r="R863" s="28">
        <f t="shared" si="95"/>
        <v>0.85333333333333339</v>
      </c>
      <c r="S863" s="29">
        <f t="shared" si="96"/>
        <v>85.333333333333343</v>
      </c>
      <c r="T863" s="5" t="str">
        <f>IF(Delivery_Data3[[#This Row],[Delays (min)]]&gt;0,"No","Yes")</f>
        <v>No</v>
      </c>
      <c r="W863" s="41">
        <f t="shared" si="97"/>
        <v>45172</v>
      </c>
      <c r="X863" s="5">
        <v>128</v>
      </c>
    </row>
    <row r="864" spans="1:24" ht="15.75" customHeight="1" x14ac:dyDescent="0.3">
      <c r="A864" s="4">
        <v>1863</v>
      </c>
      <c r="B864" s="5" t="s">
        <v>142</v>
      </c>
      <c r="C864" s="6">
        <v>45171.619444444441</v>
      </c>
      <c r="D864" s="5" t="s">
        <v>14</v>
      </c>
      <c r="E864" s="5" t="s">
        <v>215</v>
      </c>
      <c r="F864" s="5" t="s">
        <v>38</v>
      </c>
      <c r="G864" s="5" t="s">
        <v>17</v>
      </c>
      <c r="H864" s="5">
        <v>108</v>
      </c>
      <c r="I864" s="5">
        <v>12</v>
      </c>
      <c r="J864" s="5" t="s">
        <v>32</v>
      </c>
      <c r="K864" s="5" t="s">
        <v>49</v>
      </c>
      <c r="L864" s="5" t="s">
        <v>28</v>
      </c>
      <c r="M864" s="7" t="s">
        <v>41</v>
      </c>
      <c r="N864" s="26">
        <f t="shared" si="91"/>
        <v>-1</v>
      </c>
      <c r="O864" s="42">
        <f t="shared" si="92"/>
        <v>45171</v>
      </c>
      <c r="P864" s="5" t="str">
        <f t="shared" si="93"/>
        <v>Saturday</v>
      </c>
      <c r="Q864" s="5">
        <f t="shared" si="94"/>
        <v>14</v>
      </c>
      <c r="R864" s="28">
        <f t="shared" si="95"/>
        <v>0.9</v>
      </c>
      <c r="S864" s="29">
        <f t="shared" si="96"/>
        <v>90</v>
      </c>
      <c r="T864" s="5" t="str">
        <f>IF(Delivery_Data3[[#This Row],[Delays (min)]]&gt;0,"No","Yes")</f>
        <v>No</v>
      </c>
      <c r="W864" s="41">
        <f t="shared" si="97"/>
        <v>45171</v>
      </c>
      <c r="X864" s="5">
        <v>108</v>
      </c>
    </row>
    <row r="865" spans="1:24" ht="15.75" customHeight="1" x14ac:dyDescent="0.3">
      <c r="A865" s="4">
        <v>1864</v>
      </c>
      <c r="B865" s="5" t="s">
        <v>980</v>
      </c>
      <c r="C865" s="6">
        <v>45175.53402777778</v>
      </c>
      <c r="D865" s="5" t="s">
        <v>14</v>
      </c>
      <c r="E865" s="5" t="s">
        <v>58</v>
      </c>
      <c r="F865" s="5" t="s">
        <v>38</v>
      </c>
      <c r="G865" s="5" t="s">
        <v>17</v>
      </c>
      <c r="H865" s="5">
        <v>96</v>
      </c>
      <c r="I865" s="5">
        <v>28</v>
      </c>
      <c r="J865" s="5" t="s">
        <v>32</v>
      </c>
      <c r="K865" s="5" t="s">
        <v>19</v>
      </c>
      <c r="L865" s="5" t="s">
        <v>28</v>
      </c>
      <c r="M865" s="7" t="s">
        <v>21</v>
      </c>
      <c r="N865" s="26">
        <f t="shared" si="91"/>
        <v>-1</v>
      </c>
      <c r="O865" s="42">
        <f t="shared" si="92"/>
        <v>45175</v>
      </c>
      <c r="P865" s="5" t="str">
        <f t="shared" si="93"/>
        <v>Wednesday</v>
      </c>
      <c r="Q865" s="5">
        <f t="shared" si="94"/>
        <v>12</v>
      </c>
      <c r="R865" s="28">
        <f t="shared" si="95"/>
        <v>0.77419354838709675</v>
      </c>
      <c r="S865" s="29">
        <f t="shared" si="96"/>
        <v>77.41935483870968</v>
      </c>
      <c r="T865" s="5" t="str">
        <f>IF(Delivery_Data3[[#This Row],[Delays (min)]]&gt;0,"No","Yes")</f>
        <v>No</v>
      </c>
      <c r="W865" s="41">
        <f t="shared" si="97"/>
        <v>45175</v>
      </c>
      <c r="X865" s="5">
        <v>96</v>
      </c>
    </row>
    <row r="866" spans="1:24" ht="15.75" customHeight="1" x14ac:dyDescent="0.3">
      <c r="A866" s="4">
        <v>1865</v>
      </c>
      <c r="B866" s="5" t="s">
        <v>981</v>
      </c>
      <c r="C866" s="6">
        <v>45170.509027777778</v>
      </c>
      <c r="D866" s="5" t="s">
        <v>43</v>
      </c>
      <c r="E866" s="5" t="s">
        <v>441</v>
      </c>
      <c r="F866" s="5" t="s">
        <v>24</v>
      </c>
      <c r="G866" s="5" t="s">
        <v>31</v>
      </c>
      <c r="H866" s="5">
        <v>119</v>
      </c>
      <c r="I866" s="5">
        <v>26</v>
      </c>
      <c r="J866" s="5" t="s">
        <v>18</v>
      </c>
      <c r="K866" s="5" t="s">
        <v>35</v>
      </c>
      <c r="L866" s="5" t="s">
        <v>40</v>
      </c>
      <c r="M866" s="7" t="s">
        <v>21</v>
      </c>
      <c r="N866" s="26">
        <f t="shared" si="91"/>
        <v>0</v>
      </c>
      <c r="O866" s="42">
        <f t="shared" si="92"/>
        <v>45170</v>
      </c>
      <c r="P866" s="5" t="str">
        <f t="shared" si="93"/>
        <v>Friday</v>
      </c>
      <c r="Q866" s="5">
        <f t="shared" si="94"/>
        <v>12</v>
      </c>
      <c r="R866" s="28">
        <f t="shared" si="95"/>
        <v>0.82068965517241377</v>
      </c>
      <c r="S866" s="29">
        <f t="shared" si="96"/>
        <v>82.068965517241381</v>
      </c>
      <c r="T866" s="5" t="str">
        <f>IF(Delivery_Data3[[#This Row],[Delays (min)]]&gt;0,"No","Yes")</f>
        <v>No</v>
      </c>
      <c r="W866" s="41">
        <f t="shared" si="97"/>
        <v>45170</v>
      </c>
      <c r="X866" s="5">
        <v>119</v>
      </c>
    </row>
    <row r="867" spans="1:24" ht="15.75" customHeight="1" x14ac:dyDescent="0.3">
      <c r="A867" s="4">
        <v>1866</v>
      </c>
      <c r="B867" s="5" t="s">
        <v>982</v>
      </c>
      <c r="C867" s="6">
        <v>45176.65</v>
      </c>
      <c r="D867" s="5" t="s">
        <v>43</v>
      </c>
      <c r="E867" s="5" t="s">
        <v>177</v>
      </c>
      <c r="F867" s="5" t="s">
        <v>38</v>
      </c>
      <c r="G867" s="5" t="s">
        <v>31</v>
      </c>
      <c r="H867" s="5">
        <v>157</v>
      </c>
      <c r="I867" s="5">
        <v>6</v>
      </c>
      <c r="J867" s="5" t="s">
        <v>26</v>
      </c>
      <c r="K867" s="5" t="s">
        <v>49</v>
      </c>
      <c r="L867" s="5" t="s">
        <v>40</v>
      </c>
      <c r="M867" s="7" t="s">
        <v>41</v>
      </c>
      <c r="N867" s="26">
        <f t="shared" si="91"/>
        <v>1</v>
      </c>
      <c r="O867" s="42">
        <f t="shared" si="92"/>
        <v>45176</v>
      </c>
      <c r="P867" s="5" t="str">
        <f t="shared" si="93"/>
        <v>Thursday</v>
      </c>
      <c r="Q867" s="5">
        <f t="shared" si="94"/>
        <v>15</v>
      </c>
      <c r="R867" s="28">
        <f t="shared" si="95"/>
        <v>0.96319018404907975</v>
      </c>
      <c r="S867" s="29">
        <f t="shared" si="96"/>
        <v>96.319018404907979</v>
      </c>
      <c r="T867" s="5" t="str">
        <f>IF(Delivery_Data3[[#This Row],[Delays (min)]]&gt;0,"No","Yes")</f>
        <v>No</v>
      </c>
      <c r="W867" s="41">
        <f t="shared" si="97"/>
        <v>45176</v>
      </c>
      <c r="X867" s="5">
        <v>157</v>
      </c>
    </row>
    <row r="868" spans="1:24" ht="15.75" customHeight="1" x14ac:dyDescent="0.3">
      <c r="A868" s="4">
        <v>1867</v>
      </c>
      <c r="B868" s="5" t="s">
        <v>983</v>
      </c>
      <c r="C868" s="6">
        <v>45177.487500000003</v>
      </c>
      <c r="D868" s="5" t="s">
        <v>43</v>
      </c>
      <c r="E868" s="5" t="s">
        <v>245</v>
      </c>
      <c r="F868" s="5" t="s">
        <v>38</v>
      </c>
      <c r="G868" s="5" t="s">
        <v>25</v>
      </c>
      <c r="H868" s="5">
        <v>186</v>
      </c>
      <c r="I868" s="5">
        <v>15</v>
      </c>
      <c r="J868" s="5" t="s">
        <v>18</v>
      </c>
      <c r="K868" s="5" t="s">
        <v>35</v>
      </c>
      <c r="L868" s="5" t="s">
        <v>20</v>
      </c>
      <c r="M868" s="7" t="s">
        <v>46</v>
      </c>
      <c r="N868" s="26">
        <f t="shared" si="91"/>
        <v>0</v>
      </c>
      <c r="O868" s="42">
        <f t="shared" si="92"/>
        <v>45177</v>
      </c>
      <c r="P868" s="5" t="str">
        <f t="shared" si="93"/>
        <v>Friday</v>
      </c>
      <c r="Q868" s="5">
        <f t="shared" si="94"/>
        <v>11</v>
      </c>
      <c r="R868" s="28">
        <f t="shared" si="95"/>
        <v>0.92537313432835822</v>
      </c>
      <c r="S868" s="29">
        <f t="shared" si="96"/>
        <v>92.537313432835816</v>
      </c>
      <c r="T868" s="5" t="str">
        <f>IF(Delivery_Data3[[#This Row],[Delays (min)]]&gt;0,"No","Yes")</f>
        <v>No</v>
      </c>
      <c r="W868" s="41">
        <f t="shared" si="97"/>
        <v>45177</v>
      </c>
      <c r="X868" s="5">
        <v>186</v>
      </c>
    </row>
    <row r="869" spans="1:24" ht="15.75" customHeight="1" x14ac:dyDescent="0.3">
      <c r="A869" s="4">
        <v>1868</v>
      </c>
      <c r="B869" s="5" t="s">
        <v>984</v>
      </c>
      <c r="C869" s="6">
        <v>45170.462500000001</v>
      </c>
      <c r="D869" s="5" t="s">
        <v>43</v>
      </c>
      <c r="E869" s="5" t="s">
        <v>220</v>
      </c>
      <c r="F869" s="5" t="s">
        <v>24</v>
      </c>
      <c r="G869" s="5" t="s">
        <v>39</v>
      </c>
      <c r="H869" s="5">
        <v>115</v>
      </c>
      <c r="I869" s="5">
        <v>7</v>
      </c>
      <c r="J869" s="5" t="s">
        <v>26</v>
      </c>
      <c r="K869" s="5" t="s">
        <v>19</v>
      </c>
      <c r="L869" s="5" t="s">
        <v>40</v>
      </c>
      <c r="M869" s="7" t="s">
        <v>46</v>
      </c>
      <c r="N869" s="26">
        <f t="shared" si="91"/>
        <v>1</v>
      </c>
      <c r="O869" s="42">
        <f t="shared" si="92"/>
        <v>45170</v>
      </c>
      <c r="P869" s="5" t="str">
        <f t="shared" si="93"/>
        <v>Friday</v>
      </c>
      <c r="Q869" s="5">
        <f t="shared" si="94"/>
        <v>11</v>
      </c>
      <c r="R869" s="28">
        <f t="shared" si="95"/>
        <v>0.94262295081967218</v>
      </c>
      <c r="S869" s="29">
        <f t="shared" si="96"/>
        <v>94.262295081967224</v>
      </c>
      <c r="T869" s="5" t="str">
        <f>IF(Delivery_Data3[[#This Row],[Delays (min)]]&gt;0,"No","Yes")</f>
        <v>No</v>
      </c>
      <c r="W869" s="41">
        <f t="shared" si="97"/>
        <v>45170</v>
      </c>
      <c r="X869" s="5">
        <v>115</v>
      </c>
    </row>
    <row r="870" spans="1:24" ht="15.75" customHeight="1" x14ac:dyDescent="0.3">
      <c r="A870" s="4">
        <v>1869</v>
      </c>
      <c r="B870" s="5" t="s">
        <v>985</v>
      </c>
      <c r="C870" s="6">
        <v>45171.356944444444</v>
      </c>
      <c r="D870" s="5" t="s">
        <v>14</v>
      </c>
      <c r="E870" s="5" t="s">
        <v>189</v>
      </c>
      <c r="F870" s="5" t="s">
        <v>38</v>
      </c>
      <c r="G870" s="5" t="s">
        <v>39</v>
      </c>
      <c r="H870" s="5">
        <v>146</v>
      </c>
      <c r="I870" s="5">
        <v>8</v>
      </c>
      <c r="J870" s="5" t="s">
        <v>26</v>
      </c>
      <c r="K870" s="5" t="s">
        <v>49</v>
      </c>
      <c r="L870" s="5" t="s">
        <v>28</v>
      </c>
      <c r="M870" s="7" t="s">
        <v>41</v>
      </c>
      <c r="N870" s="26">
        <f t="shared" si="91"/>
        <v>1</v>
      </c>
      <c r="O870" s="42">
        <f t="shared" si="92"/>
        <v>45171</v>
      </c>
      <c r="P870" s="5" t="str">
        <f t="shared" si="93"/>
        <v>Saturday</v>
      </c>
      <c r="Q870" s="5">
        <f t="shared" si="94"/>
        <v>8</v>
      </c>
      <c r="R870" s="28">
        <f t="shared" si="95"/>
        <v>0.94805194805194803</v>
      </c>
      <c r="S870" s="29">
        <f t="shared" si="96"/>
        <v>94.805194805194802</v>
      </c>
      <c r="T870" s="5" t="str">
        <f>IF(Delivery_Data3[[#This Row],[Delays (min)]]&gt;0,"No","Yes")</f>
        <v>No</v>
      </c>
      <c r="W870" s="41">
        <f t="shared" si="97"/>
        <v>45171</v>
      </c>
      <c r="X870" s="5">
        <v>146</v>
      </c>
    </row>
    <row r="871" spans="1:24" ht="15.75" customHeight="1" x14ac:dyDescent="0.3">
      <c r="A871" s="4">
        <v>1870</v>
      </c>
      <c r="B871" s="5" t="s">
        <v>986</v>
      </c>
      <c r="C871" s="6">
        <v>45175.647916666669</v>
      </c>
      <c r="D871" s="5" t="s">
        <v>43</v>
      </c>
      <c r="E871" s="5" t="s">
        <v>99</v>
      </c>
      <c r="F871" s="5" t="s">
        <v>24</v>
      </c>
      <c r="G871" s="5" t="s">
        <v>25</v>
      </c>
      <c r="H871" s="5">
        <v>119</v>
      </c>
      <c r="I871" s="5">
        <v>4</v>
      </c>
      <c r="J871" s="5" t="s">
        <v>18</v>
      </c>
      <c r="K871" s="5" t="s">
        <v>19</v>
      </c>
      <c r="L871" s="5" t="s">
        <v>20</v>
      </c>
      <c r="M871" s="7" t="s">
        <v>41</v>
      </c>
      <c r="N871" s="26">
        <f t="shared" si="91"/>
        <v>0</v>
      </c>
      <c r="O871" s="42">
        <f t="shared" si="92"/>
        <v>45175</v>
      </c>
      <c r="P871" s="5" t="str">
        <f t="shared" si="93"/>
        <v>Wednesday</v>
      </c>
      <c r="Q871" s="5">
        <f t="shared" si="94"/>
        <v>15</v>
      </c>
      <c r="R871" s="28">
        <f t="shared" si="95"/>
        <v>0.96747967479674801</v>
      </c>
      <c r="S871" s="29">
        <f t="shared" si="96"/>
        <v>96.747967479674799</v>
      </c>
      <c r="T871" s="5" t="str">
        <f>IF(Delivery_Data3[[#This Row],[Delays (min)]]&gt;0,"No","Yes")</f>
        <v>No</v>
      </c>
      <c r="W871" s="41">
        <f t="shared" si="97"/>
        <v>45175</v>
      </c>
      <c r="X871" s="5">
        <v>119</v>
      </c>
    </row>
    <row r="872" spans="1:24" ht="15.75" customHeight="1" x14ac:dyDescent="0.3">
      <c r="A872" s="4">
        <v>1871</v>
      </c>
      <c r="B872" s="5" t="s">
        <v>987</v>
      </c>
      <c r="C872" s="6">
        <v>45171.42291666667</v>
      </c>
      <c r="D872" s="5" t="s">
        <v>43</v>
      </c>
      <c r="E872" s="5" t="s">
        <v>272</v>
      </c>
      <c r="F872" s="5" t="s">
        <v>24</v>
      </c>
      <c r="G872" s="5" t="s">
        <v>39</v>
      </c>
      <c r="H872" s="5">
        <v>202</v>
      </c>
      <c r="I872" s="5">
        <v>16</v>
      </c>
      <c r="J872" s="5" t="s">
        <v>32</v>
      </c>
      <c r="K872" s="5" t="s">
        <v>27</v>
      </c>
      <c r="L872" s="5" t="s">
        <v>40</v>
      </c>
      <c r="M872" s="7" t="s">
        <v>46</v>
      </c>
      <c r="N872" s="26">
        <f t="shared" si="91"/>
        <v>-1</v>
      </c>
      <c r="O872" s="42">
        <f t="shared" si="92"/>
        <v>45171</v>
      </c>
      <c r="P872" s="5" t="str">
        <f t="shared" si="93"/>
        <v>Saturday</v>
      </c>
      <c r="Q872" s="5">
        <f t="shared" si="94"/>
        <v>10</v>
      </c>
      <c r="R872" s="28">
        <f t="shared" si="95"/>
        <v>0.92660550458715596</v>
      </c>
      <c r="S872" s="29">
        <f t="shared" si="96"/>
        <v>92.660550458715591</v>
      </c>
      <c r="T872" s="5" t="str">
        <f>IF(Delivery_Data3[[#This Row],[Delays (min)]]&gt;0,"No","Yes")</f>
        <v>No</v>
      </c>
      <c r="W872" s="41">
        <f t="shared" si="97"/>
        <v>45171</v>
      </c>
      <c r="X872" s="5">
        <v>202</v>
      </c>
    </row>
    <row r="873" spans="1:24" ht="15.75" customHeight="1" x14ac:dyDescent="0.3">
      <c r="A873" s="4">
        <v>1872</v>
      </c>
      <c r="B873" s="5" t="s">
        <v>988</v>
      </c>
      <c r="C873" s="6">
        <v>45177.390972222223</v>
      </c>
      <c r="D873" s="5" t="s">
        <v>43</v>
      </c>
      <c r="E873" s="5" t="s">
        <v>249</v>
      </c>
      <c r="F873" s="5" t="s">
        <v>16</v>
      </c>
      <c r="G873" s="5" t="s">
        <v>17</v>
      </c>
      <c r="H873" s="5">
        <v>184</v>
      </c>
      <c r="I873" s="5">
        <v>16</v>
      </c>
      <c r="J873" s="5" t="s">
        <v>32</v>
      </c>
      <c r="K873" s="5" t="s">
        <v>27</v>
      </c>
      <c r="L873" s="5" t="s">
        <v>20</v>
      </c>
      <c r="M873" s="7" t="s">
        <v>46</v>
      </c>
      <c r="N873" s="26">
        <f t="shared" si="91"/>
        <v>-1</v>
      </c>
      <c r="O873" s="42">
        <f t="shared" si="92"/>
        <v>45177</v>
      </c>
      <c r="P873" s="5" t="str">
        <f t="shared" si="93"/>
        <v>Friday</v>
      </c>
      <c r="Q873" s="5">
        <f t="shared" si="94"/>
        <v>9</v>
      </c>
      <c r="R873" s="28">
        <f t="shared" si="95"/>
        <v>0.92</v>
      </c>
      <c r="S873" s="29">
        <f t="shared" si="96"/>
        <v>92</v>
      </c>
      <c r="T873" s="5" t="str">
        <f>IF(Delivery_Data3[[#This Row],[Delays (min)]]&gt;0,"No","Yes")</f>
        <v>No</v>
      </c>
      <c r="W873" s="41">
        <f t="shared" si="97"/>
        <v>45177</v>
      </c>
      <c r="X873" s="5">
        <v>184</v>
      </c>
    </row>
    <row r="874" spans="1:24" ht="15.75" customHeight="1" x14ac:dyDescent="0.3">
      <c r="A874" s="4">
        <v>1873</v>
      </c>
      <c r="B874" s="5" t="s">
        <v>989</v>
      </c>
      <c r="C874" s="6">
        <v>45174.415277777778</v>
      </c>
      <c r="D874" s="5" t="s">
        <v>43</v>
      </c>
      <c r="E874" s="5" t="s">
        <v>128</v>
      </c>
      <c r="F874" s="5" t="s">
        <v>38</v>
      </c>
      <c r="G874" s="5" t="s">
        <v>56</v>
      </c>
      <c r="H874" s="5">
        <v>125</v>
      </c>
      <c r="I874" s="5">
        <v>21</v>
      </c>
      <c r="J874" s="5" t="s">
        <v>18</v>
      </c>
      <c r="K874" s="5" t="s">
        <v>19</v>
      </c>
      <c r="L874" s="5" t="s">
        <v>20</v>
      </c>
      <c r="M874" s="7" t="s">
        <v>21</v>
      </c>
      <c r="N874" s="26">
        <f t="shared" si="91"/>
        <v>0</v>
      </c>
      <c r="O874" s="42">
        <f t="shared" si="92"/>
        <v>45174</v>
      </c>
      <c r="P874" s="5" t="str">
        <f t="shared" si="93"/>
        <v>Tuesday</v>
      </c>
      <c r="Q874" s="5">
        <f t="shared" si="94"/>
        <v>9</v>
      </c>
      <c r="R874" s="28">
        <f t="shared" si="95"/>
        <v>0.85616438356164382</v>
      </c>
      <c r="S874" s="29">
        <f t="shared" si="96"/>
        <v>85.61643835616438</v>
      </c>
      <c r="T874" s="5" t="str">
        <f>IF(Delivery_Data3[[#This Row],[Delays (min)]]&gt;0,"No","Yes")</f>
        <v>No</v>
      </c>
      <c r="W874" s="41">
        <f t="shared" si="97"/>
        <v>45174</v>
      </c>
      <c r="X874" s="5">
        <v>125</v>
      </c>
    </row>
    <row r="875" spans="1:24" ht="15.75" customHeight="1" x14ac:dyDescent="0.3">
      <c r="A875" s="4">
        <v>1874</v>
      </c>
      <c r="B875" s="5" t="s">
        <v>990</v>
      </c>
      <c r="C875" s="6">
        <v>45173.548611111109</v>
      </c>
      <c r="D875" s="5" t="s">
        <v>43</v>
      </c>
      <c r="E875" s="5" t="s">
        <v>374</v>
      </c>
      <c r="F875" s="5" t="s">
        <v>24</v>
      </c>
      <c r="G875" s="5" t="s">
        <v>56</v>
      </c>
      <c r="H875" s="5">
        <v>227</v>
      </c>
      <c r="I875" s="5">
        <v>28</v>
      </c>
      <c r="J875" s="5" t="s">
        <v>26</v>
      </c>
      <c r="K875" s="5" t="s">
        <v>27</v>
      </c>
      <c r="L875" s="5" t="s">
        <v>40</v>
      </c>
      <c r="M875" s="7" t="s">
        <v>21</v>
      </c>
      <c r="N875" s="26">
        <f t="shared" si="91"/>
        <v>1</v>
      </c>
      <c r="O875" s="42">
        <f t="shared" si="92"/>
        <v>45173</v>
      </c>
      <c r="P875" s="5" t="str">
        <f t="shared" si="93"/>
        <v>Monday</v>
      </c>
      <c r="Q875" s="5">
        <f t="shared" si="94"/>
        <v>13</v>
      </c>
      <c r="R875" s="28">
        <f t="shared" si="95"/>
        <v>0.8901960784313725</v>
      </c>
      <c r="S875" s="29">
        <f t="shared" si="96"/>
        <v>89.019607843137251</v>
      </c>
      <c r="T875" s="5" t="str">
        <f>IF(Delivery_Data3[[#This Row],[Delays (min)]]&gt;0,"No","Yes")</f>
        <v>No</v>
      </c>
      <c r="W875" s="41">
        <f t="shared" si="97"/>
        <v>45173</v>
      </c>
      <c r="X875" s="5">
        <v>227</v>
      </c>
    </row>
    <row r="876" spans="1:24" ht="15.75" customHeight="1" x14ac:dyDescent="0.3">
      <c r="A876" s="4">
        <v>1875</v>
      </c>
      <c r="B876" s="5" t="s">
        <v>991</v>
      </c>
      <c r="C876" s="6">
        <v>45174.577777777777</v>
      </c>
      <c r="D876" s="5" t="s">
        <v>43</v>
      </c>
      <c r="E876" s="5" t="s">
        <v>109</v>
      </c>
      <c r="F876" s="5" t="s">
        <v>38</v>
      </c>
      <c r="G876" s="5" t="s">
        <v>25</v>
      </c>
      <c r="H876" s="5">
        <v>188</v>
      </c>
      <c r="I876" s="5">
        <v>8</v>
      </c>
      <c r="J876" s="5" t="s">
        <v>26</v>
      </c>
      <c r="K876" s="5" t="s">
        <v>35</v>
      </c>
      <c r="L876" s="5" t="s">
        <v>20</v>
      </c>
      <c r="M876" s="7" t="s">
        <v>46</v>
      </c>
      <c r="N876" s="26">
        <f t="shared" si="91"/>
        <v>1</v>
      </c>
      <c r="O876" s="42">
        <f t="shared" si="92"/>
        <v>45174</v>
      </c>
      <c r="P876" s="5" t="str">
        <f t="shared" si="93"/>
        <v>Tuesday</v>
      </c>
      <c r="Q876" s="5">
        <f t="shared" si="94"/>
        <v>13</v>
      </c>
      <c r="R876" s="28">
        <f t="shared" si="95"/>
        <v>0.95918367346938771</v>
      </c>
      <c r="S876" s="29">
        <f t="shared" si="96"/>
        <v>95.918367346938766</v>
      </c>
      <c r="T876" s="5" t="str">
        <f>IF(Delivery_Data3[[#This Row],[Delays (min)]]&gt;0,"No","Yes")</f>
        <v>No</v>
      </c>
      <c r="W876" s="41">
        <f t="shared" si="97"/>
        <v>45174</v>
      </c>
      <c r="X876" s="5">
        <v>188</v>
      </c>
    </row>
    <row r="877" spans="1:24" ht="15.75" customHeight="1" x14ac:dyDescent="0.3">
      <c r="A877" s="4">
        <v>1876</v>
      </c>
      <c r="B877" s="5" t="s">
        <v>992</v>
      </c>
      <c r="C877" s="6">
        <v>45177.435416666667</v>
      </c>
      <c r="D877" s="5" t="s">
        <v>43</v>
      </c>
      <c r="E877" s="5" t="s">
        <v>215</v>
      </c>
      <c r="F877" s="5" t="s">
        <v>24</v>
      </c>
      <c r="G877" s="5" t="s">
        <v>31</v>
      </c>
      <c r="H877" s="5">
        <v>192</v>
      </c>
      <c r="I877" s="5">
        <v>15</v>
      </c>
      <c r="J877" s="5" t="s">
        <v>18</v>
      </c>
      <c r="K877" s="5" t="s">
        <v>49</v>
      </c>
      <c r="L877" s="5" t="s">
        <v>40</v>
      </c>
      <c r="M877" s="7" t="s">
        <v>41</v>
      </c>
      <c r="N877" s="26">
        <f t="shared" si="91"/>
        <v>0</v>
      </c>
      <c r="O877" s="42">
        <f t="shared" si="92"/>
        <v>45177</v>
      </c>
      <c r="P877" s="5" t="str">
        <f t="shared" si="93"/>
        <v>Friday</v>
      </c>
      <c r="Q877" s="5">
        <f t="shared" si="94"/>
        <v>10</v>
      </c>
      <c r="R877" s="28">
        <f t="shared" si="95"/>
        <v>0.92753623188405798</v>
      </c>
      <c r="S877" s="29">
        <f t="shared" si="96"/>
        <v>92.753623188405797</v>
      </c>
      <c r="T877" s="5" t="str">
        <f>IF(Delivery_Data3[[#This Row],[Delays (min)]]&gt;0,"No","Yes")</f>
        <v>No</v>
      </c>
      <c r="W877" s="41">
        <f t="shared" si="97"/>
        <v>45177</v>
      </c>
      <c r="X877" s="5">
        <v>192</v>
      </c>
    </row>
    <row r="878" spans="1:24" ht="15.75" customHeight="1" x14ac:dyDescent="0.3">
      <c r="A878" s="4">
        <v>1877</v>
      </c>
      <c r="B878" s="5" t="s">
        <v>993</v>
      </c>
      <c r="C878" s="6">
        <v>45177.511805555558</v>
      </c>
      <c r="D878" s="5" t="s">
        <v>43</v>
      </c>
      <c r="E878" s="5" t="s">
        <v>211</v>
      </c>
      <c r="F878" s="5" t="s">
        <v>24</v>
      </c>
      <c r="G878" s="5" t="s">
        <v>25</v>
      </c>
      <c r="H878" s="5">
        <v>219</v>
      </c>
      <c r="I878" s="5">
        <v>12</v>
      </c>
      <c r="J878" s="5" t="s">
        <v>18</v>
      </c>
      <c r="K878" s="5" t="s">
        <v>35</v>
      </c>
      <c r="L878" s="5" t="s">
        <v>28</v>
      </c>
      <c r="M878" s="7" t="s">
        <v>41</v>
      </c>
      <c r="N878" s="26">
        <f t="shared" si="91"/>
        <v>0</v>
      </c>
      <c r="O878" s="42">
        <f t="shared" si="92"/>
        <v>45177</v>
      </c>
      <c r="P878" s="5" t="str">
        <f t="shared" si="93"/>
        <v>Friday</v>
      </c>
      <c r="Q878" s="5">
        <f t="shared" si="94"/>
        <v>12</v>
      </c>
      <c r="R878" s="28">
        <f t="shared" si="95"/>
        <v>0.94805194805194803</v>
      </c>
      <c r="S878" s="29">
        <f t="shared" si="96"/>
        <v>94.805194805194802</v>
      </c>
      <c r="T878" s="5" t="str">
        <f>IF(Delivery_Data3[[#This Row],[Delays (min)]]&gt;0,"No","Yes")</f>
        <v>No</v>
      </c>
      <c r="W878" s="41">
        <f t="shared" si="97"/>
        <v>45177</v>
      </c>
      <c r="X878" s="5">
        <v>219</v>
      </c>
    </row>
    <row r="879" spans="1:24" ht="15.75" customHeight="1" x14ac:dyDescent="0.3">
      <c r="A879" s="4">
        <v>1878</v>
      </c>
      <c r="B879" s="5" t="s">
        <v>994</v>
      </c>
      <c r="C879" s="6">
        <v>45177.338194444441</v>
      </c>
      <c r="D879" s="5" t="s">
        <v>43</v>
      </c>
      <c r="E879" s="5" t="s">
        <v>122</v>
      </c>
      <c r="F879" s="5" t="s">
        <v>24</v>
      </c>
      <c r="G879" s="5" t="s">
        <v>39</v>
      </c>
      <c r="H879" s="5">
        <v>173</v>
      </c>
      <c r="I879" s="5">
        <v>10</v>
      </c>
      <c r="J879" s="5" t="s">
        <v>32</v>
      </c>
      <c r="K879" s="5" t="s">
        <v>35</v>
      </c>
      <c r="L879" s="5" t="s">
        <v>20</v>
      </c>
      <c r="M879" s="7" t="s">
        <v>46</v>
      </c>
      <c r="N879" s="26">
        <f t="shared" si="91"/>
        <v>-1</v>
      </c>
      <c r="O879" s="42">
        <f t="shared" si="92"/>
        <v>45177</v>
      </c>
      <c r="P879" s="5" t="str">
        <f t="shared" si="93"/>
        <v>Friday</v>
      </c>
      <c r="Q879" s="5">
        <f t="shared" si="94"/>
        <v>8</v>
      </c>
      <c r="R879" s="28">
        <f t="shared" si="95"/>
        <v>0.94535519125683065</v>
      </c>
      <c r="S879" s="29">
        <f t="shared" si="96"/>
        <v>94.535519125683066</v>
      </c>
      <c r="T879" s="5" t="str">
        <f>IF(Delivery_Data3[[#This Row],[Delays (min)]]&gt;0,"No","Yes")</f>
        <v>No</v>
      </c>
      <c r="W879" s="41">
        <f t="shared" si="97"/>
        <v>45177</v>
      </c>
      <c r="X879" s="5">
        <v>173</v>
      </c>
    </row>
    <row r="880" spans="1:24" ht="15.75" customHeight="1" x14ac:dyDescent="0.3">
      <c r="A880" s="4">
        <v>1879</v>
      </c>
      <c r="B880" s="5" t="s">
        <v>995</v>
      </c>
      <c r="C880" s="6">
        <v>45172.486805555556</v>
      </c>
      <c r="D880" s="5" t="s">
        <v>14</v>
      </c>
      <c r="E880" s="5" t="s">
        <v>44</v>
      </c>
      <c r="F880" s="5" t="s">
        <v>16</v>
      </c>
      <c r="G880" s="5" t="s">
        <v>17</v>
      </c>
      <c r="H880" s="5">
        <v>176</v>
      </c>
      <c r="I880" s="5">
        <v>28</v>
      </c>
      <c r="J880" s="5" t="s">
        <v>32</v>
      </c>
      <c r="K880" s="5" t="s">
        <v>45</v>
      </c>
      <c r="L880" s="5" t="s">
        <v>28</v>
      </c>
      <c r="M880" s="7" t="s">
        <v>41</v>
      </c>
      <c r="N880" s="26">
        <f t="shared" si="91"/>
        <v>-1</v>
      </c>
      <c r="O880" s="42">
        <f t="shared" si="92"/>
        <v>45172</v>
      </c>
      <c r="P880" s="5" t="str">
        <f t="shared" si="93"/>
        <v>Sunday</v>
      </c>
      <c r="Q880" s="5">
        <f t="shared" si="94"/>
        <v>11</v>
      </c>
      <c r="R880" s="28">
        <f t="shared" si="95"/>
        <v>0.86274509803921573</v>
      </c>
      <c r="S880" s="29">
        <f t="shared" si="96"/>
        <v>86.274509803921575</v>
      </c>
      <c r="T880" s="5" t="str">
        <f>IF(Delivery_Data3[[#This Row],[Delays (min)]]&gt;0,"No","Yes")</f>
        <v>No</v>
      </c>
      <c r="W880" s="41">
        <f t="shared" si="97"/>
        <v>45172</v>
      </c>
      <c r="X880" s="5">
        <v>176</v>
      </c>
    </row>
    <row r="881" spans="1:24" ht="15.75" customHeight="1" x14ac:dyDescent="0.3">
      <c r="A881" s="4">
        <v>1880</v>
      </c>
      <c r="B881" s="5" t="s">
        <v>996</v>
      </c>
      <c r="C881" s="6">
        <v>45176.363888888889</v>
      </c>
      <c r="D881" s="5" t="s">
        <v>43</v>
      </c>
      <c r="E881" s="5" t="s">
        <v>70</v>
      </c>
      <c r="F881" s="5" t="s">
        <v>16</v>
      </c>
      <c r="G881" s="5" t="s">
        <v>31</v>
      </c>
      <c r="H881" s="5">
        <v>167</v>
      </c>
      <c r="I881" s="5">
        <v>4</v>
      </c>
      <c r="J881" s="5" t="s">
        <v>26</v>
      </c>
      <c r="K881" s="5" t="s">
        <v>19</v>
      </c>
      <c r="L881" s="5" t="s">
        <v>40</v>
      </c>
      <c r="M881" s="7" t="s">
        <v>41</v>
      </c>
      <c r="N881" s="26">
        <f t="shared" si="91"/>
        <v>1</v>
      </c>
      <c r="O881" s="42">
        <f t="shared" si="92"/>
        <v>45176</v>
      </c>
      <c r="P881" s="5" t="str">
        <f t="shared" si="93"/>
        <v>Thursday</v>
      </c>
      <c r="Q881" s="5">
        <f t="shared" si="94"/>
        <v>8</v>
      </c>
      <c r="R881" s="28">
        <f t="shared" si="95"/>
        <v>0.97660818713450293</v>
      </c>
      <c r="S881" s="29">
        <f t="shared" si="96"/>
        <v>97.660818713450297</v>
      </c>
      <c r="T881" s="5" t="str">
        <f>IF(Delivery_Data3[[#This Row],[Delays (min)]]&gt;0,"No","Yes")</f>
        <v>No</v>
      </c>
      <c r="W881" s="41">
        <f t="shared" si="97"/>
        <v>45176</v>
      </c>
      <c r="X881" s="5">
        <v>167</v>
      </c>
    </row>
    <row r="882" spans="1:24" ht="15.75" customHeight="1" x14ac:dyDescent="0.3">
      <c r="A882" s="4">
        <v>1881</v>
      </c>
      <c r="B882" s="5" t="s">
        <v>997</v>
      </c>
      <c r="C882" s="6">
        <v>45172.580555555556</v>
      </c>
      <c r="D882" s="5" t="s">
        <v>14</v>
      </c>
      <c r="E882" s="5" t="s">
        <v>128</v>
      </c>
      <c r="F882" s="5" t="s">
        <v>24</v>
      </c>
      <c r="G882" s="5" t="s">
        <v>25</v>
      </c>
      <c r="H882" s="5">
        <v>228</v>
      </c>
      <c r="I882" s="5">
        <v>13</v>
      </c>
      <c r="J882" s="5" t="s">
        <v>26</v>
      </c>
      <c r="K882" s="5" t="s">
        <v>19</v>
      </c>
      <c r="L882" s="5" t="s">
        <v>28</v>
      </c>
      <c r="M882" s="7" t="s">
        <v>46</v>
      </c>
      <c r="N882" s="26">
        <f t="shared" si="91"/>
        <v>1</v>
      </c>
      <c r="O882" s="42">
        <f t="shared" si="92"/>
        <v>45172</v>
      </c>
      <c r="P882" s="5" t="str">
        <f t="shared" si="93"/>
        <v>Sunday</v>
      </c>
      <c r="Q882" s="5">
        <f t="shared" si="94"/>
        <v>13</v>
      </c>
      <c r="R882" s="28">
        <f t="shared" si="95"/>
        <v>0.94605809128630702</v>
      </c>
      <c r="S882" s="29">
        <f t="shared" si="96"/>
        <v>94.605809128630696</v>
      </c>
      <c r="T882" s="5" t="str">
        <f>IF(Delivery_Data3[[#This Row],[Delays (min)]]&gt;0,"No","Yes")</f>
        <v>No</v>
      </c>
      <c r="W882" s="41">
        <f t="shared" si="97"/>
        <v>45172</v>
      </c>
      <c r="X882" s="5">
        <v>228</v>
      </c>
    </row>
    <row r="883" spans="1:24" ht="15.75" customHeight="1" x14ac:dyDescent="0.3">
      <c r="A883" s="4">
        <v>1882</v>
      </c>
      <c r="B883" s="5" t="s">
        <v>998</v>
      </c>
      <c r="C883" s="6">
        <v>45177.497916666667</v>
      </c>
      <c r="D883" s="5" t="s">
        <v>43</v>
      </c>
      <c r="E883" s="5" t="s">
        <v>55</v>
      </c>
      <c r="F883" s="5" t="s">
        <v>16</v>
      </c>
      <c r="G883" s="5" t="s">
        <v>17</v>
      </c>
      <c r="H883" s="5">
        <v>228</v>
      </c>
      <c r="I883" s="5">
        <v>13</v>
      </c>
      <c r="J883" s="5" t="s">
        <v>18</v>
      </c>
      <c r="K883" s="5" t="s">
        <v>19</v>
      </c>
      <c r="L883" s="5" t="s">
        <v>28</v>
      </c>
      <c r="M883" s="7" t="s">
        <v>41</v>
      </c>
      <c r="N883" s="26">
        <f t="shared" si="91"/>
        <v>0</v>
      </c>
      <c r="O883" s="42">
        <f t="shared" si="92"/>
        <v>45177</v>
      </c>
      <c r="P883" s="5" t="str">
        <f t="shared" si="93"/>
        <v>Friday</v>
      </c>
      <c r="Q883" s="5">
        <f t="shared" si="94"/>
        <v>11</v>
      </c>
      <c r="R883" s="28">
        <f t="shared" si="95"/>
        <v>0.94605809128630702</v>
      </c>
      <c r="S883" s="29">
        <f t="shared" si="96"/>
        <v>94.605809128630696</v>
      </c>
      <c r="T883" s="5" t="str">
        <f>IF(Delivery_Data3[[#This Row],[Delays (min)]]&gt;0,"No","Yes")</f>
        <v>No</v>
      </c>
      <c r="W883" s="41">
        <f t="shared" si="97"/>
        <v>45177</v>
      </c>
      <c r="X883" s="5">
        <v>228</v>
      </c>
    </row>
    <row r="884" spans="1:24" ht="15.75" customHeight="1" x14ac:dyDescent="0.3">
      <c r="A884" s="4">
        <v>1883</v>
      </c>
      <c r="B884" s="5" t="s">
        <v>999</v>
      </c>
      <c r="C884" s="6">
        <v>45172.644444444442</v>
      </c>
      <c r="D884" s="5" t="s">
        <v>43</v>
      </c>
      <c r="E884" s="5" t="s">
        <v>103</v>
      </c>
      <c r="F884" s="5" t="s">
        <v>16</v>
      </c>
      <c r="G884" s="5" t="s">
        <v>31</v>
      </c>
      <c r="H884" s="5">
        <v>74</v>
      </c>
      <c r="I884" s="5">
        <v>24</v>
      </c>
      <c r="J884" s="5" t="s">
        <v>32</v>
      </c>
      <c r="K884" s="5" t="s">
        <v>45</v>
      </c>
      <c r="L884" s="5" t="s">
        <v>40</v>
      </c>
      <c r="M884" s="7" t="s">
        <v>46</v>
      </c>
      <c r="N884" s="26">
        <f t="shared" si="91"/>
        <v>-1</v>
      </c>
      <c r="O884" s="42">
        <f t="shared" si="92"/>
        <v>45172</v>
      </c>
      <c r="P884" s="5" t="str">
        <f t="shared" si="93"/>
        <v>Sunday</v>
      </c>
      <c r="Q884" s="5">
        <f t="shared" si="94"/>
        <v>15</v>
      </c>
      <c r="R884" s="28">
        <f t="shared" si="95"/>
        <v>0.75510204081632648</v>
      </c>
      <c r="S884" s="29">
        <f t="shared" si="96"/>
        <v>75.510204081632651</v>
      </c>
      <c r="T884" s="5" t="str">
        <f>IF(Delivery_Data3[[#This Row],[Delays (min)]]&gt;0,"No","Yes")</f>
        <v>No</v>
      </c>
      <c r="W884" s="41">
        <f t="shared" si="97"/>
        <v>45172</v>
      </c>
      <c r="X884" s="5">
        <v>74</v>
      </c>
    </row>
    <row r="885" spans="1:24" ht="15.75" customHeight="1" x14ac:dyDescent="0.3">
      <c r="A885" s="4">
        <v>1884</v>
      </c>
      <c r="B885" s="5" t="s">
        <v>1000</v>
      </c>
      <c r="C885" s="6">
        <v>45175.600694444445</v>
      </c>
      <c r="D885" s="5" t="s">
        <v>14</v>
      </c>
      <c r="E885" s="5" t="s">
        <v>311</v>
      </c>
      <c r="F885" s="5" t="s">
        <v>16</v>
      </c>
      <c r="G885" s="5" t="s">
        <v>31</v>
      </c>
      <c r="H885" s="5">
        <v>209</v>
      </c>
      <c r="I885" s="5">
        <v>8</v>
      </c>
      <c r="J885" s="5" t="s">
        <v>18</v>
      </c>
      <c r="K885" s="5" t="s">
        <v>49</v>
      </c>
      <c r="L885" s="5" t="s">
        <v>28</v>
      </c>
      <c r="M885" s="7" t="s">
        <v>46</v>
      </c>
      <c r="N885" s="26">
        <f t="shared" si="91"/>
        <v>0</v>
      </c>
      <c r="O885" s="42">
        <f t="shared" si="92"/>
        <v>45175</v>
      </c>
      <c r="P885" s="5" t="str">
        <f t="shared" si="93"/>
        <v>Wednesday</v>
      </c>
      <c r="Q885" s="5">
        <f t="shared" si="94"/>
        <v>14</v>
      </c>
      <c r="R885" s="28">
        <f t="shared" si="95"/>
        <v>0.96313364055299544</v>
      </c>
      <c r="S885" s="29">
        <f t="shared" si="96"/>
        <v>96.313364055299544</v>
      </c>
      <c r="T885" s="5" t="str">
        <f>IF(Delivery_Data3[[#This Row],[Delays (min)]]&gt;0,"No","Yes")</f>
        <v>No</v>
      </c>
      <c r="W885" s="41">
        <f t="shared" si="97"/>
        <v>45175</v>
      </c>
      <c r="X885" s="5">
        <v>209</v>
      </c>
    </row>
    <row r="886" spans="1:24" ht="15.75" customHeight="1" x14ac:dyDescent="0.3">
      <c r="A886" s="4">
        <v>1885</v>
      </c>
      <c r="B886" s="5" t="s">
        <v>1001</v>
      </c>
      <c r="C886" s="6">
        <v>45173.591666666667</v>
      </c>
      <c r="D886" s="5" t="s">
        <v>43</v>
      </c>
      <c r="E886" s="5" t="s">
        <v>30</v>
      </c>
      <c r="F886" s="5" t="s">
        <v>38</v>
      </c>
      <c r="G886" s="5" t="s">
        <v>25</v>
      </c>
      <c r="H886" s="5">
        <v>232</v>
      </c>
      <c r="I886" s="5">
        <v>29</v>
      </c>
      <c r="J886" s="5" t="s">
        <v>18</v>
      </c>
      <c r="K886" s="5" t="s">
        <v>19</v>
      </c>
      <c r="L886" s="5" t="s">
        <v>20</v>
      </c>
      <c r="M886" s="7" t="s">
        <v>21</v>
      </c>
      <c r="N886" s="26">
        <f t="shared" si="91"/>
        <v>0</v>
      </c>
      <c r="O886" s="42">
        <f t="shared" si="92"/>
        <v>45173</v>
      </c>
      <c r="P886" s="5" t="str">
        <f t="shared" si="93"/>
        <v>Monday</v>
      </c>
      <c r="Q886" s="5">
        <f t="shared" si="94"/>
        <v>14</v>
      </c>
      <c r="R886" s="28">
        <f t="shared" si="95"/>
        <v>0.88888888888888884</v>
      </c>
      <c r="S886" s="29">
        <f t="shared" si="96"/>
        <v>88.888888888888886</v>
      </c>
      <c r="T886" s="5" t="str">
        <f>IF(Delivery_Data3[[#This Row],[Delays (min)]]&gt;0,"No","Yes")</f>
        <v>No</v>
      </c>
      <c r="W886" s="41">
        <f t="shared" si="97"/>
        <v>45173</v>
      </c>
      <c r="X886" s="5">
        <v>232</v>
      </c>
    </row>
    <row r="887" spans="1:24" ht="15.75" customHeight="1" x14ac:dyDescent="0.3">
      <c r="A887" s="4">
        <v>1886</v>
      </c>
      <c r="B887" s="5" t="s">
        <v>1002</v>
      </c>
      <c r="C887" s="6">
        <v>45171.625</v>
      </c>
      <c r="D887" s="5" t="s">
        <v>43</v>
      </c>
      <c r="E887" s="5" t="s">
        <v>166</v>
      </c>
      <c r="F887" s="5" t="s">
        <v>16</v>
      </c>
      <c r="G887" s="5" t="s">
        <v>31</v>
      </c>
      <c r="H887" s="5">
        <v>71</v>
      </c>
      <c r="I887" s="5">
        <v>25</v>
      </c>
      <c r="J887" s="5" t="s">
        <v>26</v>
      </c>
      <c r="K887" s="5" t="s">
        <v>49</v>
      </c>
      <c r="L887" s="5" t="s">
        <v>20</v>
      </c>
      <c r="M887" s="7" t="s">
        <v>21</v>
      </c>
      <c r="N887" s="26">
        <f t="shared" si="91"/>
        <v>1</v>
      </c>
      <c r="O887" s="42">
        <f t="shared" si="92"/>
        <v>45171</v>
      </c>
      <c r="P887" s="5" t="str">
        <f t="shared" si="93"/>
        <v>Saturday</v>
      </c>
      <c r="Q887" s="5">
        <f t="shared" si="94"/>
        <v>15</v>
      </c>
      <c r="R887" s="28">
        <f t="shared" si="95"/>
        <v>0.73958333333333337</v>
      </c>
      <c r="S887" s="29">
        <f t="shared" si="96"/>
        <v>73.958333333333343</v>
      </c>
      <c r="T887" s="5" t="str">
        <f>IF(Delivery_Data3[[#This Row],[Delays (min)]]&gt;0,"No","Yes")</f>
        <v>No</v>
      </c>
      <c r="W887" s="41">
        <f t="shared" si="97"/>
        <v>45171</v>
      </c>
      <c r="X887" s="5">
        <v>71</v>
      </c>
    </row>
    <row r="888" spans="1:24" ht="15.75" customHeight="1" x14ac:dyDescent="0.3">
      <c r="A888" s="4">
        <v>1887</v>
      </c>
      <c r="B888" s="5" t="s">
        <v>1003</v>
      </c>
      <c r="C888" s="6">
        <v>45170.540277777778</v>
      </c>
      <c r="D888" s="5" t="s">
        <v>14</v>
      </c>
      <c r="E888" s="5" t="s">
        <v>158</v>
      </c>
      <c r="F888" s="5" t="s">
        <v>24</v>
      </c>
      <c r="G888" s="5" t="s">
        <v>31</v>
      </c>
      <c r="H888" s="5">
        <v>123</v>
      </c>
      <c r="I888" s="5">
        <v>19</v>
      </c>
      <c r="J888" s="5" t="s">
        <v>26</v>
      </c>
      <c r="K888" s="5" t="s">
        <v>19</v>
      </c>
      <c r="L888" s="5" t="s">
        <v>28</v>
      </c>
      <c r="M888" s="7" t="s">
        <v>46</v>
      </c>
      <c r="N888" s="26">
        <f t="shared" si="91"/>
        <v>1</v>
      </c>
      <c r="O888" s="42">
        <f t="shared" si="92"/>
        <v>45170</v>
      </c>
      <c r="P888" s="5" t="str">
        <f t="shared" si="93"/>
        <v>Friday</v>
      </c>
      <c r="Q888" s="5">
        <f t="shared" si="94"/>
        <v>12</v>
      </c>
      <c r="R888" s="28">
        <f t="shared" si="95"/>
        <v>0.86619718309859151</v>
      </c>
      <c r="S888" s="29">
        <f t="shared" si="96"/>
        <v>86.619718309859152</v>
      </c>
      <c r="T888" s="5" t="str">
        <f>IF(Delivery_Data3[[#This Row],[Delays (min)]]&gt;0,"No","Yes")</f>
        <v>No</v>
      </c>
      <c r="W888" s="41">
        <f t="shared" si="97"/>
        <v>45170</v>
      </c>
      <c r="X888" s="5">
        <v>123</v>
      </c>
    </row>
    <row r="889" spans="1:24" ht="15.75" customHeight="1" x14ac:dyDescent="0.3">
      <c r="A889" s="4">
        <v>1888</v>
      </c>
      <c r="B889" s="5" t="s">
        <v>1004</v>
      </c>
      <c r="C889" s="6">
        <v>45175.374305555553</v>
      </c>
      <c r="D889" s="5" t="s">
        <v>14</v>
      </c>
      <c r="E889" s="5" t="s">
        <v>285</v>
      </c>
      <c r="F889" s="5" t="s">
        <v>16</v>
      </c>
      <c r="G889" s="5" t="s">
        <v>56</v>
      </c>
      <c r="H889" s="5">
        <v>222</v>
      </c>
      <c r="I889" s="5">
        <v>27</v>
      </c>
      <c r="J889" s="5" t="s">
        <v>18</v>
      </c>
      <c r="K889" s="5" t="s">
        <v>49</v>
      </c>
      <c r="L889" s="5" t="s">
        <v>28</v>
      </c>
      <c r="M889" s="7" t="s">
        <v>41</v>
      </c>
      <c r="N889" s="26">
        <f t="shared" si="91"/>
        <v>0</v>
      </c>
      <c r="O889" s="42">
        <f t="shared" si="92"/>
        <v>45175</v>
      </c>
      <c r="P889" s="5" t="str">
        <f t="shared" si="93"/>
        <v>Wednesday</v>
      </c>
      <c r="Q889" s="5">
        <f t="shared" si="94"/>
        <v>8</v>
      </c>
      <c r="R889" s="28">
        <f t="shared" si="95"/>
        <v>0.89156626506024095</v>
      </c>
      <c r="S889" s="29">
        <f t="shared" si="96"/>
        <v>89.156626506024097</v>
      </c>
      <c r="T889" s="5" t="str">
        <f>IF(Delivery_Data3[[#This Row],[Delays (min)]]&gt;0,"No","Yes")</f>
        <v>No</v>
      </c>
      <c r="W889" s="41">
        <f t="shared" si="97"/>
        <v>45175</v>
      </c>
      <c r="X889" s="5">
        <v>222</v>
      </c>
    </row>
    <row r="890" spans="1:24" ht="15.75" customHeight="1" x14ac:dyDescent="0.3">
      <c r="A890" s="4">
        <v>1889</v>
      </c>
      <c r="B890" s="5" t="s">
        <v>1005</v>
      </c>
      <c r="C890" s="6">
        <v>45177.452777777777</v>
      </c>
      <c r="D890" s="5" t="s">
        <v>43</v>
      </c>
      <c r="E890" s="5" t="s">
        <v>220</v>
      </c>
      <c r="F890" s="5" t="s">
        <v>16</v>
      </c>
      <c r="G890" s="5" t="s">
        <v>56</v>
      </c>
      <c r="H890" s="5">
        <v>91</v>
      </c>
      <c r="I890" s="5">
        <v>28</v>
      </c>
      <c r="J890" s="5" t="s">
        <v>32</v>
      </c>
      <c r="K890" s="5" t="s">
        <v>35</v>
      </c>
      <c r="L890" s="5" t="s">
        <v>20</v>
      </c>
      <c r="M890" s="7" t="s">
        <v>21</v>
      </c>
      <c r="N890" s="26">
        <f t="shared" si="91"/>
        <v>-1</v>
      </c>
      <c r="O890" s="42">
        <f t="shared" si="92"/>
        <v>45177</v>
      </c>
      <c r="P890" s="5" t="str">
        <f t="shared" si="93"/>
        <v>Friday</v>
      </c>
      <c r="Q890" s="5">
        <f t="shared" si="94"/>
        <v>10</v>
      </c>
      <c r="R890" s="28">
        <f t="shared" si="95"/>
        <v>0.76470588235294112</v>
      </c>
      <c r="S890" s="29">
        <f t="shared" si="96"/>
        <v>76.470588235294116</v>
      </c>
      <c r="T890" s="5" t="str">
        <f>IF(Delivery_Data3[[#This Row],[Delays (min)]]&gt;0,"No","Yes")</f>
        <v>No</v>
      </c>
      <c r="W890" s="41">
        <f t="shared" si="97"/>
        <v>45177</v>
      </c>
      <c r="X890" s="5">
        <v>91</v>
      </c>
    </row>
    <row r="891" spans="1:24" ht="15.75" customHeight="1" x14ac:dyDescent="0.3">
      <c r="A891" s="4">
        <v>1890</v>
      </c>
      <c r="B891" s="5" t="s">
        <v>1006</v>
      </c>
      <c r="C891" s="6">
        <v>45170.669444444444</v>
      </c>
      <c r="D891" s="5" t="s">
        <v>14</v>
      </c>
      <c r="E891" s="5" t="s">
        <v>149</v>
      </c>
      <c r="F891" s="5" t="s">
        <v>38</v>
      </c>
      <c r="G891" s="5" t="s">
        <v>25</v>
      </c>
      <c r="H891" s="5">
        <v>180</v>
      </c>
      <c r="I891" s="5">
        <v>7</v>
      </c>
      <c r="J891" s="5" t="s">
        <v>26</v>
      </c>
      <c r="K891" s="5" t="s">
        <v>35</v>
      </c>
      <c r="L891" s="5" t="s">
        <v>20</v>
      </c>
      <c r="M891" s="7" t="s">
        <v>46</v>
      </c>
      <c r="N891" s="26">
        <f t="shared" si="91"/>
        <v>1</v>
      </c>
      <c r="O891" s="42">
        <f t="shared" si="92"/>
        <v>45170</v>
      </c>
      <c r="P891" s="5" t="str">
        <f t="shared" si="93"/>
        <v>Friday</v>
      </c>
      <c r="Q891" s="5">
        <f t="shared" si="94"/>
        <v>16</v>
      </c>
      <c r="R891" s="28">
        <f t="shared" si="95"/>
        <v>0.96256684491978606</v>
      </c>
      <c r="S891" s="29">
        <f t="shared" si="96"/>
        <v>96.256684491978604</v>
      </c>
      <c r="T891" s="5" t="str">
        <f>IF(Delivery_Data3[[#This Row],[Delays (min)]]&gt;0,"No","Yes")</f>
        <v>No</v>
      </c>
      <c r="W891" s="41">
        <f t="shared" si="97"/>
        <v>45170</v>
      </c>
      <c r="X891" s="5">
        <v>180</v>
      </c>
    </row>
    <row r="892" spans="1:24" ht="15.75" customHeight="1" x14ac:dyDescent="0.3">
      <c r="A892" s="4">
        <v>1891</v>
      </c>
      <c r="B892" s="5" t="s">
        <v>759</v>
      </c>
      <c r="C892" s="6">
        <v>45170.555555555555</v>
      </c>
      <c r="D892" s="5" t="s">
        <v>14</v>
      </c>
      <c r="E892" s="5" t="s">
        <v>304</v>
      </c>
      <c r="F892" s="5" t="s">
        <v>16</v>
      </c>
      <c r="G892" s="5" t="s">
        <v>25</v>
      </c>
      <c r="H892" s="5">
        <v>232</v>
      </c>
      <c r="I892" s="5">
        <v>23</v>
      </c>
      <c r="J892" s="5" t="s">
        <v>32</v>
      </c>
      <c r="K892" s="5" t="s">
        <v>45</v>
      </c>
      <c r="L892" s="5" t="s">
        <v>20</v>
      </c>
      <c r="M892" s="7" t="s">
        <v>41</v>
      </c>
      <c r="N892" s="26">
        <f t="shared" si="91"/>
        <v>-1</v>
      </c>
      <c r="O892" s="42">
        <f t="shared" si="92"/>
        <v>45170</v>
      </c>
      <c r="P892" s="5" t="str">
        <f t="shared" si="93"/>
        <v>Friday</v>
      </c>
      <c r="Q892" s="5">
        <f t="shared" si="94"/>
        <v>13</v>
      </c>
      <c r="R892" s="28">
        <f t="shared" si="95"/>
        <v>0.90980392156862744</v>
      </c>
      <c r="S892" s="29">
        <f t="shared" si="96"/>
        <v>90.980392156862749</v>
      </c>
      <c r="T892" s="5" t="str">
        <f>IF(Delivery_Data3[[#This Row],[Delays (min)]]&gt;0,"No","Yes")</f>
        <v>No</v>
      </c>
      <c r="W892" s="41">
        <f t="shared" si="97"/>
        <v>45170</v>
      </c>
      <c r="X892" s="5">
        <v>232</v>
      </c>
    </row>
    <row r="893" spans="1:24" ht="15.75" customHeight="1" x14ac:dyDescent="0.3">
      <c r="A893" s="4">
        <v>1892</v>
      </c>
      <c r="B893" s="5" t="s">
        <v>1007</v>
      </c>
      <c r="C893" s="6">
        <v>45172.334027777775</v>
      </c>
      <c r="D893" s="5" t="s">
        <v>14</v>
      </c>
      <c r="E893" s="5" t="s">
        <v>15</v>
      </c>
      <c r="F893" s="5" t="s">
        <v>38</v>
      </c>
      <c r="G893" s="5" t="s">
        <v>31</v>
      </c>
      <c r="H893" s="5">
        <v>64</v>
      </c>
      <c r="I893" s="5">
        <v>18</v>
      </c>
      <c r="J893" s="5" t="s">
        <v>32</v>
      </c>
      <c r="K893" s="5" t="s">
        <v>45</v>
      </c>
      <c r="L893" s="5" t="s">
        <v>20</v>
      </c>
      <c r="M893" s="7" t="s">
        <v>21</v>
      </c>
      <c r="N893" s="26">
        <f t="shared" si="91"/>
        <v>-1</v>
      </c>
      <c r="O893" s="42">
        <f t="shared" si="92"/>
        <v>45172</v>
      </c>
      <c r="P893" s="5" t="str">
        <f t="shared" si="93"/>
        <v>Sunday</v>
      </c>
      <c r="Q893" s="5">
        <f t="shared" si="94"/>
        <v>8</v>
      </c>
      <c r="R893" s="28">
        <f t="shared" si="95"/>
        <v>0.78048780487804881</v>
      </c>
      <c r="S893" s="29">
        <f t="shared" si="96"/>
        <v>78.048780487804876</v>
      </c>
      <c r="T893" s="5" t="str">
        <f>IF(Delivery_Data3[[#This Row],[Delays (min)]]&gt;0,"No","Yes")</f>
        <v>No</v>
      </c>
      <c r="W893" s="41">
        <f t="shared" si="97"/>
        <v>45172</v>
      </c>
      <c r="X893" s="5">
        <v>64</v>
      </c>
    </row>
    <row r="894" spans="1:24" ht="15.75" customHeight="1" x14ac:dyDescent="0.3">
      <c r="A894" s="4">
        <v>1893</v>
      </c>
      <c r="B894" s="5" t="s">
        <v>1008</v>
      </c>
      <c r="C894" s="6">
        <v>45172.662499999999</v>
      </c>
      <c r="D894" s="5" t="s">
        <v>14</v>
      </c>
      <c r="E894" s="5" t="s">
        <v>120</v>
      </c>
      <c r="F894" s="5" t="s">
        <v>24</v>
      </c>
      <c r="G894" s="5" t="s">
        <v>56</v>
      </c>
      <c r="H894" s="5">
        <v>164</v>
      </c>
      <c r="I894" s="5">
        <v>10</v>
      </c>
      <c r="J894" s="5" t="s">
        <v>18</v>
      </c>
      <c r="K894" s="5" t="s">
        <v>45</v>
      </c>
      <c r="L894" s="5" t="s">
        <v>28</v>
      </c>
      <c r="M894" s="7" t="s">
        <v>41</v>
      </c>
      <c r="N894" s="26">
        <f t="shared" si="91"/>
        <v>0</v>
      </c>
      <c r="O894" s="42">
        <f t="shared" si="92"/>
        <v>45172</v>
      </c>
      <c r="P894" s="5" t="str">
        <f t="shared" si="93"/>
        <v>Sunday</v>
      </c>
      <c r="Q894" s="5">
        <f t="shared" si="94"/>
        <v>15</v>
      </c>
      <c r="R894" s="28">
        <f t="shared" si="95"/>
        <v>0.94252873563218387</v>
      </c>
      <c r="S894" s="29">
        <f t="shared" si="96"/>
        <v>94.252873563218387</v>
      </c>
      <c r="T894" s="5" t="str">
        <f>IF(Delivery_Data3[[#This Row],[Delays (min)]]&gt;0,"No","Yes")</f>
        <v>No</v>
      </c>
      <c r="W894" s="41">
        <f t="shared" si="97"/>
        <v>45172</v>
      </c>
      <c r="X894" s="5">
        <v>164</v>
      </c>
    </row>
    <row r="895" spans="1:24" ht="15.75" customHeight="1" x14ac:dyDescent="0.3">
      <c r="A895" s="4">
        <v>1894</v>
      </c>
      <c r="B895" s="5" t="s">
        <v>1009</v>
      </c>
      <c r="C895" s="6">
        <v>45174.419444444444</v>
      </c>
      <c r="D895" s="5" t="s">
        <v>43</v>
      </c>
      <c r="E895" s="5" t="s">
        <v>301</v>
      </c>
      <c r="F895" s="5" t="s">
        <v>38</v>
      </c>
      <c r="G895" s="5" t="s">
        <v>17</v>
      </c>
      <c r="H895" s="5">
        <v>107</v>
      </c>
      <c r="I895" s="5">
        <v>7</v>
      </c>
      <c r="J895" s="5" t="s">
        <v>18</v>
      </c>
      <c r="K895" s="5" t="s">
        <v>27</v>
      </c>
      <c r="L895" s="5" t="s">
        <v>40</v>
      </c>
      <c r="M895" s="7" t="s">
        <v>46</v>
      </c>
      <c r="N895" s="26">
        <f t="shared" si="91"/>
        <v>0</v>
      </c>
      <c r="O895" s="42">
        <f t="shared" si="92"/>
        <v>45174</v>
      </c>
      <c r="P895" s="5" t="str">
        <f t="shared" si="93"/>
        <v>Tuesday</v>
      </c>
      <c r="Q895" s="5">
        <f t="shared" si="94"/>
        <v>10</v>
      </c>
      <c r="R895" s="28">
        <f t="shared" si="95"/>
        <v>0.93859649122807021</v>
      </c>
      <c r="S895" s="29">
        <f t="shared" si="96"/>
        <v>93.859649122807014</v>
      </c>
      <c r="T895" s="5" t="str">
        <f>IF(Delivery_Data3[[#This Row],[Delays (min)]]&gt;0,"No","Yes")</f>
        <v>No</v>
      </c>
      <c r="W895" s="41">
        <f t="shared" si="97"/>
        <v>45174</v>
      </c>
      <c r="X895" s="5">
        <v>107</v>
      </c>
    </row>
    <row r="896" spans="1:24" ht="15.75" customHeight="1" x14ac:dyDescent="0.3">
      <c r="A896" s="4">
        <v>1895</v>
      </c>
      <c r="B896" s="5" t="s">
        <v>1010</v>
      </c>
      <c r="C896" s="6">
        <v>45177.430555555555</v>
      </c>
      <c r="D896" s="5" t="s">
        <v>43</v>
      </c>
      <c r="E896" s="5" t="s">
        <v>306</v>
      </c>
      <c r="F896" s="5" t="s">
        <v>16</v>
      </c>
      <c r="G896" s="5" t="s">
        <v>25</v>
      </c>
      <c r="H896" s="5">
        <v>181</v>
      </c>
      <c r="I896" s="5">
        <v>11</v>
      </c>
      <c r="J896" s="5" t="s">
        <v>18</v>
      </c>
      <c r="K896" s="5" t="s">
        <v>19</v>
      </c>
      <c r="L896" s="5" t="s">
        <v>20</v>
      </c>
      <c r="M896" s="7" t="s">
        <v>21</v>
      </c>
      <c r="N896" s="26">
        <f t="shared" si="91"/>
        <v>0</v>
      </c>
      <c r="O896" s="42">
        <f t="shared" si="92"/>
        <v>45177</v>
      </c>
      <c r="P896" s="5" t="str">
        <f t="shared" si="93"/>
        <v>Friday</v>
      </c>
      <c r="Q896" s="5">
        <f t="shared" si="94"/>
        <v>10</v>
      </c>
      <c r="R896" s="28">
        <f t="shared" si="95"/>
        <v>0.94270833333333337</v>
      </c>
      <c r="S896" s="29">
        <f t="shared" si="96"/>
        <v>94.270833333333343</v>
      </c>
      <c r="T896" s="5" t="str">
        <f>IF(Delivery_Data3[[#This Row],[Delays (min)]]&gt;0,"No","Yes")</f>
        <v>No</v>
      </c>
      <c r="W896" s="41">
        <f t="shared" si="97"/>
        <v>45177</v>
      </c>
      <c r="X896" s="5">
        <v>181</v>
      </c>
    </row>
    <row r="897" spans="1:24" ht="15.75" customHeight="1" x14ac:dyDescent="0.3">
      <c r="A897" s="4">
        <v>1896</v>
      </c>
      <c r="B897" s="5" t="s">
        <v>1011</v>
      </c>
      <c r="C897" s="6">
        <v>45176.463194444441</v>
      </c>
      <c r="D897" s="5" t="s">
        <v>43</v>
      </c>
      <c r="E897" s="5" t="s">
        <v>281</v>
      </c>
      <c r="F897" s="5" t="s">
        <v>38</v>
      </c>
      <c r="G897" s="5" t="s">
        <v>31</v>
      </c>
      <c r="H897" s="5">
        <v>72</v>
      </c>
      <c r="I897" s="5">
        <v>22</v>
      </c>
      <c r="J897" s="5" t="s">
        <v>26</v>
      </c>
      <c r="K897" s="5" t="s">
        <v>19</v>
      </c>
      <c r="L897" s="5" t="s">
        <v>20</v>
      </c>
      <c r="M897" s="7" t="s">
        <v>46</v>
      </c>
      <c r="N897" s="26">
        <f t="shared" si="91"/>
        <v>1</v>
      </c>
      <c r="O897" s="42">
        <f t="shared" si="92"/>
        <v>45176</v>
      </c>
      <c r="P897" s="5" t="str">
        <f t="shared" si="93"/>
        <v>Thursday</v>
      </c>
      <c r="Q897" s="5">
        <f t="shared" si="94"/>
        <v>11</v>
      </c>
      <c r="R897" s="28">
        <f t="shared" si="95"/>
        <v>0.76595744680851063</v>
      </c>
      <c r="S897" s="29">
        <f t="shared" si="96"/>
        <v>76.59574468085107</v>
      </c>
      <c r="T897" s="5" t="str">
        <f>IF(Delivery_Data3[[#This Row],[Delays (min)]]&gt;0,"No","Yes")</f>
        <v>No</v>
      </c>
      <c r="W897" s="41">
        <f t="shared" si="97"/>
        <v>45176</v>
      </c>
      <c r="X897" s="5">
        <v>72</v>
      </c>
    </row>
    <row r="898" spans="1:24" ht="15.75" customHeight="1" x14ac:dyDescent="0.3">
      <c r="A898" s="4">
        <v>1897</v>
      </c>
      <c r="B898" s="5" t="s">
        <v>1012</v>
      </c>
      <c r="C898" s="6">
        <v>45174.359722222223</v>
      </c>
      <c r="D898" s="5" t="s">
        <v>43</v>
      </c>
      <c r="E898" s="5" t="s">
        <v>58</v>
      </c>
      <c r="F898" s="5" t="s">
        <v>24</v>
      </c>
      <c r="G898" s="5" t="s">
        <v>56</v>
      </c>
      <c r="H898" s="5">
        <v>183</v>
      </c>
      <c r="I898" s="5">
        <v>6</v>
      </c>
      <c r="J898" s="5" t="s">
        <v>18</v>
      </c>
      <c r="K898" s="5" t="s">
        <v>19</v>
      </c>
      <c r="L898" s="5" t="s">
        <v>20</v>
      </c>
      <c r="M898" s="7" t="s">
        <v>46</v>
      </c>
      <c r="N898" s="26">
        <f t="shared" ref="N898:N961" si="98">IF(J898="Positive",1,IF(J898="Neutral",0,IF(J898="Negative",-1,"")))</f>
        <v>0</v>
      </c>
      <c r="O898" s="42">
        <f t="shared" ref="O898:O961" si="99">INT(C898)</f>
        <v>45174</v>
      </c>
      <c r="P898" s="5" t="str">
        <f t="shared" ref="P898:P961" si="100">TEXT(C898,"dddd")</f>
        <v>Tuesday</v>
      </c>
      <c r="Q898" s="5">
        <f t="shared" ref="Q898:Q961" si="101">HOUR(C898)</f>
        <v>8</v>
      </c>
      <c r="R898" s="28">
        <f t="shared" ref="R898:R961" si="102">H898/(H898+I898)</f>
        <v>0.96825396825396826</v>
      </c>
      <c r="S898" s="29">
        <f t="shared" si="96"/>
        <v>96.825396825396822</v>
      </c>
      <c r="T898" s="5" t="str">
        <f>IF(Delivery_Data3[[#This Row],[Delays (min)]]&gt;0,"No","Yes")</f>
        <v>No</v>
      </c>
      <c r="W898" s="41">
        <f t="shared" si="97"/>
        <v>45174</v>
      </c>
      <c r="X898" s="5">
        <v>183</v>
      </c>
    </row>
    <row r="899" spans="1:24" ht="15.75" customHeight="1" x14ac:dyDescent="0.3">
      <c r="A899" s="4">
        <v>1898</v>
      </c>
      <c r="B899" s="5" t="s">
        <v>1013</v>
      </c>
      <c r="C899" s="6">
        <v>45171.48333333333</v>
      </c>
      <c r="D899" s="5" t="s">
        <v>14</v>
      </c>
      <c r="E899" s="5" t="s">
        <v>143</v>
      </c>
      <c r="F899" s="5" t="s">
        <v>16</v>
      </c>
      <c r="G899" s="5" t="s">
        <v>17</v>
      </c>
      <c r="H899" s="5">
        <v>172</v>
      </c>
      <c r="I899" s="5">
        <v>28</v>
      </c>
      <c r="J899" s="5" t="s">
        <v>26</v>
      </c>
      <c r="K899" s="5" t="s">
        <v>27</v>
      </c>
      <c r="L899" s="5" t="s">
        <v>20</v>
      </c>
      <c r="M899" s="7" t="s">
        <v>41</v>
      </c>
      <c r="N899" s="26">
        <f t="shared" si="98"/>
        <v>1</v>
      </c>
      <c r="O899" s="42">
        <f t="shared" si="99"/>
        <v>45171</v>
      </c>
      <c r="P899" s="5" t="str">
        <f t="shared" si="100"/>
        <v>Saturday</v>
      </c>
      <c r="Q899" s="5">
        <f t="shared" si="101"/>
        <v>11</v>
      </c>
      <c r="R899" s="28">
        <f t="shared" si="102"/>
        <v>0.86</v>
      </c>
      <c r="S899" s="29">
        <f t="shared" ref="S899:S962" si="103">IF(H899+I899=0,0,(H899/(H899+I899))*100) + (IFERROR(--J899,0)*10)</f>
        <v>86</v>
      </c>
      <c r="T899" s="5" t="str">
        <f>IF(Delivery_Data3[[#This Row],[Delays (min)]]&gt;0,"No","Yes")</f>
        <v>No</v>
      </c>
      <c r="W899" s="41">
        <f t="shared" ref="W899:W962" si="104">INT(C899)</f>
        <v>45171</v>
      </c>
      <c r="X899" s="5">
        <v>172</v>
      </c>
    </row>
    <row r="900" spans="1:24" ht="15.75" customHeight="1" x14ac:dyDescent="0.3">
      <c r="A900" s="4">
        <v>1899</v>
      </c>
      <c r="B900" s="5" t="s">
        <v>1014</v>
      </c>
      <c r="C900" s="6">
        <v>45176.491666666669</v>
      </c>
      <c r="D900" s="5" t="s">
        <v>14</v>
      </c>
      <c r="E900" s="5" t="s">
        <v>306</v>
      </c>
      <c r="F900" s="5" t="s">
        <v>24</v>
      </c>
      <c r="G900" s="5" t="s">
        <v>17</v>
      </c>
      <c r="H900" s="5">
        <v>103</v>
      </c>
      <c r="I900" s="5">
        <v>6</v>
      </c>
      <c r="J900" s="5" t="s">
        <v>26</v>
      </c>
      <c r="K900" s="5" t="s">
        <v>49</v>
      </c>
      <c r="L900" s="5" t="s">
        <v>20</v>
      </c>
      <c r="M900" s="7" t="s">
        <v>46</v>
      </c>
      <c r="N900" s="26">
        <f t="shared" si="98"/>
        <v>1</v>
      </c>
      <c r="O900" s="42">
        <f t="shared" si="99"/>
        <v>45176</v>
      </c>
      <c r="P900" s="5" t="str">
        <f t="shared" si="100"/>
        <v>Thursday</v>
      </c>
      <c r="Q900" s="5">
        <f t="shared" si="101"/>
        <v>11</v>
      </c>
      <c r="R900" s="28">
        <f t="shared" si="102"/>
        <v>0.94495412844036697</v>
      </c>
      <c r="S900" s="29">
        <f t="shared" si="103"/>
        <v>94.495412844036693</v>
      </c>
      <c r="T900" s="5" t="str">
        <f>IF(Delivery_Data3[[#This Row],[Delays (min)]]&gt;0,"No","Yes")</f>
        <v>No</v>
      </c>
      <c r="W900" s="41">
        <f t="shared" si="104"/>
        <v>45176</v>
      </c>
      <c r="X900" s="5">
        <v>103</v>
      </c>
    </row>
    <row r="901" spans="1:24" ht="15.75" customHeight="1" x14ac:dyDescent="0.3">
      <c r="A901" s="4">
        <v>1900</v>
      </c>
      <c r="B901" s="5" t="s">
        <v>1015</v>
      </c>
      <c r="C901" s="6">
        <v>45171.70208333333</v>
      </c>
      <c r="D901" s="5" t="s">
        <v>14</v>
      </c>
      <c r="E901" s="5" t="s">
        <v>44</v>
      </c>
      <c r="F901" s="5" t="s">
        <v>24</v>
      </c>
      <c r="G901" s="5" t="s">
        <v>56</v>
      </c>
      <c r="H901" s="5">
        <v>226</v>
      </c>
      <c r="I901" s="5">
        <v>12</v>
      </c>
      <c r="J901" s="5" t="s">
        <v>18</v>
      </c>
      <c r="K901" s="5" t="s">
        <v>35</v>
      </c>
      <c r="L901" s="5" t="s">
        <v>28</v>
      </c>
      <c r="M901" s="7" t="s">
        <v>41</v>
      </c>
      <c r="N901" s="26">
        <f t="shared" si="98"/>
        <v>0</v>
      </c>
      <c r="O901" s="42">
        <f t="shared" si="99"/>
        <v>45171</v>
      </c>
      <c r="P901" s="5" t="str">
        <f t="shared" si="100"/>
        <v>Saturday</v>
      </c>
      <c r="Q901" s="5">
        <f t="shared" si="101"/>
        <v>16</v>
      </c>
      <c r="R901" s="28">
        <f t="shared" si="102"/>
        <v>0.94957983193277307</v>
      </c>
      <c r="S901" s="29">
        <f t="shared" si="103"/>
        <v>94.9579831932773</v>
      </c>
      <c r="T901" s="5" t="str">
        <f>IF(Delivery_Data3[[#This Row],[Delays (min)]]&gt;0,"No","Yes")</f>
        <v>No</v>
      </c>
      <c r="W901" s="41">
        <f t="shared" si="104"/>
        <v>45171</v>
      </c>
      <c r="X901" s="5">
        <v>226</v>
      </c>
    </row>
    <row r="902" spans="1:24" ht="15.75" customHeight="1" x14ac:dyDescent="0.3">
      <c r="A902" s="4">
        <v>1901</v>
      </c>
      <c r="B902" s="5" t="s">
        <v>1016</v>
      </c>
      <c r="C902" s="6">
        <v>45170.631944444445</v>
      </c>
      <c r="D902" s="5" t="s">
        <v>43</v>
      </c>
      <c r="E902" s="5" t="s">
        <v>78</v>
      </c>
      <c r="F902" s="5" t="s">
        <v>38</v>
      </c>
      <c r="G902" s="5" t="s">
        <v>17</v>
      </c>
      <c r="H902" s="5">
        <v>214</v>
      </c>
      <c r="I902" s="5">
        <v>16</v>
      </c>
      <c r="J902" s="5" t="s">
        <v>32</v>
      </c>
      <c r="K902" s="5" t="s">
        <v>19</v>
      </c>
      <c r="L902" s="5" t="s">
        <v>28</v>
      </c>
      <c r="M902" s="7" t="s">
        <v>46</v>
      </c>
      <c r="N902" s="26">
        <f t="shared" si="98"/>
        <v>-1</v>
      </c>
      <c r="O902" s="42">
        <f t="shared" si="99"/>
        <v>45170</v>
      </c>
      <c r="P902" s="5" t="str">
        <f t="shared" si="100"/>
        <v>Friday</v>
      </c>
      <c r="Q902" s="5">
        <f t="shared" si="101"/>
        <v>15</v>
      </c>
      <c r="R902" s="28">
        <f t="shared" si="102"/>
        <v>0.93043478260869561</v>
      </c>
      <c r="S902" s="29">
        <f t="shared" si="103"/>
        <v>93.043478260869563</v>
      </c>
      <c r="T902" s="5" t="str">
        <f>IF(Delivery_Data3[[#This Row],[Delays (min)]]&gt;0,"No","Yes")</f>
        <v>No</v>
      </c>
      <c r="W902" s="41">
        <f t="shared" si="104"/>
        <v>45170</v>
      </c>
      <c r="X902" s="5">
        <v>214</v>
      </c>
    </row>
    <row r="903" spans="1:24" ht="15.75" customHeight="1" x14ac:dyDescent="0.3">
      <c r="A903" s="4">
        <v>1902</v>
      </c>
      <c r="B903" s="5" t="s">
        <v>1017</v>
      </c>
      <c r="C903" s="6">
        <v>45173.463194444441</v>
      </c>
      <c r="D903" s="5" t="s">
        <v>43</v>
      </c>
      <c r="E903" s="5" t="s">
        <v>240</v>
      </c>
      <c r="F903" s="5" t="s">
        <v>38</v>
      </c>
      <c r="G903" s="5" t="s">
        <v>17</v>
      </c>
      <c r="H903" s="5">
        <v>158</v>
      </c>
      <c r="I903" s="5">
        <v>24</v>
      </c>
      <c r="J903" s="5" t="s">
        <v>32</v>
      </c>
      <c r="K903" s="5" t="s">
        <v>49</v>
      </c>
      <c r="L903" s="5" t="s">
        <v>20</v>
      </c>
      <c r="M903" s="7" t="s">
        <v>21</v>
      </c>
      <c r="N903" s="26">
        <f t="shared" si="98"/>
        <v>-1</v>
      </c>
      <c r="O903" s="42">
        <f t="shared" si="99"/>
        <v>45173</v>
      </c>
      <c r="P903" s="5" t="str">
        <f t="shared" si="100"/>
        <v>Monday</v>
      </c>
      <c r="Q903" s="5">
        <f t="shared" si="101"/>
        <v>11</v>
      </c>
      <c r="R903" s="28">
        <f t="shared" si="102"/>
        <v>0.86813186813186816</v>
      </c>
      <c r="S903" s="29">
        <f t="shared" si="103"/>
        <v>86.813186813186817</v>
      </c>
      <c r="T903" s="5" t="str">
        <f>IF(Delivery_Data3[[#This Row],[Delays (min)]]&gt;0,"No","Yes")</f>
        <v>No</v>
      </c>
      <c r="W903" s="41">
        <f t="shared" si="104"/>
        <v>45173</v>
      </c>
      <c r="X903" s="5">
        <v>158</v>
      </c>
    </row>
    <row r="904" spans="1:24" ht="15.75" customHeight="1" x14ac:dyDescent="0.3">
      <c r="A904" s="4">
        <v>1903</v>
      </c>
      <c r="B904" s="5" t="s">
        <v>1018</v>
      </c>
      <c r="C904" s="6">
        <v>45175.61041666667</v>
      </c>
      <c r="D904" s="5" t="s">
        <v>14</v>
      </c>
      <c r="E904" s="5" t="s">
        <v>211</v>
      </c>
      <c r="F904" s="5" t="s">
        <v>16</v>
      </c>
      <c r="G904" s="5" t="s">
        <v>25</v>
      </c>
      <c r="H904" s="5">
        <v>234</v>
      </c>
      <c r="I904" s="5">
        <v>28</v>
      </c>
      <c r="J904" s="5" t="s">
        <v>32</v>
      </c>
      <c r="K904" s="5" t="s">
        <v>45</v>
      </c>
      <c r="L904" s="5" t="s">
        <v>20</v>
      </c>
      <c r="M904" s="7" t="s">
        <v>46</v>
      </c>
      <c r="N904" s="26">
        <f t="shared" si="98"/>
        <v>-1</v>
      </c>
      <c r="O904" s="42">
        <f t="shared" si="99"/>
        <v>45175</v>
      </c>
      <c r="P904" s="5" t="str">
        <f t="shared" si="100"/>
        <v>Wednesday</v>
      </c>
      <c r="Q904" s="5">
        <f t="shared" si="101"/>
        <v>14</v>
      </c>
      <c r="R904" s="28">
        <f t="shared" si="102"/>
        <v>0.89312977099236646</v>
      </c>
      <c r="S904" s="29">
        <f t="shared" si="103"/>
        <v>89.312977099236647</v>
      </c>
      <c r="T904" s="5" t="str">
        <f>IF(Delivery_Data3[[#This Row],[Delays (min)]]&gt;0,"No","Yes")</f>
        <v>No</v>
      </c>
      <c r="W904" s="41">
        <f t="shared" si="104"/>
        <v>45175</v>
      </c>
      <c r="X904" s="5">
        <v>234</v>
      </c>
    </row>
    <row r="905" spans="1:24" ht="15.75" customHeight="1" x14ac:dyDescent="0.3">
      <c r="A905" s="4">
        <v>1904</v>
      </c>
      <c r="B905" s="5" t="s">
        <v>1019</v>
      </c>
      <c r="C905" s="6">
        <v>45172.572916666664</v>
      </c>
      <c r="D905" s="5" t="s">
        <v>14</v>
      </c>
      <c r="E905" s="5" t="s">
        <v>91</v>
      </c>
      <c r="F905" s="5" t="s">
        <v>24</v>
      </c>
      <c r="G905" s="5" t="s">
        <v>17</v>
      </c>
      <c r="H905" s="5">
        <v>229</v>
      </c>
      <c r="I905" s="5">
        <v>10</v>
      </c>
      <c r="J905" s="5" t="s">
        <v>26</v>
      </c>
      <c r="K905" s="5" t="s">
        <v>19</v>
      </c>
      <c r="L905" s="5" t="s">
        <v>20</v>
      </c>
      <c r="M905" s="7" t="s">
        <v>46</v>
      </c>
      <c r="N905" s="26">
        <f t="shared" si="98"/>
        <v>1</v>
      </c>
      <c r="O905" s="42">
        <f t="shared" si="99"/>
        <v>45172</v>
      </c>
      <c r="P905" s="5" t="str">
        <f t="shared" si="100"/>
        <v>Sunday</v>
      </c>
      <c r="Q905" s="5">
        <f t="shared" si="101"/>
        <v>13</v>
      </c>
      <c r="R905" s="28">
        <f t="shared" si="102"/>
        <v>0.95815899581589958</v>
      </c>
      <c r="S905" s="29">
        <f t="shared" si="103"/>
        <v>95.81589958158996</v>
      </c>
      <c r="T905" s="5" t="str">
        <f>IF(Delivery_Data3[[#This Row],[Delays (min)]]&gt;0,"No","Yes")</f>
        <v>No</v>
      </c>
      <c r="W905" s="41">
        <f t="shared" si="104"/>
        <v>45172</v>
      </c>
      <c r="X905" s="5">
        <v>229</v>
      </c>
    </row>
    <row r="906" spans="1:24" ht="15.75" customHeight="1" x14ac:dyDescent="0.3">
      <c r="A906" s="4">
        <v>1905</v>
      </c>
      <c r="B906" s="5" t="s">
        <v>1020</v>
      </c>
      <c r="C906" s="6">
        <v>45176.700694444444</v>
      </c>
      <c r="D906" s="5" t="s">
        <v>14</v>
      </c>
      <c r="E906" s="5" t="s">
        <v>179</v>
      </c>
      <c r="F906" s="5" t="s">
        <v>38</v>
      </c>
      <c r="G906" s="5" t="s">
        <v>17</v>
      </c>
      <c r="H906" s="5">
        <v>108</v>
      </c>
      <c r="I906" s="5">
        <v>23</v>
      </c>
      <c r="J906" s="5" t="s">
        <v>32</v>
      </c>
      <c r="K906" s="5" t="s">
        <v>19</v>
      </c>
      <c r="L906" s="5" t="s">
        <v>28</v>
      </c>
      <c r="M906" s="7" t="s">
        <v>46</v>
      </c>
      <c r="N906" s="26">
        <f t="shared" si="98"/>
        <v>-1</v>
      </c>
      <c r="O906" s="42">
        <f t="shared" si="99"/>
        <v>45176</v>
      </c>
      <c r="P906" s="5" t="str">
        <f t="shared" si="100"/>
        <v>Thursday</v>
      </c>
      <c r="Q906" s="5">
        <f t="shared" si="101"/>
        <v>16</v>
      </c>
      <c r="R906" s="28">
        <f t="shared" si="102"/>
        <v>0.82442748091603058</v>
      </c>
      <c r="S906" s="29">
        <f t="shared" si="103"/>
        <v>82.44274809160305</v>
      </c>
      <c r="T906" s="5" t="str">
        <f>IF(Delivery_Data3[[#This Row],[Delays (min)]]&gt;0,"No","Yes")</f>
        <v>No</v>
      </c>
      <c r="W906" s="41">
        <f t="shared" si="104"/>
        <v>45176</v>
      </c>
      <c r="X906" s="5">
        <v>108</v>
      </c>
    </row>
    <row r="907" spans="1:24" ht="15.75" customHeight="1" x14ac:dyDescent="0.3">
      <c r="A907" s="4">
        <v>1906</v>
      </c>
      <c r="B907" s="5" t="s">
        <v>1021</v>
      </c>
      <c r="C907" s="6">
        <v>45170.456944444442</v>
      </c>
      <c r="D907" s="5" t="s">
        <v>43</v>
      </c>
      <c r="E907" s="5" t="s">
        <v>374</v>
      </c>
      <c r="F907" s="5" t="s">
        <v>24</v>
      </c>
      <c r="G907" s="5" t="s">
        <v>56</v>
      </c>
      <c r="H907" s="5">
        <v>77</v>
      </c>
      <c r="I907" s="5">
        <v>3</v>
      </c>
      <c r="J907" s="5" t="s">
        <v>32</v>
      </c>
      <c r="K907" s="5" t="s">
        <v>49</v>
      </c>
      <c r="L907" s="5" t="s">
        <v>28</v>
      </c>
      <c r="M907" s="7" t="s">
        <v>46</v>
      </c>
      <c r="N907" s="26">
        <f t="shared" si="98"/>
        <v>-1</v>
      </c>
      <c r="O907" s="42">
        <f t="shared" si="99"/>
        <v>45170</v>
      </c>
      <c r="P907" s="5" t="str">
        <f t="shared" si="100"/>
        <v>Friday</v>
      </c>
      <c r="Q907" s="5">
        <f t="shared" si="101"/>
        <v>10</v>
      </c>
      <c r="R907" s="28">
        <f t="shared" si="102"/>
        <v>0.96250000000000002</v>
      </c>
      <c r="S907" s="29">
        <f t="shared" si="103"/>
        <v>96.25</v>
      </c>
      <c r="T907" s="5" t="str">
        <f>IF(Delivery_Data3[[#This Row],[Delays (min)]]&gt;0,"No","Yes")</f>
        <v>No</v>
      </c>
      <c r="W907" s="41">
        <f t="shared" si="104"/>
        <v>45170</v>
      </c>
      <c r="X907" s="5">
        <v>77</v>
      </c>
    </row>
    <row r="908" spans="1:24" ht="15.75" customHeight="1" x14ac:dyDescent="0.3">
      <c r="A908" s="4">
        <v>1907</v>
      </c>
      <c r="B908" s="5" t="s">
        <v>1022</v>
      </c>
      <c r="C908" s="6">
        <v>45177.441666666666</v>
      </c>
      <c r="D908" s="5" t="s">
        <v>14</v>
      </c>
      <c r="E908" s="5" t="s">
        <v>304</v>
      </c>
      <c r="F908" s="5" t="s">
        <v>16</v>
      </c>
      <c r="G908" s="5" t="s">
        <v>31</v>
      </c>
      <c r="H908" s="5">
        <v>125</v>
      </c>
      <c r="I908" s="5">
        <v>8</v>
      </c>
      <c r="J908" s="5" t="s">
        <v>32</v>
      </c>
      <c r="K908" s="5" t="s">
        <v>27</v>
      </c>
      <c r="L908" s="5" t="s">
        <v>40</v>
      </c>
      <c r="M908" s="7" t="s">
        <v>41</v>
      </c>
      <c r="N908" s="26">
        <f t="shared" si="98"/>
        <v>-1</v>
      </c>
      <c r="O908" s="42">
        <f t="shared" si="99"/>
        <v>45177</v>
      </c>
      <c r="P908" s="5" t="str">
        <f t="shared" si="100"/>
        <v>Friday</v>
      </c>
      <c r="Q908" s="5">
        <f t="shared" si="101"/>
        <v>10</v>
      </c>
      <c r="R908" s="28">
        <f t="shared" si="102"/>
        <v>0.93984962406015038</v>
      </c>
      <c r="S908" s="29">
        <f t="shared" si="103"/>
        <v>93.984962406015043</v>
      </c>
      <c r="T908" s="5" t="str">
        <f>IF(Delivery_Data3[[#This Row],[Delays (min)]]&gt;0,"No","Yes")</f>
        <v>No</v>
      </c>
      <c r="W908" s="41">
        <f t="shared" si="104"/>
        <v>45177</v>
      </c>
      <c r="X908" s="5">
        <v>125</v>
      </c>
    </row>
    <row r="909" spans="1:24" ht="15.75" customHeight="1" x14ac:dyDescent="0.3">
      <c r="A909" s="4">
        <v>1908</v>
      </c>
      <c r="B909" s="5" t="s">
        <v>1023</v>
      </c>
      <c r="C909" s="6">
        <v>45172.473611111112</v>
      </c>
      <c r="D909" s="5" t="s">
        <v>14</v>
      </c>
      <c r="E909" s="5" t="s">
        <v>202</v>
      </c>
      <c r="F909" s="5" t="s">
        <v>38</v>
      </c>
      <c r="G909" s="5" t="s">
        <v>25</v>
      </c>
      <c r="H909" s="5">
        <v>205</v>
      </c>
      <c r="I909" s="5">
        <v>2</v>
      </c>
      <c r="J909" s="5" t="s">
        <v>26</v>
      </c>
      <c r="K909" s="5" t="s">
        <v>19</v>
      </c>
      <c r="L909" s="5" t="s">
        <v>40</v>
      </c>
      <c r="M909" s="7" t="s">
        <v>21</v>
      </c>
      <c r="N909" s="26">
        <f t="shared" si="98"/>
        <v>1</v>
      </c>
      <c r="O909" s="42">
        <f t="shared" si="99"/>
        <v>45172</v>
      </c>
      <c r="P909" s="5" t="str">
        <f t="shared" si="100"/>
        <v>Sunday</v>
      </c>
      <c r="Q909" s="5">
        <f t="shared" si="101"/>
        <v>11</v>
      </c>
      <c r="R909" s="28">
        <f t="shared" si="102"/>
        <v>0.99033816425120769</v>
      </c>
      <c r="S909" s="29">
        <f t="shared" si="103"/>
        <v>99.033816425120762</v>
      </c>
      <c r="T909" s="5" t="str">
        <f>IF(Delivery_Data3[[#This Row],[Delays (min)]]&gt;0,"No","Yes")</f>
        <v>No</v>
      </c>
      <c r="W909" s="41">
        <f t="shared" si="104"/>
        <v>45172</v>
      </c>
      <c r="X909" s="5">
        <v>205</v>
      </c>
    </row>
    <row r="910" spans="1:24" ht="15.75" customHeight="1" x14ac:dyDescent="0.3">
      <c r="A910" s="4">
        <v>1909</v>
      </c>
      <c r="B910" s="5" t="s">
        <v>250</v>
      </c>
      <c r="C910" s="6">
        <v>45175.568749999999</v>
      </c>
      <c r="D910" s="5" t="s">
        <v>43</v>
      </c>
      <c r="E910" s="5" t="s">
        <v>83</v>
      </c>
      <c r="F910" s="5" t="s">
        <v>38</v>
      </c>
      <c r="G910" s="5" t="s">
        <v>17</v>
      </c>
      <c r="H910" s="5">
        <v>128</v>
      </c>
      <c r="I910" s="5">
        <v>17</v>
      </c>
      <c r="J910" s="5" t="s">
        <v>32</v>
      </c>
      <c r="K910" s="5" t="s">
        <v>19</v>
      </c>
      <c r="L910" s="5" t="s">
        <v>28</v>
      </c>
      <c r="M910" s="7" t="s">
        <v>21</v>
      </c>
      <c r="N910" s="26">
        <f t="shared" si="98"/>
        <v>-1</v>
      </c>
      <c r="O910" s="42">
        <f t="shared" si="99"/>
        <v>45175</v>
      </c>
      <c r="P910" s="5" t="str">
        <f t="shared" si="100"/>
        <v>Wednesday</v>
      </c>
      <c r="Q910" s="5">
        <f t="shared" si="101"/>
        <v>13</v>
      </c>
      <c r="R910" s="28">
        <f t="shared" si="102"/>
        <v>0.88275862068965516</v>
      </c>
      <c r="S910" s="29">
        <f t="shared" si="103"/>
        <v>88.275862068965523</v>
      </c>
      <c r="T910" s="5" t="str">
        <f>IF(Delivery_Data3[[#This Row],[Delays (min)]]&gt;0,"No","Yes")</f>
        <v>No</v>
      </c>
      <c r="W910" s="41">
        <f t="shared" si="104"/>
        <v>45175</v>
      </c>
      <c r="X910" s="5">
        <v>128</v>
      </c>
    </row>
    <row r="911" spans="1:24" ht="15.75" customHeight="1" x14ac:dyDescent="0.3">
      <c r="A911" s="4">
        <v>1910</v>
      </c>
      <c r="B911" s="5" t="s">
        <v>965</v>
      </c>
      <c r="C911" s="6">
        <v>45173.498611111114</v>
      </c>
      <c r="D911" s="5" t="s">
        <v>14</v>
      </c>
      <c r="E911" s="5" t="s">
        <v>89</v>
      </c>
      <c r="F911" s="5" t="s">
        <v>16</v>
      </c>
      <c r="G911" s="5" t="s">
        <v>56</v>
      </c>
      <c r="H911" s="5">
        <v>204</v>
      </c>
      <c r="I911" s="5">
        <v>17</v>
      </c>
      <c r="J911" s="5" t="s">
        <v>32</v>
      </c>
      <c r="K911" s="5" t="s">
        <v>19</v>
      </c>
      <c r="L911" s="5" t="s">
        <v>28</v>
      </c>
      <c r="M911" s="7" t="s">
        <v>41</v>
      </c>
      <c r="N911" s="26">
        <f t="shared" si="98"/>
        <v>-1</v>
      </c>
      <c r="O911" s="42">
        <f t="shared" si="99"/>
        <v>45173</v>
      </c>
      <c r="P911" s="5" t="str">
        <f t="shared" si="100"/>
        <v>Monday</v>
      </c>
      <c r="Q911" s="5">
        <f t="shared" si="101"/>
        <v>11</v>
      </c>
      <c r="R911" s="28">
        <f t="shared" si="102"/>
        <v>0.92307692307692313</v>
      </c>
      <c r="S911" s="29">
        <f t="shared" si="103"/>
        <v>92.307692307692307</v>
      </c>
      <c r="T911" s="5" t="str">
        <f>IF(Delivery_Data3[[#This Row],[Delays (min)]]&gt;0,"No","Yes")</f>
        <v>No</v>
      </c>
      <c r="W911" s="41">
        <f t="shared" si="104"/>
        <v>45173</v>
      </c>
      <c r="X911" s="5">
        <v>204</v>
      </c>
    </row>
    <row r="912" spans="1:24" ht="15.75" customHeight="1" x14ac:dyDescent="0.3">
      <c r="A912" s="4">
        <v>1911</v>
      </c>
      <c r="B912" s="5" t="s">
        <v>1024</v>
      </c>
      <c r="C912" s="6">
        <v>45172.423611111109</v>
      </c>
      <c r="D912" s="5" t="s">
        <v>14</v>
      </c>
      <c r="E912" s="5" t="s">
        <v>263</v>
      </c>
      <c r="F912" s="5" t="s">
        <v>38</v>
      </c>
      <c r="G912" s="5" t="s">
        <v>31</v>
      </c>
      <c r="H912" s="5">
        <v>61</v>
      </c>
      <c r="I912" s="5">
        <v>20</v>
      </c>
      <c r="J912" s="5" t="s">
        <v>26</v>
      </c>
      <c r="K912" s="5" t="s">
        <v>49</v>
      </c>
      <c r="L912" s="5" t="s">
        <v>40</v>
      </c>
      <c r="M912" s="7" t="s">
        <v>21</v>
      </c>
      <c r="N912" s="26">
        <f t="shared" si="98"/>
        <v>1</v>
      </c>
      <c r="O912" s="42">
        <f t="shared" si="99"/>
        <v>45172</v>
      </c>
      <c r="P912" s="5" t="str">
        <f t="shared" si="100"/>
        <v>Sunday</v>
      </c>
      <c r="Q912" s="5">
        <f t="shared" si="101"/>
        <v>10</v>
      </c>
      <c r="R912" s="28">
        <f t="shared" si="102"/>
        <v>0.75308641975308643</v>
      </c>
      <c r="S912" s="29">
        <f t="shared" si="103"/>
        <v>75.308641975308646</v>
      </c>
      <c r="T912" s="5" t="str">
        <f>IF(Delivery_Data3[[#This Row],[Delays (min)]]&gt;0,"No","Yes")</f>
        <v>No</v>
      </c>
      <c r="W912" s="41">
        <f t="shared" si="104"/>
        <v>45172</v>
      </c>
      <c r="X912" s="5">
        <v>61</v>
      </c>
    </row>
    <row r="913" spans="1:24" ht="15.75" customHeight="1" x14ac:dyDescent="0.3">
      <c r="A913" s="4">
        <v>1912</v>
      </c>
      <c r="B913" s="5" t="s">
        <v>1025</v>
      </c>
      <c r="C913" s="6">
        <v>45173.634722222225</v>
      </c>
      <c r="D913" s="5" t="s">
        <v>14</v>
      </c>
      <c r="E913" s="5" t="s">
        <v>55</v>
      </c>
      <c r="F913" s="5" t="s">
        <v>16</v>
      </c>
      <c r="G913" s="5" t="s">
        <v>39</v>
      </c>
      <c r="H913" s="5">
        <v>85</v>
      </c>
      <c r="I913" s="5">
        <v>2</v>
      </c>
      <c r="J913" s="5" t="s">
        <v>18</v>
      </c>
      <c r="K913" s="5" t="s">
        <v>45</v>
      </c>
      <c r="L913" s="5" t="s">
        <v>40</v>
      </c>
      <c r="M913" s="7" t="s">
        <v>21</v>
      </c>
      <c r="N913" s="26">
        <f t="shared" si="98"/>
        <v>0</v>
      </c>
      <c r="O913" s="42">
        <f t="shared" si="99"/>
        <v>45173</v>
      </c>
      <c r="P913" s="5" t="str">
        <f t="shared" si="100"/>
        <v>Monday</v>
      </c>
      <c r="Q913" s="5">
        <f t="shared" si="101"/>
        <v>15</v>
      </c>
      <c r="R913" s="28">
        <f t="shared" si="102"/>
        <v>0.97701149425287359</v>
      </c>
      <c r="S913" s="29">
        <f t="shared" si="103"/>
        <v>97.701149425287355</v>
      </c>
      <c r="T913" s="5" t="str">
        <f>IF(Delivery_Data3[[#This Row],[Delays (min)]]&gt;0,"No","Yes")</f>
        <v>No</v>
      </c>
      <c r="W913" s="41">
        <f t="shared" si="104"/>
        <v>45173</v>
      </c>
      <c r="X913" s="5">
        <v>85</v>
      </c>
    </row>
    <row r="914" spans="1:24" ht="15.75" customHeight="1" x14ac:dyDescent="0.3">
      <c r="A914" s="4">
        <v>1913</v>
      </c>
      <c r="B914" s="5" t="s">
        <v>1026</v>
      </c>
      <c r="C914" s="6">
        <v>45172.693055555559</v>
      </c>
      <c r="D914" s="5" t="s">
        <v>43</v>
      </c>
      <c r="E914" s="5" t="s">
        <v>34</v>
      </c>
      <c r="F914" s="5" t="s">
        <v>16</v>
      </c>
      <c r="G914" s="5" t="s">
        <v>56</v>
      </c>
      <c r="H914" s="5">
        <v>68</v>
      </c>
      <c r="I914" s="5">
        <v>14</v>
      </c>
      <c r="J914" s="5" t="s">
        <v>18</v>
      </c>
      <c r="K914" s="5" t="s">
        <v>45</v>
      </c>
      <c r="L914" s="5" t="s">
        <v>20</v>
      </c>
      <c r="M914" s="7" t="s">
        <v>21</v>
      </c>
      <c r="N914" s="26">
        <f t="shared" si="98"/>
        <v>0</v>
      </c>
      <c r="O914" s="42">
        <f t="shared" si="99"/>
        <v>45172</v>
      </c>
      <c r="P914" s="5" t="str">
        <f t="shared" si="100"/>
        <v>Sunday</v>
      </c>
      <c r="Q914" s="5">
        <f t="shared" si="101"/>
        <v>16</v>
      </c>
      <c r="R914" s="28">
        <f t="shared" si="102"/>
        <v>0.82926829268292679</v>
      </c>
      <c r="S914" s="29">
        <f t="shared" si="103"/>
        <v>82.926829268292678</v>
      </c>
      <c r="T914" s="5" t="str">
        <f>IF(Delivery_Data3[[#This Row],[Delays (min)]]&gt;0,"No","Yes")</f>
        <v>No</v>
      </c>
      <c r="W914" s="41">
        <f t="shared" si="104"/>
        <v>45172</v>
      </c>
      <c r="X914" s="5">
        <v>68</v>
      </c>
    </row>
    <row r="915" spans="1:24" ht="15.75" customHeight="1" x14ac:dyDescent="0.3">
      <c r="A915" s="4">
        <v>1914</v>
      </c>
      <c r="B915" s="5" t="s">
        <v>1027</v>
      </c>
      <c r="C915" s="6">
        <v>45175.345833333333</v>
      </c>
      <c r="D915" s="5" t="s">
        <v>14</v>
      </c>
      <c r="E915" s="5" t="s">
        <v>263</v>
      </c>
      <c r="F915" s="5" t="s">
        <v>38</v>
      </c>
      <c r="G915" s="5" t="s">
        <v>56</v>
      </c>
      <c r="H915" s="5">
        <v>72</v>
      </c>
      <c r="I915" s="5">
        <v>25</v>
      </c>
      <c r="J915" s="5" t="s">
        <v>32</v>
      </c>
      <c r="K915" s="5" t="s">
        <v>35</v>
      </c>
      <c r="L915" s="5" t="s">
        <v>20</v>
      </c>
      <c r="M915" s="7" t="s">
        <v>41</v>
      </c>
      <c r="N915" s="26">
        <f t="shared" si="98"/>
        <v>-1</v>
      </c>
      <c r="O915" s="42">
        <f t="shared" si="99"/>
        <v>45175</v>
      </c>
      <c r="P915" s="5" t="str">
        <f t="shared" si="100"/>
        <v>Wednesday</v>
      </c>
      <c r="Q915" s="5">
        <f t="shared" si="101"/>
        <v>8</v>
      </c>
      <c r="R915" s="28">
        <f t="shared" si="102"/>
        <v>0.74226804123711343</v>
      </c>
      <c r="S915" s="29">
        <f t="shared" si="103"/>
        <v>74.226804123711347</v>
      </c>
      <c r="T915" s="5" t="str">
        <f>IF(Delivery_Data3[[#This Row],[Delays (min)]]&gt;0,"No","Yes")</f>
        <v>No</v>
      </c>
      <c r="W915" s="41">
        <f t="shared" si="104"/>
        <v>45175</v>
      </c>
      <c r="X915" s="5">
        <v>72</v>
      </c>
    </row>
    <row r="916" spans="1:24" ht="15.75" customHeight="1" x14ac:dyDescent="0.3">
      <c r="A916" s="4">
        <v>1915</v>
      </c>
      <c r="B916" s="5" t="s">
        <v>1028</v>
      </c>
      <c r="C916" s="6">
        <v>45173.655555555553</v>
      </c>
      <c r="D916" s="5" t="s">
        <v>14</v>
      </c>
      <c r="E916" s="5" t="s">
        <v>143</v>
      </c>
      <c r="F916" s="5" t="s">
        <v>16</v>
      </c>
      <c r="G916" s="5" t="s">
        <v>31</v>
      </c>
      <c r="H916" s="5">
        <v>214</v>
      </c>
      <c r="I916" s="5">
        <v>13</v>
      </c>
      <c r="J916" s="5" t="s">
        <v>26</v>
      </c>
      <c r="K916" s="5" t="s">
        <v>45</v>
      </c>
      <c r="L916" s="5" t="s">
        <v>40</v>
      </c>
      <c r="M916" s="7" t="s">
        <v>41</v>
      </c>
      <c r="N916" s="26">
        <f t="shared" si="98"/>
        <v>1</v>
      </c>
      <c r="O916" s="42">
        <f t="shared" si="99"/>
        <v>45173</v>
      </c>
      <c r="P916" s="5" t="str">
        <f t="shared" si="100"/>
        <v>Monday</v>
      </c>
      <c r="Q916" s="5">
        <f t="shared" si="101"/>
        <v>15</v>
      </c>
      <c r="R916" s="28">
        <f t="shared" si="102"/>
        <v>0.94273127753303965</v>
      </c>
      <c r="S916" s="29">
        <f t="shared" si="103"/>
        <v>94.273127753303967</v>
      </c>
      <c r="T916" s="5" t="str">
        <f>IF(Delivery_Data3[[#This Row],[Delays (min)]]&gt;0,"No","Yes")</f>
        <v>No</v>
      </c>
      <c r="W916" s="41">
        <f t="shared" si="104"/>
        <v>45173</v>
      </c>
      <c r="X916" s="5">
        <v>214</v>
      </c>
    </row>
    <row r="917" spans="1:24" ht="15.75" customHeight="1" x14ac:dyDescent="0.3">
      <c r="A917" s="4">
        <v>1916</v>
      </c>
      <c r="B917" s="5" t="s">
        <v>1029</v>
      </c>
      <c r="C917" s="6">
        <v>45172.551388888889</v>
      </c>
      <c r="D917" s="5" t="s">
        <v>43</v>
      </c>
      <c r="E917" s="5" t="s">
        <v>151</v>
      </c>
      <c r="F917" s="5" t="s">
        <v>38</v>
      </c>
      <c r="G917" s="5" t="s">
        <v>25</v>
      </c>
      <c r="H917" s="5">
        <v>194</v>
      </c>
      <c r="I917" s="5">
        <v>12</v>
      </c>
      <c r="J917" s="5" t="s">
        <v>26</v>
      </c>
      <c r="K917" s="5" t="s">
        <v>49</v>
      </c>
      <c r="L917" s="5" t="s">
        <v>20</v>
      </c>
      <c r="M917" s="7" t="s">
        <v>21</v>
      </c>
      <c r="N917" s="26">
        <f t="shared" si="98"/>
        <v>1</v>
      </c>
      <c r="O917" s="42">
        <f t="shared" si="99"/>
        <v>45172</v>
      </c>
      <c r="P917" s="5" t="str">
        <f t="shared" si="100"/>
        <v>Sunday</v>
      </c>
      <c r="Q917" s="5">
        <f t="shared" si="101"/>
        <v>13</v>
      </c>
      <c r="R917" s="28">
        <f t="shared" si="102"/>
        <v>0.94174757281553401</v>
      </c>
      <c r="S917" s="29">
        <f t="shared" si="103"/>
        <v>94.174757281553397</v>
      </c>
      <c r="T917" s="5" t="str">
        <f>IF(Delivery_Data3[[#This Row],[Delays (min)]]&gt;0,"No","Yes")</f>
        <v>No</v>
      </c>
      <c r="W917" s="41">
        <f t="shared" si="104"/>
        <v>45172</v>
      </c>
      <c r="X917" s="5">
        <v>194</v>
      </c>
    </row>
    <row r="918" spans="1:24" ht="15.75" customHeight="1" x14ac:dyDescent="0.3">
      <c r="A918" s="4">
        <v>1917</v>
      </c>
      <c r="B918" s="5" t="s">
        <v>1030</v>
      </c>
      <c r="C918" s="6">
        <v>45176.477083333331</v>
      </c>
      <c r="D918" s="5" t="s">
        <v>14</v>
      </c>
      <c r="E918" s="5" t="s">
        <v>89</v>
      </c>
      <c r="F918" s="5" t="s">
        <v>38</v>
      </c>
      <c r="G918" s="5" t="s">
        <v>31</v>
      </c>
      <c r="H918" s="5">
        <v>140</v>
      </c>
      <c r="I918" s="5">
        <v>3</v>
      </c>
      <c r="J918" s="5" t="s">
        <v>18</v>
      </c>
      <c r="K918" s="5" t="s">
        <v>19</v>
      </c>
      <c r="L918" s="5" t="s">
        <v>28</v>
      </c>
      <c r="M918" s="7" t="s">
        <v>41</v>
      </c>
      <c r="N918" s="26">
        <f t="shared" si="98"/>
        <v>0</v>
      </c>
      <c r="O918" s="42">
        <f t="shared" si="99"/>
        <v>45176</v>
      </c>
      <c r="P918" s="5" t="str">
        <f t="shared" si="100"/>
        <v>Thursday</v>
      </c>
      <c r="Q918" s="5">
        <f t="shared" si="101"/>
        <v>11</v>
      </c>
      <c r="R918" s="28">
        <f t="shared" si="102"/>
        <v>0.97902097902097907</v>
      </c>
      <c r="S918" s="29">
        <f t="shared" si="103"/>
        <v>97.902097902097907</v>
      </c>
      <c r="T918" s="5" t="str">
        <f>IF(Delivery_Data3[[#This Row],[Delays (min)]]&gt;0,"No","Yes")</f>
        <v>No</v>
      </c>
      <c r="W918" s="41">
        <f t="shared" si="104"/>
        <v>45176</v>
      </c>
      <c r="X918" s="5">
        <v>140</v>
      </c>
    </row>
    <row r="919" spans="1:24" ht="15.75" customHeight="1" x14ac:dyDescent="0.3">
      <c r="A919" s="4">
        <v>1918</v>
      </c>
      <c r="B919" s="5" t="s">
        <v>1031</v>
      </c>
      <c r="C919" s="6">
        <v>45175.397222222222</v>
      </c>
      <c r="D919" s="5" t="s">
        <v>14</v>
      </c>
      <c r="E919" s="5" t="s">
        <v>64</v>
      </c>
      <c r="F919" s="5" t="s">
        <v>16</v>
      </c>
      <c r="G919" s="5" t="s">
        <v>25</v>
      </c>
      <c r="H919" s="5">
        <v>106</v>
      </c>
      <c r="I919" s="5">
        <v>14</v>
      </c>
      <c r="J919" s="5" t="s">
        <v>32</v>
      </c>
      <c r="K919" s="5" t="s">
        <v>27</v>
      </c>
      <c r="L919" s="5" t="s">
        <v>28</v>
      </c>
      <c r="M919" s="7" t="s">
        <v>21</v>
      </c>
      <c r="N919" s="26">
        <f t="shared" si="98"/>
        <v>-1</v>
      </c>
      <c r="O919" s="42">
        <f t="shared" si="99"/>
        <v>45175</v>
      </c>
      <c r="P919" s="5" t="str">
        <f t="shared" si="100"/>
        <v>Wednesday</v>
      </c>
      <c r="Q919" s="5">
        <f t="shared" si="101"/>
        <v>9</v>
      </c>
      <c r="R919" s="28">
        <f t="shared" si="102"/>
        <v>0.8833333333333333</v>
      </c>
      <c r="S919" s="29">
        <f t="shared" si="103"/>
        <v>88.333333333333329</v>
      </c>
      <c r="T919" s="5" t="str">
        <f>IF(Delivery_Data3[[#This Row],[Delays (min)]]&gt;0,"No","Yes")</f>
        <v>No</v>
      </c>
      <c r="W919" s="41">
        <f t="shared" si="104"/>
        <v>45175</v>
      </c>
      <c r="X919" s="5">
        <v>106</v>
      </c>
    </row>
    <row r="920" spans="1:24" ht="15.75" customHeight="1" x14ac:dyDescent="0.3">
      <c r="A920" s="4">
        <v>1919</v>
      </c>
      <c r="B920" s="5" t="s">
        <v>313</v>
      </c>
      <c r="C920" s="6">
        <v>45176.354166666664</v>
      </c>
      <c r="D920" s="5" t="s">
        <v>43</v>
      </c>
      <c r="E920" s="5" t="s">
        <v>261</v>
      </c>
      <c r="F920" s="5" t="s">
        <v>24</v>
      </c>
      <c r="G920" s="5" t="s">
        <v>17</v>
      </c>
      <c r="H920" s="5">
        <v>122</v>
      </c>
      <c r="I920" s="5">
        <v>6</v>
      </c>
      <c r="J920" s="5" t="s">
        <v>26</v>
      </c>
      <c r="K920" s="5" t="s">
        <v>45</v>
      </c>
      <c r="L920" s="5" t="s">
        <v>40</v>
      </c>
      <c r="M920" s="7" t="s">
        <v>41</v>
      </c>
      <c r="N920" s="26">
        <f t="shared" si="98"/>
        <v>1</v>
      </c>
      <c r="O920" s="42">
        <f t="shared" si="99"/>
        <v>45176</v>
      </c>
      <c r="P920" s="5" t="str">
        <f t="shared" si="100"/>
        <v>Thursday</v>
      </c>
      <c r="Q920" s="5">
        <f t="shared" si="101"/>
        <v>8</v>
      </c>
      <c r="R920" s="28">
        <f t="shared" si="102"/>
        <v>0.953125</v>
      </c>
      <c r="S920" s="29">
        <f t="shared" si="103"/>
        <v>95.3125</v>
      </c>
      <c r="T920" s="5" t="str">
        <f>IF(Delivery_Data3[[#This Row],[Delays (min)]]&gt;0,"No","Yes")</f>
        <v>No</v>
      </c>
      <c r="W920" s="41">
        <f t="shared" si="104"/>
        <v>45176</v>
      </c>
      <c r="X920" s="5">
        <v>122</v>
      </c>
    </row>
    <row r="921" spans="1:24" ht="15.75" customHeight="1" x14ac:dyDescent="0.3">
      <c r="A921" s="4">
        <v>1920</v>
      </c>
      <c r="B921" s="5" t="s">
        <v>1032</v>
      </c>
      <c r="C921" s="6">
        <v>45170.415277777778</v>
      </c>
      <c r="D921" s="5" t="s">
        <v>14</v>
      </c>
      <c r="E921" s="5" t="s">
        <v>93</v>
      </c>
      <c r="F921" s="5" t="s">
        <v>24</v>
      </c>
      <c r="G921" s="5" t="s">
        <v>31</v>
      </c>
      <c r="H921" s="5">
        <v>141</v>
      </c>
      <c r="I921" s="5">
        <v>20</v>
      </c>
      <c r="J921" s="5" t="s">
        <v>18</v>
      </c>
      <c r="K921" s="5" t="s">
        <v>49</v>
      </c>
      <c r="L921" s="5" t="s">
        <v>28</v>
      </c>
      <c r="M921" s="7" t="s">
        <v>41</v>
      </c>
      <c r="N921" s="26">
        <f t="shared" si="98"/>
        <v>0</v>
      </c>
      <c r="O921" s="42">
        <f t="shared" si="99"/>
        <v>45170</v>
      </c>
      <c r="P921" s="5" t="str">
        <f t="shared" si="100"/>
        <v>Friday</v>
      </c>
      <c r="Q921" s="5">
        <f t="shared" si="101"/>
        <v>9</v>
      </c>
      <c r="R921" s="28">
        <f t="shared" si="102"/>
        <v>0.87577639751552794</v>
      </c>
      <c r="S921" s="29">
        <f t="shared" si="103"/>
        <v>87.577639751552795</v>
      </c>
      <c r="T921" s="5" t="str">
        <f>IF(Delivery_Data3[[#This Row],[Delays (min)]]&gt;0,"No","Yes")</f>
        <v>No</v>
      </c>
      <c r="W921" s="41">
        <f t="shared" si="104"/>
        <v>45170</v>
      </c>
      <c r="X921" s="5">
        <v>141</v>
      </c>
    </row>
    <row r="922" spans="1:24" ht="15.75" customHeight="1" x14ac:dyDescent="0.3">
      <c r="A922" s="4">
        <v>1921</v>
      </c>
      <c r="B922" s="5" t="s">
        <v>1033</v>
      </c>
      <c r="C922" s="6">
        <v>45170.686805555553</v>
      </c>
      <c r="D922" s="5" t="s">
        <v>14</v>
      </c>
      <c r="E922" s="5" t="s">
        <v>70</v>
      </c>
      <c r="F922" s="5" t="s">
        <v>24</v>
      </c>
      <c r="G922" s="5" t="s">
        <v>39</v>
      </c>
      <c r="H922" s="5">
        <v>67</v>
      </c>
      <c r="I922" s="5">
        <v>1</v>
      </c>
      <c r="J922" s="5" t="s">
        <v>18</v>
      </c>
      <c r="K922" s="5" t="s">
        <v>35</v>
      </c>
      <c r="L922" s="5" t="s">
        <v>20</v>
      </c>
      <c r="M922" s="7" t="s">
        <v>21</v>
      </c>
      <c r="N922" s="26">
        <f t="shared" si="98"/>
        <v>0</v>
      </c>
      <c r="O922" s="42">
        <f t="shared" si="99"/>
        <v>45170</v>
      </c>
      <c r="P922" s="5" t="str">
        <f t="shared" si="100"/>
        <v>Friday</v>
      </c>
      <c r="Q922" s="5">
        <f t="shared" si="101"/>
        <v>16</v>
      </c>
      <c r="R922" s="28">
        <f t="shared" si="102"/>
        <v>0.98529411764705888</v>
      </c>
      <c r="S922" s="29">
        <f t="shared" si="103"/>
        <v>98.529411764705884</v>
      </c>
      <c r="T922" s="5" t="str">
        <f>IF(Delivery_Data3[[#This Row],[Delays (min)]]&gt;0,"No","Yes")</f>
        <v>No</v>
      </c>
      <c r="W922" s="41">
        <f t="shared" si="104"/>
        <v>45170</v>
      </c>
      <c r="X922" s="5">
        <v>67</v>
      </c>
    </row>
    <row r="923" spans="1:24" ht="15.75" customHeight="1" x14ac:dyDescent="0.3">
      <c r="A923" s="4">
        <v>1922</v>
      </c>
      <c r="B923" s="5" t="s">
        <v>1034</v>
      </c>
      <c r="C923" s="6">
        <v>45176.674305555556</v>
      </c>
      <c r="D923" s="5" t="s">
        <v>43</v>
      </c>
      <c r="E923" s="5" t="s">
        <v>185</v>
      </c>
      <c r="F923" s="5" t="s">
        <v>16</v>
      </c>
      <c r="G923" s="5" t="s">
        <v>17</v>
      </c>
      <c r="H923" s="5">
        <v>217</v>
      </c>
      <c r="I923" s="5">
        <v>3</v>
      </c>
      <c r="J923" s="5" t="s">
        <v>32</v>
      </c>
      <c r="K923" s="5" t="s">
        <v>27</v>
      </c>
      <c r="L923" s="5" t="s">
        <v>40</v>
      </c>
      <c r="M923" s="7" t="s">
        <v>46</v>
      </c>
      <c r="N923" s="26">
        <f t="shared" si="98"/>
        <v>-1</v>
      </c>
      <c r="O923" s="42">
        <f t="shared" si="99"/>
        <v>45176</v>
      </c>
      <c r="P923" s="5" t="str">
        <f t="shared" si="100"/>
        <v>Thursday</v>
      </c>
      <c r="Q923" s="5">
        <f t="shared" si="101"/>
        <v>16</v>
      </c>
      <c r="R923" s="28">
        <f t="shared" si="102"/>
        <v>0.98636363636363633</v>
      </c>
      <c r="S923" s="29">
        <f t="shared" si="103"/>
        <v>98.636363636363626</v>
      </c>
      <c r="T923" s="5" t="str">
        <f>IF(Delivery_Data3[[#This Row],[Delays (min)]]&gt;0,"No","Yes")</f>
        <v>No</v>
      </c>
      <c r="W923" s="41">
        <f t="shared" si="104"/>
        <v>45176</v>
      </c>
      <c r="X923" s="5">
        <v>217</v>
      </c>
    </row>
    <row r="924" spans="1:24" ht="15.75" customHeight="1" x14ac:dyDescent="0.3">
      <c r="A924" s="4">
        <v>1923</v>
      </c>
      <c r="B924" s="5" t="s">
        <v>1035</v>
      </c>
      <c r="C924" s="6">
        <v>45171.659722222219</v>
      </c>
      <c r="D924" s="5" t="s">
        <v>43</v>
      </c>
      <c r="E924" s="5" t="s">
        <v>30</v>
      </c>
      <c r="F924" s="5" t="s">
        <v>16</v>
      </c>
      <c r="G924" s="5" t="s">
        <v>39</v>
      </c>
      <c r="H924" s="5">
        <v>90</v>
      </c>
      <c r="I924" s="5">
        <v>9</v>
      </c>
      <c r="J924" s="5" t="s">
        <v>32</v>
      </c>
      <c r="K924" s="5" t="s">
        <v>35</v>
      </c>
      <c r="L924" s="5" t="s">
        <v>40</v>
      </c>
      <c r="M924" s="7" t="s">
        <v>21</v>
      </c>
      <c r="N924" s="26">
        <f t="shared" si="98"/>
        <v>-1</v>
      </c>
      <c r="O924" s="42">
        <f t="shared" si="99"/>
        <v>45171</v>
      </c>
      <c r="P924" s="5" t="str">
        <f t="shared" si="100"/>
        <v>Saturday</v>
      </c>
      <c r="Q924" s="5">
        <f t="shared" si="101"/>
        <v>15</v>
      </c>
      <c r="R924" s="28">
        <f t="shared" si="102"/>
        <v>0.90909090909090906</v>
      </c>
      <c r="S924" s="29">
        <f t="shared" si="103"/>
        <v>90.909090909090907</v>
      </c>
      <c r="T924" s="5" t="str">
        <f>IF(Delivery_Data3[[#This Row],[Delays (min)]]&gt;0,"No","Yes")</f>
        <v>No</v>
      </c>
      <c r="W924" s="41">
        <f t="shared" si="104"/>
        <v>45171</v>
      </c>
      <c r="X924" s="5">
        <v>90</v>
      </c>
    </row>
    <row r="925" spans="1:24" ht="15.75" customHeight="1" x14ac:dyDescent="0.3">
      <c r="A925" s="4">
        <v>1924</v>
      </c>
      <c r="B925" s="5" t="s">
        <v>1036</v>
      </c>
      <c r="C925" s="6">
        <v>45172.70208333333</v>
      </c>
      <c r="D925" s="5" t="s">
        <v>43</v>
      </c>
      <c r="E925" s="5" t="s">
        <v>160</v>
      </c>
      <c r="F925" s="5" t="s">
        <v>16</v>
      </c>
      <c r="G925" s="5" t="s">
        <v>56</v>
      </c>
      <c r="H925" s="5">
        <v>115</v>
      </c>
      <c r="I925" s="5">
        <v>9</v>
      </c>
      <c r="J925" s="5" t="s">
        <v>26</v>
      </c>
      <c r="K925" s="5" t="s">
        <v>45</v>
      </c>
      <c r="L925" s="5" t="s">
        <v>40</v>
      </c>
      <c r="M925" s="7" t="s">
        <v>21</v>
      </c>
      <c r="N925" s="26">
        <f t="shared" si="98"/>
        <v>1</v>
      </c>
      <c r="O925" s="42">
        <f t="shared" si="99"/>
        <v>45172</v>
      </c>
      <c r="P925" s="5" t="str">
        <f t="shared" si="100"/>
        <v>Sunday</v>
      </c>
      <c r="Q925" s="5">
        <f t="shared" si="101"/>
        <v>16</v>
      </c>
      <c r="R925" s="28">
        <f t="shared" si="102"/>
        <v>0.92741935483870963</v>
      </c>
      <c r="S925" s="29">
        <f t="shared" si="103"/>
        <v>92.741935483870961</v>
      </c>
      <c r="T925" s="5" t="str">
        <f>IF(Delivery_Data3[[#This Row],[Delays (min)]]&gt;0,"No","Yes")</f>
        <v>No</v>
      </c>
      <c r="W925" s="41">
        <f t="shared" si="104"/>
        <v>45172</v>
      </c>
      <c r="X925" s="5">
        <v>115</v>
      </c>
    </row>
    <row r="926" spans="1:24" ht="15.75" customHeight="1" x14ac:dyDescent="0.3">
      <c r="A926" s="4">
        <v>1925</v>
      </c>
      <c r="B926" s="5" t="s">
        <v>1037</v>
      </c>
      <c r="C926" s="6">
        <v>45170.474999999999</v>
      </c>
      <c r="D926" s="5" t="s">
        <v>14</v>
      </c>
      <c r="E926" s="5" t="s">
        <v>333</v>
      </c>
      <c r="F926" s="5" t="s">
        <v>38</v>
      </c>
      <c r="G926" s="5" t="s">
        <v>31</v>
      </c>
      <c r="H926" s="5">
        <v>198</v>
      </c>
      <c r="I926" s="5">
        <v>17</v>
      </c>
      <c r="J926" s="5" t="s">
        <v>26</v>
      </c>
      <c r="K926" s="5" t="s">
        <v>27</v>
      </c>
      <c r="L926" s="5" t="s">
        <v>28</v>
      </c>
      <c r="M926" s="7" t="s">
        <v>21</v>
      </c>
      <c r="N926" s="26">
        <f t="shared" si="98"/>
        <v>1</v>
      </c>
      <c r="O926" s="42">
        <f t="shared" si="99"/>
        <v>45170</v>
      </c>
      <c r="P926" s="5" t="str">
        <f t="shared" si="100"/>
        <v>Friday</v>
      </c>
      <c r="Q926" s="5">
        <f t="shared" si="101"/>
        <v>11</v>
      </c>
      <c r="R926" s="28">
        <f t="shared" si="102"/>
        <v>0.92093023255813955</v>
      </c>
      <c r="S926" s="29">
        <f t="shared" si="103"/>
        <v>92.093023255813961</v>
      </c>
      <c r="T926" s="5" t="str">
        <f>IF(Delivery_Data3[[#This Row],[Delays (min)]]&gt;0,"No","Yes")</f>
        <v>No</v>
      </c>
      <c r="W926" s="41">
        <f t="shared" si="104"/>
        <v>45170</v>
      </c>
      <c r="X926" s="5">
        <v>198</v>
      </c>
    </row>
    <row r="927" spans="1:24" ht="15.75" customHeight="1" x14ac:dyDescent="0.3">
      <c r="A927" s="4">
        <v>1926</v>
      </c>
      <c r="B927" s="5" t="s">
        <v>1038</v>
      </c>
      <c r="C927" s="6">
        <v>45177.375</v>
      </c>
      <c r="D927" s="5" t="s">
        <v>43</v>
      </c>
      <c r="E927" s="5" t="s">
        <v>97</v>
      </c>
      <c r="F927" s="5" t="s">
        <v>16</v>
      </c>
      <c r="G927" s="5" t="s">
        <v>17</v>
      </c>
      <c r="H927" s="5">
        <v>181</v>
      </c>
      <c r="I927" s="5">
        <v>7</v>
      </c>
      <c r="J927" s="5" t="s">
        <v>32</v>
      </c>
      <c r="K927" s="5" t="s">
        <v>49</v>
      </c>
      <c r="L927" s="5" t="s">
        <v>20</v>
      </c>
      <c r="M927" s="7" t="s">
        <v>46</v>
      </c>
      <c r="N927" s="26">
        <f t="shared" si="98"/>
        <v>-1</v>
      </c>
      <c r="O927" s="42">
        <f t="shared" si="99"/>
        <v>45177</v>
      </c>
      <c r="P927" s="5" t="str">
        <f t="shared" si="100"/>
        <v>Friday</v>
      </c>
      <c r="Q927" s="5">
        <f t="shared" si="101"/>
        <v>9</v>
      </c>
      <c r="R927" s="28">
        <f t="shared" si="102"/>
        <v>0.96276595744680848</v>
      </c>
      <c r="S927" s="29">
        <f t="shared" si="103"/>
        <v>96.276595744680847</v>
      </c>
      <c r="T927" s="5" t="str">
        <f>IF(Delivery_Data3[[#This Row],[Delays (min)]]&gt;0,"No","Yes")</f>
        <v>No</v>
      </c>
      <c r="W927" s="41">
        <f t="shared" si="104"/>
        <v>45177</v>
      </c>
      <c r="X927" s="5">
        <v>181</v>
      </c>
    </row>
    <row r="928" spans="1:24" ht="15.75" customHeight="1" x14ac:dyDescent="0.3">
      <c r="A928" s="4">
        <v>1927</v>
      </c>
      <c r="B928" s="5" t="s">
        <v>1039</v>
      </c>
      <c r="C928" s="6">
        <v>45176.381249999999</v>
      </c>
      <c r="D928" s="5" t="s">
        <v>43</v>
      </c>
      <c r="E928" s="5" t="s">
        <v>99</v>
      </c>
      <c r="F928" s="5" t="s">
        <v>16</v>
      </c>
      <c r="G928" s="5" t="s">
        <v>39</v>
      </c>
      <c r="H928" s="5">
        <v>72</v>
      </c>
      <c r="I928" s="5">
        <v>27</v>
      </c>
      <c r="J928" s="5" t="s">
        <v>26</v>
      </c>
      <c r="K928" s="5" t="s">
        <v>45</v>
      </c>
      <c r="L928" s="5" t="s">
        <v>40</v>
      </c>
      <c r="M928" s="7" t="s">
        <v>21</v>
      </c>
      <c r="N928" s="26">
        <f t="shared" si="98"/>
        <v>1</v>
      </c>
      <c r="O928" s="42">
        <f t="shared" si="99"/>
        <v>45176</v>
      </c>
      <c r="P928" s="5" t="str">
        <f t="shared" si="100"/>
        <v>Thursday</v>
      </c>
      <c r="Q928" s="5">
        <f t="shared" si="101"/>
        <v>9</v>
      </c>
      <c r="R928" s="28">
        <f t="shared" si="102"/>
        <v>0.72727272727272729</v>
      </c>
      <c r="S928" s="29">
        <f t="shared" si="103"/>
        <v>72.727272727272734</v>
      </c>
      <c r="T928" s="5" t="str">
        <f>IF(Delivery_Data3[[#This Row],[Delays (min)]]&gt;0,"No","Yes")</f>
        <v>No</v>
      </c>
      <c r="W928" s="41">
        <f t="shared" si="104"/>
        <v>45176</v>
      </c>
      <c r="X928" s="5">
        <v>72</v>
      </c>
    </row>
    <row r="929" spans="1:24" ht="15.75" customHeight="1" x14ac:dyDescent="0.3">
      <c r="A929" s="4">
        <v>1928</v>
      </c>
      <c r="B929" s="5" t="s">
        <v>1040</v>
      </c>
      <c r="C929" s="6">
        <v>45173.390277777777</v>
      </c>
      <c r="D929" s="5" t="s">
        <v>14</v>
      </c>
      <c r="E929" s="5" t="s">
        <v>441</v>
      </c>
      <c r="F929" s="5" t="s">
        <v>16</v>
      </c>
      <c r="G929" s="5" t="s">
        <v>56</v>
      </c>
      <c r="H929" s="5">
        <v>205</v>
      </c>
      <c r="I929" s="5">
        <v>14</v>
      </c>
      <c r="J929" s="5" t="s">
        <v>18</v>
      </c>
      <c r="K929" s="5" t="s">
        <v>35</v>
      </c>
      <c r="L929" s="5" t="s">
        <v>40</v>
      </c>
      <c r="M929" s="7" t="s">
        <v>46</v>
      </c>
      <c r="N929" s="26">
        <f t="shared" si="98"/>
        <v>0</v>
      </c>
      <c r="O929" s="42">
        <f t="shared" si="99"/>
        <v>45173</v>
      </c>
      <c r="P929" s="5" t="str">
        <f t="shared" si="100"/>
        <v>Monday</v>
      </c>
      <c r="Q929" s="5">
        <f t="shared" si="101"/>
        <v>9</v>
      </c>
      <c r="R929" s="28">
        <f t="shared" si="102"/>
        <v>0.9360730593607306</v>
      </c>
      <c r="S929" s="29">
        <f t="shared" si="103"/>
        <v>93.607305936073061</v>
      </c>
      <c r="T929" s="5" t="str">
        <f>IF(Delivery_Data3[[#This Row],[Delays (min)]]&gt;0,"No","Yes")</f>
        <v>No</v>
      </c>
      <c r="W929" s="41">
        <f t="shared" si="104"/>
        <v>45173</v>
      </c>
      <c r="X929" s="5">
        <v>205</v>
      </c>
    </row>
    <row r="930" spans="1:24" ht="15.75" customHeight="1" x14ac:dyDescent="0.3">
      <c r="A930" s="4">
        <v>1929</v>
      </c>
      <c r="B930" s="5" t="s">
        <v>1041</v>
      </c>
      <c r="C930" s="6">
        <v>45172.696527777778</v>
      </c>
      <c r="D930" s="5" t="s">
        <v>14</v>
      </c>
      <c r="E930" s="5" t="s">
        <v>132</v>
      </c>
      <c r="F930" s="5" t="s">
        <v>38</v>
      </c>
      <c r="G930" s="5" t="s">
        <v>25</v>
      </c>
      <c r="H930" s="5">
        <v>95</v>
      </c>
      <c r="I930" s="5">
        <v>13</v>
      </c>
      <c r="J930" s="5" t="s">
        <v>32</v>
      </c>
      <c r="K930" s="5" t="s">
        <v>35</v>
      </c>
      <c r="L930" s="5" t="s">
        <v>28</v>
      </c>
      <c r="M930" s="7" t="s">
        <v>46</v>
      </c>
      <c r="N930" s="26">
        <f t="shared" si="98"/>
        <v>-1</v>
      </c>
      <c r="O930" s="42">
        <f t="shared" si="99"/>
        <v>45172</v>
      </c>
      <c r="P930" s="5" t="str">
        <f t="shared" si="100"/>
        <v>Sunday</v>
      </c>
      <c r="Q930" s="5">
        <f t="shared" si="101"/>
        <v>16</v>
      </c>
      <c r="R930" s="28">
        <f t="shared" si="102"/>
        <v>0.87962962962962965</v>
      </c>
      <c r="S930" s="29">
        <f t="shared" si="103"/>
        <v>87.962962962962962</v>
      </c>
      <c r="T930" s="5" t="str">
        <f>IF(Delivery_Data3[[#This Row],[Delays (min)]]&gt;0,"No","Yes")</f>
        <v>No</v>
      </c>
      <c r="W930" s="41">
        <f t="shared" si="104"/>
        <v>45172</v>
      </c>
      <c r="X930" s="5">
        <v>95</v>
      </c>
    </row>
    <row r="931" spans="1:24" ht="15.75" customHeight="1" x14ac:dyDescent="0.3">
      <c r="A931" s="4">
        <v>1930</v>
      </c>
      <c r="B931" s="5" t="s">
        <v>1042</v>
      </c>
      <c r="C931" s="6">
        <v>45177.412499999999</v>
      </c>
      <c r="D931" s="5" t="s">
        <v>43</v>
      </c>
      <c r="E931" s="5" t="s">
        <v>85</v>
      </c>
      <c r="F931" s="5" t="s">
        <v>38</v>
      </c>
      <c r="G931" s="5" t="s">
        <v>56</v>
      </c>
      <c r="H931" s="5">
        <v>232</v>
      </c>
      <c r="I931" s="5">
        <v>24</v>
      </c>
      <c r="J931" s="5" t="s">
        <v>32</v>
      </c>
      <c r="K931" s="5" t="s">
        <v>35</v>
      </c>
      <c r="L931" s="5" t="s">
        <v>20</v>
      </c>
      <c r="M931" s="7" t="s">
        <v>46</v>
      </c>
      <c r="N931" s="26">
        <f t="shared" si="98"/>
        <v>-1</v>
      </c>
      <c r="O931" s="42">
        <f t="shared" si="99"/>
        <v>45177</v>
      </c>
      <c r="P931" s="5" t="str">
        <f t="shared" si="100"/>
        <v>Friday</v>
      </c>
      <c r="Q931" s="5">
        <f t="shared" si="101"/>
        <v>9</v>
      </c>
      <c r="R931" s="28">
        <f t="shared" si="102"/>
        <v>0.90625</v>
      </c>
      <c r="S931" s="29">
        <f t="shared" si="103"/>
        <v>90.625</v>
      </c>
      <c r="T931" s="5" t="str">
        <f>IF(Delivery_Data3[[#This Row],[Delays (min)]]&gt;0,"No","Yes")</f>
        <v>No</v>
      </c>
      <c r="W931" s="41">
        <f t="shared" si="104"/>
        <v>45177</v>
      </c>
      <c r="X931" s="5">
        <v>232</v>
      </c>
    </row>
    <row r="932" spans="1:24" ht="15.75" customHeight="1" x14ac:dyDescent="0.3">
      <c r="A932" s="4">
        <v>1931</v>
      </c>
      <c r="B932" s="5" t="s">
        <v>1043</v>
      </c>
      <c r="C932" s="6">
        <v>45174.624305555553</v>
      </c>
      <c r="D932" s="5" t="s">
        <v>14</v>
      </c>
      <c r="E932" s="5" t="s">
        <v>55</v>
      </c>
      <c r="F932" s="5" t="s">
        <v>24</v>
      </c>
      <c r="G932" s="5" t="s">
        <v>17</v>
      </c>
      <c r="H932" s="5">
        <v>196</v>
      </c>
      <c r="I932" s="5">
        <v>5</v>
      </c>
      <c r="J932" s="5" t="s">
        <v>32</v>
      </c>
      <c r="K932" s="5" t="s">
        <v>45</v>
      </c>
      <c r="L932" s="5" t="s">
        <v>28</v>
      </c>
      <c r="M932" s="7" t="s">
        <v>41</v>
      </c>
      <c r="N932" s="26">
        <f t="shared" si="98"/>
        <v>-1</v>
      </c>
      <c r="O932" s="42">
        <f t="shared" si="99"/>
        <v>45174</v>
      </c>
      <c r="P932" s="5" t="str">
        <f t="shared" si="100"/>
        <v>Tuesday</v>
      </c>
      <c r="Q932" s="5">
        <f t="shared" si="101"/>
        <v>14</v>
      </c>
      <c r="R932" s="28">
        <f t="shared" si="102"/>
        <v>0.97512437810945274</v>
      </c>
      <c r="S932" s="29">
        <f t="shared" si="103"/>
        <v>97.512437810945272</v>
      </c>
      <c r="T932" s="5" t="str">
        <f>IF(Delivery_Data3[[#This Row],[Delays (min)]]&gt;0,"No","Yes")</f>
        <v>No</v>
      </c>
      <c r="W932" s="41">
        <f t="shared" si="104"/>
        <v>45174</v>
      </c>
      <c r="X932" s="5">
        <v>196</v>
      </c>
    </row>
    <row r="933" spans="1:24" ht="15.75" customHeight="1" x14ac:dyDescent="0.3">
      <c r="A933" s="4">
        <v>1932</v>
      </c>
      <c r="B933" s="5" t="s">
        <v>1044</v>
      </c>
      <c r="C933" s="6">
        <v>45174.704861111109</v>
      </c>
      <c r="D933" s="5" t="s">
        <v>14</v>
      </c>
      <c r="E933" s="5" t="s">
        <v>87</v>
      </c>
      <c r="F933" s="5" t="s">
        <v>16</v>
      </c>
      <c r="G933" s="5" t="s">
        <v>17</v>
      </c>
      <c r="H933" s="5">
        <v>168</v>
      </c>
      <c r="I933" s="5">
        <v>12</v>
      </c>
      <c r="J933" s="5" t="s">
        <v>32</v>
      </c>
      <c r="K933" s="5" t="s">
        <v>27</v>
      </c>
      <c r="L933" s="5" t="s">
        <v>28</v>
      </c>
      <c r="M933" s="7" t="s">
        <v>46</v>
      </c>
      <c r="N933" s="26">
        <f t="shared" si="98"/>
        <v>-1</v>
      </c>
      <c r="O933" s="42">
        <f t="shared" si="99"/>
        <v>45174</v>
      </c>
      <c r="P933" s="5" t="str">
        <f t="shared" si="100"/>
        <v>Tuesday</v>
      </c>
      <c r="Q933" s="5">
        <f t="shared" si="101"/>
        <v>16</v>
      </c>
      <c r="R933" s="28">
        <f t="shared" si="102"/>
        <v>0.93333333333333335</v>
      </c>
      <c r="S933" s="29">
        <f t="shared" si="103"/>
        <v>93.333333333333329</v>
      </c>
      <c r="T933" s="5" t="str">
        <f>IF(Delivery_Data3[[#This Row],[Delays (min)]]&gt;0,"No","Yes")</f>
        <v>No</v>
      </c>
      <c r="W933" s="41">
        <f t="shared" si="104"/>
        <v>45174</v>
      </c>
      <c r="X933" s="5">
        <v>168</v>
      </c>
    </row>
    <row r="934" spans="1:24" ht="15.75" customHeight="1" x14ac:dyDescent="0.3">
      <c r="A934" s="4">
        <v>1933</v>
      </c>
      <c r="B934" s="5" t="s">
        <v>1045</v>
      </c>
      <c r="C934" s="6">
        <v>45173.604166666664</v>
      </c>
      <c r="D934" s="5" t="s">
        <v>43</v>
      </c>
      <c r="E934" s="5" t="s">
        <v>143</v>
      </c>
      <c r="F934" s="5" t="s">
        <v>16</v>
      </c>
      <c r="G934" s="5" t="s">
        <v>56</v>
      </c>
      <c r="H934" s="5">
        <v>85</v>
      </c>
      <c r="I934" s="5">
        <v>22</v>
      </c>
      <c r="J934" s="5" t="s">
        <v>18</v>
      </c>
      <c r="K934" s="5" t="s">
        <v>19</v>
      </c>
      <c r="L934" s="5" t="s">
        <v>20</v>
      </c>
      <c r="M934" s="7" t="s">
        <v>41</v>
      </c>
      <c r="N934" s="26">
        <f t="shared" si="98"/>
        <v>0</v>
      </c>
      <c r="O934" s="42">
        <f t="shared" si="99"/>
        <v>45173</v>
      </c>
      <c r="P934" s="5" t="str">
        <f t="shared" si="100"/>
        <v>Monday</v>
      </c>
      <c r="Q934" s="5">
        <f t="shared" si="101"/>
        <v>14</v>
      </c>
      <c r="R934" s="28">
        <f t="shared" si="102"/>
        <v>0.79439252336448596</v>
      </c>
      <c r="S934" s="29">
        <f t="shared" si="103"/>
        <v>79.43925233644859</v>
      </c>
      <c r="T934" s="5" t="str">
        <f>IF(Delivery_Data3[[#This Row],[Delays (min)]]&gt;0,"No","Yes")</f>
        <v>No</v>
      </c>
      <c r="W934" s="41">
        <f t="shared" si="104"/>
        <v>45173</v>
      </c>
      <c r="X934" s="5">
        <v>85</v>
      </c>
    </row>
    <row r="935" spans="1:24" ht="15.75" customHeight="1" x14ac:dyDescent="0.3">
      <c r="A935" s="4">
        <v>1934</v>
      </c>
      <c r="B935" s="5" t="s">
        <v>1046</v>
      </c>
      <c r="C935" s="6">
        <v>45174.561111111114</v>
      </c>
      <c r="D935" s="5" t="s">
        <v>14</v>
      </c>
      <c r="E935" s="5" t="s">
        <v>106</v>
      </c>
      <c r="F935" s="5" t="s">
        <v>16</v>
      </c>
      <c r="G935" s="5" t="s">
        <v>25</v>
      </c>
      <c r="H935" s="5">
        <v>206</v>
      </c>
      <c r="I935" s="5">
        <v>13</v>
      </c>
      <c r="J935" s="5" t="s">
        <v>32</v>
      </c>
      <c r="K935" s="5" t="s">
        <v>19</v>
      </c>
      <c r="L935" s="5" t="s">
        <v>40</v>
      </c>
      <c r="M935" s="7" t="s">
        <v>46</v>
      </c>
      <c r="N935" s="26">
        <f t="shared" si="98"/>
        <v>-1</v>
      </c>
      <c r="O935" s="42">
        <f t="shared" si="99"/>
        <v>45174</v>
      </c>
      <c r="P935" s="5" t="str">
        <f t="shared" si="100"/>
        <v>Tuesday</v>
      </c>
      <c r="Q935" s="5">
        <f t="shared" si="101"/>
        <v>13</v>
      </c>
      <c r="R935" s="28">
        <f t="shared" si="102"/>
        <v>0.94063926940639264</v>
      </c>
      <c r="S935" s="29">
        <f t="shared" si="103"/>
        <v>94.063926940639263</v>
      </c>
      <c r="T935" s="5" t="str">
        <f>IF(Delivery_Data3[[#This Row],[Delays (min)]]&gt;0,"No","Yes")</f>
        <v>No</v>
      </c>
      <c r="W935" s="41">
        <f t="shared" si="104"/>
        <v>45174</v>
      </c>
      <c r="X935" s="5">
        <v>206</v>
      </c>
    </row>
    <row r="936" spans="1:24" ht="15.75" customHeight="1" x14ac:dyDescent="0.3">
      <c r="A936" s="4">
        <v>1935</v>
      </c>
      <c r="B936" s="5" t="s">
        <v>1047</v>
      </c>
      <c r="C936" s="6">
        <v>45173.42291666667</v>
      </c>
      <c r="D936" s="5" t="s">
        <v>14</v>
      </c>
      <c r="E936" s="5" t="s">
        <v>197</v>
      </c>
      <c r="F936" s="5" t="s">
        <v>16</v>
      </c>
      <c r="G936" s="5" t="s">
        <v>56</v>
      </c>
      <c r="H936" s="5">
        <v>188</v>
      </c>
      <c r="I936" s="5">
        <v>15</v>
      </c>
      <c r="J936" s="5" t="s">
        <v>18</v>
      </c>
      <c r="K936" s="5" t="s">
        <v>19</v>
      </c>
      <c r="L936" s="5" t="s">
        <v>28</v>
      </c>
      <c r="M936" s="7" t="s">
        <v>21</v>
      </c>
      <c r="N936" s="26">
        <f t="shared" si="98"/>
        <v>0</v>
      </c>
      <c r="O936" s="42">
        <f t="shared" si="99"/>
        <v>45173</v>
      </c>
      <c r="P936" s="5" t="str">
        <f t="shared" si="100"/>
        <v>Monday</v>
      </c>
      <c r="Q936" s="5">
        <f t="shared" si="101"/>
        <v>10</v>
      </c>
      <c r="R936" s="28">
        <f t="shared" si="102"/>
        <v>0.92610837438423643</v>
      </c>
      <c r="S936" s="29">
        <f t="shared" si="103"/>
        <v>92.610837438423644</v>
      </c>
      <c r="T936" s="5" t="str">
        <f>IF(Delivery_Data3[[#This Row],[Delays (min)]]&gt;0,"No","Yes")</f>
        <v>No</v>
      </c>
      <c r="W936" s="41">
        <f t="shared" si="104"/>
        <v>45173</v>
      </c>
      <c r="X936" s="5">
        <v>188</v>
      </c>
    </row>
    <row r="937" spans="1:24" ht="15.75" customHeight="1" x14ac:dyDescent="0.3">
      <c r="A937" s="4">
        <v>1936</v>
      </c>
      <c r="B937" s="5" t="s">
        <v>1048</v>
      </c>
      <c r="C937" s="6">
        <v>45172.488888888889</v>
      </c>
      <c r="D937" s="5" t="s">
        <v>14</v>
      </c>
      <c r="E937" s="5" t="s">
        <v>193</v>
      </c>
      <c r="F937" s="5" t="s">
        <v>38</v>
      </c>
      <c r="G937" s="5" t="s">
        <v>39</v>
      </c>
      <c r="H937" s="5">
        <v>173</v>
      </c>
      <c r="I937" s="5">
        <v>19</v>
      </c>
      <c r="J937" s="5" t="s">
        <v>26</v>
      </c>
      <c r="K937" s="5" t="s">
        <v>35</v>
      </c>
      <c r="L937" s="5" t="s">
        <v>28</v>
      </c>
      <c r="M937" s="7" t="s">
        <v>46</v>
      </c>
      <c r="N937" s="26">
        <f t="shared" si="98"/>
        <v>1</v>
      </c>
      <c r="O937" s="42">
        <f t="shared" si="99"/>
        <v>45172</v>
      </c>
      <c r="P937" s="5" t="str">
        <f t="shared" si="100"/>
        <v>Sunday</v>
      </c>
      <c r="Q937" s="5">
        <f t="shared" si="101"/>
        <v>11</v>
      </c>
      <c r="R937" s="28">
        <f t="shared" si="102"/>
        <v>0.90104166666666663</v>
      </c>
      <c r="S937" s="29">
        <f t="shared" si="103"/>
        <v>90.104166666666657</v>
      </c>
      <c r="T937" s="5" t="str">
        <f>IF(Delivery_Data3[[#This Row],[Delays (min)]]&gt;0,"No","Yes")</f>
        <v>No</v>
      </c>
      <c r="W937" s="41">
        <f t="shared" si="104"/>
        <v>45172</v>
      </c>
      <c r="X937" s="5">
        <v>173</v>
      </c>
    </row>
    <row r="938" spans="1:24" ht="15.75" customHeight="1" x14ac:dyDescent="0.3">
      <c r="A938" s="4">
        <v>1937</v>
      </c>
      <c r="B938" s="5" t="s">
        <v>575</v>
      </c>
      <c r="C938" s="6">
        <v>45170.423611111109</v>
      </c>
      <c r="D938" s="5" t="s">
        <v>43</v>
      </c>
      <c r="E938" s="5" t="s">
        <v>355</v>
      </c>
      <c r="F938" s="5" t="s">
        <v>16</v>
      </c>
      <c r="G938" s="5" t="s">
        <v>39</v>
      </c>
      <c r="H938" s="5">
        <v>222</v>
      </c>
      <c r="I938" s="5">
        <v>7</v>
      </c>
      <c r="J938" s="5" t="s">
        <v>18</v>
      </c>
      <c r="K938" s="5" t="s">
        <v>27</v>
      </c>
      <c r="L938" s="5" t="s">
        <v>20</v>
      </c>
      <c r="M938" s="7" t="s">
        <v>41</v>
      </c>
      <c r="N938" s="26">
        <f t="shared" si="98"/>
        <v>0</v>
      </c>
      <c r="O938" s="42">
        <f t="shared" si="99"/>
        <v>45170</v>
      </c>
      <c r="P938" s="5" t="str">
        <f t="shared" si="100"/>
        <v>Friday</v>
      </c>
      <c r="Q938" s="5">
        <f t="shared" si="101"/>
        <v>10</v>
      </c>
      <c r="R938" s="28">
        <f t="shared" si="102"/>
        <v>0.96943231441048039</v>
      </c>
      <c r="S938" s="29">
        <f t="shared" si="103"/>
        <v>96.943231441048042</v>
      </c>
      <c r="T938" s="5" t="str">
        <f>IF(Delivery_Data3[[#This Row],[Delays (min)]]&gt;0,"No","Yes")</f>
        <v>No</v>
      </c>
      <c r="W938" s="41">
        <f t="shared" si="104"/>
        <v>45170</v>
      </c>
      <c r="X938" s="5">
        <v>222</v>
      </c>
    </row>
    <row r="939" spans="1:24" ht="15.75" customHeight="1" x14ac:dyDescent="0.3">
      <c r="A939" s="4">
        <v>1938</v>
      </c>
      <c r="B939" s="5" t="s">
        <v>1049</v>
      </c>
      <c r="C939" s="6">
        <v>45174.408333333333</v>
      </c>
      <c r="D939" s="5" t="s">
        <v>43</v>
      </c>
      <c r="E939" s="5" t="s">
        <v>106</v>
      </c>
      <c r="F939" s="5" t="s">
        <v>38</v>
      </c>
      <c r="G939" s="5" t="s">
        <v>17</v>
      </c>
      <c r="H939" s="5">
        <v>73</v>
      </c>
      <c r="I939" s="5">
        <v>21</v>
      </c>
      <c r="J939" s="5" t="s">
        <v>18</v>
      </c>
      <c r="K939" s="5" t="s">
        <v>35</v>
      </c>
      <c r="L939" s="5" t="s">
        <v>40</v>
      </c>
      <c r="M939" s="7" t="s">
        <v>21</v>
      </c>
      <c r="N939" s="26">
        <f t="shared" si="98"/>
        <v>0</v>
      </c>
      <c r="O939" s="42">
        <f t="shared" si="99"/>
        <v>45174</v>
      </c>
      <c r="P939" s="5" t="str">
        <f t="shared" si="100"/>
        <v>Tuesday</v>
      </c>
      <c r="Q939" s="5">
        <f t="shared" si="101"/>
        <v>9</v>
      </c>
      <c r="R939" s="28">
        <f t="shared" si="102"/>
        <v>0.77659574468085102</v>
      </c>
      <c r="S939" s="29">
        <f t="shared" si="103"/>
        <v>77.659574468085097</v>
      </c>
      <c r="T939" s="5" t="str">
        <f>IF(Delivery_Data3[[#This Row],[Delays (min)]]&gt;0,"No","Yes")</f>
        <v>No</v>
      </c>
      <c r="W939" s="41">
        <f t="shared" si="104"/>
        <v>45174</v>
      </c>
      <c r="X939" s="5">
        <v>73</v>
      </c>
    </row>
    <row r="940" spans="1:24" ht="15.75" customHeight="1" x14ac:dyDescent="0.3">
      <c r="A940" s="4">
        <v>1939</v>
      </c>
      <c r="B940" s="5" t="s">
        <v>1050</v>
      </c>
      <c r="C940" s="6">
        <v>45175.506249999999</v>
      </c>
      <c r="D940" s="5" t="s">
        <v>14</v>
      </c>
      <c r="E940" s="5" t="s">
        <v>135</v>
      </c>
      <c r="F940" s="5" t="s">
        <v>24</v>
      </c>
      <c r="G940" s="5" t="s">
        <v>25</v>
      </c>
      <c r="H940" s="5">
        <v>187</v>
      </c>
      <c r="I940" s="5">
        <v>22</v>
      </c>
      <c r="J940" s="5" t="s">
        <v>18</v>
      </c>
      <c r="K940" s="5" t="s">
        <v>19</v>
      </c>
      <c r="L940" s="5" t="s">
        <v>20</v>
      </c>
      <c r="M940" s="7" t="s">
        <v>41</v>
      </c>
      <c r="N940" s="26">
        <f t="shared" si="98"/>
        <v>0</v>
      </c>
      <c r="O940" s="42">
        <f t="shared" si="99"/>
        <v>45175</v>
      </c>
      <c r="P940" s="5" t="str">
        <f t="shared" si="100"/>
        <v>Wednesday</v>
      </c>
      <c r="Q940" s="5">
        <f t="shared" si="101"/>
        <v>12</v>
      </c>
      <c r="R940" s="28">
        <f t="shared" si="102"/>
        <v>0.89473684210526316</v>
      </c>
      <c r="S940" s="29">
        <f t="shared" si="103"/>
        <v>89.473684210526315</v>
      </c>
      <c r="T940" s="5" t="str">
        <f>IF(Delivery_Data3[[#This Row],[Delays (min)]]&gt;0,"No","Yes")</f>
        <v>No</v>
      </c>
      <c r="W940" s="41">
        <f t="shared" si="104"/>
        <v>45175</v>
      </c>
      <c r="X940" s="5">
        <v>187</v>
      </c>
    </row>
    <row r="941" spans="1:24" ht="15.75" customHeight="1" x14ac:dyDescent="0.3">
      <c r="A941" s="4">
        <v>1940</v>
      </c>
      <c r="B941" s="5" t="s">
        <v>1051</v>
      </c>
      <c r="C941" s="6">
        <v>45172.695833333331</v>
      </c>
      <c r="D941" s="5" t="s">
        <v>43</v>
      </c>
      <c r="E941" s="5" t="s">
        <v>304</v>
      </c>
      <c r="F941" s="5" t="s">
        <v>16</v>
      </c>
      <c r="G941" s="5" t="s">
        <v>25</v>
      </c>
      <c r="H941" s="5">
        <v>143</v>
      </c>
      <c r="I941" s="5">
        <v>23</v>
      </c>
      <c r="J941" s="5" t="s">
        <v>26</v>
      </c>
      <c r="K941" s="5" t="s">
        <v>19</v>
      </c>
      <c r="L941" s="5" t="s">
        <v>40</v>
      </c>
      <c r="M941" s="7" t="s">
        <v>46</v>
      </c>
      <c r="N941" s="26">
        <f t="shared" si="98"/>
        <v>1</v>
      </c>
      <c r="O941" s="42">
        <f t="shared" si="99"/>
        <v>45172</v>
      </c>
      <c r="P941" s="5" t="str">
        <f t="shared" si="100"/>
        <v>Sunday</v>
      </c>
      <c r="Q941" s="5">
        <f t="shared" si="101"/>
        <v>16</v>
      </c>
      <c r="R941" s="28">
        <f t="shared" si="102"/>
        <v>0.86144578313253017</v>
      </c>
      <c r="S941" s="29">
        <f t="shared" si="103"/>
        <v>86.144578313253021</v>
      </c>
      <c r="T941" s="5" t="str">
        <f>IF(Delivery_Data3[[#This Row],[Delays (min)]]&gt;0,"No","Yes")</f>
        <v>No</v>
      </c>
      <c r="W941" s="41">
        <f t="shared" si="104"/>
        <v>45172</v>
      </c>
      <c r="X941" s="5">
        <v>143</v>
      </c>
    </row>
    <row r="942" spans="1:24" ht="15.75" customHeight="1" x14ac:dyDescent="0.3">
      <c r="A942" s="4">
        <v>1941</v>
      </c>
      <c r="B942" s="5" t="s">
        <v>1052</v>
      </c>
      <c r="C942" s="6">
        <v>45175.424305555556</v>
      </c>
      <c r="D942" s="5" t="s">
        <v>14</v>
      </c>
      <c r="E942" s="5" t="s">
        <v>215</v>
      </c>
      <c r="F942" s="5" t="s">
        <v>38</v>
      </c>
      <c r="G942" s="5" t="s">
        <v>39</v>
      </c>
      <c r="H942" s="5">
        <v>115</v>
      </c>
      <c r="I942" s="5">
        <v>16</v>
      </c>
      <c r="J942" s="5" t="s">
        <v>26</v>
      </c>
      <c r="K942" s="5" t="s">
        <v>35</v>
      </c>
      <c r="L942" s="5" t="s">
        <v>20</v>
      </c>
      <c r="M942" s="7" t="s">
        <v>46</v>
      </c>
      <c r="N942" s="26">
        <f t="shared" si="98"/>
        <v>1</v>
      </c>
      <c r="O942" s="42">
        <f t="shared" si="99"/>
        <v>45175</v>
      </c>
      <c r="P942" s="5" t="str">
        <f t="shared" si="100"/>
        <v>Wednesday</v>
      </c>
      <c r="Q942" s="5">
        <f t="shared" si="101"/>
        <v>10</v>
      </c>
      <c r="R942" s="28">
        <f t="shared" si="102"/>
        <v>0.87786259541984735</v>
      </c>
      <c r="S942" s="29">
        <f t="shared" si="103"/>
        <v>87.786259541984734</v>
      </c>
      <c r="T942" s="5" t="str">
        <f>IF(Delivery_Data3[[#This Row],[Delays (min)]]&gt;0,"No","Yes")</f>
        <v>No</v>
      </c>
      <c r="W942" s="41">
        <f t="shared" si="104"/>
        <v>45175</v>
      </c>
      <c r="X942" s="5">
        <v>115</v>
      </c>
    </row>
    <row r="943" spans="1:24" ht="15.75" customHeight="1" x14ac:dyDescent="0.3">
      <c r="A943" s="4">
        <v>1942</v>
      </c>
      <c r="B943" s="5" t="s">
        <v>1053</v>
      </c>
      <c r="C943" s="6">
        <v>45176.585416666669</v>
      </c>
      <c r="D943" s="5" t="s">
        <v>14</v>
      </c>
      <c r="E943" s="5" t="s">
        <v>166</v>
      </c>
      <c r="F943" s="5" t="s">
        <v>24</v>
      </c>
      <c r="G943" s="5" t="s">
        <v>39</v>
      </c>
      <c r="H943" s="5">
        <v>161</v>
      </c>
      <c r="I943" s="5">
        <v>6</v>
      </c>
      <c r="J943" s="5" t="s">
        <v>18</v>
      </c>
      <c r="K943" s="5" t="s">
        <v>35</v>
      </c>
      <c r="L943" s="5" t="s">
        <v>40</v>
      </c>
      <c r="M943" s="7" t="s">
        <v>21</v>
      </c>
      <c r="N943" s="26">
        <f t="shared" si="98"/>
        <v>0</v>
      </c>
      <c r="O943" s="42">
        <f t="shared" si="99"/>
        <v>45176</v>
      </c>
      <c r="P943" s="5" t="str">
        <f t="shared" si="100"/>
        <v>Thursday</v>
      </c>
      <c r="Q943" s="5">
        <f t="shared" si="101"/>
        <v>14</v>
      </c>
      <c r="R943" s="28">
        <f t="shared" si="102"/>
        <v>0.9640718562874252</v>
      </c>
      <c r="S943" s="29">
        <f t="shared" si="103"/>
        <v>96.407185628742525</v>
      </c>
      <c r="T943" s="5" t="str">
        <f>IF(Delivery_Data3[[#This Row],[Delays (min)]]&gt;0,"No","Yes")</f>
        <v>No</v>
      </c>
      <c r="W943" s="41">
        <f t="shared" si="104"/>
        <v>45176</v>
      </c>
      <c r="X943" s="5">
        <v>161</v>
      </c>
    </row>
    <row r="944" spans="1:24" ht="15.75" customHeight="1" x14ac:dyDescent="0.3">
      <c r="A944" s="4">
        <v>1943</v>
      </c>
      <c r="B944" s="5" t="s">
        <v>1054</v>
      </c>
      <c r="C944" s="6">
        <v>45175.452777777777</v>
      </c>
      <c r="D944" s="5" t="s">
        <v>14</v>
      </c>
      <c r="E944" s="5" t="s">
        <v>151</v>
      </c>
      <c r="F944" s="5" t="s">
        <v>24</v>
      </c>
      <c r="G944" s="5" t="s">
        <v>17</v>
      </c>
      <c r="H944" s="5">
        <v>200</v>
      </c>
      <c r="I944" s="5">
        <v>21</v>
      </c>
      <c r="J944" s="5" t="s">
        <v>32</v>
      </c>
      <c r="K944" s="5" t="s">
        <v>45</v>
      </c>
      <c r="L944" s="5" t="s">
        <v>20</v>
      </c>
      <c r="M944" s="7" t="s">
        <v>46</v>
      </c>
      <c r="N944" s="26">
        <f t="shared" si="98"/>
        <v>-1</v>
      </c>
      <c r="O944" s="42">
        <f t="shared" si="99"/>
        <v>45175</v>
      </c>
      <c r="P944" s="5" t="str">
        <f t="shared" si="100"/>
        <v>Wednesday</v>
      </c>
      <c r="Q944" s="5">
        <f t="shared" si="101"/>
        <v>10</v>
      </c>
      <c r="R944" s="28">
        <f t="shared" si="102"/>
        <v>0.90497737556561086</v>
      </c>
      <c r="S944" s="29">
        <f t="shared" si="103"/>
        <v>90.497737556561091</v>
      </c>
      <c r="T944" s="5" t="str">
        <f>IF(Delivery_Data3[[#This Row],[Delays (min)]]&gt;0,"No","Yes")</f>
        <v>No</v>
      </c>
      <c r="W944" s="41">
        <f t="shared" si="104"/>
        <v>45175</v>
      </c>
      <c r="X944" s="5">
        <v>200</v>
      </c>
    </row>
    <row r="945" spans="1:24" ht="15.75" customHeight="1" x14ac:dyDescent="0.3">
      <c r="A945" s="4">
        <v>1944</v>
      </c>
      <c r="B945" s="5" t="s">
        <v>1055</v>
      </c>
      <c r="C945" s="6">
        <v>45170.474305555559</v>
      </c>
      <c r="D945" s="5" t="s">
        <v>43</v>
      </c>
      <c r="E945" s="5" t="s">
        <v>99</v>
      </c>
      <c r="F945" s="5" t="s">
        <v>38</v>
      </c>
      <c r="G945" s="5" t="s">
        <v>17</v>
      </c>
      <c r="H945" s="5">
        <v>91</v>
      </c>
      <c r="I945" s="5">
        <v>19</v>
      </c>
      <c r="J945" s="5" t="s">
        <v>32</v>
      </c>
      <c r="K945" s="5" t="s">
        <v>35</v>
      </c>
      <c r="L945" s="5" t="s">
        <v>20</v>
      </c>
      <c r="M945" s="7" t="s">
        <v>21</v>
      </c>
      <c r="N945" s="26">
        <f t="shared" si="98"/>
        <v>-1</v>
      </c>
      <c r="O945" s="42">
        <f t="shared" si="99"/>
        <v>45170</v>
      </c>
      <c r="P945" s="5" t="str">
        <f t="shared" si="100"/>
        <v>Friday</v>
      </c>
      <c r="Q945" s="5">
        <f t="shared" si="101"/>
        <v>11</v>
      </c>
      <c r="R945" s="28">
        <f t="shared" si="102"/>
        <v>0.82727272727272727</v>
      </c>
      <c r="S945" s="29">
        <f t="shared" si="103"/>
        <v>82.727272727272734</v>
      </c>
      <c r="T945" s="5" t="str">
        <f>IF(Delivery_Data3[[#This Row],[Delays (min)]]&gt;0,"No","Yes")</f>
        <v>No</v>
      </c>
      <c r="W945" s="41">
        <f t="shared" si="104"/>
        <v>45170</v>
      </c>
      <c r="X945" s="5">
        <v>91</v>
      </c>
    </row>
    <row r="946" spans="1:24" ht="15.75" customHeight="1" x14ac:dyDescent="0.3">
      <c r="A946" s="4">
        <v>1945</v>
      </c>
      <c r="B946" s="5" t="s">
        <v>1056</v>
      </c>
      <c r="C946" s="6">
        <v>45177.59375</v>
      </c>
      <c r="D946" s="5" t="s">
        <v>43</v>
      </c>
      <c r="E946" s="5" t="s">
        <v>249</v>
      </c>
      <c r="F946" s="5" t="s">
        <v>38</v>
      </c>
      <c r="G946" s="5" t="s">
        <v>31</v>
      </c>
      <c r="H946" s="5">
        <v>177</v>
      </c>
      <c r="I946" s="5">
        <v>17</v>
      </c>
      <c r="J946" s="5" t="s">
        <v>32</v>
      </c>
      <c r="K946" s="5" t="s">
        <v>49</v>
      </c>
      <c r="L946" s="5" t="s">
        <v>40</v>
      </c>
      <c r="M946" s="7" t="s">
        <v>21</v>
      </c>
      <c r="N946" s="26">
        <f t="shared" si="98"/>
        <v>-1</v>
      </c>
      <c r="O946" s="42">
        <f t="shared" si="99"/>
        <v>45177</v>
      </c>
      <c r="P946" s="5" t="str">
        <f t="shared" si="100"/>
        <v>Friday</v>
      </c>
      <c r="Q946" s="5">
        <f t="shared" si="101"/>
        <v>14</v>
      </c>
      <c r="R946" s="28">
        <f t="shared" si="102"/>
        <v>0.91237113402061853</v>
      </c>
      <c r="S946" s="29">
        <f t="shared" si="103"/>
        <v>91.237113402061851</v>
      </c>
      <c r="T946" s="5" t="str">
        <f>IF(Delivery_Data3[[#This Row],[Delays (min)]]&gt;0,"No","Yes")</f>
        <v>No</v>
      </c>
      <c r="W946" s="41">
        <f t="shared" si="104"/>
        <v>45177</v>
      </c>
      <c r="X946" s="5">
        <v>177</v>
      </c>
    </row>
    <row r="947" spans="1:24" ht="15.75" customHeight="1" x14ac:dyDescent="0.3">
      <c r="A947" s="4">
        <v>1946</v>
      </c>
      <c r="B947" s="5" t="s">
        <v>1057</v>
      </c>
      <c r="C947" s="6">
        <v>45171.461111111108</v>
      </c>
      <c r="D947" s="5" t="s">
        <v>14</v>
      </c>
      <c r="E947" s="5" t="s">
        <v>403</v>
      </c>
      <c r="F947" s="5" t="s">
        <v>38</v>
      </c>
      <c r="G947" s="5" t="s">
        <v>31</v>
      </c>
      <c r="H947" s="5">
        <v>128</v>
      </c>
      <c r="I947" s="5">
        <v>13</v>
      </c>
      <c r="J947" s="5" t="s">
        <v>32</v>
      </c>
      <c r="K947" s="5" t="s">
        <v>45</v>
      </c>
      <c r="L947" s="5" t="s">
        <v>40</v>
      </c>
      <c r="M947" s="7" t="s">
        <v>41</v>
      </c>
      <c r="N947" s="26">
        <f t="shared" si="98"/>
        <v>-1</v>
      </c>
      <c r="O947" s="42">
        <f t="shared" si="99"/>
        <v>45171</v>
      </c>
      <c r="P947" s="5" t="str">
        <f t="shared" si="100"/>
        <v>Saturday</v>
      </c>
      <c r="Q947" s="5">
        <f t="shared" si="101"/>
        <v>11</v>
      </c>
      <c r="R947" s="28">
        <f t="shared" si="102"/>
        <v>0.90780141843971629</v>
      </c>
      <c r="S947" s="29">
        <f t="shared" si="103"/>
        <v>90.780141843971634</v>
      </c>
      <c r="T947" s="5" t="str">
        <f>IF(Delivery_Data3[[#This Row],[Delays (min)]]&gt;0,"No","Yes")</f>
        <v>No</v>
      </c>
      <c r="W947" s="41">
        <f t="shared" si="104"/>
        <v>45171</v>
      </c>
      <c r="X947" s="5">
        <v>128</v>
      </c>
    </row>
    <row r="948" spans="1:24" ht="15.75" customHeight="1" x14ac:dyDescent="0.3">
      <c r="A948" s="4">
        <v>1947</v>
      </c>
      <c r="B948" s="5" t="s">
        <v>1058</v>
      </c>
      <c r="C948" s="6">
        <v>45174.668749999997</v>
      </c>
      <c r="D948" s="5" t="s">
        <v>43</v>
      </c>
      <c r="E948" s="5" t="s">
        <v>249</v>
      </c>
      <c r="F948" s="5" t="s">
        <v>24</v>
      </c>
      <c r="G948" s="5" t="s">
        <v>25</v>
      </c>
      <c r="H948" s="5">
        <v>109</v>
      </c>
      <c r="I948" s="5">
        <v>12</v>
      </c>
      <c r="J948" s="5" t="s">
        <v>18</v>
      </c>
      <c r="K948" s="5" t="s">
        <v>49</v>
      </c>
      <c r="L948" s="5" t="s">
        <v>40</v>
      </c>
      <c r="M948" s="7" t="s">
        <v>46</v>
      </c>
      <c r="N948" s="26">
        <f t="shared" si="98"/>
        <v>0</v>
      </c>
      <c r="O948" s="42">
        <f t="shared" si="99"/>
        <v>45174</v>
      </c>
      <c r="P948" s="5" t="str">
        <f t="shared" si="100"/>
        <v>Tuesday</v>
      </c>
      <c r="Q948" s="5">
        <f t="shared" si="101"/>
        <v>16</v>
      </c>
      <c r="R948" s="28">
        <f t="shared" si="102"/>
        <v>0.90082644628099173</v>
      </c>
      <c r="S948" s="29">
        <f t="shared" si="103"/>
        <v>90.082644628099175</v>
      </c>
      <c r="T948" s="5" t="str">
        <f>IF(Delivery_Data3[[#This Row],[Delays (min)]]&gt;0,"No","Yes")</f>
        <v>No</v>
      </c>
      <c r="W948" s="41">
        <f t="shared" si="104"/>
        <v>45174</v>
      </c>
      <c r="X948" s="5">
        <v>109</v>
      </c>
    </row>
    <row r="949" spans="1:24" ht="15.75" customHeight="1" x14ac:dyDescent="0.3">
      <c r="A949" s="4">
        <v>1948</v>
      </c>
      <c r="B949" s="5" t="s">
        <v>1059</v>
      </c>
      <c r="C949" s="6">
        <v>45177.613194444442</v>
      </c>
      <c r="D949" s="5" t="s">
        <v>43</v>
      </c>
      <c r="E949" s="5" t="s">
        <v>245</v>
      </c>
      <c r="F949" s="5" t="s">
        <v>38</v>
      </c>
      <c r="G949" s="5" t="s">
        <v>31</v>
      </c>
      <c r="H949" s="5">
        <v>120</v>
      </c>
      <c r="I949" s="5">
        <v>16</v>
      </c>
      <c r="J949" s="5" t="s">
        <v>32</v>
      </c>
      <c r="K949" s="5" t="s">
        <v>27</v>
      </c>
      <c r="L949" s="5" t="s">
        <v>40</v>
      </c>
      <c r="M949" s="7" t="s">
        <v>41</v>
      </c>
      <c r="N949" s="26">
        <f t="shared" si="98"/>
        <v>-1</v>
      </c>
      <c r="O949" s="42">
        <f t="shared" si="99"/>
        <v>45177</v>
      </c>
      <c r="P949" s="5" t="str">
        <f t="shared" si="100"/>
        <v>Friday</v>
      </c>
      <c r="Q949" s="5">
        <f t="shared" si="101"/>
        <v>14</v>
      </c>
      <c r="R949" s="28">
        <f t="shared" si="102"/>
        <v>0.88235294117647056</v>
      </c>
      <c r="S949" s="29">
        <f t="shared" si="103"/>
        <v>88.235294117647058</v>
      </c>
      <c r="T949" s="5" t="str">
        <f>IF(Delivery_Data3[[#This Row],[Delays (min)]]&gt;0,"No","Yes")</f>
        <v>No</v>
      </c>
      <c r="W949" s="41">
        <f t="shared" si="104"/>
        <v>45177</v>
      </c>
      <c r="X949" s="5">
        <v>120</v>
      </c>
    </row>
    <row r="950" spans="1:24" ht="15.75" customHeight="1" x14ac:dyDescent="0.3">
      <c r="A950" s="4">
        <v>1949</v>
      </c>
      <c r="B950" s="5" t="s">
        <v>1060</v>
      </c>
      <c r="C950" s="6">
        <v>45173.504166666666</v>
      </c>
      <c r="D950" s="5" t="s">
        <v>43</v>
      </c>
      <c r="E950" s="5" t="s">
        <v>44</v>
      </c>
      <c r="F950" s="5" t="s">
        <v>16</v>
      </c>
      <c r="G950" s="5" t="s">
        <v>17</v>
      </c>
      <c r="H950" s="5">
        <v>233</v>
      </c>
      <c r="I950" s="5">
        <v>24</v>
      </c>
      <c r="J950" s="5" t="s">
        <v>26</v>
      </c>
      <c r="K950" s="5" t="s">
        <v>45</v>
      </c>
      <c r="L950" s="5" t="s">
        <v>40</v>
      </c>
      <c r="M950" s="7" t="s">
        <v>21</v>
      </c>
      <c r="N950" s="26">
        <f t="shared" si="98"/>
        <v>1</v>
      </c>
      <c r="O950" s="42">
        <f t="shared" si="99"/>
        <v>45173</v>
      </c>
      <c r="P950" s="5" t="str">
        <f t="shared" si="100"/>
        <v>Monday</v>
      </c>
      <c r="Q950" s="5">
        <f t="shared" si="101"/>
        <v>12</v>
      </c>
      <c r="R950" s="28">
        <f t="shared" si="102"/>
        <v>0.9066147859922179</v>
      </c>
      <c r="S950" s="29">
        <f t="shared" si="103"/>
        <v>90.661478599221795</v>
      </c>
      <c r="T950" s="5" t="str">
        <f>IF(Delivery_Data3[[#This Row],[Delays (min)]]&gt;0,"No","Yes")</f>
        <v>No</v>
      </c>
      <c r="W950" s="41">
        <f t="shared" si="104"/>
        <v>45173</v>
      </c>
      <c r="X950" s="5">
        <v>233</v>
      </c>
    </row>
    <row r="951" spans="1:24" ht="15.75" customHeight="1" x14ac:dyDescent="0.3">
      <c r="A951" s="4">
        <v>1950</v>
      </c>
      <c r="B951" s="5" t="s">
        <v>1061</v>
      </c>
      <c r="C951" s="6">
        <v>45175.354861111111</v>
      </c>
      <c r="D951" s="5" t="s">
        <v>14</v>
      </c>
      <c r="E951" s="5" t="s">
        <v>370</v>
      </c>
      <c r="F951" s="5" t="s">
        <v>16</v>
      </c>
      <c r="G951" s="5" t="s">
        <v>56</v>
      </c>
      <c r="H951" s="5">
        <v>65</v>
      </c>
      <c r="I951" s="5">
        <v>20</v>
      </c>
      <c r="J951" s="5" t="s">
        <v>32</v>
      </c>
      <c r="K951" s="5" t="s">
        <v>49</v>
      </c>
      <c r="L951" s="5" t="s">
        <v>20</v>
      </c>
      <c r="M951" s="7" t="s">
        <v>46</v>
      </c>
      <c r="N951" s="26">
        <f t="shared" si="98"/>
        <v>-1</v>
      </c>
      <c r="O951" s="42">
        <f t="shared" si="99"/>
        <v>45175</v>
      </c>
      <c r="P951" s="5" t="str">
        <f t="shared" si="100"/>
        <v>Wednesday</v>
      </c>
      <c r="Q951" s="5">
        <f t="shared" si="101"/>
        <v>8</v>
      </c>
      <c r="R951" s="28">
        <f t="shared" si="102"/>
        <v>0.76470588235294112</v>
      </c>
      <c r="S951" s="29">
        <f t="shared" si="103"/>
        <v>76.470588235294116</v>
      </c>
      <c r="T951" s="5" t="str">
        <f>IF(Delivery_Data3[[#This Row],[Delays (min)]]&gt;0,"No","Yes")</f>
        <v>No</v>
      </c>
      <c r="W951" s="41">
        <f t="shared" si="104"/>
        <v>45175</v>
      </c>
      <c r="X951" s="5">
        <v>65</v>
      </c>
    </row>
    <row r="952" spans="1:24" ht="15.75" customHeight="1" x14ac:dyDescent="0.3">
      <c r="A952" s="4">
        <v>1951</v>
      </c>
      <c r="B952" s="5" t="s">
        <v>1062</v>
      </c>
      <c r="C952" s="6">
        <v>45174.495833333334</v>
      </c>
      <c r="D952" s="5" t="s">
        <v>14</v>
      </c>
      <c r="E952" s="5" t="s">
        <v>158</v>
      </c>
      <c r="F952" s="5" t="s">
        <v>16</v>
      </c>
      <c r="G952" s="5" t="s">
        <v>25</v>
      </c>
      <c r="H952" s="5">
        <v>207</v>
      </c>
      <c r="I952" s="5">
        <v>19</v>
      </c>
      <c r="J952" s="5" t="s">
        <v>18</v>
      </c>
      <c r="K952" s="5" t="s">
        <v>19</v>
      </c>
      <c r="L952" s="5" t="s">
        <v>28</v>
      </c>
      <c r="M952" s="7" t="s">
        <v>46</v>
      </c>
      <c r="N952" s="26">
        <f t="shared" si="98"/>
        <v>0</v>
      </c>
      <c r="O952" s="42">
        <f t="shared" si="99"/>
        <v>45174</v>
      </c>
      <c r="P952" s="5" t="str">
        <f t="shared" si="100"/>
        <v>Tuesday</v>
      </c>
      <c r="Q952" s="5">
        <f t="shared" si="101"/>
        <v>11</v>
      </c>
      <c r="R952" s="28">
        <f t="shared" si="102"/>
        <v>0.91592920353982299</v>
      </c>
      <c r="S952" s="29">
        <f t="shared" si="103"/>
        <v>91.592920353982294</v>
      </c>
      <c r="T952" s="5" t="str">
        <f>IF(Delivery_Data3[[#This Row],[Delays (min)]]&gt;0,"No","Yes")</f>
        <v>No</v>
      </c>
      <c r="W952" s="41">
        <f t="shared" si="104"/>
        <v>45174</v>
      </c>
      <c r="X952" s="5">
        <v>207</v>
      </c>
    </row>
    <row r="953" spans="1:24" ht="15.75" customHeight="1" x14ac:dyDescent="0.3">
      <c r="A953" s="4">
        <v>1952</v>
      </c>
      <c r="B953" s="5" t="s">
        <v>1063</v>
      </c>
      <c r="C953" s="6">
        <v>45175.40347222222</v>
      </c>
      <c r="D953" s="5" t="s">
        <v>43</v>
      </c>
      <c r="E953" s="5" t="s">
        <v>53</v>
      </c>
      <c r="F953" s="5" t="s">
        <v>16</v>
      </c>
      <c r="G953" s="5" t="s">
        <v>17</v>
      </c>
      <c r="H953" s="5">
        <v>172</v>
      </c>
      <c r="I953" s="5">
        <v>24</v>
      </c>
      <c r="J953" s="5" t="s">
        <v>26</v>
      </c>
      <c r="K953" s="5" t="s">
        <v>35</v>
      </c>
      <c r="L953" s="5" t="s">
        <v>20</v>
      </c>
      <c r="M953" s="7" t="s">
        <v>46</v>
      </c>
      <c r="N953" s="26">
        <f t="shared" si="98"/>
        <v>1</v>
      </c>
      <c r="O953" s="42">
        <f t="shared" si="99"/>
        <v>45175</v>
      </c>
      <c r="P953" s="5" t="str">
        <f t="shared" si="100"/>
        <v>Wednesday</v>
      </c>
      <c r="Q953" s="5">
        <f t="shared" si="101"/>
        <v>9</v>
      </c>
      <c r="R953" s="28">
        <f t="shared" si="102"/>
        <v>0.87755102040816324</v>
      </c>
      <c r="S953" s="29">
        <f t="shared" si="103"/>
        <v>87.755102040816325</v>
      </c>
      <c r="T953" s="5" t="str">
        <f>IF(Delivery_Data3[[#This Row],[Delays (min)]]&gt;0,"No","Yes")</f>
        <v>No</v>
      </c>
      <c r="W953" s="41">
        <f t="shared" si="104"/>
        <v>45175</v>
      </c>
      <c r="X953" s="5">
        <v>172</v>
      </c>
    </row>
    <row r="954" spans="1:24" ht="15.75" customHeight="1" x14ac:dyDescent="0.3">
      <c r="A954" s="4">
        <v>1953</v>
      </c>
      <c r="B954" s="5" t="s">
        <v>1064</v>
      </c>
      <c r="C954" s="6">
        <v>45171.416666666664</v>
      </c>
      <c r="D954" s="5" t="s">
        <v>14</v>
      </c>
      <c r="E954" s="5" t="s">
        <v>234</v>
      </c>
      <c r="F954" s="5" t="s">
        <v>16</v>
      </c>
      <c r="G954" s="5" t="s">
        <v>39</v>
      </c>
      <c r="H954" s="5">
        <v>65</v>
      </c>
      <c r="I954" s="5">
        <v>0</v>
      </c>
      <c r="J954" s="5" t="s">
        <v>18</v>
      </c>
      <c r="K954" s="5" t="s">
        <v>19</v>
      </c>
      <c r="L954" s="5" t="s">
        <v>28</v>
      </c>
      <c r="M954" s="7" t="s">
        <v>46</v>
      </c>
      <c r="N954" s="26">
        <f t="shared" si="98"/>
        <v>0</v>
      </c>
      <c r="O954" s="42">
        <f t="shared" si="99"/>
        <v>45171</v>
      </c>
      <c r="P954" s="5" t="str">
        <f t="shared" si="100"/>
        <v>Saturday</v>
      </c>
      <c r="Q954" s="5">
        <f t="shared" si="101"/>
        <v>10</v>
      </c>
      <c r="R954" s="28">
        <f t="shared" si="102"/>
        <v>1</v>
      </c>
      <c r="S954" s="29">
        <f t="shared" si="103"/>
        <v>100</v>
      </c>
      <c r="T954" s="5" t="str">
        <f>IF(Delivery_Data3[[#This Row],[Delays (min)]]&gt;0,"No","Yes")</f>
        <v>Yes</v>
      </c>
      <c r="W954" s="41">
        <f t="shared" si="104"/>
        <v>45171</v>
      </c>
      <c r="X954" s="5">
        <v>65</v>
      </c>
    </row>
    <row r="955" spans="1:24" ht="15.75" customHeight="1" x14ac:dyDescent="0.3">
      <c r="A955" s="4">
        <v>1954</v>
      </c>
      <c r="B955" s="5" t="s">
        <v>1065</v>
      </c>
      <c r="C955" s="6">
        <v>45176.492361111108</v>
      </c>
      <c r="D955" s="5" t="s">
        <v>43</v>
      </c>
      <c r="E955" s="5" t="s">
        <v>374</v>
      </c>
      <c r="F955" s="5" t="s">
        <v>24</v>
      </c>
      <c r="G955" s="5" t="s">
        <v>17</v>
      </c>
      <c r="H955" s="5">
        <v>185</v>
      </c>
      <c r="I955" s="5">
        <v>14</v>
      </c>
      <c r="J955" s="5" t="s">
        <v>26</v>
      </c>
      <c r="K955" s="5" t="s">
        <v>45</v>
      </c>
      <c r="L955" s="5" t="s">
        <v>40</v>
      </c>
      <c r="M955" s="7" t="s">
        <v>41</v>
      </c>
      <c r="N955" s="26">
        <f t="shared" si="98"/>
        <v>1</v>
      </c>
      <c r="O955" s="42">
        <f t="shared" si="99"/>
        <v>45176</v>
      </c>
      <c r="P955" s="5" t="str">
        <f t="shared" si="100"/>
        <v>Thursday</v>
      </c>
      <c r="Q955" s="5">
        <f t="shared" si="101"/>
        <v>11</v>
      </c>
      <c r="R955" s="28">
        <f t="shared" si="102"/>
        <v>0.92964824120603018</v>
      </c>
      <c r="S955" s="29">
        <f t="shared" si="103"/>
        <v>92.964824120603012</v>
      </c>
      <c r="T955" s="5" t="str">
        <f>IF(Delivery_Data3[[#This Row],[Delays (min)]]&gt;0,"No","Yes")</f>
        <v>No</v>
      </c>
      <c r="W955" s="41">
        <f t="shared" si="104"/>
        <v>45176</v>
      </c>
      <c r="X955" s="5">
        <v>185</v>
      </c>
    </row>
    <row r="956" spans="1:24" ht="15.75" customHeight="1" x14ac:dyDescent="0.3">
      <c r="A956" s="4">
        <v>1955</v>
      </c>
      <c r="B956" s="5" t="s">
        <v>1066</v>
      </c>
      <c r="C956" s="6">
        <v>45170.434027777781</v>
      </c>
      <c r="D956" s="5" t="s">
        <v>43</v>
      </c>
      <c r="E956" s="5" t="s">
        <v>154</v>
      </c>
      <c r="F956" s="5" t="s">
        <v>38</v>
      </c>
      <c r="G956" s="5" t="s">
        <v>31</v>
      </c>
      <c r="H956" s="5">
        <v>92</v>
      </c>
      <c r="I956" s="5">
        <v>18</v>
      </c>
      <c r="J956" s="5" t="s">
        <v>18</v>
      </c>
      <c r="K956" s="5" t="s">
        <v>27</v>
      </c>
      <c r="L956" s="5" t="s">
        <v>28</v>
      </c>
      <c r="M956" s="7" t="s">
        <v>46</v>
      </c>
      <c r="N956" s="26">
        <f t="shared" si="98"/>
        <v>0</v>
      </c>
      <c r="O956" s="42">
        <f t="shared" si="99"/>
        <v>45170</v>
      </c>
      <c r="P956" s="5" t="str">
        <f t="shared" si="100"/>
        <v>Friday</v>
      </c>
      <c r="Q956" s="5">
        <f t="shared" si="101"/>
        <v>10</v>
      </c>
      <c r="R956" s="28">
        <f t="shared" si="102"/>
        <v>0.83636363636363631</v>
      </c>
      <c r="S956" s="29">
        <f t="shared" si="103"/>
        <v>83.636363636363626</v>
      </c>
      <c r="T956" s="5" t="str">
        <f>IF(Delivery_Data3[[#This Row],[Delays (min)]]&gt;0,"No","Yes")</f>
        <v>No</v>
      </c>
      <c r="W956" s="41">
        <f t="shared" si="104"/>
        <v>45170</v>
      </c>
      <c r="X956" s="5">
        <v>92</v>
      </c>
    </row>
    <row r="957" spans="1:24" ht="15.75" customHeight="1" x14ac:dyDescent="0.3">
      <c r="A957" s="4">
        <v>1956</v>
      </c>
      <c r="B957" s="5" t="s">
        <v>1067</v>
      </c>
      <c r="C957" s="6">
        <v>45174.701388888891</v>
      </c>
      <c r="D957" s="5" t="s">
        <v>43</v>
      </c>
      <c r="E957" s="5" t="s">
        <v>374</v>
      </c>
      <c r="F957" s="5" t="s">
        <v>24</v>
      </c>
      <c r="G957" s="5" t="s">
        <v>56</v>
      </c>
      <c r="H957" s="5">
        <v>101</v>
      </c>
      <c r="I957" s="5">
        <v>26</v>
      </c>
      <c r="J957" s="5" t="s">
        <v>32</v>
      </c>
      <c r="K957" s="5" t="s">
        <v>35</v>
      </c>
      <c r="L957" s="5" t="s">
        <v>40</v>
      </c>
      <c r="M957" s="7" t="s">
        <v>21</v>
      </c>
      <c r="N957" s="26">
        <f t="shared" si="98"/>
        <v>-1</v>
      </c>
      <c r="O957" s="42">
        <f t="shared" si="99"/>
        <v>45174</v>
      </c>
      <c r="P957" s="5" t="str">
        <f t="shared" si="100"/>
        <v>Tuesday</v>
      </c>
      <c r="Q957" s="5">
        <f t="shared" si="101"/>
        <v>16</v>
      </c>
      <c r="R957" s="28">
        <f t="shared" si="102"/>
        <v>0.79527559055118113</v>
      </c>
      <c r="S957" s="29">
        <f t="shared" si="103"/>
        <v>79.527559055118118</v>
      </c>
      <c r="T957" s="5" t="str">
        <f>IF(Delivery_Data3[[#This Row],[Delays (min)]]&gt;0,"No","Yes")</f>
        <v>No</v>
      </c>
      <c r="W957" s="41">
        <f t="shared" si="104"/>
        <v>45174</v>
      </c>
      <c r="X957" s="5">
        <v>101</v>
      </c>
    </row>
    <row r="958" spans="1:24" ht="15.75" customHeight="1" x14ac:dyDescent="0.3">
      <c r="A958" s="4">
        <v>1957</v>
      </c>
      <c r="B958" s="5" t="s">
        <v>1068</v>
      </c>
      <c r="C958" s="6">
        <v>45177.593055555553</v>
      </c>
      <c r="D958" s="5" t="s">
        <v>43</v>
      </c>
      <c r="E958" s="5" t="s">
        <v>468</v>
      </c>
      <c r="F958" s="5" t="s">
        <v>24</v>
      </c>
      <c r="G958" s="5" t="s">
        <v>25</v>
      </c>
      <c r="H958" s="5">
        <v>215</v>
      </c>
      <c r="I958" s="5">
        <v>5</v>
      </c>
      <c r="J958" s="5" t="s">
        <v>26</v>
      </c>
      <c r="K958" s="5" t="s">
        <v>49</v>
      </c>
      <c r="L958" s="5" t="s">
        <v>40</v>
      </c>
      <c r="M958" s="7" t="s">
        <v>41</v>
      </c>
      <c r="N958" s="26">
        <f t="shared" si="98"/>
        <v>1</v>
      </c>
      <c r="O958" s="42">
        <f t="shared" si="99"/>
        <v>45177</v>
      </c>
      <c r="P958" s="5" t="str">
        <f t="shared" si="100"/>
        <v>Friday</v>
      </c>
      <c r="Q958" s="5">
        <f t="shared" si="101"/>
        <v>14</v>
      </c>
      <c r="R958" s="28">
        <f t="shared" si="102"/>
        <v>0.97727272727272729</v>
      </c>
      <c r="S958" s="29">
        <f t="shared" si="103"/>
        <v>97.727272727272734</v>
      </c>
      <c r="T958" s="5" t="str">
        <f>IF(Delivery_Data3[[#This Row],[Delays (min)]]&gt;0,"No","Yes")</f>
        <v>No</v>
      </c>
      <c r="W958" s="41">
        <f t="shared" si="104"/>
        <v>45177</v>
      </c>
      <c r="X958" s="5">
        <v>215</v>
      </c>
    </row>
    <row r="959" spans="1:24" ht="15.75" customHeight="1" x14ac:dyDescent="0.3">
      <c r="A959" s="4">
        <v>1958</v>
      </c>
      <c r="B959" s="5" t="s">
        <v>1069</v>
      </c>
      <c r="C959" s="6">
        <v>45171.558333333334</v>
      </c>
      <c r="D959" s="5" t="s">
        <v>43</v>
      </c>
      <c r="E959" s="5" t="s">
        <v>60</v>
      </c>
      <c r="F959" s="5" t="s">
        <v>24</v>
      </c>
      <c r="G959" s="5" t="s">
        <v>39</v>
      </c>
      <c r="H959" s="5">
        <v>228</v>
      </c>
      <c r="I959" s="5">
        <v>21</v>
      </c>
      <c r="J959" s="5" t="s">
        <v>26</v>
      </c>
      <c r="K959" s="5" t="s">
        <v>45</v>
      </c>
      <c r="L959" s="5" t="s">
        <v>20</v>
      </c>
      <c r="M959" s="7" t="s">
        <v>41</v>
      </c>
      <c r="N959" s="26">
        <f t="shared" si="98"/>
        <v>1</v>
      </c>
      <c r="O959" s="42">
        <f t="shared" si="99"/>
        <v>45171</v>
      </c>
      <c r="P959" s="5" t="str">
        <f t="shared" si="100"/>
        <v>Saturday</v>
      </c>
      <c r="Q959" s="5">
        <f t="shared" si="101"/>
        <v>13</v>
      </c>
      <c r="R959" s="28">
        <f t="shared" si="102"/>
        <v>0.91566265060240959</v>
      </c>
      <c r="S959" s="29">
        <f t="shared" si="103"/>
        <v>91.566265060240966</v>
      </c>
      <c r="T959" s="5" t="str">
        <f>IF(Delivery_Data3[[#This Row],[Delays (min)]]&gt;0,"No","Yes")</f>
        <v>No</v>
      </c>
      <c r="W959" s="41">
        <f t="shared" si="104"/>
        <v>45171</v>
      </c>
      <c r="X959" s="5">
        <v>228</v>
      </c>
    </row>
    <row r="960" spans="1:24" ht="15.75" customHeight="1" x14ac:dyDescent="0.3">
      <c r="A960" s="4">
        <v>1959</v>
      </c>
      <c r="B960" s="5" t="s">
        <v>1070</v>
      </c>
      <c r="C960" s="6">
        <v>45174.573611111111</v>
      </c>
      <c r="D960" s="5" t="s">
        <v>43</v>
      </c>
      <c r="E960" s="5" t="s">
        <v>97</v>
      </c>
      <c r="F960" s="5" t="s">
        <v>38</v>
      </c>
      <c r="G960" s="5" t="s">
        <v>39</v>
      </c>
      <c r="H960" s="5">
        <v>63</v>
      </c>
      <c r="I960" s="5">
        <v>10</v>
      </c>
      <c r="J960" s="5" t="s">
        <v>26</v>
      </c>
      <c r="K960" s="5" t="s">
        <v>35</v>
      </c>
      <c r="L960" s="5" t="s">
        <v>40</v>
      </c>
      <c r="M960" s="7" t="s">
        <v>21</v>
      </c>
      <c r="N960" s="26">
        <f t="shared" si="98"/>
        <v>1</v>
      </c>
      <c r="O960" s="42">
        <f t="shared" si="99"/>
        <v>45174</v>
      </c>
      <c r="P960" s="5" t="str">
        <f t="shared" si="100"/>
        <v>Tuesday</v>
      </c>
      <c r="Q960" s="5">
        <f t="shared" si="101"/>
        <v>13</v>
      </c>
      <c r="R960" s="28">
        <f t="shared" si="102"/>
        <v>0.86301369863013699</v>
      </c>
      <c r="S960" s="29">
        <f t="shared" si="103"/>
        <v>86.301369863013704</v>
      </c>
      <c r="T960" s="5" t="str">
        <f>IF(Delivery_Data3[[#This Row],[Delays (min)]]&gt;0,"No","Yes")</f>
        <v>No</v>
      </c>
      <c r="W960" s="41">
        <f t="shared" si="104"/>
        <v>45174</v>
      </c>
      <c r="X960" s="5">
        <v>63</v>
      </c>
    </row>
    <row r="961" spans="1:24" ht="15.75" customHeight="1" x14ac:dyDescent="0.3">
      <c r="A961" s="4">
        <v>1960</v>
      </c>
      <c r="B961" s="5" t="s">
        <v>1071</v>
      </c>
      <c r="C961" s="6">
        <v>45175.626388888886</v>
      </c>
      <c r="D961" s="5" t="s">
        <v>43</v>
      </c>
      <c r="E961" s="5" t="s">
        <v>410</v>
      </c>
      <c r="F961" s="5" t="s">
        <v>24</v>
      </c>
      <c r="G961" s="5" t="s">
        <v>17</v>
      </c>
      <c r="H961" s="5">
        <v>116</v>
      </c>
      <c r="I961" s="5">
        <v>26</v>
      </c>
      <c r="J961" s="5" t="s">
        <v>32</v>
      </c>
      <c r="K961" s="5" t="s">
        <v>49</v>
      </c>
      <c r="L961" s="5" t="s">
        <v>28</v>
      </c>
      <c r="M961" s="7" t="s">
        <v>46</v>
      </c>
      <c r="N961" s="26">
        <f t="shared" si="98"/>
        <v>-1</v>
      </c>
      <c r="O961" s="42">
        <f t="shared" si="99"/>
        <v>45175</v>
      </c>
      <c r="P961" s="5" t="str">
        <f t="shared" si="100"/>
        <v>Wednesday</v>
      </c>
      <c r="Q961" s="5">
        <f t="shared" si="101"/>
        <v>15</v>
      </c>
      <c r="R961" s="28">
        <f t="shared" si="102"/>
        <v>0.81690140845070425</v>
      </c>
      <c r="S961" s="29">
        <f t="shared" si="103"/>
        <v>81.690140845070431</v>
      </c>
      <c r="T961" s="5" t="str">
        <f>IF(Delivery_Data3[[#This Row],[Delays (min)]]&gt;0,"No","Yes")</f>
        <v>No</v>
      </c>
      <c r="W961" s="41">
        <f t="shared" si="104"/>
        <v>45175</v>
      </c>
      <c r="X961" s="5">
        <v>116</v>
      </c>
    </row>
    <row r="962" spans="1:24" ht="15.75" customHeight="1" x14ac:dyDescent="0.3">
      <c r="A962" s="4">
        <v>1961</v>
      </c>
      <c r="B962" s="5" t="s">
        <v>1072</v>
      </c>
      <c r="C962" s="6">
        <v>45171.552777777775</v>
      </c>
      <c r="D962" s="5" t="s">
        <v>14</v>
      </c>
      <c r="E962" s="5" t="s">
        <v>73</v>
      </c>
      <c r="F962" s="5" t="s">
        <v>38</v>
      </c>
      <c r="G962" s="5" t="s">
        <v>17</v>
      </c>
      <c r="H962" s="5">
        <v>208</v>
      </c>
      <c r="I962" s="5">
        <v>20</v>
      </c>
      <c r="J962" s="5" t="s">
        <v>32</v>
      </c>
      <c r="K962" s="5" t="s">
        <v>45</v>
      </c>
      <c r="L962" s="5" t="s">
        <v>20</v>
      </c>
      <c r="M962" s="7" t="s">
        <v>21</v>
      </c>
      <c r="N962" s="26">
        <f t="shared" ref="N962:N1025" si="105">IF(J962="Positive",1,IF(J962="Neutral",0,IF(J962="Negative",-1,"")))</f>
        <v>-1</v>
      </c>
      <c r="O962" s="42">
        <f t="shared" ref="O962:O1025" si="106">INT(C962)</f>
        <v>45171</v>
      </c>
      <c r="P962" s="5" t="str">
        <f t="shared" ref="P962:P1025" si="107">TEXT(C962,"dddd")</f>
        <v>Saturday</v>
      </c>
      <c r="Q962" s="5">
        <f t="shared" ref="Q962:Q1025" si="108">HOUR(C962)</f>
        <v>13</v>
      </c>
      <c r="R962" s="28">
        <f t="shared" ref="R962:R1025" si="109">H962/(H962+I962)</f>
        <v>0.91228070175438591</v>
      </c>
      <c r="S962" s="29">
        <f t="shared" si="103"/>
        <v>91.228070175438589</v>
      </c>
      <c r="T962" s="5" t="str">
        <f>IF(Delivery_Data3[[#This Row],[Delays (min)]]&gt;0,"No","Yes")</f>
        <v>No</v>
      </c>
      <c r="W962" s="41">
        <f t="shared" si="104"/>
        <v>45171</v>
      </c>
      <c r="X962" s="5">
        <v>208</v>
      </c>
    </row>
    <row r="963" spans="1:24" ht="15.75" customHeight="1" x14ac:dyDescent="0.3">
      <c r="A963" s="4">
        <v>1962</v>
      </c>
      <c r="B963" s="5" t="s">
        <v>1073</v>
      </c>
      <c r="C963" s="6">
        <v>45171.457638888889</v>
      </c>
      <c r="D963" s="5" t="s">
        <v>14</v>
      </c>
      <c r="E963" s="5" t="s">
        <v>187</v>
      </c>
      <c r="F963" s="5" t="s">
        <v>24</v>
      </c>
      <c r="G963" s="5" t="s">
        <v>56</v>
      </c>
      <c r="H963" s="5">
        <v>224</v>
      </c>
      <c r="I963" s="5">
        <v>10</v>
      </c>
      <c r="J963" s="5" t="s">
        <v>32</v>
      </c>
      <c r="K963" s="5" t="s">
        <v>19</v>
      </c>
      <c r="L963" s="5" t="s">
        <v>40</v>
      </c>
      <c r="M963" s="7" t="s">
        <v>21</v>
      </c>
      <c r="N963" s="26">
        <f t="shared" si="105"/>
        <v>-1</v>
      </c>
      <c r="O963" s="42">
        <f t="shared" si="106"/>
        <v>45171</v>
      </c>
      <c r="P963" s="5" t="str">
        <f t="shared" si="107"/>
        <v>Saturday</v>
      </c>
      <c r="Q963" s="5">
        <f t="shared" si="108"/>
        <v>10</v>
      </c>
      <c r="R963" s="28">
        <f t="shared" si="109"/>
        <v>0.95726495726495731</v>
      </c>
      <c r="S963" s="29">
        <f t="shared" ref="S963:S1026" si="110">IF(H963+I963=0,0,(H963/(H963+I963))*100) + (IFERROR(--J963,0)*10)</f>
        <v>95.726495726495727</v>
      </c>
      <c r="T963" s="5" t="str">
        <f>IF(Delivery_Data3[[#This Row],[Delays (min)]]&gt;0,"No","Yes")</f>
        <v>No</v>
      </c>
      <c r="W963" s="41">
        <f t="shared" ref="W963:W1026" si="111">INT(C963)</f>
        <v>45171</v>
      </c>
      <c r="X963" s="5">
        <v>224</v>
      </c>
    </row>
    <row r="964" spans="1:24" ht="15.75" customHeight="1" x14ac:dyDescent="0.3">
      <c r="A964" s="4">
        <v>1963</v>
      </c>
      <c r="B964" s="5" t="s">
        <v>1074</v>
      </c>
      <c r="C964" s="6">
        <v>45176.545138888891</v>
      </c>
      <c r="D964" s="5" t="s">
        <v>43</v>
      </c>
      <c r="E964" s="5" t="s">
        <v>370</v>
      </c>
      <c r="F964" s="5" t="s">
        <v>38</v>
      </c>
      <c r="G964" s="5" t="s">
        <v>39</v>
      </c>
      <c r="H964" s="5">
        <v>230</v>
      </c>
      <c r="I964" s="5">
        <v>21</v>
      </c>
      <c r="J964" s="5" t="s">
        <v>32</v>
      </c>
      <c r="K964" s="5" t="s">
        <v>45</v>
      </c>
      <c r="L964" s="5" t="s">
        <v>20</v>
      </c>
      <c r="M964" s="7" t="s">
        <v>46</v>
      </c>
      <c r="N964" s="26">
        <f t="shared" si="105"/>
        <v>-1</v>
      </c>
      <c r="O964" s="42">
        <f t="shared" si="106"/>
        <v>45176</v>
      </c>
      <c r="P964" s="5" t="str">
        <f t="shared" si="107"/>
        <v>Thursday</v>
      </c>
      <c r="Q964" s="5">
        <f t="shared" si="108"/>
        <v>13</v>
      </c>
      <c r="R964" s="28">
        <f t="shared" si="109"/>
        <v>0.91633466135458164</v>
      </c>
      <c r="S964" s="29">
        <f t="shared" si="110"/>
        <v>91.633466135458164</v>
      </c>
      <c r="T964" s="5" t="str">
        <f>IF(Delivery_Data3[[#This Row],[Delays (min)]]&gt;0,"No","Yes")</f>
        <v>No</v>
      </c>
      <c r="W964" s="41">
        <f t="shared" si="111"/>
        <v>45176</v>
      </c>
      <c r="X964" s="5">
        <v>230</v>
      </c>
    </row>
    <row r="965" spans="1:24" ht="15.75" customHeight="1" x14ac:dyDescent="0.3">
      <c r="A965" s="4">
        <v>1964</v>
      </c>
      <c r="B965" s="5" t="s">
        <v>1075</v>
      </c>
      <c r="C965" s="6">
        <v>45171.50277777778</v>
      </c>
      <c r="D965" s="5" t="s">
        <v>14</v>
      </c>
      <c r="E965" s="5" t="s">
        <v>158</v>
      </c>
      <c r="F965" s="5" t="s">
        <v>16</v>
      </c>
      <c r="G965" s="5" t="s">
        <v>56</v>
      </c>
      <c r="H965" s="5">
        <v>130</v>
      </c>
      <c r="I965" s="5">
        <v>18</v>
      </c>
      <c r="J965" s="5" t="s">
        <v>32</v>
      </c>
      <c r="K965" s="5" t="s">
        <v>49</v>
      </c>
      <c r="L965" s="5" t="s">
        <v>40</v>
      </c>
      <c r="M965" s="7" t="s">
        <v>46</v>
      </c>
      <c r="N965" s="26">
        <f t="shared" si="105"/>
        <v>-1</v>
      </c>
      <c r="O965" s="42">
        <f t="shared" si="106"/>
        <v>45171</v>
      </c>
      <c r="P965" s="5" t="str">
        <f t="shared" si="107"/>
        <v>Saturday</v>
      </c>
      <c r="Q965" s="5">
        <f t="shared" si="108"/>
        <v>12</v>
      </c>
      <c r="R965" s="28">
        <f t="shared" si="109"/>
        <v>0.8783783783783784</v>
      </c>
      <c r="S965" s="29">
        <f t="shared" si="110"/>
        <v>87.837837837837839</v>
      </c>
      <c r="T965" s="5" t="str">
        <f>IF(Delivery_Data3[[#This Row],[Delays (min)]]&gt;0,"No","Yes")</f>
        <v>No</v>
      </c>
      <c r="W965" s="41">
        <f t="shared" si="111"/>
        <v>45171</v>
      </c>
      <c r="X965" s="5">
        <v>130</v>
      </c>
    </row>
    <row r="966" spans="1:24" ht="15.75" customHeight="1" x14ac:dyDescent="0.3">
      <c r="A966" s="4">
        <v>1965</v>
      </c>
      <c r="B966" s="5" t="s">
        <v>1076</v>
      </c>
      <c r="C966" s="6">
        <v>45176.556250000001</v>
      </c>
      <c r="D966" s="5" t="s">
        <v>43</v>
      </c>
      <c r="E966" s="5" t="s">
        <v>267</v>
      </c>
      <c r="F966" s="5" t="s">
        <v>16</v>
      </c>
      <c r="G966" s="5" t="s">
        <v>17</v>
      </c>
      <c r="H966" s="5">
        <v>230</v>
      </c>
      <c r="I966" s="5">
        <v>14</v>
      </c>
      <c r="J966" s="5" t="s">
        <v>32</v>
      </c>
      <c r="K966" s="5" t="s">
        <v>19</v>
      </c>
      <c r="L966" s="5" t="s">
        <v>40</v>
      </c>
      <c r="M966" s="7" t="s">
        <v>41</v>
      </c>
      <c r="N966" s="26">
        <f t="shared" si="105"/>
        <v>-1</v>
      </c>
      <c r="O966" s="42">
        <f t="shared" si="106"/>
        <v>45176</v>
      </c>
      <c r="P966" s="5" t="str">
        <f t="shared" si="107"/>
        <v>Thursday</v>
      </c>
      <c r="Q966" s="5">
        <f t="shared" si="108"/>
        <v>13</v>
      </c>
      <c r="R966" s="28">
        <f t="shared" si="109"/>
        <v>0.94262295081967218</v>
      </c>
      <c r="S966" s="29">
        <f t="shared" si="110"/>
        <v>94.262295081967224</v>
      </c>
      <c r="T966" s="5" t="str">
        <f>IF(Delivery_Data3[[#This Row],[Delays (min)]]&gt;0,"No","Yes")</f>
        <v>No</v>
      </c>
      <c r="W966" s="41">
        <f t="shared" si="111"/>
        <v>45176</v>
      </c>
      <c r="X966" s="5">
        <v>230</v>
      </c>
    </row>
    <row r="967" spans="1:24" ht="15.75" customHeight="1" x14ac:dyDescent="0.3">
      <c r="A967" s="4">
        <v>1966</v>
      </c>
      <c r="B967" s="5" t="s">
        <v>1077</v>
      </c>
      <c r="C967" s="6">
        <v>45171.500694444447</v>
      </c>
      <c r="D967" s="5" t="s">
        <v>43</v>
      </c>
      <c r="E967" s="5" t="s">
        <v>30</v>
      </c>
      <c r="F967" s="5" t="s">
        <v>16</v>
      </c>
      <c r="G967" s="5" t="s">
        <v>17</v>
      </c>
      <c r="H967" s="5">
        <v>168</v>
      </c>
      <c r="I967" s="5">
        <v>28</v>
      </c>
      <c r="J967" s="5" t="s">
        <v>18</v>
      </c>
      <c r="K967" s="5" t="s">
        <v>35</v>
      </c>
      <c r="L967" s="5" t="s">
        <v>28</v>
      </c>
      <c r="M967" s="7" t="s">
        <v>46</v>
      </c>
      <c r="N967" s="26">
        <f t="shared" si="105"/>
        <v>0</v>
      </c>
      <c r="O967" s="42">
        <f t="shared" si="106"/>
        <v>45171</v>
      </c>
      <c r="P967" s="5" t="str">
        <f t="shared" si="107"/>
        <v>Saturday</v>
      </c>
      <c r="Q967" s="5">
        <f t="shared" si="108"/>
        <v>12</v>
      </c>
      <c r="R967" s="28">
        <f t="shared" si="109"/>
        <v>0.8571428571428571</v>
      </c>
      <c r="S967" s="29">
        <f t="shared" si="110"/>
        <v>85.714285714285708</v>
      </c>
      <c r="T967" s="5" t="str">
        <f>IF(Delivery_Data3[[#This Row],[Delays (min)]]&gt;0,"No","Yes")</f>
        <v>No</v>
      </c>
      <c r="W967" s="41">
        <f t="shared" si="111"/>
        <v>45171</v>
      </c>
      <c r="X967" s="5">
        <v>168</v>
      </c>
    </row>
    <row r="968" spans="1:24" ht="15.75" customHeight="1" x14ac:dyDescent="0.3">
      <c r="A968" s="4">
        <v>1967</v>
      </c>
      <c r="B968" s="5" t="s">
        <v>1078</v>
      </c>
      <c r="C968" s="6">
        <v>45173.609027777777</v>
      </c>
      <c r="D968" s="5" t="s">
        <v>43</v>
      </c>
      <c r="E968" s="5" t="s">
        <v>267</v>
      </c>
      <c r="F968" s="5" t="s">
        <v>16</v>
      </c>
      <c r="G968" s="5" t="s">
        <v>39</v>
      </c>
      <c r="H968" s="5">
        <v>202</v>
      </c>
      <c r="I968" s="5">
        <v>14</v>
      </c>
      <c r="J968" s="5" t="s">
        <v>18</v>
      </c>
      <c r="K968" s="5" t="s">
        <v>49</v>
      </c>
      <c r="L968" s="5" t="s">
        <v>20</v>
      </c>
      <c r="M968" s="7" t="s">
        <v>46</v>
      </c>
      <c r="N968" s="26">
        <f t="shared" si="105"/>
        <v>0</v>
      </c>
      <c r="O968" s="42">
        <f t="shared" si="106"/>
        <v>45173</v>
      </c>
      <c r="P968" s="5" t="str">
        <f t="shared" si="107"/>
        <v>Monday</v>
      </c>
      <c r="Q968" s="5">
        <f t="shared" si="108"/>
        <v>14</v>
      </c>
      <c r="R968" s="28">
        <f t="shared" si="109"/>
        <v>0.93518518518518523</v>
      </c>
      <c r="S968" s="29">
        <f t="shared" si="110"/>
        <v>93.518518518518519</v>
      </c>
      <c r="T968" s="5" t="str">
        <f>IF(Delivery_Data3[[#This Row],[Delays (min)]]&gt;0,"No","Yes")</f>
        <v>No</v>
      </c>
      <c r="W968" s="41">
        <f t="shared" si="111"/>
        <v>45173</v>
      </c>
      <c r="X968" s="5">
        <v>202</v>
      </c>
    </row>
    <row r="969" spans="1:24" ht="15.75" customHeight="1" x14ac:dyDescent="0.3">
      <c r="A969" s="4">
        <v>1968</v>
      </c>
      <c r="B969" s="5" t="s">
        <v>1079</v>
      </c>
      <c r="C969" s="6">
        <v>45177.561111111114</v>
      </c>
      <c r="D969" s="5" t="s">
        <v>14</v>
      </c>
      <c r="E969" s="5" t="s">
        <v>73</v>
      </c>
      <c r="F969" s="5" t="s">
        <v>38</v>
      </c>
      <c r="G969" s="5" t="s">
        <v>56</v>
      </c>
      <c r="H969" s="5">
        <v>141</v>
      </c>
      <c r="I969" s="5">
        <v>2</v>
      </c>
      <c r="J969" s="5" t="s">
        <v>18</v>
      </c>
      <c r="K969" s="5" t="s">
        <v>27</v>
      </c>
      <c r="L969" s="5" t="s">
        <v>20</v>
      </c>
      <c r="M969" s="7" t="s">
        <v>46</v>
      </c>
      <c r="N969" s="26">
        <f t="shared" si="105"/>
        <v>0</v>
      </c>
      <c r="O969" s="42">
        <f t="shared" si="106"/>
        <v>45177</v>
      </c>
      <c r="P969" s="5" t="str">
        <f t="shared" si="107"/>
        <v>Friday</v>
      </c>
      <c r="Q969" s="5">
        <f t="shared" si="108"/>
        <v>13</v>
      </c>
      <c r="R969" s="28">
        <f t="shared" si="109"/>
        <v>0.98601398601398604</v>
      </c>
      <c r="S969" s="29">
        <f t="shared" si="110"/>
        <v>98.6013986013986</v>
      </c>
      <c r="T969" s="5" t="str">
        <f>IF(Delivery_Data3[[#This Row],[Delays (min)]]&gt;0,"No","Yes")</f>
        <v>No</v>
      </c>
      <c r="W969" s="41">
        <f t="shared" si="111"/>
        <v>45177</v>
      </c>
      <c r="X969" s="5">
        <v>141</v>
      </c>
    </row>
    <row r="970" spans="1:24" ht="15.75" customHeight="1" x14ac:dyDescent="0.3">
      <c r="A970" s="4">
        <v>1969</v>
      </c>
      <c r="B970" s="5" t="s">
        <v>1080</v>
      </c>
      <c r="C970" s="6">
        <v>45172.57708333333</v>
      </c>
      <c r="D970" s="5" t="s">
        <v>43</v>
      </c>
      <c r="E970" s="5" t="s">
        <v>171</v>
      </c>
      <c r="F970" s="5" t="s">
        <v>38</v>
      </c>
      <c r="G970" s="5" t="s">
        <v>25</v>
      </c>
      <c r="H970" s="5">
        <v>219</v>
      </c>
      <c r="I970" s="5">
        <v>13</v>
      </c>
      <c r="J970" s="5" t="s">
        <v>26</v>
      </c>
      <c r="K970" s="5" t="s">
        <v>27</v>
      </c>
      <c r="L970" s="5" t="s">
        <v>28</v>
      </c>
      <c r="M970" s="7" t="s">
        <v>41</v>
      </c>
      <c r="N970" s="26">
        <f t="shared" si="105"/>
        <v>1</v>
      </c>
      <c r="O970" s="42">
        <f t="shared" si="106"/>
        <v>45172</v>
      </c>
      <c r="P970" s="5" t="str">
        <f t="shared" si="107"/>
        <v>Sunday</v>
      </c>
      <c r="Q970" s="5">
        <f t="shared" si="108"/>
        <v>13</v>
      </c>
      <c r="R970" s="28">
        <f t="shared" si="109"/>
        <v>0.94396551724137934</v>
      </c>
      <c r="S970" s="29">
        <f t="shared" si="110"/>
        <v>94.396551724137936</v>
      </c>
      <c r="T970" s="5" t="str">
        <f>IF(Delivery_Data3[[#This Row],[Delays (min)]]&gt;0,"No","Yes")</f>
        <v>No</v>
      </c>
      <c r="W970" s="41">
        <f t="shared" si="111"/>
        <v>45172</v>
      </c>
      <c r="X970" s="5">
        <v>219</v>
      </c>
    </row>
    <row r="971" spans="1:24" ht="15.75" customHeight="1" x14ac:dyDescent="0.3">
      <c r="A971" s="4">
        <v>1970</v>
      </c>
      <c r="B971" s="5" t="s">
        <v>1081</v>
      </c>
      <c r="C971" s="6">
        <v>45170.354166666664</v>
      </c>
      <c r="D971" s="5" t="s">
        <v>43</v>
      </c>
      <c r="E971" s="5" t="s">
        <v>66</v>
      </c>
      <c r="F971" s="5" t="s">
        <v>24</v>
      </c>
      <c r="G971" s="5" t="s">
        <v>56</v>
      </c>
      <c r="H971" s="5">
        <v>78</v>
      </c>
      <c r="I971" s="5">
        <v>3</v>
      </c>
      <c r="J971" s="5" t="s">
        <v>18</v>
      </c>
      <c r="K971" s="5" t="s">
        <v>49</v>
      </c>
      <c r="L971" s="5" t="s">
        <v>40</v>
      </c>
      <c r="M971" s="7" t="s">
        <v>46</v>
      </c>
      <c r="N971" s="26">
        <f t="shared" si="105"/>
        <v>0</v>
      </c>
      <c r="O971" s="42">
        <f t="shared" si="106"/>
        <v>45170</v>
      </c>
      <c r="P971" s="5" t="str">
        <f t="shared" si="107"/>
        <v>Friday</v>
      </c>
      <c r="Q971" s="5">
        <f t="shared" si="108"/>
        <v>8</v>
      </c>
      <c r="R971" s="28">
        <f t="shared" si="109"/>
        <v>0.96296296296296291</v>
      </c>
      <c r="S971" s="29">
        <f t="shared" si="110"/>
        <v>96.296296296296291</v>
      </c>
      <c r="T971" s="5" t="str">
        <f>IF(Delivery_Data3[[#This Row],[Delays (min)]]&gt;0,"No","Yes")</f>
        <v>No</v>
      </c>
      <c r="W971" s="41">
        <f t="shared" si="111"/>
        <v>45170</v>
      </c>
      <c r="X971" s="5">
        <v>78</v>
      </c>
    </row>
    <row r="972" spans="1:24" ht="15.75" customHeight="1" x14ac:dyDescent="0.3">
      <c r="A972" s="4">
        <v>1971</v>
      </c>
      <c r="B972" s="5" t="s">
        <v>1082</v>
      </c>
      <c r="C972" s="6">
        <v>45174.417361111111</v>
      </c>
      <c r="D972" s="5" t="s">
        <v>43</v>
      </c>
      <c r="E972" s="5" t="s">
        <v>169</v>
      </c>
      <c r="F972" s="5" t="s">
        <v>24</v>
      </c>
      <c r="G972" s="5" t="s">
        <v>25</v>
      </c>
      <c r="H972" s="5">
        <v>202</v>
      </c>
      <c r="I972" s="5">
        <v>15</v>
      </c>
      <c r="J972" s="5" t="s">
        <v>18</v>
      </c>
      <c r="K972" s="5" t="s">
        <v>19</v>
      </c>
      <c r="L972" s="5" t="s">
        <v>28</v>
      </c>
      <c r="M972" s="7" t="s">
        <v>41</v>
      </c>
      <c r="N972" s="26">
        <f t="shared" si="105"/>
        <v>0</v>
      </c>
      <c r="O972" s="42">
        <f t="shared" si="106"/>
        <v>45174</v>
      </c>
      <c r="P972" s="5" t="str">
        <f t="shared" si="107"/>
        <v>Tuesday</v>
      </c>
      <c r="Q972" s="5">
        <f t="shared" si="108"/>
        <v>10</v>
      </c>
      <c r="R972" s="28">
        <f t="shared" si="109"/>
        <v>0.93087557603686633</v>
      </c>
      <c r="S972" s="29">
        <f t="shared" si="110"/>
        <v>93.087557603686633</v>
      </c>
      <c r="T972" s="5" t="str">
        <f>IF(Delivery_Data3[[#This Row],[Delays (min)]]&gt;0,"No","Yes")</f>
        <v>No</v>
      </c>
      <c r="W972" s="41">
        <f t="shared" si="111"/>
        <v>45174</v>
      </c>
      <c r="X972" s="5">
        <v>202</v>
      </c>
    </row>
    <row r="973" spans="1:24" ht="15.75" customHeight="1" x14ac:dyDescent="0.3">
      <c r="A973" s="4">
        <v>1972</v>
      </c>
      <c r="B973" s="5" t="s">
        <v>1083</v>
      </c>
      <c r="C973" s="6">
        <v>45172.435416666667</v>
      </c>
      <c r="D973" s="5" t="s">
        <v>43</v>
      </c>
      <c r="E973" s="5" t="s">
        <v>179</v>
      </c>
      <c r="F973" s="5" t="s">
        <v>24</v>
      </c>
      <c r="G973" s="5" t="s">
        <v>31</v>
      </c>
      <c r="H973" s="5">
        <v>93</v>
      </c>
      <c r="I973" s="5">
        <v>6</v>
      </c>
      <c r="J973" s="5" t="s">
        <v>26</v>
      </c>
      <c r="K973" s="5" t="s">
        <v>49</v>
      </c>
      <c r="L973" s="5" t="s">
        <v>40</v>
      </c>
      <c r="M973" s="7" t="s">
        <v>21</v>
      </c>
      <c r="N973" s="26">
        <f t="shared" si="105"/>
        <v>1</v>
      </c>
      <c r="O973" s="42">
        <f t="shared" si="106"/>
        <v>45172</v>
      </c>
      <c r="P973" s="5" t="str">
        <f t="shared" si="107"/>
        <v>Sunday</v>
      </c>
      <c r="Q973" s="5">
        <f t="shared" si="108"/>
        <v>10</v>
      </c>
      <c r="R973" s="28">
        <f t="shared" si="109"/>
        <v>0.93939393939393945</v>
      </c>
      <c r="S973" s="29">
        <f t="shared" si="110"/>
        <v>93.939393939393938</v>
      </c>
      <c r="T973" s="5" t="str">
        <f>IF(Delivery_Data3[[#This Row],[Delays (min)]]&gt;0,"No","Yes")</f>
        <v>No</v>
      </c>
      <c r="W973" s="41">
        <f t="shared" si="111"/>
        <v>45172</v>
      </c>
      <c r="X973" s="5">
        <v>93</v>
      </c>
    </row>
    <row r="974" spans="1:24" ht="15.75" customHeight="1" x14ac:dyDescent="0.3">
      <c r="A974" s="4">
        <v>1973</v>
      </c>
      <c r="B974" s="5" t="s">
        <v>1084</v>
      </c>
      <c r="C974" s="6">
        <v>45177.336111111108</v>
      </c>
      <c r="D974" s="5" t="s">
        <v>14</v>
      </c>
      <c r="E974" s="5" t="s">
        <v>185</v>
      </c>
      <c r="F974" s="5" t="s">
        <v>38</v>
      </c>
      <c r="G974" s="5" t="s">
        <v>17</v>
      </c>
      <c r="H974" s="5">
        <v>170</v>
      </c>
      <c r="I974" s="5">
        <v>1</v>
      </c>
      <c r="J974" s="5" t="s">
        <v>26</v>
      </c>
      <c r="K974" s="5" t="s">
        <v>49</v>
      </c>
      <c r="L974" s="5" t="s">
        <v>20</v>
      </c>
      <c r="M974" s="7" t="s">
        <v>21</v>
      </c>
      <c r="N974" s="26">
        <f t="shared" si="105"/>
        <v>1</v>
      </c>
      <c r="O974" s="42">
        <f t="shared" si="106"/>
        <v>45177</v>
      </c>
      <c r="P974" s="5" t="str">
        <f t="shared" si="107"/>
        <v>Friday</v>
      </c>
      <c r="Q974" s="5">
        <f t="shared" si="108"/>
        <v>8</v>
      </c>
      <c r="R974" s="28">
        <f t="shared" si="109"/>
        <v>0.99415204678362568</v>
      </c>
      <c r="S974" s="29">
        <f t="shared" si="110"/>
        <v>99.415204678362571</v>
      </c>
      <c r="T974" s="5" t="str">
        <f>IF(Delivery_Data3[[#This Row],[Delays (min)]]&gt;0,"No","Yes")</f>
        <v>No</v>
      </c>
      <c r="W974" s="41">
        <f t="shared" si="111"/>
        <v>45177</v>
      </c>
      <c r="X974" s="5">
        <v>170</v>
      </c>
    </row>
    <row r="975" spans="1:24" ht="15.75" customHeight="1" x14ac:dyDescent="0.3">
      <c r="A975" s="4">
        <v>1974</v>
      </c>
      <c r="B975" s="5" t="s">
        <v>1085</v>
      </c>
      <c r="C975" s="6">
        <v>45171.380555555559</v>
      </c>
      <c r="D975" s="5" t="s">
        <v>43</v>
      </c>
      <c r="E975" s="5" t="s">
        <v>182</v>
      </c>
      <c r="F975" s="5" t="s">
        <v>38</v>
      </c>
      <c r="G975" s="5" t="s">
        <v>25</v>
      </c>
      <c r="H975" s="5">
        <v>90</v>
      </c>
      <c r="I975" s="5">
        <v>24</v>
      </c>
      <c r="J975" s="5" t="s">
        <v>26</v>
      </c>
      <c r="K975" s="5" t="s">
        <v>19</v>
      </c>
      <c r="L975" s="5" t="s">
        <v>20</v>
      </c>
      <c r="M975" s="7" t="s">
        <v>41</v>
      </c>
      <c r="N975" s="26">
        <f t="shared" si="105"/>
        <v>1</v>
      </c>
      <c r="O975" s="42">
        <f t="shared" si="106"/>
        <v>45171</v>
      </c>
      <c r="P975" s="5" t="str">
        <f t="shared" si="107"/>
        <v>Saturday</v>
      </c>
      <c r="Q975" s="5">
        <f t="shared" si="108"/>
        <v>9</v>
      </c>
      <c r="R975" s="28">
        <f t="shared" si="109"/>
        <v>0.78947368421052633</v>
      </c>
      <c r="S975" s="29">
        <f t="shared" si="110"/>
        <v>78.94736842105263</v>
      </c>
      <c r="T975" s="5" t="str">
        <f>IF(Delivery_Data3[[#This Row],[Delays (min)]]&gt;0,"No","Yes")</f>
        <v>No</v>
      </c>
      <c r="W975" s="41">
        <f t="shared" si="111"/>
        <v>45171</v>
      </c>
      <c r="X975" s="5">
        <v>90</v>
      </c>
    </row>
    <row r="976" spans="1:24" ht="15.75" customHeight="1" x14ac:dyDescent="0.3">
      <c r="A976" s="4">
        <v>1975</v>
      </c>
      <c r="B976" s="5" t="s">
        <v>1086</v>
      </c>
      <c r="C976" s="6">
        <v>45171.429861111108</v>
      </c>
      <c r="D976" s="5" t="s">
        <v>14</v>
      </c>
      <c r="E976" s="5" t="s">
        <v>202</v>
      </c>
      <c r="F976" s="5" t="s">
        <v>24</v>
      </c>
      <c r="G976" s="5" t="s">
        <v>31</v>
      </c>
      <c r="H976" s="5">
        <v>114</v>
      </c>
      <c r="I976" s="5">
        <v>17</v>
      </c>
      <c r="J976" s="5" t="s">
        <v>18</v>
      </c>
      <c r="K976" s="5" t="s">
        <v>45</v>
      </c>
      <c r="L976" s="5" t="s">
        <v>28</v>
      </c>
      <c r="M976" s="7" t="s">
        <v>41</v>
      </c>
      <c r="N976" s="26">
        <f t="shared" si="105"/>
        <v>0</v>
      </c>
      <c r="O976" s="42">
        <f t="shared" si="106"/>
        <v>45171</v>
      </c>
      <c r="P976" s="5" t="str">
        <f t="shared" si="107"/>
        <v>Saturday</v>
      </c>
      <c r="Q976" s="5">
        <f t="shared" si="108"/>
        <v>10</v>
      </c>
      <c r="R976" s="28">
        <f t="shared" si="109"/>
        <v>0.87022900763358779</v>
      </c>
      <c r="S976" s="29">
        <f t="shared" si="110"/>
        <v>87.022900763358777</v>
      </c>
      <c r="T976" s="5" t="str">
        <f>IF(Delivery_Data3[[#This Row],[Delays (min)]]&gt;0,"No","Yes")</f>
        <v>No</v>
      </c>
      <c r="W976" s="41">
        <f t="shared" si="111"/>
        <v>45171</v>
      </c>
      <c r="X976" s="5">
        <v>114</v>
      </c>
    </row>
    <row r="977" spans="1:24" ht="15.75" customHeight="1" x14ac:dyDescent="0.3">
      <c r="A977" s="4">
        <v>1976</v>
      </c>
      <c r="B977" s="5" t="s">
        <v>1087</v>
      </c>
      <c r="C977" s="6">
        <v>45173.48333333333</v>
      </c>
      <c r="D977" s="5" t="s">
        <v>43</v>
      </c>
      <c r="E977" s="5" t="s">
        <v>277</v>
      </c>
      <c r="F977" s="5" t="s">
        <v>24</v>
      </c>
      <c r="G977" s="5" t="s">
        <v>31</v>
      </c>
      <c r="H977" s="5">
        <v>150</v>
      </c>
      <c r="I977" s="5">
        <v>6</v>
      </c>
      <c r="J977" s="5" t="s">
        <v>32</v>
      </c>
      <c r="K977" s="5" t="s">
        <v>49</v>
      </c>
      <c r="L977" s="5" t="s">
        <v>40</v>
      </c>
      <c r="M977" s="7" t="s">
        <v>46</v>
      </c>
      <c r="N977" s="26">
        <f t="shared" si="105"/>
        <v>-1</v>
      </c>
      <c r="O977" s="42">
        <f t="shared" si="106"/>
        <v>45173</v>
      </c>
      <c r="P977" s="5" t="str">
        <f t="shared" si="107"/>
        <v>Monday</v>
      </c>
      <c r="Q977" s="5">
        <f t="shared" si="108"/>
        <v>11</v>
      </c>
      <c r="R977" s="28">
        <f t="shared" si="109"/>
        <v>0.96153846153846156</v>
      </c>
      <c r="S977" s="29">
        <f t="shared" si="110"/>
        <v>96.15384615384616</v>
      </c>
      <c r="T977" s="5" t="str">
        <f>IF(Delivery_Data3[[#This Row],[Delays (min)]]&gt;0,"No","Yes")</f>
        <v>No</v>
      </c>
      <c r="W977" s="41">
        <f t="shared" si="111"/>
        <v>45173</v>
      </c>
      <c r="X977" s="5">
        <v>150</v>
      </c>
    </row>
    <row r="978" spans="1:24" ht="15.75" customHeight="1" x14ac:dyDescent="0.3">
      <c r="A978" s="4">
        <v>1977</v>
      </c>
      <c r="B978" s="5" t="s">
        <v>1088</v>
      </c>
      <c r="C978" s="6">
        <v>45176.622916666667</v>
      </c>
      <c r="D978" s="5" t="s">
        <v>14</v>
      </c>
      <c r="E978" s="5" t="s">
        <v>231</v>
      </c>
      <c r="F978" s="5" t="s">
        <v>16</v>
      </c>
      <c r="G978" s="5" t="s">
        <v>17</v>
      </c>
      <c r="H978" s="5">
        <v>205</v>
      </c>
      <c r="I978" s="5">
        <v>21</v>
      </c>
      <c r="J978" s="5" t="s">
        <v>32</v>
      </c>
      <c r="K978" s="5" t="s">
        <v>49</v>
      </c>
      <c r="L978" s="5" t="s">
        <v>20</v>
      </c>
      <c r="M978" s="7" t="s">
        <v>41</v>
      </c>
      <c r="N978" s="26">
        <f t="shared" si="105"/>
        <v>-1</v>
      </c>
      <c r="O978" s="42">
        <f t="shared" si="106"/>
        <v>45176</v>
      </c>
      <c r="P978" s="5" t="str">
        <f t="shared" si="107"/>
        <v>Thursday</v>
      </c>
      <c r="Q978" s="5">
        <f t="shared" si="108"/>
        <v>14</v>
      </c>
      <c r="R978" s="28">
        <f t="shared" si="109"/>
        <v>0.90707964601769908</v>
      </c>
      <c r="S978" s="29">
        <f t="shared" si="110"/>
        <v>90.707964601769902</v>
      </c>
      <c r="T978" s="5" t="str">
        <f>IF(Delivery_Data3[[#This Row],[Delays (min)]]&gt;0,"No","Yes")</f>
        <v>No</v>
      </c>
      <c r="W978" s="41">
        <f t="shared" si="111"/>
        <v>45176</v>
      </c>
      <c r="X978" s="5">
        <v>205</v>
      </c>
    </row>
    <row r="979" spans="1:24" ht="15.75" customHeight="1" x14ac:dyDescent="0.3">
      <c r="A979" s="4">
        <v>1978</v>
      </c>
      <c r="B979" s="5" t="s">
        <v>1089</v>
      </c>
      <c r="C979" s="6">
        <v>45177.648611111108</v>
      </c>
      <c r="D979" s="5" t="s">
        <v>43</v>
      </c>
      <c r="E979" s="5" t="s">
        <v>468</v>
      </c>
      <c r="F979" s="5" t="s">
        <v>24</v>
      </c>
      <c r="G979" s="5" t="s">
        <v>25</v>
      </c>
      <c r="H979" s="5">
        <v>179</v>
      </c>
      <c r="I979" s="5">
        <v>14</v>
      </c>
      <c r="J979" s="5" t="s">
        <v>18</v>
      </c>
      <c r="K979" s="5" t="s">
        <v>27</v>
      </c>
      <c r="L979" s="5" t="s">
        <v>40</v>
      </c>
      <c r="M979" s="7" t="s">
        <v>41</v>
      </c>
      <c r="N979" s="26">
        <f t="shared" si="105"/>
        <v>0</v>
      </c>
      <c r="O979" s="42">
        <f t="shared" si="106"/>
        <v>45177</v>
      </c>
      <c r="P979" s="5" t="str">
        <f t="shared" si="107"/>
        <v>Friday</v>
      </c>
      <c r="Q979" s="5">
        <f t="shared" si="108"/>
        <v>15</v>
      </c>
      <c r="R979" s="28">
        <f t="shared" si="109"/>
        <v>0.92746113989637302</v>
      </c>
      <c r="S979" s="29">
        <f t="shared" si="110"/>
        <v>92.746113989637308</v>
      </c>
      <c r="T979" s="5" t="str">
        <f>IF(Delivery_Data3[[#This Row],[Delays (min)]]&gt;0,"No","Yes")</f>
        <v>No</v>
      </c>
      <c r="W979" s="41">
        <f t="shared" si="111"/>
        <v>45177</v>
      </c>
      <c r="X979" s="5">
        <v>179</v>
      </c>
    </row>
    <row r="980" spans="1:24" ht="15.75" customHeight="1" x14ac:dyDescent="0.3">
      <c r="A980" s="4">
        <v>1979</v>
      </c>
      <c r="B980" s="5" t="s">
        <v>1090</v>
      </c>
      <c r="C980" s="6">
        <v>45177.584722222222</v>
      </c>
      <c r="D980" s="5" t="s">
        <v>14</v>
      </c>
      <c r="E980" s="5" t="s">
        <v>48</v>
      </c>
      <c r="F980" s="5" t="s">
        <v>24</v>
      </c>
      <c r="G980" s="5" t="s">
        <v>31</v>
      </c>
      <c r="H980" s="5">
        <v>110</v>
      </c>
      <c r="I980" s="5">
        <v>26</v>
      </c>
      <c r="J980" s="5" t="s">
        <v>18</v>
      </c>
      <c r="K980" s="5" t="s">
        <v>49</v>
      </c>
      <c r="L980" s="5" t="s">
        <v>40</v>
      </c>
      <c r="M980" s="7" t="s">
        <v>41</v>
      </c>
      <c r="N980" s="26">
        <f t="shared" si="105"/>
        <v>0</v>
      </c>
      <c r="O980" s="42">
        <f t="shared" si="106"/>
        <v>45177</v>
      </c>
      <c r="P980" s="5" t="str">
        <f t="shared" si="107"/>
        <v>Friday</v>
      </c>
      <c r="Q980" s="5">
        <f t="shared" si="108"/>
        <v>14</v>
      </c>
      <c r="R980" s="28">
        <f t="shared" si="109"/>
        <v>0.80882352941176472</v>
      </c>
      <c r="S980" s="29">
        <f t="shared" si="110"/>
        <v>80.882352941176478</v>
      </c>
      <c r="T980" s="5" t="str">
        <f>IF(Delivery_Data3[[#This Row],[Delays (min)]]&gt;0,"No","Yes")</f>
        <v>No</v>
      </c>
      <c r="W980" s="41">
        <f t="shared" si="111"/>
        <v>45177</v>
      </c>
      <c r="X980" s="5">
        <v>110</v>
      </c>
    </row>
    <row r="981" spans="1:24" ht="15.75" customHeight="1" x14ac:dyDescent="0.3">
      <c r="A981" s="4">
        <v>1980</v>
      </c>
      <c r="B981" s="5" t="s">
        <v>1091</v>
      </c>
      <c r="C981" s="6">
        <v>45172.461111111108</v>
      </c>
      <c r="D981" s="5" t="s">
        <v>14</v>
      </c>
      <c r="E981" s="5" t="s">
        <v>115</v>
      </c>
      <c r="F981" s="5" t="s">
        <v>24</v>
      </c>
      <c r="G981" s="5" t="s">
        <v>31</v>
      </c>
      <c r="H981" s="5">
        <v>214</v>
      </c>
      <c r="I981" s="5">
        <v>10</v>
      </c>
      <c r="J981" s="5" t="s">
        <v>18</v>
      </c>
      <c r="K981" s="5" t="s">
        <v>49</v>
      </c>
      <c r="L981" s="5" t="s">
        <v>20</v>
      </c>
      <c r="M981" s="7" t="s">
        <v>46</v>
      </c>
      <c r="N981" s="26">
        <f t="shared" si="105"/>
        <v>0</v>
      </c>
      <c r="O981" s="42">
        <f t="shared" si="106"/>
        <v>45172</v>
      </c>
      <c r="P981" s="5" t="str">
        <f t="shared" si="107"/>
        <v>Sunday</v>
      </c>
      <c r="Q981" s="5">
        <f t="shared" si="108"/>
        <v>11</v>
      </c>
      <c r="R981" s="28">
        <f t="shared" si="109"/>
        <v>0.9553571428571429</v>
      </c>
      <c r="S981" s="29">
        <f t="shared" si="110"/>
        <v>95.535714285714292</v>
      </c>
      <c r="T981" s="5" t="str">
        <f>IF(Delivery_Data3[[#This Row],[Delays (min)]]&gt;0,"No","Yes")</f>
        <v>No</v>
      </c>
      <c r="W981" s="41">
        <f t="shared" si="111"/>
        <v>45172</v>
      </c>
      <c r="X981" s="5">
        <v>214</v>
      </c>
    </row>
    <row r="982" spans="1:24" ht="15.75" customHeight="1" x14ac:dyDescent="0.3">
      <c r="A982" s="4">
        <v>1981</v>
      </c>
      <c r="B982" s="5" t="s">
        <v>1092</v>
      </c>
      <c r="C982" s="6">
        <v>45177.604861111111</v>
      </c>
      <c r="D982" s="5" t="s">
        <v>14</v>
      </c>
      <c r="E982" s="5" t="s">
        <v>285</v>
      </c>
      <c r="F982" s="5" t="s">
        <v>16</v>
      </c>
      <c r="G982" s="5" t="s">
        <v>39</v>
      </c>
      <c r="H982" s="5">
        <v>123</v>
      </c>
      <c r="I982" s="5">
        <v>11</v>
      </c>
      <c r="J982" s="5" t="s">
        <v>26</v>
      </c>
      <c r="K982" s="5" t="s">
        <v>49</v>
      </c>
      <c r="L982" s="5" t="s">
        <v>28</v>
      </c>
      <c r="M982" s="7" t="s">
        <v>21</v>
      </c>
      <c r="N982" s="26">
        <f t="shared" si="105"/>
        <v>1</v>
      </c>
      <c r="O982" s="42">
        <f t="shared" si="106"/>
        <v>45177</v>
      </c>
      <c r="P982" s="5" t="str">
        <f t="shared" si="107"/>
        <v>Friday</v>
      </c>
      <c r="Q982" s="5">
        <f t="shared" si="108"/>
        <v>14</v>
      </c>
      <c r="R982" s="28">
        <f t="shared" si="109"/>
        <v>0.91791044776119401</v>
      </c>
      <c r="S982" s="29">
        <f t="shared" si="110"/>
        <v>91.791044776119406</v>
      </c>
      <c r="T982" s="5" t="str">
        <f>IF(Delivery_Data3[[#This Row],[Delays (min)]]&gt;0,"No","Yes")</f>
        <v>No</v>
      </c>
      <c r="W982" s="41">
        <f t="shared" si="111"/>
        <v>45177</v>
      </c>
      <c r="X982" s="5">
        <v>123</v>
      </c>
    </row>
    <row r="983" spans="1:24" ht="15.75" customHeight="1" x14ac:dyDescent="0.3">
      <c r="A983" s="4">
        <v>1982</v>
      </c>
      <c r="B983" s="5" t="s">
        <v>1093</v>
      </c>
      <c r="C983" s="6">
        <v>45172.461805555555</v>
      </c>
      <c r="D983" s="5" t="s">
        <v>14</v>
      </c>
      <c r="E983" s="5" t="s">
        <v>120</v>
      </c>
      <c r="F983" s="5" t="s">
        <v>16</v>
      </c>
      <c r="G983" s="5" t="s">
        <v>56</v>
      </c>
      <c r="H983" s="5">
        <v>155</v>
      </c>
      <c r="I983" s="5">
        <v>24</v>
      </c>
      <c r="J983" s="5" t="s">
        <v>26</v>
      </c>
      <c r="K983" s="5" t="s">
        <v>49</v>
      </c>
      <c r="L983" s="5" t="s">
        <v>28</v>
      </c>
      <c r="M983" s="7" t="s">
        <v>41</v>
      </c>
      <c r="N983" s="26">
        <f t="shared" si="105"/>
        <v>1</v>
      </c>
      <c r="O983" s="42">
        <f t="shared" si="106"/>
        <v>45172</v>
      </c>
      <c r="P983" s="5" t="str">
        <f t="shared" si="107"/>
        <v>Sunday</v>
      </c>
      <c r="Q983" s="5">
        <f t="shared" si="108"/>
        <v>11</v>
      </c>
      <c r="R983" s="28">
        <f t="shared" si="109"/>
        <v>0.86592178770949724</v>
      </c>
      <c r="S983" s="29">
        <f t="shared" si="110"/>
        <v>86.592178770949729</v>
      </c>
      <c r="T983" s="5" t="str">
        <f>IF(Delivery_Data3[[#This Row],[Delays (min)]]&gt;0,"No","Yes")</f>
        <v>No</v>
      </c>
      <c r="W983" s="41">
        <f t="shared" si="111"/>
        <v>45172</v>
      </c>
      <c r="X983" s="5">
        <v>155</v>
      </c>
    </row>
    <row r="984" spans="1:24" ht="15.75" customHeight="1" x14ac:dyDescent="0.3">
      <c r="A984" s="4">
        <v>1983</v>
      </c>
      <c r="B984" s="5" t="s">
        <v>1094</v>
      </c>
      <c r="C984" s="6">
        <v>45176.436111111114</v>
      </c>
      <c r="D984" s="5" t="s">
        <v>14</v>
      </c>
      <c r="E984" s="5" t="s">
        <v>78</v>
      </c>
      <c r="F984" s="5" t="s">
        <v>24</v>
      </c>
      <c r="G984" s="5" t="s">
        <v>25</v>
      </c>
      <c r="H984" s="5">
        <v>203</v>
      </c>
      <c r="I984" s="5">
        <v>24</v>
      </c>
      <c r="J984" s="5" t="s">
        <v>26</v>
      </c>
      <c r="K984" s="5" t="s">
        <v>27</v>
      </c>
      <c r="L984" s="5" t="s">
        <v>40</v>
      </c>
      <c r="M984" s="7" t="s">
        <v>21</v>
      </c>
      <c r="N984" s="26">
        <f t="shared" si="105"/>
        <v>1</v>
      </c>
      <c r="O984" s="42">
        <f t="shared" si="106"/>
        <v>45176</v>
      </c>
      <c r="P984" s="5" t="str">
        <f t="shared" si="107"/>
        <v>Thursday</v>
      </c>
      <c r="Q984" s="5">
        <f t="shared" si="108"/>
        <v>10</v>
      </c>
      <c r="R984" s="28">
        <f t="shared" si="109"/>
        <v>0.89427312775330392</v>
      </c>
      <c r="S984" s="29">
        <f t="shared" si="110"/>
        <v>89.427312775330392</v>
      </c>
      <c r="T984" s="5" t="str">
        <f>IF(Delivery_Data3[[#This Row],[Delays (min)]]&gt;0,"No","Yes")</f>
        <v>No</v>
      </c>
      <c r="W984" s="41">
        <f t="shared" si="111"/>
        <v>45176</v>
      </c>
      <c r="X984" s="5">
        <v>203</v>
      </c>
    </row>
    <row r="985" spans="1:24" ht="15.75" customHeight="1" x14ac:dyDescent="0.3">
      <c r="A985" s="4">
        <v>1984</v>
      </c>
      <c r="B985" s="5" t="s">
        <v>1095</v>
      </c>
      <c r="C985" s="6">
        <v>45175.353472222225</v>
      </c>
      <c r="D985" s="5" t="s">
        <v>14</v>
      </c>
      <c r="E985" s="5" t="s">
        <v>204</v>
      </c>
      <c r="F985" s="5" t="s">
        <v>38</v>
      </c>
      <c r="G985" s="5" t="s">
        <v>39</v>
      </c>
      <c r="H985" s="5">
        <v>61</v>
      </c>
      <c r="I985" s="5">
        <v>29</v>
      </c>
      <c r="J985" s="5" t="s">
        <v>32</v>
      </c>
      <c r="K985" s="5" t="s">
        <v>45</v>
      </c>
      <c r="L985" s="5" t="s">
        <v>28</v>
      </c>
      <c r="M985" s="7" t="s">
        <v>46</v>
      </c>
      <c r="N985" s="26">
        <f t="shared" si="105"/>
        <v>-1</v>
      </c>
      <c r="O985" s="42">
        <f t="shared" si="106"/>
        <v>45175</v>
      </c>
      <c r="P985" s="5" t="str">
        <f t="shared" si="107"/>
        <v>Wednesday</v>
      </c>
      <c r="Q985" s="5">
        <f t="shared" si="108"/>
        <v>8</v>
      </c>
      <c r="R985" s="28">
        <f t="shared" si="109"/>
        <v>0.67777777777777781</v>
      </c>
      <c r="S985" s="29">
        <f t="shared" si="110"/>
        <v>67.777777777777786</v>
      </c>
      <c r="T985" s="5" t="str">
        <f>IF(Delivery_Data3[[#This Row],[Delays (min)]]&gt;0,"No","Yes")</f>
        <v>No</v>
      </c>
      <c r="W985" s="41">
        <f t="shared" si="111"/>
        <v>45175</v>
      </c>
      <c r="X985" s="5">
        <v>61</v>
      </c>
    </row>
    <row r="986" spans="1:24" ht="15.75" customHeight="1" x14ac:dyDescent="0.3">
      <c r="A986" s="4">
        <v>1985</v>
      </c>
      <c r="B986" s="5" t="s">
        <v>1096</v>
      </c>
      <c r="C986" s="6">
        <v>45177.69027777778</v>
      </c>
      <c r="D986" s="5" t="s">
        <v>14</v>
      </c>
      <c r="E986" s="5" t="s">
        <v>177</v>
      </c>
      <c r="F986" s="5" t="s">
        <v>38</v>
      </c>
      <c r="G986" s="5" t="s">
        <v>17</v>
      </c>
      <c r="H986" s="5">
        <v>214</v>
      </c>
      <c r="I986" s="5">
        <v>23</v>
      </c>
      <c r="J986" s="5" t="s">
        <v>18</v>
      </c>
      <c r="K986" s="5" t="s">
        <v>27</v>
      </c>
      <c r="L986" s="5" t="s">
        <v>28</v>
      </c>
      <c r="M986" s="7" t="s">
        <v>21</v>
      </c>
      <c r="N986" s="26">
        <f t="shared" si="105"/>
        <v>0</v>
      </c>
      <c r="O986" s="42">
        <f t="shared" si="106"/>
        <v>45177</v>
      </c>
      <c r="P986" s="5" t="str">
        <f t="shared" si="107"/>
        <v>Friday</v>
      </c>
      <c r="Q986" s="5">
        <f t="shared" si="108"/>
        <v>16</v>
      </c>
      <c r="R986" s="28">
        <f t="shared" si="109"/>
        <v>0.90295358649789026</v>
      </c>
      <c r="S986" s="29">
        <f t="shared" si="110"/>
        <v>90.295358649789023</v>
      </c>
      <c r="T986" s="5" t="str">
        <f>IF(Delivery_Data3[[#This Row],[Delays (min)]]&gt;0,"No","Yes")</f>
        <v>No</v>
      </c>
      <c r="W986" s="41">
        <f t="shared" si="111"/>
        <v>45177</v>
      </c>
      <c r="X986" s="5">
        <v>214</v>
      </c>
    </row>
    <row r="987" spans="1:24" ht="15.75" customHeight="1" x14ac:dyDescent="0.3">
      <c r="A987" s="4">
        <v>1986</v>
      </c>
      <c r="B987" s="5" t="s">
        <v>1097</v>
      </c>
      <c r="C987" s="6">
        <v>45175.68472222222</v>
      </c>
      <c r="D987" s="5" t="s">
        <v>43</v>
      </c>
      <c r="E987" s="5" t="s">
        <v>243</v>
      </c>
      <c r="F987" s="5" t="s">
        <v>16</v>
      </c>
      <c r="G987" s="5" t="s">
        <v>17</v>
      </c>
      <c r="H987" s="5">
        <v>160</v>
      </c>
      <c r="I987" s="5">
        <v>6</v>
      </c>
      <c r="J987" s="5" t="s">
        <v>18</v>
      </c>
      <c r="K987" s="5" t="s">
        <v>27</v>
      </c>
      <c r="L987" s="5" t="s">
        <v>20</v>
      </c>
      <c r="M987" s="7" t="s">
        <v>21</v>
      </c>
      <c r="N987" s="26">
        <f t="shared" si="105"/>
        <v>0</v>
      </c>
      <c r="O987" s="42">
        <f t="shared" si="106"/>
        <v>45175</v>
      </c>
      <c r="P987" s="5" t="str">
        <f t="shared" si="107"/>
        <v>Wednesday</v>
      </c>
      <c r="Q987" s="5">
        <f t="shared" si="108"/>
        <v>16</v>
      </c>
      <c r="R987" s="28">
        <f t="shared" si="109"/>
        <v>0.96385542168674698</v>
      </c>
      <c r="S987" s="29">
        <f t="shared" si="110"/>
        <v>96.385542168674704</v>
      </c>
      <c r="T987" s="5" t="str">
        <f>IF(Delivery_Data3[[#This Row],[Delays (min)]]&gt;0,"No","Yes")</f>
        <v>No</v>
      </c>
      <c r="W987" s="41">
        <f t="shared" si="111"/>
        <v>45175</v>
      </c>
      <c r="X987" s="5">
        <v>160</v>
      </c>
    </row>
    <row r="988" spans="1:24" ht="15.75" customHeight="1" x14ac:dyDescent="0.3">
      <c r="A988" s="4">
        <v>1987</v>
      </c>
      <c r="B988" s="5" t="s">
        <v>1032</v>
      </c>
      <c r="C988" s="6">
        <v>45173.495138888888</v>
      </c>
      <c r="D988" s="5" t="s">
        <v>43</v>
      </c>
      <c r="E988" s="5" t="s">
        <v>228</v>
      </c>
      <c r="F988" s="5" t="s">
        <v>38</v>
      </c>
      <c r="G988" s="5" t="s">
        <v>25</v>
      </c>
      <c r="H988" s="5">
        <v>235</v>
      </c>
      <c r="I988" s="5">
        <v>6</v>
      </c>
      <c r="J988" s="5" t="s">
        <v>32</v>
      </c>
      <c r="K988" s="5" t="s">
        <v>35</v>
      </c>
      <c r="L988" s="5" t="s">
        <v>28</v>
      </c>
      <c r="M988" s="7" t="s">
        <v>21</v>
      </c>
      <c r="N988" s="26">
        <f t="shared" si="105"/>
        <v>-1</v>
      </c>
      <c r="O988" s="42">
        <f t="shared" si="106"/>
        <v>45173</v>
      </c>
      <c r="P988" s="5" t="str">
        <f t="shared" si="107"/>
        <v>Monday</v>
      </c>
      <c r="Q988" s="5">
        <f t="shared" si="108"/>
        <v>11</v>
      </c>
      <c r="R988" s="28">
        <f t="shared" si="109"/>
        <v>0.975103734439834</v>
      </c>
      <c r="S988" s="29">
        <f t="shared" si="110"/>
        <v>97.510373443983397</v>
      </c>
      <c r="T988" s="5" t="str">
        <f>IF(Delivery_Data3[[#This Row],[Delays (min)]]&gt;0,"No","Yes")</f>
        <v>No</v>
      </c>
      <c r="W988" s="41">
        <f t="shared" si="111"/>
        <v>45173</v>
      </c>
      <c r="X988" s="5">
        <v>235</v>
      </c>
    </row>
    <row r="989" spans="1:24" ht="15.75" customHeight="1" x14ac:dyDescent="0.3">
      <c r="A989" s="4">
        <v>1988</v>
      </c>
      <c r="B989" s="5" t="s">
        <v>1098</v>
      </c>
      <c r="C989" s="6">
        <v>45171.508333333331</v>
      </c>
      <c r="D989" s="5" t="s">
        <v>43</v>
      </c>
      <c r="E989" s="5" t="s">
        <v>34</v>
      </c>
      <c r="F989" s="5" t="s">
        <v>24</v>
      </c>
      <c r="G989" s="5" t="s">
        <v>25</v>
      </c>
      <c r="H989" s="5">
        <v>131</v>
      </c>
      <c r="I989" s="5">
        <v>21</v>
      </c>
      <c r="J989" s="5" t="s">
        <v>26</v>
      </c>
      <c r="K989" s="5" t="s">
        <v>19</v>
      </c>
      <c r="L989" s="5" t="s">
        <v>28</v>
      </c>
      <c r="M989" s="7" t="s">
        <v>21</v>
      </c>
      <c r="N989" s="26">
        <f t="shared" si="105"/>
        <v>1</v>
      </c>
      <c r="O989" s="42">
        <f t="shared" si="106"/>
        <v>45171</v>
      </c>
      <c r="P989" s="5" t="str">
        <f t="shared" si="107"/>
        <v>Saturday</v>
      </c>
      <c r="Q989" s="5">
        <f t="shared" si="108"/>
        <v>12</v>
      </c>
      <c r="R989" s="28">
        <f t="shared" si="109"/>
        <v>0.86184210526315785</v>
      </c>
      <c r="S989" s="29">
        <f t="shared" si="110"/>
        <v>86.18421052631578</v>
      </c>
      <c r="T989" s="5" t="str">
        <f>IF(Delivery_Data3[[#This Row],[Delays (min)]]&gt;0,"No","Yes")</f>
        <v>No</v>
      </c>
      <c r="W989" s="41">
        <f t="shared" si="111"/>
        <v>45171</v>
      </c>
      <c r="X989" s="5">
        <v>131</v>
      </c>
    </row>
    <row r="990" spans="1:24" ht="15.75" customHeight="1" x14ac:dyDescent="0.3">
      <c r="A990" s="4">
        <v>1989</v>
      </c>
      <c r="B990" s="5" t="s">
        <v>1099</v>
      </c>
      <c r="C990" s="6">
        <v>45176.402777777781</v>
      </c>
      <c r="D990" s="5" t="s">
        <v>14</v>
      </c>
      <c r="E990" s="5" t="s">
        <v>234</v>
      </c>
      <c r="F990" s="5" t="s">
        <v>38</v>
      </c>
      <c r="G990" s="5" t="s">
        <v>31</v>
      </c>
      <c r="H990" s="5">
        <v>165</v>
      </c>
      <c r="I990" s="5">
        <v>12</v>
      </c>
      <c r="J990" s="5" t="s">
        <v>32</v>
      </c>
      <c r="K990" s="5" t="s">
        <v>35</v>
      </c>
      <c r="L990" s="5" t="s">
        <v>40</v>
      </c>
      <c r="M990" s="7" t="s">
        <v>21</v>
      </c>
      <c r="N990" s="26">
        <f t="shared" si="105"/>
        <v>-1</v>
      </c>
      <c r="O990" s="42">
        <f t="shared" si="106"/>
        <v>45176</v>
      </c>
      <c r="P990" s="5" t="str">
        <f t="shared" si="107"/>
        <v>Thursday</v>
      </c>
      <c r="Q990" s="5">
        <f t="shared" si="108"/>
        <v>9</v>
      </c>
      <c r="R990" s="28">
        <f t="shared" si="109"/>
        <v>0.93220338983050843</v>
      </c>
      <c r="S990" s="29">
        <f t="shared" si="110"/>
        <v>93.220338983050837</v>
      </c>
      <c r="T990" s="5" t="str">
        <f>IF(Delivery_Data3[[#This Row],[Delays (min)]]&gt;0,"No","Yes")</f>
        <v>No</v>
      </c>
      <c r="W990" s="41">
        <f t="shared" si="111"/>
        <v>45176</v>
      </c>
      <c r="X990" s="5">
        <v>165</v>
      </c>
    </row>
    <row r="991" spans="1:24" ht="15.75" customHeight="1" x14ac:dyDescent="0.3">
      <c r="A991" s="4">
        <v>1990</v>
      </c>
      <c r="B991" s="5" t="s">
        <v>1100</v>
      </c>
      <c r="C991" s="6">
        <v>45173.554861111108</v>
      </c>
      <c r="D991" s="5" t="s">
        <v>43</v>
      </c>
      <c r="E991" s="5" t="s">
        <v>70</v>
      </c>
      <c r="F991" s="5" t="s">
        <v>16</v>
      </c>
      <c r="G991" s="5" t="s">
        <v>39</v>
      </c>
      <c r="H991" s="5">
        <v>75</v>
      </c>
      <c r="I991" s="5">
        <v>28</v>
      </c>
      <c r="J991" s="5" t="s">
        <v>18</v>
      </c>
      <c r="K991" s="5" t="s">
        <v>35</v>
      </c>
      <c r="L991" s="5" t="s">
        <v>28</v>
      </c>
      <c r="M991" s="7" t="s">
        <v>41</v>
      </c>
      <c r="N991" s="26">
        <f t="shared" si="105"/>
        <v>0</v>
      </c>
      <c r="O991" s="42">
        <f t="shared" si="106"/>
        <v>45173</v>
      </c>
      <c r="P991" s="5" t="str">
        <f t="shared" si="107"/>
        <v>Monday</v>
      </c>
      <c r="Q991" s="5">
        <f t="shared" si="108"/>
        <v>13</v>
      </c>
      <c r="R991" s="28">
        <f t="shared" si="109"/>
        <v>0.72815533980582525</v>
      </c>
      <c r="S991" s="29">
        <f t="shared" si="110"/>
        <v>72.815533980582529</v>
      </c>
      <c r="T991" s="5" t="str">
        <f>IF(Delivery_Data3[[#This Row],[Delays (min)]]&gt;0,"No","Yes")</f>
        <v>No</v>
      </c>
      <c r="W991" s="41">
        <f t="shared" si="111"/>
        <v>45173</v>
      </c>
      <c r="X991" s="5">
        <v>75</v>
      </c>
    </row>
    <row r="992" spans="1:24" ht="15.75" customHeight="1" x14ac:dyDescent="0.3">
      <c r="A992" s="4">
        <v>1991</v>
      </c>
      <c r="B992" s="5" t="s">
        <v>1101</v>
      </c>
      <c r="C992" s="6">
        <v>45175.355555555558</v>
      </c>
      <c r="D992" s="5" t="s">
        <v>14</v>
      </c>
      <c r="E992" s="5" t="s">
        <v>156</v>
      </c>
      <c r="F992" s="5" t="s">
        <v>16</v>
      </c>
      <c r="G992" s="5" t="s">
        <v>17</v>
      </c>
      <c r="H992" s="5">
        <v>88</v>
      </c>
      <c r="I992" s="5">
        <v>13</v>
      </c>
      <c r="J992" s="5" t="s">
        <v>32</v>
      </c>
      <c r="K992" s="5" t="s">
        <v>49</v>
      </c>
      <c r="L992" s="5" t="s">
        <v>20</v>
      </c>
      <c r="M992" s="7" t="s">
        <v>46</v>
      </c>
      <c r="N992" s="26">
        <f t="shared" si="105"/>
        <v>-1</v>
      </c>
      <c r="O992" s="42">
        <f t="shared" si="106"/>
        <v>45175</v>
      </c>
      <c r="P992" s="5" t="str">
        <f t="shared" si="107"/>
        <v>Wednesday</v>
      </c>
      <c r="Q992" s="5">
        <f t="shared" si="108"/>
        <v>8</v>
      </c>
      <c r="R992" s="28">
        <f t="shared" si="109"/>
        <v>0.87128712871287128</v>
      </c>
      <c r="S992" s="29">
        <f t="shared" si="110"/>
        <v>87.128712871287135</v>
      </c>
      <c r="T992" s="5" t="str">
        <f>IF(Delivery_Data3[[#This Row],[Delays (min)]]&gt;0,"No","Yes")</f>
        <v>No</v>
      </c>
      <c r="W992" s="41">
        <f t="shared" si="111"/>
        <v>45175</v>
      </c>
      <c r="X992" s="5">
        <v>88</v>
      </c>
    </row>
    <row r="993" spans="1:24" ht="15.75" customHeight="1" x14ac:dyDescent="0.3">
      <c r="A993" s="4">
        <v>1992</v>
      </c>
      <c r="B993" s="5" t="s">
        <v>1102</v>
      </c>
      <c r="C993" s="6">
        <v>45171.426388888889</v>
      </c>
      <c r="D993" s="5" t="s">
        <v>14</v>
      </c>
      <c r="E993" s="5" t="s">
        <v>135</v>
      </c>
      <c r="F993" s="5" t="s">
        <v>38</v>
      </c>
      <c r="G993" s="5" t="s">
        <v>56</v>
      </c>
      <c r="H993" s="5">
        <v>151</v>
      </c>
      <c r="I993" s="5">
        <v>17</v>
      </c>
      <c r="J993" s="5" t="s">
        <v>32</v>
      </c>
      <c r="K993" s="5" t="s">
        <v>49</v>
      </c>
      <c r="L993" s="5" t="s">
        <v>20</v>
      </c>
      <c r="M993" s="7" t="s">
        <v>41</v>
      </c>
      <c r="N993" s="26">
        <f t="shared" si="105"/>
        <v>-1</v>
      </c>
      <c r="O993" s="42">
        <f t="shared" si="106"/>
        <v>45171</v>
      </c>
      <c r="P993" s="5" t="str">
        <f t="shared" si="107"/>
        <v>Saturday</v>
      </c>
      <c r="Q993" s="5">
        <f t="shared" si="108"/>
        <v>10</v>
      </c>
      <c r="R993" s="28">
        <f t="shared" si="109"/>
        <v>0.89880952380952384</v>
      </c>
      <c r="S993" s="29">
        <f t="shared" si="110"/>
        <v>89.88095238095238</v>
      </c>
      <c r="T993" s="5" t="str">
        <f>IF(Delivery_Data3[[#This Row],[Delays (min)]]&gt;0,"No","Yes")</f>
        <v>No</v>
      </c>
      <c r="W993" s="41">
        <f t="shared" si="111"/>
        <v>45171</v>
      </c>
      <c r="X993" s="5">
        <v>151</v>
      </c>
    </row>
    <row r="994" spans="1:24" ht="15.75" customHeight="1" x14ac:dyDescent="0.3">
      <c r="A994" s="4">
        <v>1993</v>
      </c>
      <c r="B994" s="5" t="s">
        <v>1103</v>
      </c>
      <c r="C994" s="6">
        <v>45172.418055555558</v>
      </c>
      <c r="D994" s="5" t="s">
        <v>14</v>
      </c>
      <c r="E994" s="5" t="s">
        <v>93</v>
      </c>
      <c r="F994" s="5" t="s">
        <v>24</v>
      </c>
      <c r="G994" s="5" t="s">
        <v>17</v>
      </c>
      <c r="H994" s="5">
        <v>63</v>
      </c>
      <c r="I994" s="5">
        <v>27</v>
      </c>
      <c r="J994" s="5" t="s">
        <v>32</v>
      </c>
      <c r="K994" s="5" t="s">
        <v>49</v>
      </c>
      <c r="L994" s="5" t="s">
        <v>20</v>
      </c>
      <c r="M994" s="7" t="s">
        <v>21</v>
      </c>
      <c r="N994" s="26">
        <f t="shared" si="105"/>
        <v>-1</v>
      </c>
      <c r="O994" s="42">
        <f t="shared" si="106"/>
        <v>45172</v>
      </c>
      <c r="P994" s="5" t="str">
        <f t="shared" si="107"/>
        <v>Sunday</v>
      </c>
      <c r="Q994" s="5">
        <f t="shared" si="108"/>
        <v>10</v>
      </c>
      <c r="R994" s="28">
        <f t="shared" si="109"/>
        <v>0.7</v>
      </c>
      <c r="S994" s="29">
        <f t="shared" si="110"/>
        <v>70</v>
      </c>
      <c r="T994" s="5" t="str">
        <f>IF(Delivery_Data3[[#This Row],[Delays (min)]]&gt;0,"No","Yes")</f>
        <v>No</v>
      </c>
      <c r="W994" s="41">
        <f t="shared" si="111"/>
        <v>45172</v>
      </c>
      <c r="X994" s="5">
        <v>63</v>
      </c>
    </row>
    <row r="995" spans="1:24" ht="15.75" customHeight="1" x14ac:dyDescent="0.3">
      <c r="A995" s="4">
        <v>1994</v>
      </c>
      <c r="B995" s="5" t="s">
        <v>1104</v>
      </c>
      <c r="C995" s="6">
        <v>45171.400694444441</v>
      </c>
      <c r="D995" s="5" t="s">
        <v>14</v>
      </c>
      <c r="E995" s="5" t="s">
        <v>62</v>
      </c>
      <c r="F995" s="5" t="s">
        <v>24</v>
      </c>
      <c r="G995" s="5" t="s">
        <v>25</v>
      </c>
      <c r="H995" s="5">
        <v>162</v>
      </c>
      <c r="I995" s="5">
        <v>25</v>
      </c>
      <c r="J995" s="5" t="s">
        <v>32</v>
      </c>
      <c r="K995" s="5" t="s">
        <v>49</v>
      </c>
      <c r="L995" s="5" t="s">
        <v>40</v>
      </c>
      <c r="M995" s="7" t="s">
        <v>41</v>
      </c>
      <c r="N995" s="26">
        <f t="shared" si="105"/>
        <v>-1</v>
      </c>
      <c r="O995" s="42">
        <f t="shared" si="106"/>
        <v>45171</v>
      </c>
      <c r="P995" s="5" t="str">
        <f t="shared" si="107"/>
        <v>Saturday</v>
      </c>
      <c r="Q995" s="5">
        <f t="shared" si="108"/>
        <v>9</v>
      </c>
      <c r="R995" s="28">
        <f t="shared" si="109"/>
        <v>0.86631016042780751</v>
      </c>
      <c r="S995" s="29">
        <f t="shared" si="110"/>
        <v>86.631016042780757</v>
      </c>
      <c r="T995" s="5" t="str">
        <f>IF(Delivery_Data3[[#This Row],[Delays (min)]]&gt;0,"No","Yes")</f>
        <v>No</v>
      </c>
      <c r="W995" s="41">
        <f t="shared" si="111"/>
        <v>45171</v>
      </c>
      <c r="X995" s="5">
        <v>162</v>
      </c>
    </row>
    <row r="996" spans="1:24" ht="15.75" customHeight="1" x14ac:dyDescent="0.3">
      <c r="A996" s="4">
        <v>1995</v>
      </c>
      <c r="B996" s="5" t="s">
        <v>1105</v>
      </c>
      <c r="C996" s="6">
        <v>45170.578472222223</v>
      </c>
      <c r="D996" s="5" t="s">
        <v>43</v>
      </c>
      <c r="E996" s="5" t="s">
        <v>58</v>
      </c>
      <c r="F996" s="5" t="s">
        <v>38</v>
      </c>
      <c r="G996" s="5" t="s">
        <v>39</v>
      </c>
      <c r="H996" s="5">
        <v>172</v>
      </c>
      <c r="I996" s="5">
        <v>29</v>
      </c>
      <c r="J996" s="5" t="s">
        <v>18</v>
      </c>
      <c r="K996" s="5" t="s">
        <v>19</v>
      </c>
      <c r="L996" s="5" t="s">
        <v>20</v>
      </c>
      <c r="M996" s="7" t="s">
        <v>41</v>
      </c>
      <c r="N996" s="26">
        <f t="shared" si="105"/>
        <v>0</v>
      </c>
      <c r="O996" s="42">
        <f t="shared" si="106"/>
        <v>45170</v>
      </c>
      <c r="P996" s="5" t="str">
        <f t="shared" si="107"/>
        <v>Friday</v>
      </c>
      <c r="Q996" s="5">
        <f t="shared" si="108"/>
        <v>13</v>
      </c>
      <c r="R996" s="28">
        <f t="shared" si="109"/>
        <v>0.85572139303482586</v>
      </c>
      <c r="S996" s="29">
        <f t="shared" si="110"/>
        <v>85.572139303482587</v>
      </c>
      <c r="T996" s="5" t="str">
        <f>IF(Delivery_Data3[[#This Row],[Delays (min)]]&gt;0,"No","Yes")</f>
        <v>No</v>
      </c>
      <c r="W996" s="41">
        <f t="shared" si="111"/>
        <v>45170</v>
      </c>
      <c r="X996" s="5">
        <v>172</v>
      </c>
    </row>
    <row r="997" spans="1:24" ht="15.75" customHeight="1" x14ac:dyDescent="0.3">
      <c r="A997" s="4">
        <v>1996</v>
      </c>
      <c r="B997" s="5" t="s">
        <v>1106</v>
      </c>
      <c r="C997" s="6">
        <v>45176.563194444447</v>
      </c>
      <c r="D997" s="5" t="s">
        <v>43</v>
      </c>
      <c r="E997" s="5" t="s">
        <v>120</v>
      </c>
      <c r="F997" s="5" t="s">
        <v>38</v>
      </c>
      <c r="G997" s="5" t="s">
        <v>25</v>
      </c>
      <c r="H997" s="5">
        <v>236</v>
      </c>
      <c r="I997" s="5">
        <v>27</v>
      </c>
      <c r="J997" s="5" t="s">
        <v>18</v>
      </c>
      <c r="K997" s="5" t="s">
        <v>49</v>
      </c>
      <c r="L997" s="5" t="s">
        <v>40</v>
      </c>
      <c r="M997" s="7" t="s">
        <v>41</v>
      </c>
      <c r="N997" s="26">
        <f t="shared" si="105"/>
        <v>0</v>
      </c>
      <c r="O997" s="42">
        <f t="shared" si="106"/>
        <v>45176</v>
      </c>
      <c r="P997" s="5" t="str">
        <f t="shared" si="107"/>
        <v>Thursday</v>
      </c>
      <c r="Q997" s="5">
        <f t="shared" si="108"/>
        <v>13</v>
      </c>
      <c r="R997" s="28">
        <f t="shared" si="109"/>
        <v>0.89733840304182511</v>
      </c>
      <c r="S997" s="29">
        <f t="shared" si="110"/>
        <v>89.733840304182507</v>
      </c>
      <c r="T997" s="5" t="str">
        <f>IF(Delivery_Data3[[#This Row],[Delays (min)]]&gt;0,"No","Yes")</f>
        <v>No</v>
      </c>
      <c r="W997" s="41">
        <f t="shared" si="111"/>
        <v>45176</v>
      </c>
      <c r="X997" s="5">
        <v>236</v>
      </c>
    </row>
    <row r="998" spans="1:24" ht="15.75" customHeight="1" x14ac:dyDescent="0.3">
      <c r="A998" s="4">
        <v>1997</v>
      </c>
      <c r="B998" s="5" t="s">
        <v>1107</v>
      </c>
      <c r="C998" s="6">
        <v>45177.512499999997</v>
      </c>
      <c r="D998" s="5" t="s">
        <v>14</v>
      </c>
      <c r="E998" s="5" t="s">
        <v>140</v>
      </c>
      <c r="F998" s="5" t="s">
        <v>38</v>
      </c>
      <c r="G998" s="5" t="s">
        <v>56</v>
      </c>
      <c r="H998" s="5">
        <v>145</v>
      </c>
      <c r="I998" s="5">
        <v>14</v>
      </c>
      <c r="J998" s="5" t="s">
        <v>26</v>
      </c>
      <c r="K998" s="5" t="s">
        <v>19</v>
      </c>
      <c r="L998" s="5" t="s">
        <v>28</v>
      </c>
      <c r="M998" s="7" t="s">
        <v>21</v>
      </c>
      <c r="N998" s="26">
        <f t="shared" si="105"/>
        <v>1</v>
      </c>
      <c r="O998" s="42">
        <f t="shared" si="106"/>
        <v>45177</v>
      </c>
      <c r="P998" s="5" t="str">
        <f t="shared" si="107"/>
        <v>Friday</v>
      </c>
      <c r="Q998" s="5">
        <f t="shared" si="108"/>
        <v>12</v>
      </c>
      <c r="R998" s="28">
        <f t="shared" si="109"/>
        <v>0.91194968553459121</v>
      </c>
      <c r="S998" s="29">
        <f t="shared" si="110"/>
        <v>91.19496855345912</v>
      </c>
      <c r="T998" s="5" t="str">
        <f>IF(Delivery_Data3[[#This Row],[Delays (min)]]&gt;0,"No","Yes")</f>
        <v>No</v>
      </c>
      <c r="W998" s="41">
        <f t="shared" si="111"/>
        <v>45177</v>
      </c>
      <c r="X998" s="5">
        <v>145</v>
      </c>
    </row>
    <row r="999" spans="1:24" ht="15.75" customHeight="1" x14ac:dyDescent="0.3">
      <c r="A999" s="4">
        <v>1998</v>
      </c>
      <c r="B999" s="5" t="s">
        <v>1108</v>
      </c>
      <c r="C999" s="6">
        <v>45170.520833333336</v>
      </c>
      <c r="D999" s="5" t="s">
        <v>43</v>
      </c>
      <c r="E999" s="5" t="s">
        <v>162</v>
      </c>
      <c r="F999" s="5" t="s">
        <v>24</v>
      </c>
      <c r="G999" s="5" t="s">
        <v>31</v>
      </c>
      <c r="H999" s="5">
        <v>159</v>
      </c>
      <c r="I999" s="5">
        <v>12</v>
      </c>
      <c r="J999" s="5" t="s">
        <v>26</v>
      </c>
      <c r="K999" s="5" t="s">
        <v>45</v>
      </c>
      <c r="L999" s="5" t="s">
        <v>20</v>
      </c>
      <c r="M999" s="7" t="s">
        <v>41</v>
      </c>
      <c r="N999" s="26">
        <f t="shared" si="105"/>
        <v>1</v>
      </c>
      <c r="O999" s="42">
        <f t="shared" si="106"/>
        <v>45170</v>
      </c>
      <c r="P999" s="5" t="str">
        <f t="shared" si="107"/>
        <v>Friday</v>
      </c>
      <c r="Q999" s="5">
        <f t="shared" si="108"/>
        <v>12</v>
      </c>
      <c r="R999" s="28">
        <f t="shared" si="109"/>
        <v>0.92982456140350878</v>
      </c>
      <c r="S999" s="29">
        <f t="shared" si="110"/>
        <v>92.982456140350877</v>
      </c>
      <c r="T999" s="5" t="str">
        <f>IF(Delivery_Data3[[#This Row],[Delays (min)]]&gt;0,"No","Yes")</f>
        <v>No</v>
      </c>
      <c r="W999" s="41">
        <f t="shared" si="111"/>
        <v>45170</v>
      </c>
      <c r="X999" s="5">
        <v>159</v>
      </c>
    </row>
    <row r="1000" spans="1:24" ht="15.75" customHeight="1" x14ac:dyDescent="0.3">
      <c r="A1000" s="4">
        <v>1999</v>
      </c>
      <c r="B1000" s="5" t="s">
        <v>1109</v>
      </c>
      <c r="C1000" s="6">
        <v>45172.333333333336</v>
      </c>
      <c r="D1000" s="5" t="s">
        <v>43</v>
      </c>
      <c r="E1000" s="5" t="s">
        <v>249</v>
      </c>
      <c r="F1000" s="5" t="s">
        <v>38</v>
      </c>
      <c r="G1000" s="5" t="s">
        <v>25</v>
      </c>
      <c r="H1000" s="5">
        <v>239</v>
      </c>
      <c r="I1000" s="5">
        <v>10</v>
      </c>
      <c r="J1000" s="5" t="s">
        <v>26</v>
      </c>
      <c r="K1000" s="5" t="s">
        <v>35</v>
      </c>
      <c r="L1000" s="5" t="s">
        <v>28</v>
      </c>
      <c r="M1000" s="7" t="s">
        <v>46</v>
      </c>
      <c r="N1000" s="26">
        <f t="shared" si="105"/>
        <v>1</v>
      </c>
      <c r="O1000" s="42">
        <f t="shared" si="106"/>
        <v>45172</v>
      </c>
      <c r="P1000" s="5" t="str">
        <f t="shared" si="107"/>
        <v>Sunday</v>
      </c>
      <c r="Q1000" s="5">
        <f t="shared" si="108"/>
        <v>8</v>
      </c>
      <c r="R1000" s="28">
        <f t="shared" si="109"/>
        <v>0.95983935742971882</v>
      </c>
      <c r="S1000" s="29">
        <f t="shared" si="110"/>
        <v>95.98393574297188</v>
      </c>
      <c r="T1000" s="5" t="str">
        <f>IF(Delivery_Data3[[#This Row],[Delays (min)]]&gt;0,"No","Yes")</f>
        <v>No</v>
      </c>
      <c r="W1000" s="41">
        <f t="shared" si="111"/>
        <v>45172</v>
      </c>
      <c r="X1000" s="5">
        <v>239</v>
      </c>
    </row>
    <row r="1001" spans="1:24" ht="15.75" customHeight="1" x14ac:dyDescent="0.3">
      <c r="A1001" s="4">
        <v>2000</v>
      </c>
      <c r="B1001" s="5" t="s">
        <v>1110</v>
      </c>
      <c r="C1001" s="6">
        <v>45177.607638888891</v>
      </c>
      <c r="D1001" s="5" t="s">
        <v>14</v>
      </c>
      <c r="E1001" s="5" t="s">
        <v>270</v>
      </c>
      <c r="F1001" s="5" t="s">
        <v>24</v>
      </c>
      <c r="G1001" s="5" t="s">
        <v>25</v>
      </c>
      <c r="H1001" s="5">
        <v>138</v>
      </c>
      <c r="I1001" s="5">
        <v>25</v>
      </c>
      <c r="J1001" s="5" t="s">
        <v>18</v>
      </c>
      <c r="K1001" s="5" t="s">
        <v>49</v>
      </c>
      <c r="L1001" s="5" t="s">
        <v>40</v>
      </c>
      <c r="M1001" s="7" t="s">
        <v>21</v>
      </c>
      <c r="N1001" s="26">
        <f t="shared" si="105"/>
        <v>0</v>
      </c>
      <c r="O1001" s="42">
        <f t="shared" si="106"/>
        <v>45177</v>
      </c>
      <c r="P1001" s="5" t="str">
        <f t="shared" si="107"/>
        <v>Friday</v>
      </c>
      <c r="Q1001" s="5">
        <f t="shared" si="108"/>
        <v>14</v>
      </c>
      <c r="R1001" s="28">
        <f t="shared" si="109"/>
        <v>0.84662576687116564</v>
      </c>
      <c r="S1001" s="29">
        <f t="shared" si="110"/>
        <v>84.662576687116569</v>
      </c>
      <c r="T1001" s="5" t="str">
        <f>IF(Delivery_Data3[[#This Row],[Delays (min)]]&gt;0,"No","Yes")</f>
        <v>No</v>
      </c>
      <c r="W1001" s="41">
        <f t="shared" si="111"/>
        <v>45177</v>
      </c>
      <c r="X1001" s="5">
        <v>138</v>
      </c>
    </row>
    <row r="1002" spans="1:24" ht="15.75" customHeight="1" x14ac:dyDescent="0.3">
      <c r="A1002" s="4">
        <v>2001</v>
      </c>
      <c r="B1002" s="5" t="s">
        <v>1111</v>
      </c>
      <c r="C1002" s="6">
        <v>45174.59652777778</v>
      </c>
      <c r="D1002" s="5" t="s">
        <v>43</v>
      </c>
      <c r="E1002" s="5" t="s">
        <v>60</v>
      </c>
      <c r="F1002" s="5" t="s">
        <v>16</v>
      </c>
      <c r="G1002" s="5" t="s">
        <v>31</v>
      </c>
      <c r="H1002" s="5">
        <v>168</v>
      </c>
      <c r="I1002" s="5">
        <v>13</v>
      </c>
      <c r="J1002" s="5" t="s">
        <v>32</v>
      </c>
      <c r="K1002" s="5" t="s">
        <v>49</v>
      </c>
      <c r="L1002" s="5" t="s">
        <v>28</v>
      </c>
      <c r="M1002" s="7" t="s">
        <v>41</v>
      </c>
      <c r="N1002" s="26">
        <f t="shared" si="105"/>
        <v>-1</v>
      </c>
      <c r="O1002" s="42">
        <f t="shared" si="106"/>
        <v>45174</v>
      </c>
      <c r="P1002" s="5" t="str">
        <f t="shared" si="107"/>
        <v>Tuesday</v>
      </c>
      <c r="Q1002" s="5">
        <f t="shared" si="108"/>
        <v>14</v>
      </c>
      <c r="R1002" s="28">
        <f t="shared" si="109"/>
        <v>0.92817679558011046</v>
      </c>
      <c r="S1002" s="29">
        <f t="shared" si="110"/>
        <v>92.817679558011051</v>
      </c>
      <c r="T1002" s="5" t="str">
        <f>IF(Delivery_Data3[[#This Row],[Delays (min)]]&gt;0,"No","Yes")</f>
        <v>No</v>
      </c>
      <c r="W1002" s="41">
        <f t="shared" si="111"/>
        <v>45174</v>
      </c>
      <c r="X1002" s="5">
        <v>168</v>
      </c>
    </row>
    <row r="1003" spans="1:24" ht="15.75" customHeight="1" x14ac:dyDescent="0.3">
      <c r="A1003" s="4">
        <v>2002</v>
      </c>
      <c r="B1003" s="5" t="s">
        <v>1112</v>
      </c>
      <c r="C1003" s="6">
        <v>45176.695833333331</v>
      </c>
      <c r="D1003" s="5" t="s">
        <v>43</v>
      </c>
      <c r="E1003" s="5" t="s">
        <v>149</v>
      </c>
      <c r="F1003" s="5" t="s">
        <v>24</v>
      </c>
      <c r="G1003" s="5" t="s">
        <v>25</v>
      </c>
      <c r="H1003" s="5">
        <v>133</v>
      </c>
      <c r="I1003" s="5">
        <v>25</v>
      </c>
      <c r="J1003" s="5" t="s">
        <v>18</v>
      </c>
      <c r="K1003" s="5" t="s">
        <v>49</v>
      </c>
      <c r="L1003" s="5" t="s">
        <v>20</v>
      </c>
      <c r="M1003" s="7" t="s">
        <v>21</v>
      </c>
      <c r="N1003" s="26">
        <f t="shared" si="105"/>
        <v>0</v>
      </c>
      <c r="O1003" s="42">
        <f t="shared" si="106"/>
        <v>45176</v>
      </c>
      <c r="P1003" s="5" t="str">
        <f t="shared" si="107"/>
        <v>Thursday</v>
      </c>
      <c r="Q1003" s="5">
        <f t="shared" si="108"/>
        <v>16</v>
      </c>
      <c r="R1003" s="28">
        <f t="shared" si="109"/>
        <v>0.84177215189873422</v>
      </c>
      <c r="S1003" s="29">
        <f t="shared" si="110"/>
        <v>84.177215189873422</v>
      </c>
      <c r="T1003" s="5" t="str">
        <f>IF(Delivery_Data3[[#This Row],[Delays (min)]]&gt;0,"No","Yes")</f>
        <v>No</v>
      </c>
      <c r="W1003" s="41">
        <f t="shared" si="111"/>
        <v>45176</v>
      </c>
      <c r="X1003" s="5">
        <v>133</v>
      </c>
    </row>
    <row r="1004" spans="1:24" ht="15.75" customHeight="1" x14ac:dyDescent="0.3">
      <c r="A1004" s="4">
        <v>2003</v>
      </c>
      <c r="B1004" s="5" t="s">
        <v>1113</v>
      </c>
      <c r="C1004" s="6">
        <v>45174.642361111109</v>
      </c>
      <c r="D1004" s="5" t="s">
        <v>14</v>
      </c>
      <c r="E1004" s="5" t="s">
        <v>164</v>
      </c>
      <c r="F1004" s="5" t="s">
        <v>38</v>
      </c>
      <c r="G1004" s="5" t="s">
        <v>17</v>
      </c>
      <c r="H1004" s="5">
        <v>158</v>
      </c>
      <c r="I1004" s="5">
        <v>16</v>
      </c>
      <c r="J1004" s="5" t="s">
        <v>32</v>
      </c>
      <c r="K1004" s="5" t="s">
        <v>19</v>
      </c>
      <c r="L1004" s="5" t="s">
        <v>20</v>
      </c>
      <c r="M1004" s="7" t="s">
        <v>21</v>
      </c>
      <c r="N1004" s="26">
        <f t="shared" si="105"/>
        <v>-1</v>
      </c>
      <c r="O1004" s="42">
        <f t="shared" si="106"/>
        <v>45174</v>
      </c>
      <c r="P1004" s="5" t="str">
        <f t="shared" si="107"/>
        <v>Tuesday</v>
      </c>
      <c r="Q1004" s="5">
        <f t="shared" si="108"/>
        <v>15</v>
      </c>
      <c r="R1004" s="28">
        <f t="shared" si="109"/>
        <v>0.90804597701149425</v>
      </c>
      <c r="S1004" s="29">
        <f t="shared" si="110"/>
        <v>90.804597701149419</v>
      </c>
      <c r="T1004" s="5" t="str">
        <f>IF(Delivery_Data3[[#This Row],[Delays (min)]]&gt;0,"No","Yes")</f>
        <v>No</v>
      </c>
      <c r="W1004" s="41">
        <f t="shared" si="111"/>
        <v>45174</v>
      </c>
      <c r="X1004" s="5">
        <v>158</v>
      </c>
    </row>
    <row r="1005" spans="1:24" ht="15.75" customHeight="1" x14ac:dyDescent="0.3">
      <c r="A1005" s="4">
        <v>2004</v>
      </c>
      <c r="B1005" s="5" t="s">
        <v>1114</v>
      </c>
      <c r="C1005" s="6">
        <v>45177.650694444441</v>
      </c>
      <c r="D1005" s="5" t="s">
        <v>14</v>
      </c>
      <c r="E1005" s="5" t="s">
        <v>277</v>
      </c>
      <c r="F1005" s="5" t="s">
        <v>16</v>
      </c>
      <c r="G1005" s="5" t="s">
        <v>56</v>
      </c>
      <c r="H1005" s="5">
        <v>147</v>
      </c>
      <c r="I1005" s="5">
        <v>9</v>
      </c>
      <c r="J1005" s="5" t="s">
        <v>18</v>
      </c>
      <c r="K1005" s="5" t="s">
        <v>45</v>
      </c>
      <c r="L1005" s="5" t="s">
        <v>40</v>
      </c>
      <c r="M1005" s="7" t="s">
        <v>41</v>
      </c>
      <c r="N1005" s="26">
        <f t="shared" si="105"/>
        <v>0</v>
      </c>
      <c r="O1005" s="42">
        <f t="shared" si="106"/>
        <v>45177</v>
      </c>
      <c r="P1005" s="5" t="str">
        <f t="shared" si="107"/>
        <v>Friday</v>
      </c>
      <c r="Q1005" s="5">
        <f t="shared" si="108"/>
        <v>15</v>
      </c>
      <c r="R1005" s="28">
        <f t="shared" si="109"/>
        <v>0.94230769230769229</v>
      </c>
      <c r="S1005" s="29">
        <f t="shared" si="110"/>
        <v>94.230769230769226</v>
      </c>
      <c r="T1005" s="5" t="str">
        <f>IF(Delivery_Data3[[#This Row],[Delays (min)]]&gt;0,"No","Yes")</f>
        <v>No</v>
      </c>
      <c r="W1005" s="41">
        <f t="shared" si="111"/>
        <v>45177</v>
      </c>
      <c r="X1005" s="5">
        <v>147</v>
      </c>
    </row>
    <row r="1006" spans="1:24" ht="15.75" customHeight="1" x14ac:dyDescent="0.3">
      <c r="A1006" s="4">
        <v>2005</v>
      </c>
      <c r="B1006" s="5" t="s">
        <v>1115</v>
      </c>
      <c r="C1006" s="6">
        <v>45171.538888888892</v>
      </c>
      <c r="D1006" s="5" t="s">
        <v>43</v>
      </c>
      <c r="E1006" s="5" t="s">
        <v>197</v>
      </c>
      <c r="F1006" s="5" t="s">
        <v>38</v>
      </c>
      <c r="G1006" s="5" t="s">
        <v>31</v>
      </c>
      <c r="H1006" s="5">
        <v>141</v>
      </c>
      <c r="I1006" s="5">
        <v>9</v>
      </c>
      <c r="J1006" s="5" t="s">
        <v>32</v>
      </c>
      <c r="K1006" s="5" t="s">
        <v>35</v>
      </c>
      <c r="L1006" s="5" t="s">
        <v>40</v>
      </c>
      <c r="M1006" s="7" t="s">
        <v>21</v>
      </c>
      <c r="N1006" s="26">
        <f t="shared" si="105"/>
        <v>-1</v>
      </c>
      <c r="O1006" s="42">
        <f t="shared" si="106"/>
        <v>45171</v>
      </c>
      <c r="P1006" s="5" t="str">
        <f t="shared" si="107"/>
        <v>Saturday</v>
      </c>
      <c r="Q1006" s="5">
        <f t="shared" si="108"/>
        <v>12</v>
      </c>
      <c r="R1006" s="28">
        <f t="shared" si="109"/>
        <v>0.94</v>
      </c>
      <c r="S1006" s="29">
        <f t="shared" si="110"/>
        <v>94</v>
      </c>
      <c r="T1006" s="5" t="str">
        <f>IF(Delivery_Data3[[#This Row],[Delays (min)]]&gt;0,"No","Yes")</f>
        <v>No</v>
      </c>
      <c r="W1006" s="41">
        <f t="shared" si="111"/>
        <v>45171</v>
      </c>
      <c r="X1006" s="5">
        <v>141</v>
      </c>
    </row>
    <row r="1007" spans="1:24" ht="15.75" customHeight="1" x14ac:dyDescent="0.3">
      <c r="A1007" s="4">
        <v>2006</v>
      </c>
      <c r="B1007" s="5" t="s">
        <v>1116</v>
      </c>
      <c r="C1007" s="6">
        <v>45173.619444444441</v>
      </c>
      <c r="D1007" s="5" t="s">
        <v>43</v>
      </c>
      <c r="E1007" s="5" t="s">
        <v>197</v>
      </c>
      <c r="F1007" s="5" t="s">
        <v>24</v>
      </c>
      <c r="G1007" s="5" t="s">
        <v>39</v>
      </c>
      <c r="H1007" s="5">
        <v>230</v>
      </c>
      <c r="I1007" s="5">
        <v>23</v>
      </c>
      <c r="J1007" s="5" t="s">
        <v>32</v>
      </c>
      <c r="K1007" s="5" t="s">
        <v>49</v>
      </c>
      <c r="L1007" s="5" t="s">
        <v>20</v>
      </c>
      <c r="M1007" s="7" t="s">
        <v>21</v>
      </c>
      <c r="N1007" s="26">
        <f t="shared" si="105"/>
        <v>-1</v>
      </c>
      <c r="O1007" s="42">
        <f t="shared" si="106"/>
        <v>45173</v>
      </c>
      <c r="P1007" s="5" t="str">
        <f t="shared" si="107"/>
        <v>Monday</v>
      </c>
      <c r="Q1007" s="5">
        <f t="shared" si="108"/>
        <v>14</v>
      </c>
      <c r="R1007" s="28">
        <f t="shared" si="109"/>
        <v>0.90909090909090906</v>
      </c>
      <c r="S1007" s="29">
        <f t="shared" si="110"/>
        <v>90.909090909090907</v>
      </c>
      <c r="T1007" s="5" t="str">
        <f>IF(Delivery_Data3[[#This Row],[Delays (min)]]&gt;0,"No","Yes")</f>
        <v>No</v>
      </c>
      <c r="W1007" s="41">
        <f t="shared" si="111"/>
        <v>45173</v>
      </c>
      <c r="X1007" s="5">
        <v>230</v>
      </c>
    </row>
    <row r="1008" spans="1:24" ht="15.75" customHeight="1" x14ac:dyDescent="0.3">
      <c r="A1008" s="4">
        <v>2007</v>
      </c>
      <c r="B1008" s="5" t="s">
        <v>1117</v>
      </c>
      <c r="C1008" s="6">
        <v>45175.62222222222</v>
      </c>
      <c r="D1008" s="5" t="s">
        <v>43</v>
      </c>
      <c r="E1008" s="5" t="s">
        <v>66</v>
      </c>
      <c r="F1008" s="5" t="s">
        <v>38</v>
      </c>
      <c r="G1008" s="5" t="s">
        <v>25</v>
      </c>
      <c r="H1008" s="5">
        <v>159</v>
      </c>
      <c r="I1008" s="5">
        <v>21</v>
      </c>
      <c r="J1008" s="5" t="s">
        <v>32</v>
      </c>
      <c r="K1008" s="5" t="s">
        <v>35</v>
      </c>
      <c r="L1008" s="5" t="s">
        <v>40</v>
      </c>
      <c r="M1008" s="7" t="s">
        <v>46</v>
      </c>
      <c r="N1008" s="26">
        <f t="shared" si="105"/>
        <v>-1</v>
      </c>
      <c r="O1008" s="42">
        <f t="shared" si="106"/>
        <v>45175</v>
      </c>
      <c r="P1008" s="5" t="str">
        <f t="shared" si="107"/>
        <v>Wednesday</v>
      </c>
      <c r="Q1008" s="5">
        <f t="shared" si="108"/>
        <v>14</v>
      </c>
      <c r="R1008" s="28">
        <f t="shared" si="109"/>
        <v>0.8833333333333333</v>
      </c>
      <c r="S1008" s="29">
        <f t="shared" si="110"/>
        <v>88.333333333333329</v>
      </c>
      <c r="T1008" s="5" t="str">
        <f>IF(Delivery_Data3[[#This Row],[Delays (min)]]&gt;0,"No","Yes")</f>
        <v>No</v>
      </c>
      <c r="W1008" s="41">
        <f t="shared" si="111"/>
        <v>45175</v>
      </c>
      <c r="X1008" s="5">
        <v>159</v>
      </c>
    </row>
    <row r="1009" spans="1:24" ht="15.75" customHeight="1" x14ac:dyDescent="0.3">
      <c r="A1009" s="4">
        <v>2008</v>
      </c>
      <c r="B1009" s="5" t="s">
        <v>1118</v>
      </c>
      <c r="C1009" s="6">
        <v>45170.613888888889</v>
      </c>
      <c r="D1009" s="5" t="s">
        <v>43</v>
      </c>
      <c r="E1009" s="5" t="s">
        <v>245</v>
      </c>
      <c r="F1009" s="5" t="s">
        <v>38</v>
      </c>
      <c r="G1009" s="5" t="s">
        <v>31</v>
      </c>
      <c r="H1009" s="5">
        <v>79</v>
      </c>
      <c r="I1009" s="5">
        <v>12</v>
      </c>
      <c r="J1009" s="5" t="s">
        <v>18</v>
      </c>
      <c r="K1009" s="5" t="s">
        <v>45</v>
      </c>
      <c r="L1009" s="5" t="s">
        <v>20</v>
      </c>
      <c r="M1009" s="7" t="s">
        <v>46</v>
      </c>
      <c r="N1009" s="26">
        <f t="shared" si="105"/>
        <v>0</v>
      </c>
      <c r="O1009" s="42">
        <f t="shared" si="106"/>
        <v>45170</v>
      </c>
      <c r="P1009" s="5" t="str">
        <f t="shared" si="107"/>
        <v>Friday</v>
      </c>
      <c r="Q1009" s="5">
        <f t="shared" si="108"/>
        <v>14</v>
      </c>
      <c r="R1009" s="28">
        <f t="shared" si="109"/>
        <v>0.86813186813186816</v>
      </c>
      <c r="S1009" s="29">
        <f t="shared" si="110"/>
        <v>86.813186813186817</v>
      </c>
      <c r="T1009" s="5" t="str">
        <f>IF(Delivery_Data3[[#This Row],[Delays (min)]]&gt;0,"No","Yes")</f>
        <v>No</v>
      </c>
      <c r="W1009" s="41">
        <f t="shared" si="111"/>
        <v>45170</v>
      </c>
      <c r="X1009" s="5">
        <v>79</v>
      </c>
    </row>
    <row r="1010" spans="1:24" ht="15.75" customHeight="1" x14ac:dyDescent="0.3">
      <c r="A1010" s="4">
        <v>2009</v>
      </c>
      <c r="B1010" s="5" t="s">
        <v>1119</v>
      </c>
      <c r="C1010" s="6">
        <v>45175.537499999999</v>
      </c>
      <c r="D1010" s="5" t="s">
        <v>43</v>
      </c>
      <c r="E1010" s="5" t="s">
        <v>76</v>
      </c>
      <c r="F1010" s="5" t="s">
        <v>38</v>
      </c>
      <c r="G1010" s="5" t="s">
        <v>25</v>
      </c>
      <c r="H1010" s="5">
        <v>88</v>
      </c>
      <c r="I1010" s="5">
        <v>1</v>
      </c>
      <c r="J1010" s="5" t="s">
        <v>32</v>
      </c>
      <c r="K1010" s="5" t="s">
        <v>49</v>
      </c>
      <c r="L1010" s="5" t="s">
        <v>20</v>
      </c>
      <c r="M1010" s="7" t="s">
        <v>41</v>
      </c>
      <c r="N1010" s="26">
        <f t="shared" si="105"/>
        <v>-1</v>
      </c>
      <c r="O1010" s="42">
        <f t="shared" si="106"/>
        <v>45175</v>
      </c>
      <c r="P1010" s="5" t="str">
        <f t="shared" si="107"/>
        <v>Wednesday</v>
      </c>
      <c r="Q1010" s="5">
        <f t="shared" si="108"/>
        <v>12</v>
      </c>
      <c r="R1010" s="28">
        <f t="shared" si="109"/>
        <v>0.9887640449438202</v>
      </c>
      <c r="S1010" s="29">
        <f t="shared" si="110"/>
        <v>98.876404494382015</v>
      </c>
      <c r="T1010" s="5" t="str">
        <f>IF(Delivery_Data3[[#This Row],[Delays (min)]]&gt;0,"No","Yes")</f>
        <v>No</v>
      </c>
      <c r="W1010" s="41">
        <f t="shared" si="111"/>
        <v>45175</v>
      </c>
      <c r="X1010" s="5">
        <v>88</v>
      </c>
    </row>
    <row r="1011" spans="1:24" ht="15.75" customHeight="1" x14ac:dyDescent="0.3">
      <c r="A1011" s="4">
        <v>2010</v>
      </c>
      <c r="B1011" s="5" t="s">
        <v>1120</v>
      </c>
      <c r="C1011" s="6">
        <v>45176.334027777775</v>
      </c>
      <c r="D1011" s="5" t="s">
        <v>14</v>
      </c>
      <c r="E1011" s="5" t="s">
        <v>156</v>
      </c>
      <c r="F1011" s="5" t="s">
        <v>38</v>
      </c>
      <c r="G1011" s="5" t="s">
        <v>56</v>
      </c>
      <c r="H1011" s="5">
        <v>210</v>
      </c>
      <c r="I1011" s="5">
        <v>0</v>
      </c>
      <c r="J1011" s="5" t="s">
        <v>32</v>
      </c>
      <c r="K1011" s="5" t="s">
        <v>45</v>
      </c>
      <c r="L1011" s="5" t="s">
        <v>20</v>
      </c>
      <c r="M1011" s="7" t="s">
        <v>21</v>
      </c>
      <c r="N1011" s="26">
        <f t="shared" si="105"/>
        <v>-1</v>
      </c>
      <c r="O1011" s="42">
        <f t="shared" si="106"/>
        <v>45176</v>
      </c>
      <c r="P1011" s="5" t="str">
        <f t="shared" si="107"/>
        <v>Thursday</v>
      </c>
      <c r="Q1011" s="5">
        <f t="shared" si="108"/>
        <v>8</v>
      </c>
      <c r="R1011" s="28">
        <f t="shared" si="109"/>
        <v>1</v>
      </c>
      <c r="S1011" s="29">
        <f t="shared" si="110"/>
        <v>100</v>
      </c>
      <c r="T1011" s="5" t="str">
        <f>IF(Delivery_Data3[[#This Row],[Delays (min)]]&gt;0,"No","Yes")</f>
        <v>Yes</v>
      </c>
      <c r="W1011" s="41">
        <f t="shared" si="111"/>
        <v>45176</v>
      </c>
      <c r="X1011" s="5">
        <v>210</v>
      </c>
    </row>
    <row r="1012" spans="1:24" ht="15.75" customHeight="1" x14ac:dyDescent="0.3">
      <c r="A1012" s="4">
        <v>2011</v>
      </c>
      <c r="B1012" s="5" t="s">
        <v>1121</v>
      </c>
      <c r="C1012" s="6">
        <v>45175.473611111112</v>
      </c>
      <c r="D1012" s="5" t="s">
        <v>43</v>
      </c>
      <c r="E1012" s="5" t="s">
        <v>68</v>
      </c>
      <c r="F1012" s="5" t="s">
        <v>38</v>
      </c>
      <c r="G1012" s="5" t="s">
        <v>25</v>
      </c>
      <c r="H1012" s="5">
        <v>217</v>
      </c>
      <c r="I1012" s="5">
        <v>29</v>
      </c>
      <c r="J1012" s="5" t="s">
        <v>26</v>
      </c>
      <c r="K1012" s="5" t="s">
        <v>19</v>
      </c>
      <c r="L1012" s="5" t="s">
        <v>28</v>
      </c>
      <c r="M1012" s="7" t="s">
        <v>21</v>
      </c>
      <c r="N1012" s="26">
        <f t="shared" si="105"/>
        <v>1</v>
      </c>
      <c r="O1012" s="42">
        <f t="shared" si="106"/>
        <v>45175</v>
      </c>
      <c r="P1012" s="5" t="str">
        <f t="shared" si="107"/>
        <v>Wednesday</v>
      </c>
      <c r="Q1012" s="5">
        <f t="shared" si="108"/>
        <v>11</v>
      </c>
      <c r="R1012" s="28">
        <f t="shared" si="109"/>
        <v>0.88211382113821135</v>
      </c>
      <c r="S1012" s="29">
        <f t="shared" si="110"/>
        <v>88.211382113821131</v>
      </c>
      <c r="T1012" s="5" t="str">
        <f>IF(Delivery_Data3[[#This Row],[Delays (min)]]&gt;0,"No","Yes")</f>
        <v>No</v>
      </c>
      <c r="W1012" s="41">
        <f t="shared" si="111"/>
        <v>45175</v>
      </c>
      <c r="X1012" s="5">
        <v>217</v>
      </c>
    </row>
    <row r="1013" spans="1:24" ht="15.75" customHeight="1" x14ac:dyDescent="0.3">
      <c r="A1013" s="4">
        <v>2012</v>
      </c>
      <c r="B1013" s="5" t="s">
        <v>1122</v>
      </c>
      <c r="C1013" s="6">
        <v>45173.479166666664</v>
      </c>
      <c r="D1013" s="5" t="s">
        <v>43</v>
      </c>
      <c r="E1013" s="5" t="s">
        <v>202</v>
      </c>
      <c r="F1013" s="5" t="s">
        <v>16</v>
      </c>
      <c r="G1013" s="5" t="s">
        <v>17</v>
      </c>
      <c r="H1013" s="5">
        <v>192</v>
      </c>
      <c r="I1013" s="5">
        <v>8</v>
      </c>
      <c r="J1013" s="5" t="s">
        <v>32</v>
      </c>
      <c r="K1013" s="5" t="s">
        <v>49</v>
      </c>
      <c r="L1013" s="5" t="s">
        <v>28</v>
      </c>
      <c r="M1013" s="7" t="s">
        <v>41</v>
      </c>
      <c r="N1013" s="26">
        <f t="shared" si="105"/>
        <v>-1</v>
      </c>
      <c r="O1013" s="42">
        <f t="shared" si="106"/>
        <v>45173</v>
      </c>
      <c r="P1013" s="5" t="str">
        <f t="shared" si="107"/>
        <v>Monday</v>
      </c>
      <c r="Q1013" s="5">
        <f t="shared" si="108"/>
        <v>11</v>
      </c>
      <c r="R1013" s="28">
        <f t="shared" si="109"/>
        <v>0.96</v>
      </c>
      <c r="S1013" s="29">
        <f t="shared" si="110"/>
        <v>96</v>
      </c>
      <c r="T1013" s="5" t="str">
        <f>IF(Delivery_Data3[[#This Row],[Delays (min)]]&gt;0,"No","Yes")</f>
        <v>No</v>
      </c>
      <c r="W1013" s="41">
        <f t="shared" si="111"/>
        <v>45173</v>
      </c>
      <c r="X1013" s="5">
        <v>192</v>
      </c>
    </row>
    <row r="1014" spans="1:24" ht="15.75" customHeight="1" x14ac:dyDescent="0.3">
      <c r="A1014" s="4">
        <v>2013</v>
      </c>
      <c r="B1014" s="5" t="s">
        <v>1123</v>
      </c>
      <c r="C1014" s="6">
        <v>45176.359027777777</v>
      </c>
      <c r="D1014" s="5" t="s">
        <v>43</v>
      </c>
      <c r="E1014" s="5" t="s">
        <v>164</v>
      </c>
      <c r="F1014" s="5" t="s">
        <v>16</v>
      </c>
      <c r="G1014" s="5" t="s">
        <v>17</v>
      </c>
      <c r="H1014" s="5">
        <v>94</v>
      </c>
      <c r="I1014" s="5">
        <v>28</v>
      </c>
      <c r="J1014" s="5" t="s">
        <v>18</v>
      </c>
      <c r="K1014" s="5" t="s">
        <v>27</v>
      </c>
      <c r="L1014" s="5" t="s">
        <v>28</v>
      </c>
      <c r="M1014" s="7" t="s">
        <v>41</v>
      </c>
      <c r="N1014" s="26">
        <f t="shared" si="105"/>
        <v>0</v>
      </c>
      <c r="O1014" s="42">
        <f t="shared" si="106"/>
        <v>45176</v>
      </c>
      <c r="P1014" s="5" t="str">
        <f t="shared" si="107"/>
        <v>Thursday</v>
      </c>
      <c r="Q1014" s="5">
        <f t="shared" si="108"/>
        <v>8</v>
      </c>
      <c r="R1014" s="28">
        <f t="shared" si="109"/>
        <v>0.77049180327868849</v>
      </c>
      <c r="S1014" s="29">
        <f t="shared" si="110"/>
        <v>77.049180327868854</v>
      </c>
      <c r="T1014" s="5" t="str">
        <f>IF(Delivery_Data3[[#This Row],[Delays (min)]]&gt;0,"No","Yes")</f>
        <v>No</v>
      </c>
      <c r="W1014" s="41">
        <f t="shared" si="111"/>
        <v>45176</v>
      </c>
      <c r="X1014" s="5">
        <v>94</v>
      </c>
    </row>
    <row r="1015" spans="1:24" ht="15.75" customHeight="1" x14ac:dyDescent="0.3">
      <c r="A1015" s="4">
        <v>2014</v>
      </c>
      <c r="B1015" s="5" t="s">
        <v>1124</v>
      </c>
      <c r="C1015" s="6">
        <v>45176.525000000001</v>
      </c>
      <c r="D1015" s="5" t="s">
        <v>43</v>
      </c>
      <c r="E1015" s="5" t="s">
        <v>44</v>
      </c>
      <c r="F1015" s="5" t="s">
        <v>16</v>
      </c>
      <c r="G1015" s="5" t="s">
        <v>25</v>
      </c>
      <c r="H1015" s="5">
        <v>221</v>
      </c>
      <c r="I1015" s="5">
        <v>8</v>
      </c>
      <c r="J1015" s="5" t="s">
        <v>32</v>
      </c>
      <c r="K1015" s="5" t="s">
        <v>45</v>
      </c>
      <c r="L1015" s="5" t="s">
        <v>40</v>
      </c>
      <c r="M1015" s="7" t="s">
        <v>46</v>
      </c>
      <c r="N1015" s="26">
        <f t="shared" si="105"/>
        <v>-1</v>
      </c>
      <c r="O1015" s="42">
        <f t="shared" si="106"/>
        <v>45176</v>
      </c>
      <c r="P1015" s="5" t="str">
        <f t="shared" si="107"/>
        <v>Thursday</v>
      </c>
      <c r="Q1015" s="5">
        <f t="shared" si="108"/>
        <v>12</v>
      </c>
      <c r="R1015" s="28">
        <f t="shared" si="109"/>
        <v>0.96506550218340614</v>
      </c>
      <c r="S1015" s="29">
        <f t="shared" si="110"/>
        <v>96.506550218340621</v>
      </c>
      <c r="T1015" s="5" t="str">
        <f>IF(Delivery_Data3[[#This Row],[Delays (min)]]&gt;0,"No","Yes")</f>
        <v>No</v>
      </c>
      <c r="W1015" s="41">
        <f t="shared" si="111"/>
        <v>45176</v>
      </c>
      <c r="X1015" s="5">
        <v>221</v>
      </c>
    </row>
    <row r="1016" spans="1:24" ht="15.75" customHeight="1" x14ac:dyDescent="0.3">
      <c r="A1016" s="4">
        <v>2015</v>
      </c>
      <c r="B1016" s="5" t="s">
        <v>1125</v>
      </c>
      <c r="C1016" s="6">
        <v>45177.436805555553</v>
      </c>
      <c r="D1016" s="5" t="s">
        <v>14</v>
      </c>
      <c r="E1016" s="5" t="s">
        <v>103</v>
      </c>
      <c r="F1016" s="5" t="s">
        <v>38</v>
      </c>
      <c r="G1016" s="5" t="s">
        <v>17</v>
      </c>
      <c r="H1016" s="5">
        <v>198</v>
      </c>
      <c r="I1016" s="5">
        <v>27</v>
      </c>
      <c r="J1016" s="5" t="s">
        <v>32</v>
      </c>
      <c r="K1016" s="5" t="s">
        <v>35</v>
      </c>
      <c r="L1016" s="5" t="s">
        <v>28</v>
      </c>
      <c r="M1016" s="7" t="s">
        <v>41</v>
      </c>
      <c r="N1016" s="26">
        <f t="shared" si="105"/>
        <v>-1</v>
      </c>
      <c r="O1016" s="42">
        <f t="shared" si="106"/>
        <v>45177</v>
      </c>
      <c r="P1016" s="5" t="str">
        <f t="shared" si="107"/>
        <v>Friday</v>
      </c>
      <c r="Q1016" s="5">
        <f t="shared" si="108"/>
        <v>10</v>
      </c>
      <c r="R1016" s="28">
        <f t="shared" si="109"/>
        <v>0.88</v>
      </c>
      <c r="S1016" s="29">
        <f t="shared" si="110"/>
        <v>88</v>
      </c>
      <c r="T1016" s="5" t="str">
        <f>IF(Delivery_Data3[[#This Row],[Delays (min)]]&gt;0,"No","Yes")</f>
        <v>No</v>
      </c>
      <c r="W1016" s="41">
        <f t="shared" si="111"/>
        <v>45177</v>
      </c>
      <c r="X1016" s="5">
        <v>198</v>
      </c>
    </row>
    <row r="1017" spans="1:24" ht="15.75" customHeight="1" x14ac:dyDescent="0.3">
      <c r="A1017" s="4">
        <v>2016</v>
      </c>
      <c r="B1017" s="5" t="s">
        <v>1126</v>
      </c>
      <c r="C1017" s="6">
        <v>45175.379861111112</v>
      </c>
      <c r="D1017" s="5" t="s">
        <v>14</v>
      </c>
      <c r="E1017" s="5" t="s">
        <v>169</v>
      </c>
      <c r="F1017" s="5" t="s">
        <v>16</v>
      </c>
      <c r="G1017" s="5" t="s">
        <v>25</v>
      </c>
      <c r="H1017" s="5">
        <v>111</v>
      </c>
      <c r="I1017" s="5">
        <v>8</v>
      </c>
      <c r="J1017" s="5" t="s">
        <v>26</v>
      </c>
      <c r="K1017" s="5" t="s">
        <v>35</v>
      </c>
      <c r="L1017" s="5" t="s">
        <v>20</v>
      </c>
      <c r="M1017" s="7" t="s">
        <v>46</v>
      </c>
      <c r="N1017" s="26">
        <f t="shared" si="105"/>
        <v>1</v>
      </c>
      <c r="O1017" s="42">
        <f t="shared" si="106"/>
        <v>45175</v>
      </c>
      <c r="P1017" s="5" t="str">
        <f t="shared" si="107"/>
        <v>Wednesday</v>
      </c>
      <c r="Q1017" s="5">
        <f t="shared" si="108"/>
        <v>9</v>
      </c>
      <c r="R1017" s="28">
        <f t="shared" si="109"/>
        <v>0.9327731092436975</v>
      </c>
      <c r="S1017" s="29">
        <f t="shared" si="110"/>
        <v>93.277310924369743</v>
      </c>
      <c r="T1017" s="5" t="str">
        <f>IF(Delivery_Data3[[#This Row],[Delays (min)]]&gt;0,"No","Yes")</f>
        <v>No</v>
      </c>
      <c r="W1017" s="41">
        <f t="shared" si="111"/>
        <v>45175</v>
      </c>
      <c r="X1017" s="5">
        <v>111</v>
      </c>
    </row>
    <row r="1018" spans="1:24" ht="15.75" customHeight="1" x14ac:dyDescent="0.3">
      <c r="A1018" s="4">
        <v>2017</v>
      </c>
      <c r="B1018" s="5" t="s">
        <v>1127</v>
      </c>
      <c r="C1018" s="6">
        <v>45176.441666666666</v>
      </c>
      <c r="D1018" s="5" t="s">
        <v>43</v>
      </c>
      <c r="E1018" s="5" t="s">
        <v>179</v>
      </c>
      <c r="F1018" s="5" t="s">
        <v>38</v>
      </c>
      <c r="G1018" s="5" t="s">
        <v>31</v>
      </c>
      <c r="H1018" s="5">
        <v>193</v>
      </c>
      <c r="I1018" s="5">
        <v>27</v>
      </c>
      <c r="J1018" s="5" t="s">
        <v>26</v>
      </c>
      <c r="K1018" s="5" t="s">
        <v>49</v>
      </c>
      <c r="L1018" s="5" t="s">
        <v>20</v>
      </c>
      <c r="M1018" s="7" t="s">
        <v>41</v>
      </c>
      <c r="N1018" s="26">
        <f t="shared" si="105"/>
        <v>1</v>
      </c>
      <c r="O1018" s="42">
        <f t="shared" si="106"/>
        <v>45176</v>
      </c>
      <c r="P1018" s="5" t="str">
        <f t="shared" si="107"/>
        <v>Thursday</v>
      </c>
      <c r="Q1018" s="5">
        <f t="shared" si="108"/>
        <v>10</v>
      </c>
      <c r="R1018" s="28">
        <f t="shared" si="109"/>
        <v>0.87727272727272732</v>
      </c>
      <c r="S1018" s="29">
        <f t="shared" si="110"/>
        <v>87.727272727272734</v>
      </c>
      <c r="T1018" s="5" t="str">
        <f>IF(Delivery_Data3[[#This Row],[Delays (min)]]&gt;0,"No","Yes")</f>
        <v>No</v>
      </c>
      <c r="W1018" s="41">
        <f t="shared" si="111"/>
        <v>45176</v>
      </c>
      <c r="X1018" s="5">
        <v>193</v>
      </c>
    </row>
    <row r="1019" spans="1:24" ht="15.75" customHeight="1" x14ac:dyDescent="0.3">
      <c r="A1019" s="4">
        <v>2018</v>
      </c>
      <c r="B1019" s="5" t="s">
        <v>1128</v>
      </c>
      <c r="C1019" s="6">
        <v>45173.472222222219</v>
      </c>
      <c r="D1019" s="5" t="s">
        <v>14</v>
      </c>
      <c r="E1019" s="5" t="s">
        <v>179</v>
      </c>
      <c r="F1019" s="5" t="s">
        <v>24</v>
      </c>
      <c r="G1019" s="5" t="s">
        <v>56</v>
      </c>
      <c r="H1019" s="5">
        <v>219</v>
      </c>
      <c r="I1019" s="5">
        <v>14</v>
      </c>
      <c r="J1019" s="5" t="s">
        <v>18</v>
      </c>
      <c r="K1019" s="5" t="s">
        <v>49</v>
      </c>
      <c r="L1019" s="5" t="s">
        <v>28</v>
      </c>
      <c r="M1019" s="7" t="s">
        <v>21</v>
      </c>
      <c r="N1019" s="26">
        <f t="shared" si="105"/>
        <v>0</v>
      </c>
      <c r="O1019" s="42">
        <f t="shared" si="106"/>
        <v>45173</v>
      </c>
      <c r="P1019" s="5" t="str">
        <f t="shared" si="107"/>
        <v>Monday</v>
      </c>
      <c r="Q1019" s="5">
        <f t="shared" si="108"/>
        <v>11</v>
      </c>
      <c r="R1019" s="28">
        <f t="shared" si="109"/>
        <v>0.93991416309012876</v>
      </c>
      <c r="S1019" s="29">
        <f t="shared" si="110"/>
        <v>93.991416309012877</v>
      </c>
      <c r="T1019" s="5" t="str">
        <f>IF(Delivery_Data3[[#This Row],[Delays (min)]]&gt;0,"No","Yes")</f>
        <v>No</v>
      </c>
      <c r="W1019" s="41">
        <f t="shared" si="111"/>
        <v>45173</v>
      </c>
      <c r="X1019" s="5">
        <v>219</v>
      </c>
    </row>
    <row r="1020" spans="1:24" ht="15.75" customHeight="1" x14ac:dyDescent="0.3">
      <c r="A1020" s="4">
        <v>2019</v>
      </c>
      <c r="B1020" s="5" t="s">
        <v>1129</v>
      </c>
      <c r="C1020" s="6">
        <v>45175.363888888889</v>
      </c>
      <c r="D1020" s="5" t="s">
        <v>14</v>
      </c>
      <c r="E1020" s="5" t="s">
        <v>109</v>
      </c>
      <c r="F1020" s="5" t="s">
        <v>38</v>
      </c>
      <c r="G1020" s="5" t="s">
        <v>31</v>
      </c>
      <c r="H1020" s="5">
        <v>84</v>
      </c>
      <c r="I1020" s="5">
        <v>13</v>
      </c>
      <c r="J1020" s="5" t="s">
        <v>32</v>
      </c>
      <c r="K1020" s="5" t="s">
        <v>45</v>
      </c>
      <c r="L1020" s="5" t="s">
        <v>40</v>
      </c>
      <c r="M1020" s="7" t="s">
        <v>21</v>
      </c>
      <c r="N1020" s="26">
        <f t="shared" si="105"/>
        <v>-1</v>
      </c>
      <c r="O1020" s="42">
        <f t="shared" si="106"/>
        <v>45175</v>
      </c>
      <c r="P1020" s="5" t="str">
        <f t="shared" si="107"/>
        <v>Wednesday</v>
      </c>
      <c r="Q1020" s="5">
        <f t="shared" si="108"/>
        <v>8</v>
      </c>
      <c r="R1020" s="28">
        <f t="shared" si="109"/>
        <v>0.865979381443299</v>
      </c>
      <c r="S1020" s="29">
        <f t="shared" si="110"/>
        <v>86.597938144329902</v>
      </c>
      <c r="T1020" s="5" t="str">
        <f>IF(Delivery_Data3[[#This Row],[Delays (min)]]&gt;0,"No","Yes")</f>
        <v>No</v>
      </c>
      <c r="W1020" s="41">
        <f t="shared" si="111"/>
        <v>45175</v>
      </c>
      <c r="X1020" s="5">
        <v>84</v>
      </c>
    </row>
    <row r="1021" spans="1:24" ht="15.75" customHeight="1" x14ac:dyDescent="0.3">
      <c r="A1021" s="4">
        <v>2020</v>
      </c>
      <c r="B1021" s="5" t="s">
        <v>1130</v>
      </c>
      <c r="C1021" s="6">
        <v>45170.656944444447</v>
      </c>
      <c r="D1021" s="5" t="s">
        <v>14</v>
      </c>
      <c r="E1021" s="5" t="s">
        <v>243</v>
      </c>
      <c r="F1021" s="5" t="s">
        <v>38</v>
      </c>
      <c r="G1021" s="5" t="s">
        <v>56</v>
      </c>
      <c r="H1021" s="5">
        <v>200</v>
      </c>
      <c r="I1021" s="5">
        <v>10</v>
      </c>
      <c r="J1021" s="5" t="s">
        <v>32</v>
      </c>
      <c r="K1021" s="5" t="s">
        <v>45</v>
      </c>
      <c r="L1021" s="5" t="s">
        <v>28</v>
      </c>
      <c r="M1021" s="7" t="s">
        <v>46</v>
      </c>
      <c r="N1021" s="26">
        <f t="shared" si="105"/>
        <v>-1</v>
      </c>
      <c r="O1021" s="42">
        <f t="shared" si="106"/>
        <v>45170</v>
      </c>
      <c r="P1021" s="5" t="str">
        <f t="shared" si="107"/>
        <v>Friday</v>
      </c>
      <c r="Q1021" s="5">
        <f t="shared" si="108"/>
        <v>15</v>
      </c>
      <c r="R1021" s="28">
        <f t="shared" si="109"/>
        <v>0.95238095238095233</v>
      </c>
      <c r="S1021" s="29">
        <f t="shared" si="110"/>
        <v>95.238095238095227</v>
      </c>
      <c r="T1021" s="5" t="str">
        <f>IF(Delivery_Data3[[#This Row],[Delays (min)]]&gt;0,"No","Yes")</f>
        <v>No</v>
      </c>
      <c r="W1021" s="41">
        <f t="shared" si="111"/>
        <v>45170</v>
      </c>
      <c r="X1021" s="5">
        <v>200</v>
      </c>
    </row>
    <row r="1022" spans="1:24" ht="15.75" customHeight="1" x14ac:dyDescent="0.3">
      <c r="A1022" s="4">
        <v>2021</v>
      </c>
      <c r="B1022" s="5" t="s">
        <v>1131</v>
      </c>
      <c r="C1022" s="6">
        <v>45175.432638888888</v>
      </c>
      <c r="D1022" s="5" t="s">
        <v>14</v>
      </c>
      <c r="E1022" s="5" t="s">
        <v>169</v>
      </c>
      <c r="F1022" s="5" t="s">
        <v>16</v>
      </c>
      <c r="G1022" s="5" t="s">
        <v>17</v>
      </c>
      <c r="H1022" s="5">
        <v>78</v>
      </c>
      <c r="I1022" s="5">
        <v>17</v>
      </c>
      <c r="J1022" s="5" t="s">
        <v>18</v>
      </c>
      <c r="K1022" s="5" t="s">
        <v>45</v>
      </c>
      <c r="L1022" s="5" t="s">
        <v>40</v>
      </c>
      <c r="M1022" s="7" t="s">
        <v>46</v>
      </c>
      <c r="N1022" s="26">
        <f t="shared" si="105"/>
        <v>0</v>
      </c>
      <c r="O1022" s="42">
        <f t="shared" si="106"/>
        <v>45175</v>
      </c>
      <c r="P1022" s="5" t="str">
        <f t="shared" si="107"/>
        <v>Wednesday</v>
      </c>
      <c r="Q1022" s="5">
        <f t="shared" si="108"/>
        <v>10</v>
      </c>
      <c r="R1022" s="28">
        <f t="shared" si="109"/>
        <v>0.82105263157894737</v>
      </c>
      <c r="S1022" s="29">
        <f t="shared" si="110"/>
        <v>82.10526315789474</v>
      </c>
      <c r="T1022" s="5" t="str">
        <f>IF(Delivery_Data3[[#This Row],[Delays (min)]]&gt;0,"No","Yes")</f>
        <v>No</v>
      </c>
      <c r="W1022" s="41">
        <f t="shared" si="111"/>
        <v>45175</v>
      </c>
      <c r="X1022" s="5">
        <v>78</v>
      </c>
    </row>
    <row r="1023" spans="1:24" ht="15.75" customHeight="1" x14ac:dyDescent="0.3">
      <c r="A1023" s="4">
        <v>2022</v>
      </c>
      <c r="B1023" s="5" t="s">
        <v>1132</v>
      </c>
      <c r="C1023" s="6">
        <v>45172.381944444445</v>
      </c>
      <c r="D1023" s="5" t="s">
        <v>14</v>
      </c>
      <c r="E1023" s="5" t="s">
        <v>211</v>
      </c>
      <c r="F1023" s="5" t="s">
        <v>16</v>
      </c>
      <c r="G1023" s="5" t="s">
        <v>56</v>
      </c>
      <c r="H1023" s="5">
        <v>111</v>
      </c>
      <c r="I1023" s="5">
        <v>18</v>
      </c>
      <c r="J1023" s="5" t="s">
        <v>32</v>
      </c>
      <c r="K1023" s="5" t="s">
        <v>19</v>
      </c>
      <c r="L1023" s="5" t="s">
        <v>28</v>
      </c>
      <c r="M1023" s="7" t="s">
        <v>46</v>
      </c>
      <c r="N1023" s="26">
        <f t="shared" si="105"/>
        <v>-1</v>
      </c>
      <c r="O1023" s="42">
        <f t="shared" si="106"/>
        <v>45172</v>
      </c>
      <c r="P1023" s="5" t="str">
        <f t="shared" si="107"/>
        <v>Sunday</v>
      </c>
      <c r="Q1023" s="5">
        <f t="shared" si="108"/>
        <v>9</v>
      </c>
      <c r="R1023" s="28">
        <f t="shared" si="109"/>
        <v>0.86046511627906974</v>
      </c>
      <c r="S1023" s="29">
        <f t="shared" si="110"/>
        <v>86.04651162790698</v>
      </c>
      <c r="T1023" s="5" t="str">
        <f>IF(Delivery_Data3[[#This Row],[Delays (min)]]&gt;0,"No","Yes")</f>
        <v>No</v>
      </c>
      <c r="W1023" s="41">
        <f t="shared" si="111"/>
        <v>45172</v>
      </c>
      <c r="X1023" s="5">
        <v>111</v>
      </c>
    </row>
    <row r="1024" spans="1:24" ht="15.75" customHeight="1" x14ac:dyDescent="0.3">
      <c r="A1024" s="4">
        <v>2023</v>
      </c>
      <c r="B1024" s="5" t="s">
        <v>1133</v>
      </c>
      <c r="C1024" s="6">
        <v>45173.643055555556</v>
      </c>
      <c r="D1024" s="5" t="s">
        <v>14</v>
      </c>
      <c r="E1024" s="5" t="s">
        <v>285</v>
      </c>
      <c r="F1024" s="5" t="s">
        <v>24</v>
      </c>
      <c r="G1024" s="5" t="s">
        <v>17</v>
      </c>
      <c r="H1024" s="5">
        <v>205</v>
      </c>
      <c r="I1024" s="5">
        <v>10</v>
      </c>
      <c r="J1024" s="5" t="s">
        <v>32</v>
      </c>
      <c r="K1024" s="5" t="s">
        <v>27</v>
      </c>
      <c r="L1024" s="5" t="s">
        <v>40</v>
      </c>
      <c r="M1024" s="7" t="s">
        <v>46</v>
      </c>
      <c r="N1024" s="26">
        <f t="shared" si="105"/>
        <v>-1</v>
      </c>
      <c r="O1024" s="42">
        <f t="shared" si="106"/>
        <v>45173</v>
      </c>
      <c r="P1024" s="5" t="str">
        <f t="shared" si="107"/>
        <v>Monday</v>
      </c>
      <c r="Q1024" s="5">
        <f t="shared" si="108"/>
        <v>15</v>
      </c>
      <c r="R1024" s="28">
        <f t="shared" si="109"/>
        <v>0.95348837209302328</v>
      </c>
      <c r="S1024" s="29">
        <f t="shared" si="110"/>
        <v>95.348837209302332</v>
      </c>
      <c r="T1024" s="5" t="str">
        <f>IF(Delivery_Data3[[#This Row],[Delays (min)]]&gt;0,"No","Yes")</f>
        <v>No</v>
      </c>
      <c r="W1024" s="41">
        <f t="shared" si="111"/>
        <v>45173</v>
      </c>
      <c r="X1024" s="5">
        <v>205</v>
      </c>
    </row>
    <row r="1025" spans="1:24" ht="15.75" customHeight="1" x14ac:dyDescent="0.3">
      <c r="A1025" s="4">
        <v>2024</v>
      </c>
      <c r="B1025" s="5" t="s">
        <v>1134</v>
      </c>
      <c r="C1025" s="6">
        <v>45173.59652777778</v>
      </c>
      <c r="D1025" s="5" t="s">
        <v>14</v>
      </c>
      <c r="E1025" s="5" t="s">
        <v>285</v>
      </c>
      <c r="F1025" s="5" t="s">
        <v>16</v>
      </c>
      <c r="G1025" s="5" t="s">
        <v>31</v>
      </c>
      <c r="H1025" s="5">
        <v>218</v>
      </c>
      <c r="I1025" s="5">
        <v>24</v>
      </c>
      <c r="J1025" s="5" t="s">
        <v>26</v>
      </c>
      <c r="K1025" s="5" t="s">
        <v>19</v>
      </c>
      <c r="L1025" s="5" t="s">
        <v>20</v>
      </c>
      <c r="M1025" s="7" t="s">
        <v>41</v>
      </c>
      <c r="N1025" s="26">
        <f t="shared" si="105"/>
        <v>1</v>
      </c>
      <c r="O1025" s="42">
        <f t="shared" si="106"/>
        <v>45173</v>
      </c>
      <c r="P1025" s="5" t="str">
        <f t="shared" si="107"/>
        <v>Monday</v>
      </c>
      <c r="Q1025" s="5">
        <f t="shared" si="108"/>
        <v>14</v>
      </c>
      <c r="R1025" s="28">
        <f t="shared" si="109"/>
        <v>0.90082644628099173</v>
      </c>
      <c r="S1025" s="29">
        <f t="shared" si="110"/>
        <v>90.082644628099175</v>
      </c>
      <c r="T1025" s="5" t="str">
        <f>IF(Delivery_Data3[[#This Row],[Delays (min)]]&gt;0,"No","Yes")</f>
        <v>No</v>
      </c>
      <c r="W1025" s="41">
        <f t="shared" si="111"/>
        <v>45173</v>
      </c>
      <c r="X1025" s="5">
        <v>218</v>
      </c>
    </row>
    <row r="1026" spans="1:24" ht="15.75" customHeight="1" x14ac:dyDescent="0.3">
      <c r="A1026" s="4">
        <v>2025</v>
      </c>
      <c r="B1026" s="5" t="s">
        <v>1135</v>
      </c>
      <c r="C1026" s="6">
        <v>45175.412499999999</v>
      </c>
      <c r="D1026" s="5" t="s">
        <v>43</v>
      </c>
      <c r="E1026" s="5" t="s">
        <v>111</v>
      </c>
      <c r="F1026" s="5" t="s">
        <v>24</v>
      </c>
      <c r="G1026" s="5" t="s">
        <v>17</v>
      </c>
      <c r="H1026" s="5">
        <v>161</v>
      </c>
      <c r="I1026" s="5">
        <v>2</v>
      </c>
      <c r="J1026" s="5" t="s">
        <v>26</v>
      </c>
      <c r="K1026" s="5" t="s">
        <v>19</v>
      </c>
      <c r="L1026" s="5" t="s">
        <v>20</v>
      </c>
      <c r="M1026" s="7" t="s">
        <v>46</v>
      </c>
      <c r="N1026" s="26">
        <f t="shared" ref="N1026:N1089" si="112">IF(J1026="Positive",1,IF(J1026="Neutral",0,IF(J1026="Negative",-1,"")))</f>
        <v>1</v>
      </c>
      <c r="O1026" s="42">
        <f t="shared" ref="O1026:O1089" si="113">INT(C1026)</f>
        <v>45175</v>
      </c>
      <c r="P1026" s="5" t="str">
        <f t="shared" ref="P1026:P1089" si="114">TEXT(C1026,"dddd")</f>
        <v>Wednesday</v>
      </c>
      <c r="Q1026" s="5">
        <f t="shared" ref="Q1026:Q1089" si="115">HOUR(C1026)</f>
        <v>9</v>
      </c>
      <c r="R1026" s="28">
        <f t="shared" ref="R1026:R1089" si="116">H1026/(H1026+I1026)</f>
        <v>0.98773006134969321</v>
      </c>
      <c r="S1026" s="29">
        <f t="shared" si="110"/>
        <v>98.773006134969322</v>
      </c>
      <c r="T1026" s="5" t="str">
        <f>IF(Delivery_Data3[[#This Row],[Delays (min)]]&gt;0,"No","Yes")</f>
        <v>No</v>
      </c>
      <c r="W1026" s="41">
        <f t="shared" si="111"/>
        <v>45175</v>
      </c>
      <c r="X1026" s="5">
        <v>161</v>
      </c>
    </row>
    <row r="1027" spans="1:24" ht="15.75" customHeight="1" x14ac:dyDescent="0.3">
      <c r="A1027" s="4">
        <v>2026</v>
      </c>
      <c r="B1027" s="5" t="s">
        <v>1136</v>
      </c>
      <c r="C1027" s="6">
        <v>45175.540277777778</v>
      </c>
      <c r="D1027" s="5" t="s">
        <v>14</v>
      </c>
      <c r="E1027" s="5" t="s">
        <v>301</v>
      </c>
      <c r="F1027" s="5" t="s">
        <v>38</v>
      </c>
      <c r="G1027" s="5" t="s">
        <v>56</v>
      </c>
      <c r="H1027" s="5">
        <v>224</v>
      </c>
      <c r="I1027" s="5">
        <v>15</v>
      </c>
      <c r="J1027" s="5" t="s">
        <v>32</v>
      </c>
      <c r="K1027" s="5" t="s">
        <v>27</v>
      </c>
      <c r="L1027" s="5" t="s">
        <v>40</v>
      </c>
      <c r="M1027" s="7" t="s">
        <v>41</v>
      </c>
      <c r="N1027" s="26">
        <f t="shared" si="112"/>
        <v>-1</v>
      </c>
      <c r="O1027" s="42">
        <f t="shared" si="113"/>
        <v>45175</v>
      </c>
      <c r="P1027" s="5" t="str">
        <f t="shared" si="114"/>
        <v>Wednesday</v>
      </c>
      <c r="Q1027" s="5">
        <f t="shared" si="115"/>
        <v>12</v>
      </c>
      <c r="R1027" s="28">
        <f t="shared" si="116"/>
        <v>0.93723849372384938</v>
      </c>
      <c r="S1027" s="29">
        <f t="shared" ref="S1027:S1090" si="117">IF(H1027+I1027=0,0,(H1027/(H1027+I1027))*100) + (IFERROR(--J1027,0)*10)</f>
        <v>93.723849372384933</v>
      </c>
      <c r="T1027" s="5" t="str">
        <f>IF(Delivery_Data3[[#This Row],[Delays (min)]]&gt;0,"No","Yes")</f>
        <v>No</v>
      </c>
      <c r="W1027" s="41">
        <f t="shared" ref="W1027:W1090" si="118">INT(C1027)</f>
        <v>45175</v>
      </c>
      <c r="X1027" s="5">
        <v>224</v>
      </c>
    </row>
    <row r="1028" spans="1:24" ht="15.75" customHeight="1" x14ac:dyDescent="0.3">
      <c r="A1028" s="4">
        <v>2027</v>
      </c>
      <c r="B1028" s="5" t="s">
        <v>1137</v>
      </c>
      <c r="C1028" s="6">
        <v>45174.598611111112</v>
      </c>
      <c r="D1028" s="5" t="s">
        <v>14</v>
      </c>
      <c r="E1028" s="5" t="s">
        <v>468</v>
      </c>
      <c r="F1028" s="5" t="s">
        <v>38</v>
      </c>
      <c r="G1028" s="5" t="s">
        <v>39</v>
      </c>
      <c r="H1028" s="5">
        <v>134</v>
      </c>
      <c r="I1028" s="5">
        <v>1</v>
      </c>
      <c r="J1028" s="5" t="s">
        <v>26</v>
      </c>
      <c r="K1028" s="5" t="s">
        <v>45</v>
      </c>
      <c r="L1028" s="5" t="s">
        <v>28</v>
      </c>
      <c r="M1028" s="7" t="s">
        <v>41</v>
      </c>
      <c r="N1028" s="26">
        <f t="shared" si="112"/>
        <v>1</v>
      </c>
      <c r="O1028" s="42">
        <f t="shared" si="113"/>
        <v>45174</v>
      </c>
      <c r="P1028" s="5" t="str">
        <f t="shared" si="114"/>
        <v>Tuesday</v>
      </c>
      <c r="Q1028" s="5">
        <f t="shared" si="115"/>
        <v>14</v>
      </c>
      <c r="R1028" s="28">
        <f t="shared" si="116"/>
        <v>0.99259259259259258</v>
      </c>
      <c r="S1028" s="29">
        <f t="shared" si="117"/>
        <v>99.259259259259252</v>
      </c>
      <c r="T1028" s="5" t="str">
        <f>IF(Delivery_Data3[[#This Row],[Delays (min)]]&gt;0,"No","Yes")</f>
        <v>No</v>
      </c>
      <c r="W1028" s="41">
        <f t="shared" si="118"/>
        <v>45174</v>
      </c>
      <c r="X1028" s="5">
        <v>134</v>
      </c>
    </row>
    <row r="1029" spans="1:24" ht="15.75" customHeight="1" x14ac:dyDescent="0.3">
      <c r="A1029" s="4">
        <v>2028</v>
      </c>
      <c r="B1029" s="5" t="s">
        <v>1138</v>
      </c>
      <c r="C1029" s="6">
        <v>45176.612500000003</v>
      </c>
      <c r="D1029" s="5" t="s">
        <v>14</v>
      </c>
      <c r="E1029" s="5" t="s">
        <v>30</v>
      </c>
      <c r="F1029" s="5" t="s">
        <v>16</v>
      </c>
      <c r="G1029" s="5" t="s">
        <v>39</v>
      </c>
      <c r="H1029" s="5">
        <v>157</v>
      </c>
      <c r="I1029" s="5">
        <v>20</v>
      </c>
      <c r="J1029" s="5" t="s">
        <v>26</v>
      </c>
      <c r="K1029" s="5" t="s">
        <v>19</v>
      </c>
      <c r="L1029" s="5" t="s">
        <v>28</v>
      </c>
      <c r="M1029" s="7" t="s">
        <v>46</v>
      </c>
      <c r="N1029" s="26">
        <f t="shared" si="112"/>
        <v>1</v>
      </c>
      <c r="O1029" s="42">
        <f t="shared" si="113"/>
        <v>45176</v>
      </c>
      <c r="P1029" s="5" t="str">
        <f t="shared" si="114"/>
        <v>Thursday</v>
      </c>
      <c r="Q1029" s="5">
        <f t="shared" si="115"/>
        <v>14</v>
      </c>
      <c r="R1029" s="28">
        <f t="shared" si="116"/>
        <v>0.88700564971751417</v>
      </c>
      <c r="S1029" s="29">
        <f t="shared" si="117"/>
        <v>88.700564971751419</v>
      </c>
      <c r="T1029" s="5" t="str">
        <f>IF(Delivery_Data3[[#This Row],[Delays (min)]]&gt;0,"No","Yes")</f>
        <v>No</v>
      </c>
      <c r="W1029" s="41">
        <f t="shared" si="118"/>
        <v>45176</v>
      </c>
      <c r="X1029" s="5">
        <v>157</v>
      </c>
    </row>
    <row r="1030" spans="1:24" ht="15.75" customHeight="1" x14ac:dyDescent="0.3">
      <c r="A1030" s="4">
        <v>2029</v>
      </c>
      <c r="B1030" s="5" t="s">
        <v>1139</v>
      </c>
      <c r="C1030" s="6">
        <v>45175.47152777778</v>
      </c>
      <c r="D1030" s="5" t="s">
        <v>14</v>
      </c>
      <c r="E1030" s="5" t="s">
        <v>113</v>
      </c>
      <c r="F1030" s="5" t="s">
        <v>24</v>
      </c>
      <c r="G1030" s="5" t="s">
        <v>17</v>
      </c>
      <c r="H1030" s="5">
        <v>139</v>
      </c>
      <c r="I1030" s="5">
        <v>3</v>
      </c>
      <c r="J1030" s="5" t="s">
        <v>26</v>
      </c>
      <c r="K1030" s="5" t="s">
        <v>49</v>
      </c>
      <c r="L1030" s="5" t="s">
        <v>28</v>
      </c>
      <c r="M1030" s="7" t="s">
        <v>41</v>
      </c>
      <c r="N1030" s="26">
        <f t="shared" si="112"/>
        <v>1</v>
      </c>
      <c r="O1030" s="42">
        <f t="shared" si="113"/>
        <v>45175</v>
      </c>
      <c r="P1030" s="5" t="str">
        <f t="shared" si="114"/>
        <v>Wednesday</v>
      </c>
      <c r="Q1030" s="5">
        <f t="shared" si="115"/>
        <v>11</v>
      </c>
      <c r="R1030" s="28">
        <f t="shared" si="116"/>
        <v>0.97887323943661975</v>
      </c>
      <c r="S1030" s="29">
        <f t="shared" si="117"/>
        <v>97.887323943661968</v>
      </c>
      <c r="T1030" s="5" t="str">
        <f>IF(Delivery_Data3[[#This Row],[Delays (min)]]&gt;0,"No","Yes")</f>
        <v>No</v>
      </c>
      <c r="W1030" s="41">
        <f t="shared" si="118"/>
        <v>45175</v>
      </c>
      <c r="X1030" s="5">
        <v>139</v>
      </c>
    </row>
    <row r="1031" spans="1:24" ht="15.75" customHeight="1" x14ac:dyDescent="0.3">
      <c r="A1031" s="4">
        <v>2030</v>
      </c>
      <c r="B1031" s="5" t="s">
        <v>1140</v>
      </c>
      <c r="C1031" s="6">
        <v>45174.538194444445</v>
      </c>
      <c r="D1031" s="5" t="s">
        <v>43</v>
      </c>
      <c r="E1031" s="5" t="s">
        <v>249</v>
      </c>
      <c r="F1031" s="5" t="s">
        <v>24</v>
      </c>
      <c r="G1031" s="5" t="s">
        <v>39</v>
      </c>
      <c r="H1031" s="5">
        <v>201</v>
      </c>
      <c r="I1031" s="5">
        <v>14</v>
      </c>
      <c r="J1031" s="5" t="s">
        <v>26</v>
      </c>
      <c r="K1031" s="5" t="s">
        <v>27</v>
      </c>
      <c r="L1031" s="5" t="s">
        <v>28</v>
      </c>
      <c r="M1031" s="7" t="s">
        <v>46</v>
      </c>
      <c r="N1031" s="26">
        <f t="shared" si="112"/>
        <v>1</v>
      </c>
      <c r="O1031" s="42">
        <f t="shared" si="113"/>
        <v>45174</v>
      </c>
      <c r="P1031" s="5" t="str">
        <f t="shared" si="114"/>
        <v>Tuesday</v>
      </c>
      <c r="Q1031" s="5">
        <f t="shared" si="115"/>
        <v>12</v>
      </c>
      <c r="R1031" s="28">
        <f t="shared" si="116"/>
        <v>0.93488372093023253</v>
      </c>
      <c r="S1031" s="29">
        <f t="shared" si="117"/>
        <v>93.488372093023258</v>
      </c>
      <c r="T1031" s="5" t="str">
        <f>IF(Delivery_Data3[[#This Row],[Delays (min)]]&gt;0,"No","Yes")</f>
        <v>No</v>
      </c>
      <c r="W1031" s="41">
        <f t="shared" si="118"/>
        <v>45174</v>
      </c>
      <c r="X1031" s="5">
        <v>201</v>
      </c>
    </row>
    <row r="1032" spans="1:24" ht="15.75" customHeight="1" x14ac:dyDescent="0.3">
      <c r="A1032" s="4">
        <v>2031</v>
      </c>
      <c r="B1032" s="5" t="s">
        <v>1141</v>
      </c>
      <c r="C1032" s="6">
        <v>45174.47152777778</v>
      </c>
      <c r="D1032" s="5" t="s">
        <v>43</v>
      </c>
      <c r="E1032" s="5" t="s">
        <v>228</v>
      </c>
      <c r="F1032" s="5" t="s">
        <v>24</v>
      </c>
      <c r="G1032" s="5" t="s">
        <v>25</v>
      </c>
      <c r="H1032" s="5">
        <v>181</v>
      </c>
      <c r="I1032" s="5">
        <v>19</v>
      </c>
      <c r="J1032" s="5" t="s">
        <v>18</v>
      </c>
      <c r="K1032" s="5" t="s">
        <v>45</v>
      </c>
      <c r="L1032" s="5" t="s">
        <v>28</v>
      </c>
      <c r="M1032" s="7" t="s">
        <v>41</v>
      </c>
      <c r="N1032" s="26">
        <f t="shared" si="112"/>
        <v>0</v>
      </c>
      <c r="O1032" s="42">
        <f t="shared" si="113"/>
        <v>45174</v>
      </c>
      <c r="P1032" s="5" t="str">
        <f t="shared" si="114"/>
        <v>Tuesday</v>
      </c>
      <c r="Q1032" s="5">
        <f t="shared" si="115"/>
        <v>11</v>
      </c>
      <c r="R1032" s="28">
        <f t="shared" si="116"/>
        <v>0.90500000000000003</v>
      </c>
      <c r="S1032" s="29">
        <f t="shared" si="117"/>
        <v>90.5</v>
      </c>
      <c r="T1032" s="5" t="str">
        <f>IF(Delivery_Data3[[#This Row],[Delays (min)]]&gt;0,"No","Yes")</f>
        <v>No</v>
      </c>
      <c r="W1032" s="41">
        <f t="shared" si="118"/>
        <v>45174</v>
      </c>
      <c r="X1032" s="5">
        <v>181</v>
      </c>
    </row>
    <row r="1033" spans="1:24" ht="15.75" customHeight="1" x14ac:dyDescent="0.3">
      <c r="A1033" s="4">
        <v>2032</v>
      </c>
      <c r="B1033" s="5" t="s">
        <v>1142</v>
      </c>
      <c r="C1033" s="6">
        <v>45174.409722222219</v>
      </c>
      <c r="D1033" s="5" t="s">
        <v>14</v>
      </c>
      <c r="E1033" s="5" t="s">
        <v>185</v>
      </c>
      <c r="F1033" s="5" t="s">
        <v>38</v>
      </c>
      <c r="G1033" s="5" t="s">
        <v>25</v>
      </c>
      <c r="H1033" s="5">
        <v>93</v>
      </c>
      <c r="I1033" s="5">
        <v>18</v>
      </c>
      <c r="J1033" s="5" t="s">
        <v>26</v>
      </c>
      <c r="K1033" s="5" t="s">
        <v>19</v>
      </c>
      <c r="L1033" s="5" t="s">
        <v>40</v>
      </c>
      <c r="M1033" s="7" t="s">
        <v>41</v>
      </c>
      <c r="N1033" s="26">
        <f t="shared" si="112"/>
        <v>1</v>
      </c>
      <c r="O1033" s="42">
        <f t="shared" si="113"/>
        <v>45174</v>
      </c>
      <c r="P1033" s="5" t="str">
        <f t="shared" si="114"/>
        <v>Tuesday</v>
      </c>
      <c r="Q1033" s="5">
        <f t="shared" si="115"/>
        <v>9</v>
      </c>
      <c r="R1033" s="28">
        <f t="shared" si="116"/>
        <v>0.83783783783783783</v>
      </c>
      <c r="S1033" s="29">
        <f t="shared" si="117"/>
        <v>83.78378378378379</v>
      </c>
      <c r="T1033" s="5" t="str">
        <f>IF(Delivery_Data3[[#This Row],[Delays (min)]]&gt;0,"No","Yes")</f>
        <v>No</v>
      </c>
      <c r="W1033" s="41">
        <f t="shared" si="118"/>
        <v>45174</v>
      </c>
      <c r="X1033" s="5">
        <v>93</v>
      </c>
    </row>
    <row r="1034" spans="1:24" ht="15.75" customHeight="1" x14ac:dyDescent="0.3">
      <c r="A1034" s="4">
        <v>2033</v>
      </c>
      <c r="B1034" s="5" t="s">
        <v>1143</v>
      </c>
      <c r="C1034" s="6">
        <v>45173.392361111109</v>
      </c>
      <c r="D1034" s="5" t="s">
        <v>43</v>
      </c>
      <c r="E1034" s="5" t="s">
        <v>220</v>
      </c>
      <c r="F1034" s="5" t="s">
        <v>38</v>
      </c>
      <c r="G1034" s="5" t="s">
        <v>31</v>
      </c>
      <c r="H1034" s="5">
        <v>150</v>
      </c>
      <c r="I1034" s="5">
        <v>3</v>
      </c>
      <c r="J1034" s="5" t="s">
        <v>32</v>
      </c>
      <c r="K1034" s="5" t="s">
        <v>45</v>
      </c>
      <c r="L1034" s="5" t="s">
        <v>40</v>
      </c>
      <c r="M1034" s="7" t="s">
        <v>46</v>
      </c>
      <c r="N1034" s="26">
        <f t="shared" si="112"/>
        <v>-1</v>
      </c>
      <c r="O1034" s="42">
        <f t="shared" si="113"/>
        <v>45173</v>
      </c>
      <c r="P1034" s="5" t="str">
        <f t="shared" si="114"/>
        <v>Monday</v>
      </c>
      <c r="Q1034" s="5">
        <f t="shared" si="115"/>
        <v>9</v>
      </c>
      <c r="R1034" s="28">
        <f t="shared" si="116"/>
        <v>0.98039215686274506</v>
      </c>
      <c r="S1034" s="29">
        <f t="shared" si="117"/>
        <v>98.039215686274503</v>
      </c>
      <c r="T1034" s="5" t="str">
        <f>IF(Delivery_Data3[[#This Row],[Delays (min)]]&gt;0,"No","Yes")</f>
        <v>No</v>
      </c>
      <c r="W1034" s="41">
        <f t="shared" si="118"/>
        <v>45173</v>
      </c>
      <c r="X1034" s="5">
        <v>150</v>
      </c>
    </row>
    <row r="1035" spans="1:24" ht="15.75" customHeight="1" x14ac:dyDescent="0.3">
      <c r="A1035" s="4">
        <v>2034</v>
      </c>
      <c r="B1035" s="5" t="s">
        <v>1144</v>
      </c>
      <c r="C1035" s="6">
        <v>45174.495138888888</v>
      </c>
      <c r="D1035" s="5" t="s">
        <v>14</v>
      </c>
      <c r="E1035" s="5" t="s">
        <v>202</v>
      </c>
      <c r="F1035" s="5" t="s">
        <v>38</v>
      </c>
      <c r="G1035" s="5" t="s">
        <v>56</v>
      </c>
      <c r="H1035" s="5">
        <v>91</v>
      </c>
      <c r="I1035" s="5">
        <v>22</v>
      </c>
      <c r="J1035" s="5" t="s">
        <v>26</v>
      </c>
      <c r="K1035" s="5" t="s">
        <v>27</v>
      </c>
      <c r="L1035" s="5" t="s">
        <v>40</v>
      </c>
      <c r="M1035" s="7" t="s">
        <v>41</v>
      </c>
      <c r="N1035" s="26">
        <f t="shared" si="112"/>
        <v>1</v>
      </c>
      <c r="O1035" s="42">
        <f t="shared" si="113"/>
        <v>45174</v>
      </c>
      <c r="P1035" s="5" t="str">
        <f t="shared" si="114"/>
        <v>Tuesday</v>
      </c>
      <c r="Q1035" s="5">
        <f t="shared" si="115"/>
        <v>11</v>
      </c>
      <c r="R1035" s="28">
        <f t="shared" si="116"/>
        <v>0.80530973451327437</v>
      </c>
      <c r="S1035" s="29">
        <f t="shared" si="117"/>
        <v>80.530973451327441</v>
      </c>
      <c r="T1035" s="5" t="str">
        <f>IF(Delivery_Data3[[#This Row],[Delays (min)]]&gt;0,"No","Yes")</f>
        <v>No</v>
      </c>
      <c r="W1035" s="41">
        <f t="shared" si="118"/>
        <v>45174</v>
      </c>
      <c r="X1035" s="5">
        <v>91</v>
      </c>
    </row>
    <row r="1036" spans="1:24" ht="15.75" customHeight="1" x14ac:dyDescent="0.3">
      <c r="A1036" s="4">
        <v>2035</v>
      </c>
      <c r="B1036" s="5" t="s">
        <v>1145</v>
      </c>
      <c r="C1036" s="6">
        <v>45177.525694444441</v>
      </c>
      <c r="D1036" s="5" t="s">
        <v>43</v>
      </c>
      <c r="E1036" s="5" t="s">
        <v>70</v>
      </c>
      <c r="F1036" s="5" t="s">
        <v>38</v>
      </c>
      <c r="G1036" s="5" t="s">
        <v>17</v>
      </c>
      <c r="H1036" s="5">
        <v>197</v>
      </c>
      <c r="I1036" s="5">
        <v>5</v>
      </c>
      <c r="J1036" s="5" t="s">
        <v>18</v>
      </c>
      <c r="K1036" s="5" t="s">
        <v>35</v>
      </c>
      <c r="L1036" s="5" t="s">
        <v>40</v>
      </c>
      <c r="M1036" s="7" t="s">
        <v>41</v>
      </c>
      <c r="N1036" s="26">
        <f t="shared" si="112"/>
        <v>0</v>
      </c>
      <c r="O1036" s="42">
        <f t="shared" si="113"/>
        <v>45177</v>
      </c>
      <c r="P1036" s="5" t="str">
        <f t="shared" si="114"/>
        <v>Friday</v>
      </c>
      <c r="Q1036" s="5">
        <f t="shared" si="115"/>
        <v>12</v>
      </c>
      <c r="R1036" s="28">
        <f t="shared" si="116"/>
        <v>0.97524752475247523</v>
      </c>
      <c r="S1036" s="29">
        <f t="shared" si="117"/>
        <v>97.524752475247524</v>
      </c>
      <c r="T1036" s="5" t="str">
        <f>IF(Delivery_Data3[[#This Row],[Delays (min)]]&gt;0,"No","Yes")</f>
        <v>No</v>
      </c>
      <c r="W1036" s="41">
        <f t="shared" si="118"/>
        <v>45177</v>
      </c>
      <c r="X1036" s="5">
        <v>197</v>
      </c>
    </row>
    <row r="1037" spans="1:24" ht="15.75" customHeight="1" x14ac:dyDescent="0.3">
      <c r="A1037" s="4">
        <v>2036</v>
      </c>
      <c r="B1037" s="5" t="s">
        <v>1146</v>
      </c>
      <c r="C1037" s="6">
        <v>45174.509722222225</v>
      </c>
      <c r="D1037" s="5" t="s">
        <v>43</v>
      </c>
      <c r="E1037" s="5" t="s">
        <v>245</v>
      </c>
      <c r="F1037" s="5" t="s">
        <v>16</v>
      </c>
      <c r="G1037" s="5" t="s">
        <v>17</v>
      </c>
      <c r="H1037" s="5">
        <v>173</v>
      </c>
      <c r="I1037" s="5">
        <v>2</v>
      </c>
      <c r="J1037" s="5" t="s">
        <v>18</v>
      </c>
      <c r="K1037" s="5" t="s">
        <v>35</v>
      </c>
      <c r="L1037" s="5" t="s">
        <v>20</v>
      </c>
      <c r="M1037" s="7" t="s">
        <v>21</v>
      </c>
      <c r="N1037" s="26">
        <f t="shared" si="112"/>
        <v>0</v>
      </c>
      <c r="O1037" s="42">
        <f t="shared" si="113"/>
        <v>45174</v>
      </c>
      <c r="P1037" s="5" t="str">
        <f t="shared" si="114"/>
        <v>Tuesday</v>
      </c>
      <c r="Q1037" s="5">
        <f t="shared" si="115"/>
        <v>12</v>
      </c>
      <c r="R1037" s="28">
        <f t="shared" si="116"/>
        <v>0.98857142857142855</v>
      </c>
      <c r="S1037" s="29">
        <f t="shared" si="117"/>
        <v>98.857142857142861</v>
      </c>
      <c r="T1037" s="5" t="str">
        <f>IF(Delivery_Data3[[#This Row],[Delays (min)]]&gt;0,"No","Yes")</f>
        <v>No</v>
      </c>
      <c r="W1037" s="41">
        <f t="shared" si="118"/>
        <v>45174</v>
      </c>
      <c r="X1037" s="5">
        <v>173</v>
      </c>
    </row>
    <row r="1038" spans="1:24" ht="15.75" customHeight="1" x14ac:dyDescent="0.3">
      <c r="A1038" s="4">
        <v>2037</v>
      </c>
      <c r="B1038" s="5" t="s">
        <v>1147</v>
      </c>
      <c r="C1038" s="6">
        <v>45170.594444444447</v>
      </c>
      <c r="D1038" s="5" t="s">
        <v>14</v>
      </c>
      <c r="E1038" s="5" t="s">
        <v>301</v>
      </c>
      <c r="F1038" s="5" t="s">
        <v>24</v>
      </c>
      <c r="G1038" s="5" t="s">
        <v>17</v>
      </c>
      <c r="H1038" s="5">
        <v>153</v>
      </c>
      <c r="I1038" s="5">
        <v>1</v>
      </c>
      <c r="J1038" s="5" t="s">
        <v>18</v>
      </c>
      <c r="K1038" s="5" t="s">
        <v>27</v>
      </c>
      <c r="L1038" s="5" t="s">
        <v>40</v>
      </c>
      <c r="M1038" s="7" t="s">
        <v>41</v>
      </c>
      <c r="N1038" s="26">
        <f t="shared" si="112"/>
        <v>0</v>
      </c>
      <c r="O1038" s="42">
        <f t="shared" si="113"/>
        <v>45170</v>
      </c>
      <c r="P1038" s="5" t="str">
        <f t="shared" si="114"/>
        <v>Friday</v>
      </c>
      <c r="Q1038" s="5">
        <f t="shared" si="115"/>
        <v>14</v>
      </c>
      <c r="R1038" s="28">
        <f t="shared" si="116"/>
        <v>0.99350649350649356</v>
      </c>
      <c r="S1038" s="29">
        <f t="shared" si="117"/>
        <v>99.350649350649363</v>
      </c>
      <c r="T1038" s="5" t="str">
        <f>IF(Delivery_Data3[[#This Row],[Delays (min)]]&gt;0,"No","Yes")</f>
        <v>No</v>
      </c>
      <c r="W1038" s="41">
        <f t="shared" si="118"/>
        <v>45170</v>
      </c>
      <c r="X1038" s="5">
        <v>153</v>
      </c>
    </row>
    <row r="1039" spans="1:24" ht="15.75" customHeight="1" x14ac:dyDescent="0.3">
      <c r="A1039" s="4">
        <v>2038</v>
      </c>
      <c r="B1039" s="5" t="s">
        <v>1148</v>
      </c>
      <c r="C1039" s="6">
        <v>45172.7</v>
      </c>
      <c r="D1039" s="5" t="s">
        <v>14</v>
      </c>
      <c r="E1039" s="5" t="s">
        <v>62</v>
      </c>
      <c r="F1039" s="5" t="s">
        <v>16</v>
      </c>
      <c r="G1039" s="5" t="s">
        <v>39</v>
      </c>
      <c r="H1039" s="5">
        <v>173</v>
      </c>
      <c r="I1039" s="5">
        <v>21</v>
      </c>
      <c r="J1039" s="5" t="s">
        <v>32</v>
      </c>
      <c r="K1039" s="5" t="s">
        <v>19</v>
      </c>
      <c r="L1039" s="5" t="s">
        <v>40</v>
      </c>
      <c r="M1039" s="7" t="s">
        <v>46</v>
      </c>
      <c r="N1039" s="26">
        <f t="shared" si="112"/>
        <v>-1</v>
      </c>
      <c r="O1039" s="42">
        <f t="shared" si="113"/>
        <v>45172</v>
      </c>
      <c r="P1039" s="5" t="str">
        <f t="shared" si="114"/>
        <v>Sunday</v>
      </c>
      <c r="Q1039" s="5">
        <f t="shared" si="115"/>
        <v>16</v>
      </c>
      <c r="R1039" s="28">
        <f t="shared" si="116"/>
        <v>0.89175257731958768</v>
      </c>
      <c r="S1039" s="29">
        <f t="shared" si="117"/>
        <v>89.175257731958766</v>
      </c>
      <c r="T1039" s="5" t="str">
        <f>IF(Delivery_Data3[[#This Row],[Delays (min)]]&gt;0,"No","Yes")</f>
        <v>No</v>
      </c>
      <c r="W1039" s="41">
        <f t="shared" si="118"/>
        <v>45172</v>
      </c>
      <c r="X1039" s="5">
        <v>173</v>
      </c>
    </row>
    <row r="1040" spans="1:24" ht="15.75" customHeight="1" x14ac:dyDescent="0.3">
      <c r="A1040" s="4">
        <v>2039</v>
      </c>
      <c r="B1040" s="5" t="s">
        <v>1149</v>
      </c>
      <c r="C1040" s="6">
        <v>45170.426388888889</v>
      </c>
      <c r="D1040" s="5" t="s">
        <v>14</v>
      </c>
      <c r="E1040" s="5" t="s">
        <v>23</v>
      </c>
      <c r="F1040" s="5" t="s">
        <v>24</v>
      </c>
      <c r="G1040" s="5" t="s">
        <v>17</v>
      </c>
      <c r="H1040" s="5">
        <v>179</v>
      </c>
      <c r="I1040" s="5">
        <v>14</v>
      </c>
      <c r="J1040" s="5" t="s">
        <v>18</v>
      </c>
      <c r="K1040" s="5" t="s">
        <v>49</v>
      </c>
      <c r="L1040" s="5" t="s">
        <v>40</v>
      </c>
      <c r="M1040" s="7" t="s">
        <v>41</v>
      </c>
      <c r="N1040" s="26">
        <f t="shared" si="112"/>
        <v>0</v>
      </c>
      <c r="O1040" s="42">
        <f t="shared" si="113"/>
        <v>45170</v>
      </c>
      <c r="P1040" s="5" t="str">
        <f t="shared" si="114"/>
        <v>Friday</v>
      </c>
      <c r="Q1040" s="5">
        <f t="shared" si="115"/>
        <v>10</v>
      </c>
      <c r="R1040" s="28">
        <f t="shared" si="116"/>
        <v>0.92746113989637302</v>
      </c>
      <c r="S1040" s="29">
        <f t="shared" si="117"/>
        <v>92.746113989637308</v>
      </c>
      <c r="T1040" s="5" t="str">
        <f>IF(Delivery_Data3[[#This Row],[Delays (min)]]&gt;0,"No","Yes")</f>
        <v>No</v>
      </c>
      <c r="W1040" s="41">
        <f t="shared" si="118"/>
        <v>45170</v>
      </c>
      <c r="X1040" s="5">
        <v>179</v>
      </c>
    </row>
    <row r="1041" spans="1:24" ht="15.75" customHeight="1" x14ac:dyDescent="0.3">
      <c r="A1041" s="4">
        <v>2040</v>
      </c>
      <c r="B1041" s="5" t="s">
        <v>1150</v>
      </c>
      <c r="C1041" s="6">
        <v>45176.563888888886</v>
      </c>
      <c r="D1041" s="5" t="s">
        <v>14</v>
      </c>
      <c r="E1041" s="5" t="s">
        <v>115</v>
      </c>
      <c r="F1041" s="5" t="s">
        <v>16</v>
      </c>
      <c r="G1041" s="5" t="s">
        <v>56</v>
      </c>
      <c r="H1041" s="5">
        <v>237</v>
      </c>
      <c r="I1041" s="5">
        <v>7</v>
      </c>
      <c r="J1041" s="5" t="s">
        <v>26</v>
      </c>
      <c r="K1041" s="5" t="s">
        <v>19</v>
      </c>
      <c r="L1041" s="5" t="s">
        <v>40</v>
      </c>
      <c r="M1041" s="7" t="s">
        <v>21</v>
      </c>
      <c r="N1041" s="26">
        <f t="shared" si="112"/>
        <v>1</v>
      </c>
      <c r="O1041" s="42">
        <f t="shared" si="113"/>
        <v>45176</v>
      </c>
      <c r="P1041" s="5" t="str">
        <f t="shared" si="114"/>
        <v>Thursday</v>
      </c>
      <c r="Q1041" s="5">
        <f t="shared" si="115"/>
        <v>13</v>
      </c>
      <c r="R1041" s="28">
        <f t="shared" si="116"/>
        <v>0.97131147540983609</v>
      </c>
      <c r="S1041" s="29">
        <f t="shared" si="117"/>
        <v>97.131147540983605</v>
      </c>
      <c r="T1041" s="5" t="str">
        <f>IF(Delivery_Data3[[#This Row],[Delays (min)]]&gt;0,"No","Yes")</f>
        <v>No</v>
      </c>
      <c r="W1041" s="41">
        <f t="shared" si="118"/>
        <v>45176</v>
      </c>
      <c r="X1041" s="5">
        <v>237</v>
      </c>
    </row>
    <row r="1042" spans="1:24" ht="15.75" customHeight="1" x14ac:dyDescent="0.3">
      <c r="A1042" s="4">
        <v>2041</v>
      </c>
      <c r="B1042" s="5" t="s">
        <v>1151</v>
      </c>
      <c r="C1042" s="6">
        <v>45177.443055555559</v>
      </c>
      <c r="D1042" s="5" t="s">
        <v>43</v>
      </c>
      <c r="E1042" s="5" t="s">
        <v>78</v>
      </c>
      <c r="F1042" s="5" t="s">
        <v>16</v>
      </c>
      <c r="G1042" s="5" t="s">
        <v>31</v>
      </c>
      <c r="H1042" s="5">
        <v>218</v>
      </c>
      <c r="I1042" s="5">
        <v>28</v>
      </c>
      <c r="J1042" s="5" t="s">
        <v>26</v>
      </c>
      <c r="K1042" s="5" t="s">
        <v>49</v>
      </c>
      <c r="L1042" s="5" t="s">
        <v>28</v>
      </c>
      <c r="M1042" s="7" t="s">
        <v>41</v>
      </c>
      <c r="N1042" s="26">
        <f t="shared" si="112"/>
        <v>1</v>
      </c>
      <c r="O1042" s="42">
        <f t="shared" si="113"/>
        <v>45177</v>
      </c>
      <c r="P1042" s="5" t="str">
        <f t="shared" si="114"/>
        <v>Friday</v>
      </c>
      <c r="Q1042" s="5">
        <f t="shared" si="115"/>
        <v>10</v>
      </c>
      <c r="R1042" s="28">
        <f t="shared" si="116"/>
        <v>0.88617886178861793</v>
      </c>
      <c r="S1042" s="29">
        <f t="shared" si="117"/>
        <v>88.617886178861795</v>
      </c>
      <c r="T1042" s="5" t="str">
        <f>IF(Delivery_Data3[[#This Row],[Delays (min)]]&gt;0,"No","Yes")</f>
        <v>No</v>
      </c>
      <c r="W1042" s="41">
        <f t="shared" si="118"/>
        <v>45177</v>
      </c>
      <c r="X1042" s="5">
        <v>218</v>
      </c>
    </row>
    <row r="1043" spans="1:24" ht="15.75" customHeight="1" x14ac:dyDescent="0.3">
      <c r="A1043" s="4">
        <v>2042</v>
      </c>
      <c r="B1043" s="5" t="s">
        <v>1152</v>
      </c>
      <c r="C1043" s="6">
        <v>45174.48333333333</v>
      </c>
      <c r="D1043" s="5" t="s">
        <v>14</v>
      </c>
      <c r="E1043" s="5" t="s">
        <v>179</v>
      </c>
      <c r="F1043" s="5" t="s">
        <v>24</v>
      </c>
      <c r="G1043" s="5" t="s">
        <v>39</v>
      </c>
      <c r="H1043" s="5">
        <v>238</v>
      </c>
      <c r="I1043" s="5">
        <v>8</v>
      </c>
      <c r="J1043" s="5" t="s">
        <v>18</v>
      </c>
      <c r="K1043" s="5" t="s">
        <v>45</v>
      </c>
      <c r="L1043" s="5" t="s">
        <v>28</v>
      </c>
      <c r="M1043" s="7" t="s">
        <v>46</v>
      </c>
      <c r="N1043" s="26">
        <f t="shared" si="112"/>
        <v>0</v>
      </c>
      <c r="O1043" s="42">
        <f t="shared" si="113"/>
        <v>45174</v>
      </c>
      <c r="P1043" s="5" t="str">
        <f t="shared" si="114"/>
        <v>Tuesday</v>
      </c>
      <c r="Q1043" s="5">
        <f t="shared" si="115"/>
        <v>11</v>
      </c>
      <c r="R1043" s="28">
        <f t="shared" si="116"/>
        <v>0.96747967479674801</v>
      </c>
      <c r="S1043" s="29">
        <f t="shared" si="117"/>
        <v>96.747967479674799</v>
      </c>
      <c r="T1043" s="5" t="str">
        <f>IF(Delivery_Data3[[#This Row],[Delays (min)]]&gt;0,"No","Yes")</f>
        <v>No</v>
      </c>
      <c r="W1043" s="41">
        <f t="shared" si="118"/>
        <v>45174</v>
      </c>
      <c r="X1043" s="5">
        <v>238</v>
      </c>
    </row>
    <row r="1044" spans="1:24" ht="15.75" customHeight="1" x14ac:dyDescent="0.3">
      <c r="A1044" s="4">
        <v>2043</v>
      </c>
      <c r="B1044" s="5" t="s">
        <v>1153</v>
      </c>
      <c r="C1044" s="6">
        <v>45172.385416666664</v>
      </c>
      <c r="D1044" s="5" t="s">
        <v>14</v>
      </c>
      <c r="E1044" s="5" t="s">
        <v>403</v>
      </c>
      <c r="F1044" s="5" t="s">
        <v>24</v>
      </c>
      <c r="G1044" s="5" t="s">
        <v>25</v>
      </c>
      <c r="H1044" s="5">
        <v>131</v>
      </c>
      <c r="I1044" s="5">
        <v>7</v>
      </c>
      <c r="J1044" s="5" t="s">
        <v>18</v>
      </c>
      <c r="K1044" s="5" t="s">
        <v>35</v>
      </c>
      <c r="L1044" s="5" t="s">
        <v>20</v>
      </c>
      <c r="M1044" s="7" t="s">
        <v>41</v>
      </c>
      <c r="N1044" s="26">
        <f t="shared" si="112"/>
        <v>0</v>
      </c>
      <c r="O1044" s="42">
        <f t="shared" si="113"/>
        <v>45172</v>
      </c>
      <c r="P1044" s="5" t="str">
        <f t="shared" si="114"/>
        <v>Sunday</v>
      </c>
      <c r="Q1044" s="5">
        <f t="shared" si="115"/>
        <v>9</v>
      </c>
      <c r="R1044" s="28">
        <f t="shared" si="116"/>
        <v>0.94927536231884058</v>
      </c>
      <c r="S1044" s="29">
        <f t="shared" si="117"/>
        <v>94.927536231884062</v>
      </c>
      <c r="T1044" s="5" t="str">
        <f>IF(Delivery_Data3[[#This Row],[Delays (min)]]&gt;0,"No","Yes")</f>
        <v>No</v>
      </c>
      <c r="W1044" s="41">
        <f t="shared" si="118"/>
        <v>45172</v>
      </c>
      <c r="X1044" s="5">
        <v>131</v>
      </c>
    </row>
    <row r="1045" spans="1:24" ht="15.75" customHeight="1" x14ac:dyDescent="0.3">
      <c r="A1045" s="4">
        <v>2044</v>
      </c>
      <c r="B1045" s="5" t="s">
        <v>1154</v>
      </c>
      <c r="C1045" s="6">
        <v>45177.375</v>
      </c>
      <c r="D1045" s="5" t="s">
        <v>14</v>
      </c>
      <c r="E1045" s="5" t="s">
        <v>249</v>
      </c>
      <c r="F1045" s="5" t="s">
        <v>16</v>
      </c>
      <c r="G1045" s="5" t="s">
        <v>25</v>
      </c>
      <c r="H1045" s="5">
        <v>182</v>
      </c>
      <c r="I1045" s="5">
        <v>17</v>
      </c>
      <c r="J1045" s="5" t="s">
        <v>32</v>
      </c>
      <c r="K1045" s="5" t="s">
        <v>35</v>
      </c>
      <c r="L1045" s="5" t="s">
        <v>40</v>
      </c>
      <c r="M1045" s="7" t="s">
        <v>41</v>
      </c>
      <c r="N1045" s="26">
        <f t="shared" si="112"/>
        <v>-1</v>
      </c>
      <c r="O1045" s="42">
        <f t="shared" si="113"/>
        <v>45177</v>
      </c>
      <c r="P1045" s="5" t="str">
        <f t="shared" si="114"/>
        <v>Friday</v>
      </c>
      <c r="Q1045" s="5">
        <f t="shared" si="115"/>
        <v>9</v>
      </c>
      <c r="R1045" s="28">
        <f t="shared" si="116"/>
        <v>0.914572864321608</v>
      </c>
      <c r="S1045" s="29">
        <f t="shared" si="117"/>
        <v>91.457286432160799</v>
      </c>
      <c r="T1045" s="5" t="str">
        <f>IF(Delivery_Data3[[#This Row],[Delays (min)]]&gt;0,"No","Yes")</f>
        <v>No</v>
      </c>
      <c r="W1045" s="41">
        <f t="shared" si="118"/>
        <v>45177</v>
      </c>
      <c r="X1045" s="5">
        <v>182</v>
      </c>
    </row>
    <row r="1046" spans="1:24" ht="15.75" customHeight="1" x14ac:dyDescent="0.3">
      <c r="A1046" s="4">
        <v>2045</v>
      </c>
      <c r="B1046" s="5" t="s">
        <v>264</v>
      </c>
      <c r="C1046" s="6">
        <v>45172.418749999997</v>
      </c>
      <c r="D1046" s="5" t="s">
        <v>43</v>
      </c>
      <c r="E1046" s="5" t="s">
        <v>204</v>
      </c>
      <c r="F1046" s="5" t="s">
        <v>24</v>
      </c>
      <c r="G1046" s="5" t="s">
        <v>31</v>
      </c>
      <c r="H1046" s="5">
        <v>102</v>
      </c>
      <c r="I1046" s="5">
        <v>4</v>
      </c>
      <c r="J1046" s="5" t="s">
        <v>26</v>
      </c>
      <c r="K1046" s="5" t="s">
        <v>19</v>
      </c>
      <c r="L1046" s="5" t="s">
        <v>20</v>
      </c>
      <c r="M1046" s="7" t="s">
        <v>21</v>
      </c>
      <c r="N1046" s="26">
        <f t="shared" si="112"/>
        <v>1</v>
      </c>
      <c r="O1046" s="42">
        <f t="shared" si="113"/>
        <v>45172</v>
      </c>
      <c r="P1046" s="5" t="str">
        <f t="shared" si="114"/>
        <v>Sunday</v>
      </c>
      <c r="Q1046" s="5">
        <f t="shared" si="115"/>
        <v>10</v>
      </c>
      <c r="R1046" s="28">
        <f t="shared" si="116"/>
        <v>0.96226415094339623</v>
      </c>
      <c r="S1046" s="29">
        <f t="shared" si="117"/>
        <v>96.226415094339629</v>
      </c>
      <c r="T1046" s="5" t="str">
        <f>IF(Delivery_Data3[[#This Row],[Delays (min)]]&gt;0,"No","Yes")</f>
        <v>No</v>
      </c>
      <c r="W1046" s="41">
        <f t="shared" si="118"/>
        <v>45172</v>
      </c>
      <c r="X1046" s="5">
        <v>102</v>
      </c>
    </row>
    <row r="1047" spans="1:24" ht="15.75" customHeight="1" x14ac:dyDescent="0.3">
      <c r="A1047" s="4">
        <v>2046</v>
      </c>
      <c r="B1047" s="5" t="s">
        <v>1155</v>
      </c>
      <c r="C1047" s="6">
        <v>45177.413194444445</v>
      </c>
      <c r="D1047" s="5" t="s">
        <v>14</v>
      </c>
      <c r="E1047" s="5" t="s">
        <v>220</v>
      </c>
      <c r="F1047" s="5" t="s">
        <v>16</v>
      </c>
      <c r="G1047" s="5" t="s">
        <v>17</v>
      </c>
      <c r="H1047" s="5">
        <v>102</v>
      </c>
      <c r="I1047" s="5">
        <v>24</v>
      </c>
      <c r="J1047" s="5" t="s">
        <v>32</v>
      </c>
      <c r="K1047" s="5" t="s">
        <v>27</v>
      </c>
      <c r="L1047" s="5" t="s">
        <v>20</v>
      </c>
      <c r="M1047" s="7" t="s">
        <v>46</v>
      </c>
      <c r="N1047" s="26">
        <f t="shared" si="112"/>
        <v>-1</v>
      </c>
      <c r="O1047" s="42">
        <f t="shared" si="113"/>
        <v>45177</v>
      </c>
      <c r="P1047" s="5" t="str">
        <f t="shared" si="114"/>
        <v>Friday</v>
      </c>
      <c r="Q1047" s="5">
        <f t="shared" si="115"/>
        <v>9</v>
      </c>
      <c r="R1047" s="28">
        <f t="shared" si="116"/>
        <v>0.80952380952380953</v>
      </c>
      <c r="S1047" s="29">
        <f t="shared" si="117"/>
        <v>80.952380952380949</v>
      </c>
      <c r="T1047" s="5" t="str">
        <f>IF(Delivery_Data3[[#This Row],[Delays (min)]]&gt;0,"No","Yes")</f>
        <v>No</v>
      </c>
      <c r="W1047" s="41">
        <f t="shared" si="118"/>
        <v>45177</v>
      </c>
      <c r="X1047" s="5">
        <v>102</v>
      </c>
    </row>
    <row r="1048" spans="1:24" ht="15.75" customHeight="1" x14ac:dyDescent="0.3">
      <c r="A1048" s="4">
        <v>2047</v>
      </c>
      <c r="B1048" s="5" t="s">
        <v>1156</v>
      </c>
      <c r="C1048" s="6">
        <v>45175.354166666664</v>
      </c>
      <c r="D1048" s="5" t="s">
        <v>43</v>
      </c>
      <c r="E1048" s="5" t="s">
        <v>156</v>
      </c>
      <c r="F1048" s="5" t="s">
        <v>24</v>
      </c>
      <c r="G1048" s="5" t="s">
        <v>25</v>
      </c>
      <c r="H1048" s="5">
        <v>121</v>
      </c>
      <c r="I1048" s="5">
        <v>0</v>
      </c>
      <c r="J1048" s="5" t="s">
        <v>26</v>
      </c>
      <c r="K1048" s="5" t="s">
        <v>19</v>
      </c>
      <c r="L1048" s="5" t="s">
        <v>40</v>
      </c>
      <c r="M1048" s="7" t="s">
        <v>41</v>
      </c>
      <c r="N1048" s="26">
        <f t="shared" si="112"/>
        <v>1</v>
      </c>
      <c r="O1048" s="42">
        <f t="shared" si="113"/>
        <v>45175</v>
      </c>
      <c r="P1048" s="5" t="str">
        <f t="shared" si="114"/>
        <v>Wednesday</v>
      </c>
      <c r="Q1048" s="5">
        <f t="shared" si="115"/>
        <v>8</v>
      </c>
      <c r="R1048" s="28">
        <f t="shared" si="116"/>
        <v>1</v>
      </c>
      <c r="S1048" s="29">
        <f t="shared" si="117"/>
        <v>100</v>
      </c>
      <c r="T1048" s="5" t="str">
        <f>IF(Delivery_Data3[[#This Row],[Delays (min)]]&gt;0,"No","Yes")</f>
        <v>Yes</v>
      </c>
      <c r="W1048" s="41">
        <f t="shared" si="118"/>
        <v>45175</v>
      </c>
      <c r="X1048" s="5">
        <v>121</v>
      </c>
    </row>
    <row r="1049" spans="1:24" ht="15.75" customHeight="1" x14ac:dyDescent="0.3">
      <c r="A1049" s="4">
        <v>2048</v>
      </c>
      <c r="B1049" s="5" t="s">
        <v>1157</v>
      </c>
      <c r="C1049" s="6">
        <v>45175.539583333331</v>
      </c>
      <c r="D1049" s="5" t="s">
        <v>43</v>
      </c>
      <c r="E1049" s="5" t="s">
        <v>140</v>
      </c>
      <c r="F1049" s="5" t="s">
        <v>38</v>
      </c>
      <c r="G1049" s="5" t="s">
        <v>31</v>
      </c>
      <c r="H1049" s="5">
        <v>232</v>
      </c>
      <c r="I1049" s="5">
        <v>24</v>
      </c>
      <c r="J1049" s="5" t="s">
        <v>32</v>
      </c>
      <c r="K1049" s="5" t="s">
        <v>27</v>
      </c>
      <c r="L1049" s="5" t="s">
        <v>20</v>
      </c>
      <c r="M1049" s="7" t="s">
        <v>41</v>
      </c>
      <c r="N1049" s="26">
        <f t="shared" si="112"/>
        <v>-1</v>
      </c>
      <c r="O1049" s="42">
        <f t="shared" si="113"/>
        <v>45175</v>
      </c>
      <c r="P1049" s="5" t="str">
        <f t="shared" si="114"/>
        <v>Wednesday</v>
      </c>
      <c r="Q1049" s="5">
        <f t="shared" si="115"/>
        <v>12</v>
      </c>
      <c r="R1049" s="28">
        <f t="shared" si="116"/>
        <v>0.90625</v>
      </c>
      <c r="S1049" s="29">
        <f t="shared" si="117"/>
        <v>90.625</v>
      </c>
      <c r="T1049" s="5" t="str">
        <f>IF(Delivery_Data3[[#This Row],[Delays (min)]]&gt;0,"No","Yes")</f>
        <v>No</v>
      </c>
      <c r="W1049" s="41">
        <f t="shared" si="118"/>
        <v>45175</v>
      </c>
      <c r="X1049" s="5">
        <v>232</v>
      </c>
    </row>
    <row r="1050" spans="1:24" ht="15.75" customHeight="1" x14ac:dyDescent="0.3">
      <c r="A1050" s="4">
        <v>2049</v>
      </c>
      <c r="B1050" s="5" t="s">
        <v>1158</v>
      </c>
      <c r="C1050" s="6">
        <v>45176.470833333333</v>
      </c>
      <c r="D1050" s="5" t="s">
        <v>14</v>
      </c>
      <c r="E1050" s="5" t="s">
        <v>58</v>
      </c>
      <c r="F1050" s="5" t="s">
        <v>16</v>
      </c>
      <c r="G1050" s="5" t="s">
        <v>17</v>
      </c>
      <c r="H1050" s="5">
        <v>100</v>
      </c>
      <c r="I1050" s="5">
        <v>12</v>
      </c>
      <c r="J1050" s="5" t="s">
        <v>26</v>
      </c>
      <c r="K1050" s="5" t="s">
        <v>49</v>
      </c>
      <c r="L1050" s="5" t="s">
        <v>20</v>
      </c>
      <c r="M1050" s="7" t="s">
        <v>41</v>
      </c>
      <c r="N1050" s="26">
        <f t="shared" si="112"/>
        <v>1</v>
      </c>
      <c r="O1050" s="42">
        <f t="shared" si="113"/>
        <v>45176</v>
      </c>
      <c r="P1050" s="5" t="str">
        <f t="shared" si="114"/>
        <v>Thursday</v>
      </c>
      <c r="Q1050" s="5">
        <f t="shared" si="115"/>
        <v>11</v>
      </c>
      <c r="R1050" s="28">
        <f t="shared" si="116"/>
        <v>0.8928571428571429</v>
      </c>
      <c r="S1050" s="29">
        <f t="shared" si="117"/>
        <v>89.285714285714292</v>
      </c>
      <c r="T1050" s="5" t="str">
        <f>IF(Delivery_Data3[[#This Row],[Delays (min)]]&gt;0,"No","Yes")</f>
        <v>No</v>
      </c>
      <c r="W1050" s="41">
        <f t="shared" si="118"/>
        <v>45176</v>
      </c>
      <c r="X1050" s="5">
        <v>100</v>
      </c>
    </row>
    <row r="1051" spans="1:24" ht="15.75" customHeight="1" x14ac:dyDescent="0.3">
      <c r="A1051" s="4">
        <v>2050</v>
      </c>
      <c r="B1051" s="5" t="s">
        <v>1159</v>
      </c>
      <c r="C1051" s="6">
        <v>45177.556250000001</v>
      </c>
      <c r="D1051" s="5" t="s">
        <v>43</v>
      </c>
      <c r="E1051" s="5" t="s">
        <v>215</v>
      </c>
      <c r="F1051" s="5" t="s">
        <v>38</v>
      </c>
      <c r="G1051" s="5" t="s">
        <v>25</v>
      </c>
      <c r="H1051" s="5">
        <v>123</v>
      </c>
      <c r="I1051" s="5">
        <v>26</v>
      </c>
      <c r="J1051" s="5" t="s">
        <v>18</v>
      </c>
      <c r="K1051" s="5" t="s">
        <v>27</v>
      </c>
      <c r="L1051" s="5" t="s">
        <v>28</v>
      </c>
      <c r="M1051" s="7" t="s">
        <v>46</v>
      </c>
      <c r="N1051" s="26">
        <f t="shared" si="112"/>
        <v>0</v>
      </c>
      <c r="O1051" s="42">
        <f t="shared" si="113"/>
        <v>45177</v>
      </c>
      <c r="P1051" s="5" t="str">
        <f t="shared" si="114"/>
        <v>Friday</v>
      </c>
      <c r="Q1051" s="5">
        <f t="shared" si="115"/>
        <v>13</v>
      </c>
      <c r="R1051" s="28">
        <f t="shared" si="116"/>
        <v>0.82550335570469802</v>
      </c>
      <c r="S1051" s="29">
        <f t="shared" si="117"/>
        <v>82.550335570469798</v>
      </c>
      <c r="T1051" s="5" t="str">
        <f>IF(Delivery_Data3[[#This Row],[Delays (min)]]&gt;0,"No","Yes")</f>
        <v>No</v>
      </c>
      <c r="W1051" s="41">
        <f t="shared" si="118"/>
        <v>45177</v>
      </c>
      <c r="X1051" s="5">
        <v>123</v>
      </c>
    </row>
    <row r="1052" spans="1:24" ht="15.75" customHeight="1" x14ac:dyDescent="0.3">
      <c r="A1052" s="4">
        <v>2051</v>
      </c>
      <c r="B1052" s="5" t="s">
        <v>1160</v>
      </c>
      <c r="C1052" s="6">
        <v>45172.45416666667</v>
      </c>
      <c r="D1052" s="5" t="s">
        <v>14</v>
      </c>
      <c r="E1052" s="5" t="s">
        <v>177</v>
      </c>
      <c r="F1052" s="5" t="s">
        <v>38</v>
      </c>
      <c r="G1052" s="5" t="s">
        <v>17</v>
      </c>
      <c r="H1052" s="5">
        <v>147</v>
      </c>
      <c r="I1052" s="5">
        <v>28</v>
      </c>
      <c r="J1052" s="5" t="s">
        <v>32</v>
      </c>
      <c r="K1052" s="5" t="s">
        <v>45</v>
      </c>
      <c r="L1052" s="5" t="s">
        <v>40</v>
      </c>
      <c r="M1052" s="7" t="s">
        <v>41</v>
      </c>
      <c r="N1052" s="26">
        <f t="shared" si="112"/>
        <v>-1</v>
      </c>
      <c r="O1052" s="42">
        <f t="shared" si="113"/>
        <v>45172</v>
      </c>
      <c r="P1052" s="5" t="str">
        <f t="shared" si="114"/>
        <v>Sunday</v>
      </c>
      <c r="Q1052" s="5">
        <f t="shared" si="115"/>
        <v>10</v>
      </c>
      <c r="R1052" s="28">
        <f t="shared" si="116"/>
        <v>0.84</v>
      </c>
      <c r="S1052" s="29">
        <f t="shared" si="117"/>
        <v>84</v>
      </c>
      <c r="T1052" s="5" t="str">
        <f>IF(Delivery_Data3[[#This Row],[Delays (min)]]&gt;0,"No","Yes")</f>
        <v>No</v>
      </c>
      <c r="W1052" s="41">
        <f t="shared" si="118"/>
        <v>45172</v>
      </c>
      <c r="X1052" s="5">
        <v>147</v>
      </c>
    </row>
    <row r="1053" spans="1:24" ht="15.75" customHeight="1" x14ac:dyDescent="0.3">
      <c r="A1053" s="4">
        <v>2052</v>
      </c>
      <c r="B1053" s="5" t="s">
        <v>1161</v>
      </c>
      <c r="C1053" s="6">
        <v>45170.34375</v>
      </c>
      <c r="D1053" s="5" t="s">
        <v>43</v>
      </c>
      <c r="E1053" s="5" t="s">
        <v>135</v>
      </c>
      <c r="F1053" s="5" t="s">
        <v>16</v>
      </c>
      <c r="G1053" s="5" t="s">
        <v>31</v>
      </c>
      <c r="H1053" s="5">
        <v>172</v>
      </c>
      <c r="I1053" s="5">
        <v>3</v>
      </c>
      <c r="J1053" s="5" t="s">
        <v>32</v>
      </c>
      <c r="K1053" s="5" t="s">
        <v>45</v>
      </c>
      <c r="L1053" s="5" t="s">
        <v>20</v>
      </c>
      <c r="M1053" s="7" t="s">
        <v>46</v>
      </c>
      <c r="N1053" s="26">
        <f t="shared" si="112"/>
        <v>-1</v>
      </c>
      <c r="O1053" s="42">
        <f t="shared" si="113"/>
        <v>45170</v>
      </c>
      <c r="P1053" s="5" t="str">
        <f t="shared" si="114"/>
        <v>Friday</v>
      </c>
      <c r="Q1053" s="5">
        <f t="shared" si="115"/>
        <v>8</v>
      </c>
      <c r="R1053" s="28">
        <f t="shared" si="116"/>
        <v>0.98285714285714287</v>
      </c>
      <c r="S1053" s="29">
        <f t="shared" si="117"/>
        <v>98.285714285714292</v>
      </c>
      <c r="T1053" s="5" t="str">
        <f>IF(Delivery_Data3[[#This Row],[Delays (min)]]&gt;0,"No","Yes")</f>
        <v>No</v>
      </c>
      <c r="W1053" s="41">
        <f t="shared" si="118"/>
        <v>45170</v>
      </c>
      <c r="X1053" s="5">
        <v>172</v>
      </c>
    </row>
    <row r="1054" spans="1:24" ht="15.75" customHeight="1" x14ac:dyDescent="0.3">
      <c r="A1054" s="4">
        <v>2053</v>
      </c>
      <c r="B1054" s="5" t="s">
        <v>1162</v>
      </c>
      <c r="C1054" s="6">
        <v>45174.34652777778</v>
      </c>
      <c r="D1054" s="5" t="s">
        <v>14</v>
      </c>
      <c r="E1054" s="5" t="s">
        <v>285</v>
      </c>
      <c r="F1054" s="5" t="s">
        <v>24</v>
      </c>
      <c r="G1054" s="5" t="s">
        <v>25</v>
      </c>
      <c r="H1054" s="5">
        <v>238</v>
      </c>
      <c r="I1054" s="5">
        <v>29</v>
      </c>
      <c r="J1054" s="5" t="s">
        <v>26</v>
      </c>
      <c r="K1054" s="5" t="s">
        <v>35</v>
      </c>
      <c r="L1054" s="5" t="s">
        <v>40</v>
      </c>
      <c r="M1054" s="7" t="s">
        <v>41</v>
      </c>
      <c r="N1054" s="26">
        <f t="shared" si="112"/>
        <v>1</v>
      </c>
      <c r="O1054" s="42">
        <f t="shared" si="113"/>
        <v>45174</v>
      </c>
      <c r="P1054" s="5" t="str">
        <f t="shared" si="114"/>
        <v>Tuesday</v>
      </c>
      <c r="Q1054" s="5">
        <f t="shared" si="115"/>
        <v>8</v>
      </c>
      <c r="R1054" s="28">
        <f t="shared" si="116"/>
        <v>0.89138576779026213</v>
      </c>
      <c r="S1054" s="29">
        <f t="shared" si="117"/>
        <v>89.138576779026209</v>
      </c>
      <c r="T1054" s="5" t="str">
        <f>IF(Delivery_Data3[[#This Row],[Delays (min)]]&gt;0,"No","Yes")</f>
        <v>No</v>
      </c>
      <c r="W1054" s="41">
        <f t="shared" si="118"/>
        <v>45174</v>
      </c>
      <c r="X1054" s="5">
        <v>238</v>
      </c>
    </row>
    <row r="1055" spans="1:24" ht="15.75" customHeight="1" x14ac:dyDescent="0.3">
      <c r="A1055" s="4">
        <v>2054</v>
      </c>
      <c r="B1055" s="5" t="s">
        <v>692</v>
      </c>
      <c r="C1055" s="6">
        <v>45174.620833333334</v>
      </c>
      <c r="D1055" s="5" t="s">
        <v>43</v>
      </c>
      <c r="E1055" s="5" t="s">
        <v>288</v>
      </c>
      <c r="F1055" s="5" t="s">
        <v>24</v>
      </c>
      <c r="G1055" s="5" t="s">
        <v>56</v>
      </c>
      <c r="H1055" s="5">
        <v>142</v>
      </c>
      <c r="I1055" s="5">
        <v>22</v>
      </c>
      <c r="J1055" s="5" t="s">
        <v>26</v>
      </c>
      <c r="K1055" s="5" t="s">
        <v>19</v>
      </c>
      <c r="L1055" s="5" t="s">
        <v>40</v>
      </c>
      <c r="M1055" s="7" t="s">
        <v>41</v>
      </c>
      <c r="N1055" s="26">
        <f t="shared" si="112"/>
        <v>1</v>
      </c>
      <c r="O1055" s="42">
        <f t="shared" si="113"/>
        <v>45174</v>
      </c>
      <c r="P1055" s="5" t="str">
        <f t="shared" si="114"/>
        <v>Tuesday</v>
      </c>
      <c r="Q1055" s="5">
        <f t="shared" si="115"/>
        <v>14</v>
      </c>
      <c r="R1055" s="28">
        <f t="shared" si="116"/>
        <v>0.86585365853658536</v>
      </c>
      <c r="S1055" s="29">
        <f t="shared" si="117"/>
        <v>86.58536585365853</v>
      </c>
      <c r="T1055" s="5" t="str">
        <f>IF(Delivery_Data3[[#This Row],[Delays (min)]]&gt;0,"No","Yes")</f>
        <v>No</v>
      </c>
      <c r="W1055" s="41">
        <f t="shared" si="118"/>
        <v>45174</v>
      </c>
      <c r="X1055" s="5">
        <v>142</v>
      </c>
    </row>
    <row r="1056" spans="1:24" ht="15.75" customHeight="1" x14ac:dyDescent="0.3">
      <c r="A1056" s="4">
        <v>2055</v>
      </c>
      <c r="B1056" s="5" t="s">
        <v>1163</v>
      </c>
      <c r="C1056" s="6">
        <v>45171.624305555553</v>
      </c>
      <c r="D1056" s="5" t="s">
        <v>43</v>
      </c>
      <c r="E1056" s="5" t="s">
        <v>272</v>
      </c>
      <c r="F1056" s="5" t="s">
        <v>16</v>
      </c>
      <c r="G1056" s="5" t="s">
        <v>31</v>
      </c>
      <c r="H1056" s="5">
        <v>92</v>
      </c>
      <c r="I1056" s="5">
        <v>29</v>
      </c>
      <c r="J1056" s="5" t="s">
        <v>26</v>
      </c>
      <c r="K1056" s="5" t="s">
        <v>45</v>
      </c>
      <c r="L1056" s="5" t="s">
        <v>20</v>
      </c>
      <c r="M1056" s="7" t="s">
        <v>46</v>
      </c>
      <c r="N1056" s="26">
        <f t="shared" si="112"/>
        <v>1</v>
      </c>
      <c r="O1056" s="42">
        <f t="shared" si="113"/>
        <v>45171</v>
      </c>
      <c r="P1056" s="5" t="str">
        <f t="shared" si="114"/>
        <v>Saturday</v>
      </c>
      <c r="Q1056" s="5">
        <f t="shared" si="115"/>
        <v>14</v>
      </c>
      <c r="R1056" s="28">
        <f t="shared" si="116"/>
        <v>0.76033057851239672</v>
      </c>
      <c r="S1056" s="29">
        <f t="shared" si="117"/>
        <v>76.033057851239676</v>
      </c>
      <c r="T1056" s="5" t="str">
        <f>IF(Delivery_Data3[[#This Row],[Delays (min)]]&gt;0,"No","Yes")</f>
        <v>No</v>
      </c>
      <c r="W1056" s="41">
        <f t="shared" si="118"/>
        <v>45171</v>
      </c>
      <c r="X1056" s="5">
        <v>92</v>
      </c>
    </row>
    <row r="1057" spans="1:24" ht="15.75" customHeight="1" x14ac:dyDescent="0.3">
      <c r="A1057" s="4">
        <v>2056</v>
      </c>
      <c r="B1057" s="5" t="s">
        <v>1164</v>
      </c>
      <c r="C1057" s="6">
        <v>45173.448611111111</v>
      </c>
      <c r="D1057" s="5" t="s">
        <v>14</v>
      </c>
      <c r="E1057" s="5" t="s">
        <v>231</v>
      </c>
      <c r="F1057" s="5" t="s">
        <v>24</v>
      </c>
      <c r="G1057" s="5" t="s">
        <v>31</v>
      </c>
      <c r="H1057" s="5">
        <v>177</v>
      </c>
      <c r="I1057" s="5">
        <v>18</v>
      </c>
      <c r="J1057" s="5" t="s">
        <v>26</v>
      </c>
      <c r="K1057" s="5" t="s">
        <v>45</v>
      </c>
      <c r="L1057" s="5" t="s">
        <v>40</v>
      </c>
      <c r="M1057" s="7" t="s">
        <v>41</v>
      </c>
      <c r="N1057" s="26">
        <f t="shared" si="112"/>
        <v>1</v>
      </c>
      <c r="O1057" s="42">
        <f t="shared" si="113"/>
        <v>45173</v>
      </c>
      <c r="P1057" s="5" t="str">
        <f t="shared" si="114"/>
        <v>Monday</v>
      </c>
      <c r="Q1057" s="5">
        <f t="shared" si="115"/>
        <v>10</v>
      </c>
      <c r="R1057" s="28">
        <f t="shared" si="116"/>
        <v>0.90769230769230769</v>
      </c>
      <c r="S1057" s="29">
        <f t="shared" si="117"/>
        <v>90.769230769230774</v>
      </c>
      <c r="T1057" s="5" t="str">
        <f>IF(Delivery_Data3[[#This Row],[Delays (min)]]&gt;0,"No","Yes")</f>
        <v>No</v>
      </c>
      <c r="W1057" s="41">
        <f t="shared" si="118"/>
        <v>45173</v>
      </c>
      <c r="X1057" s="5">
        <v>177</v>
      </c>
    </row>
    <row r="1058" spans="1:24" ht="15.75" customHeight="1" x14ac:dyDescent="0.3">
      <c r="A1058" s="4">
        <v>2057</v>
      </c>
      <c r="B1058" s="5" t="s">
        <v>1165</v>
      </c>
      <c r="C1058" s="6">
        <v>45170.369444444441</v>
      </c>
      <c r="D1058" s="5" t="s">
        <v>43</v>
      </c>
      <c r="E1058" s="5" t="s">
        <v>197</v>
      </c>
      <c r="F1058" s="5" t="s">
        <v>24</v>
      </c>
      <c r="G1058" s="5" t="s">
        <v>31</v>
      </c>
      <c r="H1058" s="5">
        <v>118</v>
      </c>
      <c r="I1058" s="5">
        <v>2</v>
      </c>
      <c r="J1058" s="5" t="s">
        <v>26</v>
      </c>
      <c r="K1058" s="5" t="s">
        <v>49</v>
      </c>
      <c r="L1058" s="5" t="s">
        <v>40</v>
      </c>
      <c r="M1058" s="7" t="s">
        <v>41</v>
      </c>
      <c r="N1058" s="26">
        <f t="shared" si="112"/>
        <v>1</v>
      </c>
      <c r="O1058" s="42">
        <f t="shared" si="113"/>
        <v>45170</v>
      </c>
      <c r="P1058" s="5" t="str">
        <f t="shared" si="114"/>
        <v>Friday</v>
      </c>
      <c r="Q1058" s="5">
        <f t="shared" si="115"/>
        <v>8</v>
      </c>
      <c r="R1058" s="28">
        <f t="shared" si="116"/>
        <v>0.98333333333333328</v>
      </c>
      <c r="S1058" s="29">
        <f t="shared" si="117"/>
        <v>98.333333333333329</v>
      </c>
      <c r="T1058" s="5" t="str">
        <f>IF(Delivery_Data3[[#This Row],[Delays (min)]]&gt;0,"No","Yes")</f>
        <v>No</v>
      </c>
      <c r="W1058" s="41">
        <f t="shared" si="118"/>
        <v>45170</v>
      </c>
      <c r="X1058" s="5">
        <v>118</v>
      </c>
    </row>
    <row r="1059" spans="1:24" ht="15.75" customHeight="1" x14ac:dyDescent="0.3">
      <c r="A1059" s="4">
        <v>2058</v>
      </c>
      <c r="B1059" s="5" t="s">
        <v>1166</v>
      </c>
      <c r="C1059" s="6">
        <v>45175.456250000003</v>
      </c>
      <c r="D1059" s="5" t="s">
        <v>43</v>
      </c>
      <c r="E1059" s="5" t="s">
        <v>240</v>
      </c>
      <c r="F1059" s="5" t="s">
        <v>16</v>
      </c>
      <c r="G1059" s="5" t="s">
        <v>56</v>
      </c>
      <c r="H1059" s="5">
        <v>127</v>
      </c>
      <c r="I1059" s="5">
        <v>22</v>
      </c>
      <c r="J1059" s="5" t="s">
        <v>26</v>
      </c>
      <c r="K1059" s="5" t="s">
        <v>35</v>
      </c>
      <c r="L1059" s="5" t="s">
        <v>20</v>
      </c>
      <c r="M1059" s="7" t="s">
        <v>46</v>
      </c>
      <c r="N1059" s="26">
        <f t="shared" si="112"/>
        <v>1</v>
      </c>
      <c r="O1059" s="42">
        <f t="shared" si="113"/>
        <v>45175</v>
      </c>
      <c r="P1059" s="5" t="str">
        <f t="shared" si="114"/>
        <v>Wednesday</v>
      </c>
      <c r="Q1059" s="5">
        <f t="shared" si="115"/>
        <v>10</v>
      </c>
      <c r="R1059" s="28">
        <f t="shared" si="116"/>
        <v>0.8523489932885906</v>
      </c>
      <c r="S1059" s="29">
        <f t="shared" si="117"/>
        <v>85.234899328859058</v>
      </c>
      <c r="T1059" s="5" t="str">
        <f>IF(Delivery_Data3[[#This Row],[Delays (min)]]&gt;0,"No","Yes")</f>
        <v>No</v>
      </c>
      <c r="W1059" s="41">
        <f t="shared" si="118"/>
        <v>45175</v>
      </c>
      <c r="X1059" s="5">
        <v>127</v>
      </c>
    </row>
    <row r="1060" spans="1:24" ht="15.75" customHeight="1" x14ac:dyDescent="0.3">
      <c r="A1060" s="4">
        <v>2059</v>
      </c>
      <c r="B1060" s="5" t="s">
        <v>1167</v>
      </c>
      <c r="C1060" s="6">
        <v>45171.380555555559</v>
      </c>
      <c r="D1060" s="5" t="s">
        <v>14</v>
      </c>
      <c r="E1060" s="5" t="s">
        <v>403</v>
      </c>
      <c r="F1060" s="5" t="s">
        <v>16</v>
      </c>
      <c r="G1060" s="5" t="s">
        <v>25</v>
      </c>
      <c r="H1060" s="5">
        <v>183</v>
      </c>
      <c r="I1060" s="5">
        <v>14</v>
      </c>
      <c r="J1060" s="5" t="s">
        <v>32</v>
      </c>
      <c r="K1060" s="5" t="s">
        <v>19</v>
      </c>
      <c r="L1060" s="5" t="s">
        <v>28</v>
      </c>
      <c r="M1060" s="7" t="s">
        <v>21</v>
      </c>
      <c r="N1060" s="26">
        <f t="shared" si="112"/>
        <v>-1</v>
      </c>
      <c r="O1060" s="42">
        <f t="shared" si="113"/>
        <v>45171</v>
      </c>
      <c r="P1060" s="5" t="str">
        <f t="shared" si="114"/>
        <v>Saturday</v>
      </c>
      <c r="Q1060" s="5">
        <f t="shared" si="115"/>
        <v>9</v>
      </c>
      <c r="R1060" s="28">
        <f t="shared" si="116"/>
        <v>0.92893401015228427</v>
      </c>
      <c r="S1060" s="29">
        <f t="shared" si="117"/>
        <v>92.89340101522842</v>
      </c>
      <c r="T1060" s="5" t="str">
        <f>IF(Delivery_Data3[[#This Row],[Delays (min)]]&gt;0,"No","Yes")</f>
        <v>No</v>
      </c>
      <c r="W1060" s="41">
        <f t="shared" si="118"/>
        <v>45171</v>
      </c>
      <c r="X1060" s="5">
        <v>183</v>
      </c>
    </row>
    <row r="1061" spans="1:24" ht="15.75" customHeight="1" x14ac:dyDescent="0.3">
      <c r="A1061" s="4">
        <v>2060</v>
      </c>
      <c r="B1061" s="5" t="s">
        <v>1168</v>
      </c>
      <c r="C1061" s="6">
        <v>45177.490277777775</v>
      </c>
      <c r="D1061" s="5" t="s">
        <v>43</v>
      </c>
      <c r="E1061" s="5" t="s">
        <v>333</v>
      </c>
      <c r="F1061" s="5" t="s">
        <v>38</v>
      </c>
      <c r="G1061" s="5" t="s">
        <v>17</v>
      </c>
      <c r="H1061" s="5">
        <v>149</v>
      </c>
      <c r="I1061" s="5">
        <v>29</v>
      </c>
      <c r="J1061" s="5" t="s">
        <v>18</v>
      </c>
      <c r="K1061" s="5" t="s">
        <v>19</v>
      </c>
      <c r="L1061" s="5" t="s">
        <v>20</v>
      </c>
      <c r="M1061" s="7" t="s">
        <v>46</v>
      </c>
      <c r="N1061" s="26">
        <f t="shared" si="112"/>
        <v>0</v>
      </c>
      <c r="O1061" s="42">
        <f t="shared" si="113"/>
        <v>45177</v>
      </c>
      <c r="P1061" s="5" t="str">
        <f t="shared" si="114"/>
        <v>Friday</v>
      </c>
      <c r="Q1061" s="5">
        <f t="shared" si="115"/>
        <v>11</v>
      </c>
      <c r="R1061" s="28">
        <f t="shared" si="116"/>
        <v>0.8370786516853933</v>
      </c>
      <c r="S1061" s="29">
        <f t="shared" si="117"/>
        <v>83.707865168539328</v>
      </c>
      <c r="T1061" s="5" t="str">
        <f>IF(Delivery_Data3[[#This Row],[Delays (min)]]&gt;0,"No","Yes")</f>
        <v>No</v>
      </c>
      <c r="W1061" s="41">
        <f t="shared" si="118"/>
        <v>45177</v>
      </c>
      <c r="X1061" s="5">
        <v>149</v>
      </c>
    </row>
    <row r="1062" spans="1:24" ht="15.75" customHeight="1" x14ac:dyDescent="0.3">
      <c r="A1062" s="4">
        <v>2061</v>
      </c>
      <c r="B1062" s="5" t="s">
        <v>1169</v>
      </c>
      <c r="C1062" s="6">
        <v>45176.57916666667</v>
      </c>
      <c r="D1062" s="5" t="s">
        <v>43</v>
      </c>
      <c r="E1062" s="5" t="s">
        <v>228</v>
      </c>
      <c r="F1062" s="5" t="s">
        <v>24</v>
      </c>
      <c r="G1062" s="5" t="s">
        <v>25</v>
      </c>
      <c r="H1062" s="5">
        <v>145</v>
      </c>
      <c r="I1062" s="5">
        <v>6</v>
      </c>
      <c r="J1062" s="5" t="s">
        <v>32</v>
      </c>
      <c r="K1062" s="5" t="s">
        <v>49</v>
      </c>
      <c r="L1062" s="5" t="s">
        <v>20</v>
      </c>
      <c r="M1062" s="7" t="s">
        <v>41</v>
      </c>
      <c r="N1062" s="26">
        <f t="shared" si="112"/>
        <v>-1</v>
      </c>
      <c r="O1062" s="42">
        <f t="shared" si="113"/>
        <v>45176</v>
      </c>
      <c r="P1062" s="5" t="str">
        <f t="shared" si="114"/>
        <v>Thursday</v>
      </c>
      <c r="Q1062" s="5">
        <f t="shared" si="115"/>
        <v>13</v>
      </c>
      <c r="R1062" s="28">
        <f t="shared" si="116"/>
        <v>0.96026490066225167</v>
      </c>
      <c r="S1062" s="29">
        <f t="shared" si="117"/>
        <v>96.026490066225165</v>
      </c>
      <c r="T1062" s="5" t="str">
        <f>IF(Delivery_Data3[[#This Row],[Delays (min)]]&gt;0,"No","Yes")</f>
        <v>No</v>
      </c>
      <c r="W1062" s="41">
        <f t="shared" si="118"/>
        <v>45176</v>
      </c>
      <c r="X1062" s="5">
        <v>145</v>
      </c>
    </row>
    <row r="1063" spans="1:24" ht="15.75" customHeight="1" x14ac:dyDescent="0.3">
      <c r="A1063" s="4">
        <v>2062</v>
      </c>
      <c r="B1063" s="5" t="s">
        <v>1170</v>
      </c>
      <c r="C1063" s="6">
        <v>45176.564583333333</v>
      </c>
      <c r="D1063" s="5" t="s">
        <v>43</v>
      </c>
      <c r="E1063" s="5" t="s">
        <v>30</v>
      </c>
      <c r="F1063" s="5" t="s">
        <v>38</v>
      </c>
      <c r="G1063" s="5" t="s">
        <v>17</v>
      </c>
      <c r="H1063" s="5">
        <v>154</v>
      </c>
      <c r="I1063" s="5">
        <v>4</v>
      </c>
      <c r="J1063" s="5" t="s">
        <v>18</v>
      </c>
      <c r="K1063" s="5" t="s">
        <v>27</v>
      </c>
      <c r="L1063" s="5" t="s">
        <v>20</v>
      </c>
      <c r="M1063" s="7" t="s">
        <v>41</v>
      </c>
      <c r="N1063" s="26">
        <f t="shared" si="112"/>
        <v>0</v>
      </c>
      <c r="O1063" s="42">
        <f t="shared" si="113"/>
        <v>45176</v>
      </c>
      <c r="P1063" s="5" t="str">
        <f t="shared" si="114"/>
        <v>Thursday</v>
      </c>
      <c r="Q1063" s="5">
        <f t="shared" si="115"/>
        <v>13</v>
      </c>
      <c r="R1063" s="28">
        <f t="shared" si="116"/>
        <v>0.97468354430379744</v>
      </c>
      <c r="S1063" s="29">
        <f t="shared" si="117"/>
        <v>97.468354430379748</v>
      </c>
      <c r="T1063" s="5" t="str">
        <f>IF(Delivery_Data3[[#This Row],[Delays (min)]]&gt;0,"No","Yes")</f>
        <v>No</v>
      </c>
      <c r="W1063" s="41">
        <f t="shared" si="118"/>
        <v>45176</v>
      </c>
      <c r="X1063" s="5">
        <v>154</v>
      </c>
    </row>
    <row r="1064" spans="1:24" ht="15.75" customHeight="1" x14ac:dyDescent="0.3">
      <c r="A1064" s="4">
        <v>2063</v>
      </c>
      <c r="B1064" s="5" t="s">
        <v>1171</v>
      </c>
      <c r="C1064" s="6">
        <v>45175.472916666666</v>
      </c>
      <c r="D1064" s="5" t="s">
        <v>43</v>
      </c>
      <c r="E1064" s="5" t="s">
        <v>333</v>
      </c>
      <c r="F1064" s="5" t="s">
        <v>16</v>
      </c>
      <c r="G1064" s="5" t="s">
        <v>56</v>
      </c>
      <c r="H1064" s="5">
        <v>135</v>
      </c>
      <c r="I1064" s="5">
        <v>24</v>
      </c>
      <c r="J1064" s="5" t="s">
        <v>32</v>
      </c>
      <c r="K1064" s="5" t="s">
        <v>45</v>
      </c>
      <c r="L1064" s="5" t="s">
        <v>40</v>
      </c>
      <c r="M1064" s="7" t="s">
        <v>21</v>
      </c>
      <c r="N1064" s="26">
        <f t="shared" si="112"/>
        <v>-1</v>
      </c>
      <c r="O1064" s="42">
        <f t="shared" si="113"/>
        <v>45175</v>
      </c>
      <c r="P1064" s="5" t="str">
        <f t="shared" si="114"/>
        <v>Wednesday</v>
      </c>
      <c r="Q1064" s="5">
        <f t="shared" si="115"/>
        <v>11</v>
      </c>
      <c r="R1064" s="28">
        <f t="shared" si="116"/>
        <v>0.84905660377358494</v>
      </c>
      <c r="S1064" s="29">
        <f t="shared" si="117"/>
        <v>84.905660377358487</v>
      </c>
      <c r="T1064" s="5" t="str">
        <f>IF(Delivery_Data3[[#This Row],[Delays (min)]]&gt;0,"No","Yes")</f>
        <v>No</v>
      </c>
      <c r="W1064" s="41">
        <f t="shared" si="118"/>
        <v>45175</v>
      </c>
      <c r="X1064" s="5">
        <v>135</v>
      </c>
    </row>
    <row r="1065" spans="1:24" ht="15.75" customHeight="1" x14ac:dyDescent="0.3">
      <c r="A1065" s="4">
        <v>2064</v>
      </c>
      <c r="B1065" s="5" t="s">
        <v>1172</v>
      </c>
      <c r="C1065" s="6">
        <v>45176.625</v>
      </c>
      <c r="D1065" s="5" t="s">
        <v>14</v>
      </c>
      <c r="E1065" s="5" t="s">
        <v>91</v>
      </c>
      <c r="F1065" s="5" t="s">
        <v>24</v>
      </c>
      <c r="G1065" s="5" t="s">
        <v>25</v>
      </c>
      <c r="H1065" s="5">
        <v>170</v>
      </c>
      <c r="I1065" s="5">
        <v>28</v>
      </c>
      <c r="J1065" s="5" t="s">
        <v>32</v>
      </c>
      <c r="K1065" s="5" t="s">
        <v>49</v>
      </c>
      <c r="L1065" s="5" t="s">
        <v>28</v>
      </c>
      <c r="M1065" s="7" t="s">
        <v>41</v>
      </c>
      <c r="N1065" s="26">
        <f t="shared" si="112"/>
        <v>-1</v>
      </c>
      <c r="O1065" s="42">
        <f t="shared" si="113"/>
        <v>45176</v>
      </c>
      <c r="P1065" s="5" t="str">
        <f t="shared" si="114"/>
        <v>Thursday</v>
      </c>
      <c r="Q1065" s="5">
        <f t="shared" si="115"/>
        <v>15</v>
      </c>
      <c r="R1065" s="28">
        <f t="shared" si="116"/>
        <v>0.85858585858585856</v>
      </c>
      <c r="S1065" s="29">
        <f t="shared" si="117"/>
        <v>85.858585858585855</v>
      </c>
      <c r="T1065" s="5" t="str">
        <f>IF(Delivery_Data3[[#This Row],[Delays (min)]]&gt;0,"No","Yes")</f>
        <v>No</v>
      </c>
      <c r="W1065" s="41">
        <f t="shared" si="118"/>
        <v>45176</v>
      </c>
      <c r="X1065" s="5">
        <v>170</v>
      </c>
    </row>
    <row r="1066" spans="1:24" ht="15.75" customHeight="1" x14ac:dyDescent="0.3">
      <c r="A1066" s="4">
        <v>2065</v>
      </c>
      <c r="B1066" s="5" t="s">
        <v>1173</v>
      </c>
      <c r="C1066" s="6">
        <v>45173.415972222225</v>
      </c>
      <c r="D1066" s="5" t="s">
        <v>43</v>
      </c>
      <c r="E1066" s="5" t="s">
        <v>228</v>
      </c>
      <c r="F1066" s="5" t="s">
        <v>24</v>
      </c>
      <c r="G1066" s="5" t="s">
        <v>56</v>
      </c>
      <c r="H1066" s="5">
        <v>203</v>
      </c>
      <c r="I1066" s="5">
        <v>24</v>
      </c>
      <c r="J1066" s="5" t="s">
        <v>26</v>
      </c>
      <c r="K1066" s="5" t="s">
        <v>35</v>
      </c>
      <c r="L1066" s="5" t="s">
        <v>40</v>
      </c>
      <c r="M1066" s="7" t="s">
        <v>21</v>
      </c>
      <c r="N1066" s="26">
        <f t="shared" si="112"/>
        <v>1</v>
      </c>
      <c r="O1066" s="42">
        <f t="shared" si="113"/>
        <v>45173</v>
      </c>
      <c r="P1066" s="5" t="str">
        <f t="shared" si="114"/>
        <v>Monday</v>
      </c>
      <c r="Q1066" s="5">
        <f t="shared" si="115"/>
        <v>9</v>
      </c>
      <c r="R1066" s="28">
        <f t="shared" si="116"/>
        <v>0.89427312775330392</v>
      </c>
      <c r="S1066" s="29">
        <f t="shared" si="117"/>
        <v>89.427312775330392</v>
      </c>
      <c r="T1066" s="5" t="str">
        <f>IF(Delivery_Data3[[#This Row],[Delays (min)]]&gt;0,"No","Yes")</f>
        <v>No</v>
      </c>
      <c r="W1066" s="41">
        <f t="shared" si="118"/>
        <v>45173</v>
      </c>
      <c r="X1066" s="5">
        <v>203</v>
      </c>
    </row>
    <row r="1067" spans="1:24" ht="15.75" customHeight="1" x14ac:dyDescent="0.3">
      <c r="A1067" s="4">
        <v>2066</v>
      </c>
      <c r="B1067" s="5" t="s">
        <v>1174</v>
      </c>
      <c r="C1067" s="6">
        <v>45175.386111111111</v>
      </c>
      <c r="D1067" s="5" t="s">
        <v>43</v>
      </c>
      <c r="E1067" s="5" t="s">
        <v>87</v>
      </c>
      <c r="F1067" s="5" t="s">
        <v>24</v>
      </c>
      <c r="G1067" s="5" t="s">
        <v>17</v>
      </c>
      <c r="H1067" s="5">
        <v>220</v>
      </c>
      <c r="I1067" s="5">
        <v>19</v>
      </c>
      <c r="J1067" s="5" t="s">
        <v>18</v>
      </c>
      <c r="K1067" s="5" t="s">
        <v>19</v>
      </c>
      <c r="L1067" s="5" t="s">
        <v>20</v>
      </c>
      <c r="M1067" s="7" t="s">
        <v>46</v>
      </c>
      <c r="N1067" s="26">
        <f t="shared" si="112"/>
        <v>0</v>
      </c>
      <c r="O1067" s="42">
        <f t="shared" si="113"/>
        <v>45175</v>
      </c>
      <c r="P1067" s="5" t="str">
        <f t="shared" si="114"/>
        <v>Wednesday</v>
      </c>
      <c r="Q1067" s="5">
        <f t="shared" si="115"/>
        <v>9</v>
      </c>
      <c r="R1067" s="28">
        <f t="shared" si="116"/>
        <v>0.92050209205020916</v>
      </c>
      <c r="S1067" s="29">
        <f t="shared" si="117"/>
        <v>92.05020920502092</v>
      </c>
      <c r="T1067" s="5" t="str">
        <f>IF(Delivery_Data3[[#This Row],[Delays (min)]]&gt;0,"No","Yes")</f>
        <v>No</v>
      </c>
      <c r="W1067" s="41">
        <f t="shared" si="118"/>
        <v>45175</v>
      </c>
      <c r="X1067" s="5">
        <v>220</v>
      </c>
    </row>
    <row r="1068" spans="1:24" ht="15.75" customHeight="1" x14ac:dyDescent="0.3">
      <c r="A1068" s="4">
        <v>2067</v>
      </c>
      <c r="B1068" s="5" t="s">
        <v>1175</v>
      </c>
      <c r="C1068" s="6">
        <v>45173.679861111108</v>
      </c>
      <c r="D1068" s="5" t="s">
        <v>14</v>
      </c>
      <c r="E1068" s="5" t="s">
        <v>37</v>
      </c>
      <c r="F1068" s="5" t="s">
        <v>38</v>
      </c>
      <c r="G1068" s="5" t="s">
        <v>25</v>
      </c>
      <c r="H1068" s="5">
        <v>86</v>
      </c>
      <c r="I1068" s="5">
        <v>13</v>
      </c>
      <c r="J1068" s="5" t="s">
        <v>32</v>
      </c>
      <c r="K1068" s="5" t="s">
        <v>49</v>
      </c>
      <c r="L1068" s="5" t="s">
        <v>40</v>
      </c>
      <c r="M1068" s="7" t="s">
        <v>21</v>
      </c>
      <c r="N1068" s="26">
        <f t="shared" si="112"/>
        <v>-1</v>
      </c>
      <c r="O1068" s="42">
        <f t="shared" si="113"/>
        <v>45173</v>
      </c>
      <c r="P1068" s="5" t="str">
        <f t="shared" si="114"/>
        <v>Monday</v>
      </c>
      <c r="Q1068" s="5">
        <f t="shared" si="115"/>
        <v>16</v>
      </c>
      <c r="R1068" s="28">
        <f t="shared" si="116"/>
        <v>0.86868686868686873</v>
      </c>
      <c r="S1068" s="29">
        <f t="shared" si="117"/>
        <v>86.868686868686879</v>
      </c>
      <c r="T1068" s="5" t="str">
        <f>IF(Delivery_Data3[[#This Row],[Delays (min)]]&gt;0,"No","Yes")</f>
        <v>No</v>
      </c>
      <c r="W1068" s="41">
        <f t="shared" si="118"/>
        <v>45173</v>
      </c>
      <c r="X1068" s="5">
        <v>86</v>
      </c>
    </row>
    <row r="1069" spans="1:24" ht="15.75" customHeight="1" x14ac:dyDescent="0.3">
      <c r="A1069" s="4">
        <v>2068</v>
      </c>
      <c r="B1069" s="5" t="s">
        <v>1176</v>
      </c>
      <c r="C1069" s="6">
        <v>45175.530555555553</v>
      </c>
      <c r="D1069" s="5" t="s">
        <v>14</v>
      </c>
      <c r="E1069" s="5" t="s">
        <v>281</v>
      </c>
      <c r="F1069" s="5" t="s">
        <v>24</v>
      </c>
      <c r="G1069" s="5" t="s">
        <v>31</v>
      </c>
      <c r="H1069" s="5">
        <v>221</v>
      </c>
      <c r="I1069" s="5">
        <v>8</v>
      </c>
      <c r="J1069" s="5" t="s">
        <v>18</v>
      </c>
      <c r="K1069" s="5" t="s">
        <v>45</v>
      </c>
      <c r="L1069" s="5" t="s">
        <v>20</v>
      </c>
      <c r="M1069" s="7" t="s">
        <v>41</v>
      </c>
      <c r="N1069" s="26">
        <f t="shared" si="112"/>
        <v>0</v>
      </c>
      <c r="O1069" s="42">
        <f t="shared" si="113"/>
        <v>45175</v>
      </c>
      <c r="P1069" s="5" t="str">
        <f t="shared" si="114"/>
        <v>Wednesday</v>
      </c>
      <c r="Q1069" s="5">
        <f t="shared" si="115"/>
        <v>12</v>
      </c>
      <c r="R1069" s="28">
        <f t="shared" si="116"/>
        <v>0.96506550218340614</v>
      </c>
      <c r="S1069" s="29">
        <f t="shared" si="117"/>
        <v>96.506550218340621</v>
      </c>
      <c r="T1069" s="5" t="str">
        <f>IF(Delivery_Data3[[#This Row],[Delays (min)]]&gt;0,"No","Yes")</f>
        <v>No</v>
      </c>
      <c r="W1069" s="41">
        <f t="shared" si="118"/>
        <v>45175</v>
      </c>
      <c r="X1069" s="5">
        <v>221</v>
      </c>
    </row>
    <row r="1070" spans="1:24" ht="15.75" customHeight="1" x14ac:dyDescent="0.3">
      <c r="A1070" s="4">
        <v>2069</v>
      </c>
      <c r="B1070" s="5" t="s">
        <v>1177</v>
      </c>
      <c r="C1070" s="6">
        <v>45173.599999999999</v>
      </c>
      <c r="D1070" s="5" t="s">
        <v>43</v>
      </c>
      <c r="E1070" s="5" t="s">
        <v>234</v>
      </c>
      <c r="F1070" s="5" t="s">
        <v>16</v>
      </c>
      <c r="G1070" s="5" t="s">
        <v>25</v>
      </c>
      <c r="H1070" s="5">
        <v>199</v>
      </c>
      <c r="I1070" s="5">
        <v>9</v>
      </c>
      <c r="J1070" s="5" t="s">
        <v>18</v>
      </c>
      <c r="K1070" s="5" t="s">
        <v>27</v>
      </c>
      <c r="L1070" s="5" t="s">
        <v>40</v>
      </c>
      <c r="M1070" s="7" t="s">
        <v>46</v>
      </c>
      <c r="N1070" s="26">
        <f t="shared" si="112"/>
        <v>0</v>
      </c>
      <c r="O1070" s="42">
        <f t="shared" si="113"/>
        <v>45173</v>
      </c>
      <c r="P1070" s="5" t="str">
        <f t="shared" si="114"/>
        <v>Monday</v>
      </c>
      <c r="Q1070" s="5">
        <f t="shared" si="115"/>
        <v>14</v>
      </c>
      <c r="R1070" s="28">
        <f t="shared" si="116"/>
        <v>0.95673076923076927</v>
      </c>
      <c r="S1070" s="29">
        <f t="shared" si="117"/>
        <v>95.673076923076934</v>
      </c>
      <c r="T1070" s="5" t="str">
        <f>IF(Delivery_Data3[[#This Row],[Delays (min)]]&gt;0,"No","Yes")</f>
        <v>No</v>
      </c>
      <c r="W1070" s="41">
        <f t="shared" si="118"/>
        <v>45173</v>
      </c>
      <c r="X1070" s="5">
        <v>199</v>
      </c>
    </row>
    <row r="1071" spans="1:24" ht="15.75" customHeight="1" x14ac:dyDescent="0.3">
      <c r="A1071" s="4">
        <v>2070</v>
      </c>
      <c r="B1071" s="5" t="s">
        <v>1178</v>
      </c>
      <c r="C1071" s="6">
        <v>45173.37777777778</v>
      </c>
      <c r="D1071" s="5" t="s">
        <v>14</v>
      </c>
      <c r="E1071" s="5" t="s">
        <v>164</v>
      </c>
      <c r="F1071" s="5" t="s">
        <v>16</v>
      </c>
      <c r="G1071" s="5" t="s">
        <v>56</v>
      </c>
      <c r="H1071" s="5">
        <v>207</v>
      </c>
      <c r="I1071" s="5">
        <v>5</v>
      </c>
      <c r="J1071" s="5" t="s">
        <v>32</v>
      </c>
      <c r="K1071" s="5" t="s">
        <v>35</v>
      </c>
      <c r="L1071" s="5" t="s">
        <v>40</v>
      </c>
      <c r="M1071" s="7" t="s">
        <v>41</v>
      </c>
      <c r="N1071" s="26">
        <f t="shared" si="112"/>
        <v>-1</v>
      </c>
      <c r="O1071" s="42">
        <f t="shared" si="113"/>
        <v>45173</v>
      </c>
      <c r="P1071" s="5" t="str">
        <f t="shared" si="114"/>
        <v>Monday</v>
      </c>
      <c r="Q1071" s="5">
        <f t="shared" si="115"/>
        <v>9</v>
      </c>
      <c r="R1071" s="28">
        <f t="shared" si="116"/>
        <v>0.97641509433962259</v>
      </c>
      <c r="S1071" s="29">
        <f t="shared" si="117"/>
        <v>97.641509433962256</v>
      </c>
      <c r="T1071" s="5" t="str">
        <f>IF(Delivery_Data3[[#This Row],[Delays (min)]]&gt;0,"No","Yes")</f>
        <v>No</v>
      </c>
      <c r="W1071" s="41">
        <f t="shared" si="118"/>
        <v>45173</v>
      </c>
      <c r="X1071" s="5">
        <v>207</v>
      </c>
    </row>
    <row r="1072" spans="1:24" ht="15.75" customHeight="1" x14ac:dyDescent="0.3">
      <c r="A1072" s="4">
        <v>2071</v>
      </c>
      <c r="B1072" s="5" t="s">
        <v>1179</v>
      </c>
      <c r="C1072" s="6">
        <v>45175.690972222219</v>
      </c>
      <c r="D1072" s="5" t="s">
        <v>43</v>
      </c>
      <c r="E1072" s="5" t="s">
        <v>89</v>
      </c>
      <c r="F1072" s="5" t="s">
        <v>24</v>
      </c>
      <c r="G1072" s="5" t="s">
        <v>31</v>
      </c>
      <c r="H1072" s="5">
        <v>202</v>
      </c>
      <c r="I1072" s="5">
        <v>1</v>
      </c>
      <c r="J1072" s="5" t="s">
        <v>18</v>
      </c>
      <c r="K1072" s="5" t="s">
        <v>45</v>
      </c>
      <c r="L1072" s="5" t="s">
        <v>40</v>
      </c>
      <c r="M1072" s="7" t="s">
        <v>46</v>
      </c>
      <c r="N1072" s="26">
        <f t="shared" si="112"/>
        <v>0</v>
      </c>
      <c r="O1072" s="42">
        <f t="shared" si="113"/>
        <v>45175</v>
      </c>
      <c r="P1072" s="5" t="str">
        <f t="shared" si="114"/>
        <v>Wednesday</v>
      </c>
      <c r="Q1072" s="5">
        <f t="shared" si="115"/>
        <v>16</v>
      </c>
      <c r="R1072" s="28">
        <f t="shared" si="116"/>
        <v>0.99507389162561577</v>
      </c>
      <c r="S1072" s="29">
        <f t="shared" si="117"/>
        <v>99.50738916256158</v>
      </c>
      <c r="T1072" s="5" t="str">
        <f>IF(Delivery_Data3[[#This Row],[Delays (min)]]&gt;0,"No","Yes")</f>
        <v>No</v>
      </c>
      <c r="W1072" s="41">
        <f t="shared" si="118"/>
        <v>45175</v>
      </c>
      <c r="X1072" s="5">
        <v>202</v>
      </c>
    </row>
    <row r="1073" spans="1:24" ht="15.75" customHeight="1" x14ac:dyDescent="0.3">
      <c r="A1073" s="4">
        <v>2072</v>
      </c>
      <c r="B1073" s="5" t="s">
        <v>1180</v>
      </c>
      <c r="C1073" s="6">
        <v>45173.37222222222</v>
      </c>
      <c r="D1073" s="5" t="s">
        <v>14</v>
      </c>
      <c r="E1073" s="5" t="s">
        <v>187</v>
      </c>
      <c r="F1073" s="5" t="s">
        <v>38</v>
      </c>
      <c r="G1073" s="5" t="s">
        <v>56</v>
      </c>
      <c r="H1073" s="5">
        <v>170</v>
      </c>
      <c r="I1073" s="5">
        <v>14</v>
      </c>
      <c r="J1073" s="5" t="s">
        <v>32</v>
      </c>
      <c r="K1073" s="5" t="s">
        <v>45</v>
      </c>
      <c r="L1073" s="5" t="s">
        <v>20</v>
      </c>
      <c r="M1073" s="7" t="s">
        <v>21</v>
      </c>
      <c r="N1073" s="26">
        <f t="shared" si="112"/>
        <v>-1</v>
      </c>
      <c r="O1073" s="42">
        <f t="shared" si="113"/>
        <v>45173</v>
      </c>
      <c r="P1073" s="5" t="str">
        <f t="shared" si="114"/>
        <v>Monday</v>
      </c>
      <c r="Q1073" s="5">
        <f t="shared" si="115"/>
        <v>8</v>
      </c>
      <c r="R1073" s="28">
        <f t="shared" si="116"/>
        <v>0.92391304347826086</v>
      </c>
      <c r="S1073" s="29">
        <f t="shared" si="117"/>
        <v>92.391304347826093</v>
      </c>
      <c r="T1073" s="5" t="str">
        <f>IF(Delivery_Data3[[#This Row],[Delays (min)]]&gt;0,"No","Yes")</f>
        <v>No</v>
      </c>
      <c r="W1073" s="41">
        <f t="shared" si="118"/>
        <v>45173</v>
      </c>
      <c r="X1073" s="5">
        <v>170</v>
      </c>
    </row>
    <row r="1074" spans="1:24" ht="15.75" customHeight="1" x14ac:dyDescent="0.3">
      <c r="A1074" s="4">
        <v>2073</v>
      </c>
      <c r="B1074" s="5" t="s">
        <v>1181</v>
      </c>
      <c r="C1074" s="6">
        <v>45172.538888888892</v>
      </c>
      <c r="D1074" s="5" t="s">
        <v>43</v>
      </c>
      <c r="E1074" s="5" t="s">
        <v>403</v>
      </c>
      <c r="F1074" s="5" t="s">
        <v>24</v>
      </c>
      <c r="G1074" s="5" t="s">
        <v>39</v>
      </c>
      <c r="H1074" s="5">
        <v>110</v>
      </c>
      <c r="I1074" s="5">
        <v>13</v>
      </c>
      <c r="J1074" s="5" t="s">
        <v>26</v>
      </c>
      <c r="K1074" s="5" t="s">
        <v>49</v>
      </c>
      <c r="L1074" s="5" t="s">
        <v>20</v>
      </c>
      <c r="M1074" s="7" t="s">
        <v>41</v>
      </c>
      <c r="N1074" s="26">
        <f t="shared" si="112"/>
        <v>1</v>
      </c>
      <c r="O1074" s="42">
        <f t="shared" si="113"/>
        <v>45172</v>
      </c>
      <c r="P1074" s="5" t="str">
        <f t="shared" si="114"/>
        <v>Sunday</v>
      </c>
      <c r="Q1074" s="5">
        <f t="shared" si="115"/>
        <v>12</v>
      </c>
      <c r="R1074" s="28">
        <f t="shared" si="116"/>
        <v>0.89430894308943087</v>
      </c>
      <c r="S1074" s="29">
        <f t="shared" si="117"/>
        <v>89.430894308943081</v>
      </c>
      <c r="T1074" s="5" t="str">
        <f>IF(Delivery_Data3[[#This Row],[Delays (min)]]&gt;0,"No","Yes")</f>
        <v>No</v>
      </c>
      <c r="W1074" s="41">
        <f t="shared" si="118"/>
        <v>45172</v>
      </c>
      <c r="X1074" s="5">
        <v>110</v>
      </c>
    </row>
    <row r="1075" spans="1:24" ht="15.75" customHeight="1" x14ac:dyDescent="0.3">
      <c r="A1075" s="4">
        <v>2074</v>
      </c>
      <c r="B1075" s="5" t="s">
        <v>1182</v>
      </c>
      <c r="C1075" s="6">
        <v>45176.495138888888</v>
      </c>
      <c r="D1075" s="5" t="s">
        <v>43</v>
      </c>
      <c r="E1075" s="5" t="s">
        <v>70</v>
      </c>
      <c r="F1075" s="5" t="s">
        <v>16</v>
      </c>
      <c r="G1075" s="5" t="s">
        <v>39</v>
      </c>
      <c r="H1075" s="5">
        <v>117</v>
      </c>
      <c r="I1075" s="5">
        <v>13</v>
      </c>
      <c r="J1075" s="5" t="s">
        <v>18</v>
      </c>
      <c r="K1075" s="5" t="s">
        <v>45</v>
      </c>
      <c r="L1075" s="5" t="s">
        <v>20</v>
      </c>
      <c r="M1075" s="7" t="s">
        <v>21</v>
      </c>
      <c r="N1075" s="26">
        <f t="shared" si="112"/>
        <v>0</v>
      </c>
      <c r="O1075" s="42">
        <f t="shared" si="113"/>
        <v>45176</v>
      </c>
      <c r="P1075" s="5" t="str">
        <f t="shared" si="114"/>
        <v>Thursday</v>
      </c>
      <c r="Q1075" s="5">
        <f t="shared" si="115"/>
        <v>11</v>
      </c>
      <c r="R1075" s="28">
        <f t="shared" si="116"/>
        <v>0.9</v>
      </c>
      <c r="S1075" s="29">
        <f t="shared" si="117"/>
        <v>90</v>
      </c>
      <c r="T1075" s="5" t="str">
        <f>IF(Delivery_Data3[[#This Row],[Delays (min)]]&gt;0,"No","Yes")</f>
        <v>No</v>
      </c>
      <c r="W1075" s="41">
        <f t="shared" si="118"/>
        <v>45176</v>
      </c>
      <c r="X1075" s="5">
        <v>117</v>
      </c>
    </row>
    <row r="1076" spans="1:24" ht="15.75" customHeight="1" x14ac:dyDescent="0.3">
      <c r="A1076" s="4">
        <v>2075</v>
      </c>
      <c r="B1076" s="5" t="s">
        <v>1183</v>
      </c>
      <c r="C1076" s="6">
        <v>45172.457638888889</v>
      </c>
      <c r="D1076" s="5" t="s">
        <v>43</v>
      </c>
      <c r="E1076" s="5" t="s">
        <v>468</v>
      </c>
      <c r="F1076" s="5" t="s">
        <v>16</v>
      </c>
      <c r="G1076" s="5" t="s">
        <v>39</v>
      </c>
      <c r="H1076" s="5">
        <v>131</v>
      </c>
      <c r="I1076" s="5">
        <v>24</v>
      </c>
      <c r="J1076" s="5" t="s">
        <v>26</v>
      </c>
      <c r="K1076" s="5" t="s">
        <v>19</v>
      </c>
      <c r="L1076" s="5" t="s">
        <v>28</v>
      </c>
      <c r="M1076" s="7" t="s">
        <v>46</v>
      </c>
      <c r="N1076" s="26">
        <f t="shared" si="112"/>
        <v>1</v>
      </c>
      <c r="O1076" s="42">
        <f t="shared" si="113"/>
        <v>45172</v>
      </c>
      <c r="P1076" s="5" t="str">
        <f t="shared" si="114"/>
        <v>Sunday</v>
      </c>
      <c r="Q1076" s="5">
        <f t="shared" si="115"/>
        <v>10</v>
      </c>
      <c r="R1076" s="28">
        <f t="shared" si="116"/>
        <v>0.84516129032258069</v>
      </c>
      <c r="S1076" s="29">
        <f t="shared" si="117"/>
        <v>84.516129032258064</v>
      </c>
      <c r="T1076" s="5" t="str">
        <f>IF(Delivery_Data3[[#This Row],[Delays (min)]]&gt;0,"No","Yes")</f>
        <v>No</v>
      </c>
      <c r="W1076" s="41">
        <f t="shared" si="118"/>
        <v>45172</v>
      </c>
      <c r="X1076" s="5">
        <v>131</v>
      </c>
    </row>
    <row r="1077" spans="1:24" ht="15.75" customHeight="1" x14ac:dyDescent="0.3">
      <c r="A1077" s="4">
        <v>2076</v>
      </c>
      <c r="B1077" s="5" t="s">
        <v>1184</v>
      </c>
      <c r="C1077" s="6">
        <v>45173.370833333334</v>
      </c>
      <c r="D1077" s="5" t="s">
        <v>43</v>
      </c>
      <c r="E1077" s="5" t="s">
        <v>202</v>
      </c>
      <c r="F1077" s="5" t="s">
        <v>38</v>
      </c>
      <c r="G1077" s="5" t="s">
        <v>56</v>
      </c>
      <c r="H1077" s="5">
        <v>209</v>
      </c>
      <c r="I1077" s="5">
        <v>11</v>
      </c>
      <c r="J1077" s="5" t="s">
        <v>18</v>
      </c>
      <c r="K1077" s="5" t="s">
        <v>35</v>
      </c>
      <c r="L1077" s="5" t="s">
        <v>28</v>
      </c>
      <c r="M1077" s="7" t="s">
        <v>46</v>
      </c>
      <c r="N1077" s="26">
        <f t="shared" si="112"/>
        <v>0</v>
      </c>
      <c r="O1077" s="42">
        <f t="shared" si="113"/>
        <v>45173</v>
      </c>
      <c r="P1077" s="5" t="str">
        <f t="shared" si="114"/>
        <v>Monday</v>
      </c>
      <c r="Q1077" s="5">
        <f t="shared" si="115"/>
        <v>8</v>
      </c>
      <c r="R1077" s="28">
        <f t="shared" si="116"/>
        <v>0.95</v>
      </c>
      <c r="S1077" s="29">
        <f t="shared" si="117"/>
        <v>95</v>
      </c>
      <c r="T1077" s="5" t="str">
        <f>IF(Delivery_Data3[[#This Row],[Delays (min)]]&gt;0,"No","Yes")</f>
        <v>No</v>
      </c>
      <c r="W1077" s="41">
        <f t="shared" si="118"/>
        <v>45173</v>
      </c>
      <c r="X1077" s="5">
        <v>209</v>
      </c>
    </row>
    <row r="1078" spans="1:24" ht="15.75" customHeight="1" x14ac:dyDescent="0.3">
      <c r="A1078" s="4">
        <v>2077</v>
      </c>
      <c r="B1078" s="5" t="s">
        <v>1185</v>
      </c>
      <c r="C1078" s="6">
        <v>45177.47152777778</v>
      </c>
      <c r="D1078" s="5" t="s">
        <v>14</v>
      </c>
      <c r="E1078" s="5" t="s">
        <v>85</v>
      </c>
      <c r="F1078" s="5" t="s">
        <v>24</v>
      </c>
      <c r="G1078" s="5" t="s">
        <v>39</v>
      </c>
      <c r="H1078" s="5">
        <v>159</v>
      </c>
      <c r="I1078" s="5">
        <v>19</v>
      </c>
      <c r="J1078" s="5" t="s">
        <v>32</v>
      </c>
      <c r="K1078" s="5" t="s">
        <v>27</v>
      </c>
      <c r="L1078" s="5" t="s">
        <v>20</v>
      </c>
      <c r="M1078" s="7" t="s">
        <v>46</v>
      </c>
      <c r="N1078" s="26">
        <f t="shared" si="112"/>
        <v>-1</v>
      </c>
      <c r="O1078" s="42">
        <f t="shared" si="113"/>
        <v>45177</v>
      </c>
      <c r="P1078" s="5" t="str">
        <f t="shared" si="114"/>
        <v>Friday</v>
      </c>
      <c r="Q1078" s="5">
        <f t="shared" si="115"/>
        <v>11</v>
      </c>
      <c r="R1078" s="28">
        <f t="shared" si="116"/>
        <v>0.8932584269662921</v>
      </c>
      <c r="S1078" s="29">
        <f t="shared" si="117"/>
        <v>89.325842696629209</v>
      </c>
      <c r="T1078" s="5" t="str">
        <f>IF(Delivery_Data3[[#This Row],[Delays (min)]]&gt;0,"No","Yes")</f>
        <v>No</v>
      </c>
      <c r="W1078" s="41">
        <f t="shared" si="118"/>
        <v>45177</v>
      </c>
      <c r="X1078" s="5">
        <v>159</v>
      </c>
    </row>
    <row r="1079" spans="1:24" ht="15.75" customHeight="1" x14ac:dyDescent="0.3">
      <c r="A1079" s="4">
        <v>2078</v>
      </c>
      <c r="B1079" s="5" t="s">
        <v>1186</v>
      </c>
      <c r="C1079" s="6">
        <v>45174.507638888892</v>
      </c>
      <c r="D1079" s="5" t="s">
        <v>14</v>
      </c>
      <c r="E1079" s="5" t="s">
        <v>132</v>
      </c>
      <c r="F1079" s="5" t="s">
        <v>24</v>
      </c>
      <c r="G1079" s="5" t="s">
        <v>17</v>
      </c>
      <c r="H1079" s="5">
        <v>91</v>
      </c>
      <c r="I1079" s="5">
        <v>4</v>
      </c>
      <c r="J1079" s="5" t="s">
        <v>26</v>
      </c>
      <c r="K1079" s="5" t="s">
        <v>45</v>
      </c>
      <c r="L1079" s="5" t="s">
        <v>20</v>
      </c>
      <c r="M1079" s="7" t="s">
        <v>46</v>
      </c>
      <c r="N1079" s="26">
        <f t="shared" si="112"/>
        <v>1</v>
      </c>
      <c r="O1079" s="42">
        <f t="shared" si="113"/>
        <v>45174</v>
      </c>
      <c r="P1079" s="5" t="str">
        <f t="shared" si="114"/>
        <v>Tuesday</v>
      </c>
      <c r="Q1079" s="5">
        <f t="shared" si="115"/>
        <v>12</v>
      </c>
      <c r="R1079" s="28">
        <f t="shared" si="116"/>
        <v>0.95789473684210524</v>
      </c>
      <c r="S1079" s="29">
        <f t="shared" si="117"/>
        <v>95.78947368421052</v>
      </c>
      <c r="T1079" s="5" t="str">
        <f>IF(Delivery_Data3[[#This Row],[Delays (min)]]&gt;0,"No","Yes")</f>
        <v>No</v>
      </c>
      <c r="W1079" s="41">
        <f t="shared" si="118"/>
        <v>45174</v>
      </c>
      <c r="X1079" s="5">
        <v>91</v>
      </c>
    </row>
    <row r="1080" spans="1:24" ht="15.75" customHeight="1" x14ac:dyDescent="0.3">
      <c r="A1080" s="4">
        <v>2079</v>
      </c>
      <c r="B1080" s="5" t="s">
        <v>1187</v>
      </c>
      <c r="C1080" s="6">
        <v>45171.592361111114</v>
      </c>
      <c r="D1080" s="5" t="s">
        <v>14</v>
      </c>
      <c r="E1080" s="5" t="s">
        <v>99</v>
      </c>
      <c r="F1080" s="5" t="s">
        <v>38</v>
      </c>
      <c r="G1080" s="5" t="s">
        <v>31</v>
      </c>
      <c r="H1080" s="5">
        <v>232</v>
      </c>
      <c r="I1080" s="5">
        <v>2</v>
      </c>
      <c r="J1080" s="5" t="s">
        <v>26</v>
      </c>
      <c r="K1080" s="5" t="s">
        <v>35</v>
      </c>
      <c r="L1080" s="5" t="s">
        <v>40</v>
      </c>
      <c r="M1080" s="7" t="s">
        <v>21</v>
      </c>
      <c r="N1080" s="26">
        <f t="shared" si="112"/>
        <v>1</v>
      </c>
      <c r="O1080" s="42">
        <f t="shared" si="113"/>
        <v>45171</v>
      </c>
      <c r="P1080" s="5" t="str">
        <f t="shared" si="114"/>
        <v>Saturday</v>
      </c>
      <c r="Q1080" s="5">
        <f t="shared" si="115"/>
        <v>14</v>
      </c>
      <c r="R1080" s="28">
        <f t="shared" si="116"/>
        <v>0.99145299145299148</v>
      </c>
      <c r="S1080" s="29">
        <f t="shared" si="117"/>
        <v>99.145299145299148</v>
      </c>
      <c r="T1080" s="5" t="str">
        <f>IF(Delivery_Data3[[#This Row],[Delays (min)]]&gt;0,"No","Yes")</f>
        <v>No</v>
      </c>
      <c r="W1080" s="41">
        <f t="shared" si="118"/>
        <v>45171</v>
      </c>
      <c r="X1080" s="5">
        <v>232</v>
      </c>
    </row>
    <row r="1081" spans="1:24" ht="15.75" customHeight="1" x14ac:dyDescent="0.3">
      <c r="A1081" s="4">
        <v>2080</v>
      </c>
      <c r="B1081" s="5" t="s">
        <v>1188</v>
      </c>
      <c r="C1081" s="6">
        <v>45173.34652777778</v>
      </c>
      <c r="D1081" s="5" t="s">
        <v>43</v>
      </c>
      <c r="E1081" s="5" t="s">
        <v>106</v>
      </c>
      <c r="F1081" s="5" t="s">
        <v>16</v>
      </c>
      <c r="G1081" s="5" t="s">
        <v>56</v>
      </c>
      <c r="H1081" s="5">
        <v>239</v>
      </c>
      <c r="I1081" s="5">
        <v>21</v>
      </c>
      <c r="J1081" s="5" t="s">
        <v>18</v>
      </c>
      <c r="K1081" s="5" t="s">
        <v>19</v>
      </c>
      <c r="L1081" s="5" t="s">
        <v>40</v>
      </c>
      <c r="M1081" s="7" t="s">
        <v>46</v>
      </c>
      <c r="N1081" s="26">
        <f t="shared" si="112"/>
        <v>0</v>
      </c>
      <c r="O1081" s="42">
        <f t="shared" si="113"/>
        <v>45173</v>
      </c>
      <c r="P1081" s="5" t="str">
        <f t="shared" si="114"/>
        <v>Monday</v>
      </c>
      <c r="Q1081" s="5">
        <f t="shared" si="115"/>
        <v>8</v>
      </c>
      <c r="R1081" s="28">
        <f t="shared" si="116"/>
        <v>0.91923076923076918</v>
      </c>
      <c r="S1081" s="29">
        <f t="shared" si="117"/>
        <v>91.92307692307692</v>
      </c>
      <c r="T1081" s="5" t="str">
        <f>IF(Delivery_Data3[[#This Row],[Delays (min)]]&gt;0,"No","Yes")</f>
        <v>No</v>
      </c>
      <c r="W1081" s="41">
        <f t="shared" si="118"/>
        <v>45173</v>
      </c>
      <c r="X1081" s="5">
        <v>239</v>
      </c>
    </row>
    <row r="1082" spans="1:24" ht="15.75" customHeight="1" x14ac:dyDescent="0.3">
      <c r="A1082" s="4">
        <v>2081</v>
      </c>
      <c r="B1082" s="5" t="s">
        <v>1189</v>
      </c>
      <c r="C1082" s="6">
        <v>45176.65625</v>
      </c>
      <c r="D1082" s="5" t="s">
        <v>43</v>
      </c>
      <c r="E1082" s="5" t="s">
        <v>261</v>
      </c>
      <c r="F1082" s="5" t="s">
        <v>38</v>
      </c>
      <c r="G1082" s="5" t="s">
        <v>39</v>
      </c>
      <c r="H1082" s="5">
        <v>232</v>
      </c>
      <c r="I1082" s="5">
        <v>23</v>
      </c>
      <c r="J1082" s="5" t="s">
        <v>18</v>
      </c>
      <c r="K1082" s="5" t="s">
        <v>19</v>
      </c>
      <c r="L1082" s="5" t="s">
        <v>40</v>
      </c>
      <c r="M1082" s="7" t="s">
        <v>21</v>
      </c>
      <c r="N1082" s="26">
        <f t="shared" si="112"/>
        <v>0</v>
      </c>
      <c r="O1082" s="42">
        <f t="shared" si="113"/>
        <v>45176</v>
      </c>
      <c r="P1082" s="5" t="str">
        <f t="shared" si="114"/>
        <v>Thursday</v>
      </c>
      <c r="Q1082" s="5">
        <f t="shared" si="115"/>
        <v>15</v>
      </c>
      <c r="R1082" s="28">
        <f t="shared" si="116"/>
        <v>0.90980392156862744</v>
      </c>
      <c r="S1082" s="29">
        <f t="shared" si="117"/>
        <v>90.980392156862749</v>
      </c>
      <c r="T1082" s="5" t="str">
        <f>IF(Delivery_Data3[[#This Row],[Delays (min)]]&gt;0,"No","Yes")</f>
        <v>No</v>
      </c>
      <c r="W1082" s="41">
        <f t="shared" si="118"/>
        <v>45176</v>
      </c>
      <c r="X1082" s="5">
        <v>232</v>
      </c>
    </row>
    <row r="1083" spans="1:24" ht="15.75" customHeight="1" x14ac:dyDescent="0.3">
      <c r="A1083" s="4">
        <v>2082</v>
      </c>
      <c r="B1083" s="5" t="s">
        <v>1190</v>
      </c>
      <c r="C1083" s="6">
        <v>45176.699305555558</v>
      </c>
      <c r="D1083" s="5" t="s">
        <v>14</v>
      </c>
      <c r="E1083" s="5" t="s">
        <v>154</v>
      </c>
      <c r="F1083" s="5" t="s">
        <v>16</v>
      </c>
      <c r="G1083" s="5" t="s">
        <v>39</v>
      </c>
      <c r="H1083" s="5">
        <v>92</v>
      </c>
      <c r="I1083" s="5">
        <v>16</v>
      </c>
      <c r="J1083" s="5" t="s">
        <v>32</v>
      </c>
      <c r="K1083" s="5" t="s">
        <v>45</v>
      </c>
      <c r="L1083" s="5" t="s">
        <v>20</v>
      </c>
      <c r="M1083" s="7" t="s">
        <v>21</v>
      </c>
      <c r="N1083" s="26">
        <f t="shared" si="112"/>
        <v>-1</v>
      </c>
      <c r="O1083" s="42">
        <f t="shared" si="113"/>
        <v>45176</v>
      </c>
      <c r="P1083" s="5" t="str">
        <f t="shared" si="114"/>
        <v>Thursday</v>
      </c>
      <c r="Q1083" s="5">
        <f t="shared" si="115"/>
        <v>16</v>
      </c>
      <c r="R1083" s="28">
        <f t="shared" si="116"/>
        <v>0.85185185185185186</v>
      </c>
      <c r="S1083" s="29">
        <f t="shared" si="117"/>
        <v>85.18518518518519</v>
      </c>
      <c r="T1083" s="5" t="str">
        <f>IF(Delivery_Data3[[#This Row],[Delays (min)]]&gt;0,"No","Yes")</f>
        <v>No</v>
      </c>
      <c r="W1083" s="41">
        <f t="shared" si="118"/>
        <v>45176</v>
      </c>
      <c r="X1083" s="5">
        <v>92</v>
      </c>
    </row>
    <row r="1084" spans="1:24" ht="15.75" customHeight="1" x14ac:dyDescent="0.3">
      <c r="A1084" s="4">
        <v>2083</v>
      </c>
      <c r="B1084" s="5" t="s">
        <v>1191</v>
      </c>
      <c r="C1084" s="6">
        <v>45170.703472222223</v>
      </c>
      <c r="D1084" s="5" t="s">
        <v>14</v>
      </c>
      <c r="E1084" s="5" t="s">
        <v>215</v>
      </c>
      <c r="F1084" s="5" t="s">
        <v>24</v>
      </c>
      <c r="G1084" s="5" t="s">
        <v>17</v>
      </c>
      <c r="H1084" s="5">
        <v>86</v>
      </c>
      <c r="I1084" s="5">
        <v>15</v>
      </c>
      <c r="J1084" s="5" t="s">
        <v>32</v>
      </c>
      <c r="K1084" s="5" t="s">
        <v>49</v>
      </c>
      <c r="L1084" s="5" t="s">
        <v>28</v>
      </c>
      <c r="M1084" s="7" t="s">
        <v>21</v>
      </c>
      <c r="N1084" s="26">
        <f t="shared" si="112"/>
        <v>-1</v>
      </c>
      <c r="O1084" s="42">
        <f t="shared" si="113"/>
        <v>45170</v>
      </c>
      <c r="P1084" s="5" t="str">
        <f t="shared" si="114"/>
        <v>Friday</v>
      </c>
      <c r="Q1084" s="5">
        <f t="shared" si="115"/>
        <v>16</v>
      </c>
      <c r="R1084" s="28">
        <f t="shared" si="116"/>
        <v>0.85148514851485146</v>
      </c>
      <c r="S1084" s="29">
        <f t="shared" si="117"/>
        <v>85.148514851485146</v>
      </c>
      <c r="T1084" s="5" t="str">
        <f>IF(Delivery_Data3[[#This Row],[Delays (min)]]&gt;0,"No","Yes")</f>
        <v>No</v>
      </c>
      <c r="W1084" s="41">
        <f t="shared" si="118"/>
        <v>45170</v>
      </c>
      <c r="X1084" s="5">
        <v>86</v>
      </c>
    </row>
    <row r="1085" spans="1:24" ht="15.75" customHeight="1" x14ac:dyDescent="0.3">
      <c r="A1085" s="4">
        <v>2084</v>
      </c>
      <c r="B1085" s="5" t="s">
        <v>1192</v>
      </c>
      <c r="C1085" s="6">
        <v>45175.357638888891</v>
      </c>
      <c r="D1085" s="5" t="s">
        <v>14</v>
      </c>
      <c r="E1085" s="5" t="s">
        <v>87</v>
      </c>
      <c r="F1085" s="5" t="s">
        <v>24</v>
      </c>
      <c r="G1085" s="5" t="s">
        <v>31</v>
      </c>
      <c r="H1085" s="5">
        <v>84</v>
      </c>
      <c r="I1085" s="5">
        <v>29</v>
      </c>
      <c r="J1085" s="5" t="s">
        <v>18</v>
      </c>
      <c r="K1085" s="5" t="s">
        <v>45</v>
      </c>
      <c r="L1085" s="5" t="s">
        <v>40</v>
      </c>
      <c r="M1085" s="7" t="s">
        <v>21</v>
      </c>
      <c r="N1085" s="26">
        <f t="shared" si="112"/>
        <v>0</v>
      </c>
      <c r="O1085" s="42">
        <f t="shared" si="113"/>
        <v>45175</v>
      </c>
      <c r="P1085" s="5" t="str">
        <f t="shared" si="114"/>
        <v>Wednesday</v>
      </c>
      <c r="Q1085" s="5">
        <f t="shared" si="115"/>
        <v>8</v>
      </c>
      <c r="R1085" s="28">
        <f t="shared" si="116"/>
        <v>0.74336283185840712</v>
      </c>
      <c r="S1085" s="29">
        <f t="shared" si="117"/>
        <v>74.336283185840713</v>
      </c>
      <c r="T1085" s="5" t="str">
        <f>IF(Delivery_Data3[[#This Row],[Delays (min)]]&gt;0,"No","Yes")</f>
        <v>No</v>
      </c>
      <c r="W1085" s="41">
        <f t="shared" si="118"/>
        <v>45175</v>
      </c>
      <c r="X1085" s="5">
        <v>84</v>
      </c>
    </row>
    <row r="1086" spans="1:24" ht="15.75" customHeight="1" x14ac:dyDescent="0.3">
      <c r="A1086" s="4">
        <v>2085</v>
      </c>
      <c r="B1086" s="5" t="s">
        <v>1193</v>
      </c>
      <c r="C1086" s="6">
        <v>45174.441666666666</v>
      </c>
      <c r="D1086" s="5" t="s">
        <v>43</v>
      </c>
      <c r="E1086" s="5" t="s">
        <v>158</v>
      </c>
      <c r="F1086" s="5" t="s">
        <v>16</v>
      </c>
      <c r="G1086" s="5" t="s">
        <v>25</v>
      </c>
      <c r="H1086" s="5">
        <v>112</v>
      </c>
      <c r="I1086" s="5">
        <v>13</v>
      </c>
      <c r="J1086" s="5" t="s">
        <v>26</v>
      </c>
      <c r="K1086" s="5" t="s">
        <v>19</v>
      </c>
      <c r="L1086" s="5" t="s">
        <v>20</v>
      </c>
      <c r="M1086" s="7" t="s">
        <v>46</v>
      </c>
      <c r="N1086" s="26">
        <f t="shared" si="112"/>
        <v>1</v>
      </c>
      <c r="O1086" s="42">
        <f t="shared" si="113"/>
        <v>45174</v>
      </c>
      <c r="P1086" s="5" t="str">
        <f t="shared" si="114"/>
        <v>Tuesday</v>
      </c>
      <c r="Q1086" s="5">
        <f t="shared" si="115"/>
        <v>10</v>
      </c>
      <c r="R1086" s="28">
        <f t="shared" si="116"/>
        <v>0.89600000000000002</v>
      </c>
      <c r="S1086" s="29">
        <f t="shared" si="117"/>
        <v>89.600000000000009</v>
      </c>
      <c r="T1086" s="5" t="str">
        <f>IF(Delivery_Data3[[#This Row],[Delays (min)]]&gt;0,"No","Yes")</f>
        <v>No</v>
      </c>
      <c r="W1086" s="41">
        <f t="shared" si="118"/>
        <v>45174</v>
      </c>
      <c r="X1086" s="5">
        <v>112</v>
      </c>
    </row>
    <row r="1087" spans="1:24" ht="15.75" customHeight="1" x14ac:dyDescent="0.3">
      <c r="A1087" s="4">
        <v>2086</v>
      </c>
      <c r="B1087" s="5" t="s">
        <v>1194</v>
      </c>
      <c r="C1087" s="6">
        <v>45170.616666666669</v>
      </c>
      <c r="D1087" s="5" t="s">
        <v>14</v>
      </c>
      <c r="E1087" s="5" t="s">
        <v>182</v>
      </c>
      <c r="F1087" s="5" t="s">
        <v>38</v>
      </c>
      <c r="G1087" s="5" t="s">
        <v>25</v>
      </c>
      <c r="H1087" s="5">
        <v>190</v>
      </c>
      <c r="I1087" s="5">
        <v>11</v>
      </c>
      <c r="J1087" s="5" t="s">
        <v>26</v>
      </c>
      <c r="K1087" s="5" t="s">
        <v>49</v>
      </c>
      <c r="L1087" s="5" t="s">
        <v>40</v>
      </c>
      <c r="M1087" s="7" t="s">
        <v>46</v>
      </c>
      <c r="N1087" s="26">
        <f t="shared" si="112"/>
        <v>1</v>
      </c>
      <c r="O1087" s="42">
        <f t="shared" si="113"/>
        <v>45170</v>
      </c>
      <c r="P1087" s="5" t="str">
        <f t="shared" si="114"/>
        <v>Friday</v>
      </c>
      <c r="Q1087" s="5">
        <f t="shared" si="115"/>
        <v>14</v>
      </c>
      <c r="R1087" s="28">
        <f t="shared" si="116"/>
        <v>0.94527363184079605</v>
      </c>
      <c r="S1087" s="29">
        <f t="shared" si="117"/>
        <v>94.527363184079604</v>
      </c>
      <c r="T1087" s="5" t="str">
        <f>IF(Delivery_Data3[[#This Row],[Delays (min)]]&gt;0,"No","Yes")</f>
        <v>No</v>
      </c>
      <c r="W1087" s="41">
        <f t="shared" si="118"/>
        <v>45170</v>
      </c>
      <c r="X1087" s="5">
        <v>190</v>
      </c>
    </row>
    <row r="1088" spans="1:24" ht="15.75" customHeight="1" x14ac:dyDescent="0.3">
      <c r="A1088" s="4">
        <v>2087</v>
      </c>
      <c r="B1088" s="5" t="s">
        <v>1195</v>
      </c>
      <c r="C1088" s="6">
        <v>45171.455555555556</v>
      </c>
      <c r="D1088" s="5" t="s">
        <v>14</v>
      </c>
      <c r="E1088" s="5" t="s">
        <v>177</v>
      </c>
      <c r="F1088" s="5" t="s">
        <v>24</v>
      </c>
      <c r="G1088" s="5" t="s">
        <v>56</v>
      </c>
      <c r="H1088" s="5">
        <v>238</v>
      </c>
      <c r="I1088" s="5">
        <v>24</v>
      </c>
      <c r="J1088" s="5" t="s">
        <v>26</v>
      </c>
      <c r="K1088" s="5" t="s">
        <v>49</v>
      </c>
      <c r="L1088" s="5" t="s">
        <v>28</v>
      </c>
      <c r="M1088" s="7" t="s">
        <v>21</v>
      </c>
      <c r="N1088" s="26">
        <f t="shared" si="112"/>
        <v>1</v>
      </c>
      <c r="O1088" s="42">
        <f t="shared" si="113"/>
        <v>45171</v>
      </c>
      <c r="P1088" s="5" t="str">
        <f t="shared" si="114"/>
        <v>Saturday</v>
      </c>
      <c r="Q1088" s="5">
        <f t="shared" si="115"/>
        <v>10</v>
      </c>
      <c r="R1088" s="28">
        <f t="shared" si="116"/>
        <v>0.90839694656488545</v>
      </c>
      <c r="S1088" s="29">
        <f t="shared" si="117"/>
        <v>90.839694656488547</v>
      </c>
      <c r="T1088" s="5" t="str">
        <f>IF(Delivery_Data3[[#This Row],[Delays (min)]]&gt;0,"No","Yes")</f>
        <v>No</v>
      </c>
      <c r="W1088" s="41">
        <f t="shared" si="118"/>
        <v>45171</v>
      </c>
      <c r="X1088" s="5">
        <v>238</v>
      </c>
    </row>
    <row r="1089" spans="1:24" ht="15.75" customHeight="1" x14ac:dyDescent="0.3">
      <c r="A1089" s="4">
        <v>2088</v>
      </c>
      <c r="B1089" s="5" t="s">
        <v>1196</v>
      </c>
      <c r="C1089" s="6">
        <v>45174.644444444442</v>
      </c>
      <c r="D1089" s="5" t="s">
        <v>14</v>
      </c>
      <c r="E1089" s="5" t="s">
        <v>220</v>
      </c>
      <c r="F1089" s="5" t="s">
        <v>16</v>
      </c>
      <c r="G1089" s="5" t="s">
        <v>25</v>
      </c>
      <c r="H1089" s="5">
        <v>77</v>
      </c>
      <c r="I1089" s="5">
        <v>21</v>
      </c>
      <c r="J1089" s="5" t="s">
        <v>18</v>
      </c>
      <c r="K1089" s="5" t="s">
        <v>45</v>
      </c>
      <c r="L1089" s="5" t="s">
        <v>28</v>
      </c>
      <c r="M1089" s="7" t="s">
        <v>46</v>
      </c>
      <c r="N1089" s="26">
        <f t="shared" si="112"/>
        <v>0</v>
      </c>
      <c r="O1089" s="42">
        <f t="shared" si="113"/>
        <v>45174</v>
      </c>
      <c r="P1089" s="5" t="str">
        <f t="shared" si="114"/>
        <v>Tuesday</v>
      </c>
      <c r="Q1089" s="5">
        <f t="shared" si="115"/>
        <v>15</v>
      </c>
      <c r="R1089" s="28">
        <f t="shared" si="116"/>
        <v>0.7857142857142857</v>
      </c>
      <c r="S1089" s="29">
        <f t="shared" si="117"/>
        <v>78.571428571428569</v>
      </c>
      <c r="T1089" s="5" t="str">
        <f>IF(Delivery_Data3[[#This Row],[Delays (min)]]&gt;0,"No","Yes")</f>
        <v>No</v>
      </c>
      <c r="W1089" s="41">
        <f t="shared" si="118"/>
        <v>45174</v>
      </c>
      <c r="X1089" s="5">
        <v>77</v>
      </c>
    </row>
    <row r="1090" spans="1:24" ht="15.75" customHeight="1" x14ac:dyDescent="0.3">
      <c r="A1090" s="4">
        <v>2089</v>
      </c>
      <c r="B1090" s="5" t="s">
        <v>1197</v>
      </c>
      <c r="C1090" s="6">
        <v>45174.395138888889</v>
      </c>
      <c r="D1090" s="5" t="s">
        <v>43</v>
      </c>
      <c r="E1090" s="5" t="s">
        <v>285</v>
      </c>
      <c r="F1090" s="5" t="s">
        <v>16</v>
      </c>
      <c r="G1090" s="5" t="s">
        <v>39</v>
      </c>
      <c r="H1090" s="5">
        <v>127</v>
      </c>
      <c r="I1090" s="5">
        <v>9</v>
      </c>
      <c r="J1090" s="5" t="s">
        <v>18</v>
      </c>
      <c r="K1090" s="5" t="s">
        <v>49</v>
      </c>
      <c r="L1090" s="5" t="s">
        <v>28</v>
      </c>
      <c r="M1090" s="7" t="s">
        <v>21</v>
      </c>
      <c r="N1090" s="26">
        <f t="shared" ref="N1090:N1153" si="119">IF(J1090="Positive",1,IF(J1090="Neutral",0,IF(J1090="Negative",-1,"")))</f>
        <v>0</v>
      </c>
      <c r="O1090" s="42">
        <f t="shared" ref="O1090:O1153" si="120">INT(C1090)</f>
        <v>45174</v>
      </c>
      <c r="P1090" s="5" t="str">
        <f t="shared" ref="P1090:P1153" si="121">TEXT(C1090,"dddd")</f>
        <v>Tuesday</v>
      </c>
      <c r="Q1090" s="5">
        <f t="shared" ref="Q1090:Q1153" si="122">HOUR(C1090)</f>
        <v>9</v>
      </c>
      <c r="R1090" s="28">
        <f t="shared" ref="R1090:R1153" si="123">H1090/(H1090+I1090)</f>
        <v>0.93382352941176472</v>
      </c>
      <c r="S1090" s="29">
        <f t="shared" si="117"/>
        <v>93.382352941176478</v>
      </c>
      <c r="T1090" s="5" t="str">
        <f>IF(Delivery_Data3[[#This Row],[Delays (min)]]&gt;0,"No","Yes")</f>
        <v>No</v>
      </c>
      <c r="W1090" s="41">
        <f t="shared" si="118"/>
        <v>45174</v>
      </c>
      <c r="X1090" s="5">
        <v>127</v>
      </c>
    </row>
    <row r="1091" spans="1:24" ht="15.75" customHeight="1" x14ac:dyDescent="0.3">
      <c r="A1091" s="4">
        <v>2090</v>
      </c>
      <c r="B1091" s="5" t="s">
        <v>1198</v>
      </c>
      <c r="C1091" s="6">
        <v>45174.459722222222</v>
      </c>
      <c r="D1091" s="5" t="s">
        <v>43</v>
      </c>
      <c r="E1091" s="5" t="s">
        <v>164</v>
      </c>
      <c r="F1091" s="5" t="s">
        <v>24</v>
      </c>
      <c r="G1091" s="5" t="s">
        <v>56</v>
      </c>
      <c r="H1091" s="5">
        <v>119</v>
      </c>
      <c r="I1091" s="5">
        <v>9</v>
      </c>
      <c r="J1091" s="5" t="s">
        <v>32</v>
      </c>
      <c r="K1091" s="5" t="s">
        <v>19</v>
      </c>
      <c r="L1091" s="5" t="s">
        <v>40</v>
      </c>
      <c r="M1091" s="7" t="s">
        <v>21</v>
      </c>
      <c r="N1091" s="26">
        <f t="shared" si="119"/>
        <v>-1</v>
      </c>
      <c r="O1091" s="42">
        <f t="shared" si="120"/>
        <v>45174</v>
      </c>
      <c r="P1091" s="5" t="str">
        <f t="shared" si="121"/>
        <v>Tuesday</v>
      </c>
      <c r="Q1091" s="5">
        <f t="shared" si="122"/>
        <v>11</v>
      </c>
      <c r="R1091" s="28">
        <f t="shared" si="123"/>
        <v>0.9296875</v>
      </c>
      <c r="S1091" s="29">
        <f t="shared" ref="S1091:S1154" si="124">IF(H1091+I1091=0,0,(H1091/(H1091+I1091))*100) + (IFERROR(--J1091,0)*10)</f>
        <v>92.96875</v>
      </c>
      <c r="T1091" s="5" t="str">
        <f>IF(Delivery_Data3[[#This Row],[Delays (min)]]&gt;0,"No","Yes")</f>
        <v>No</v>
      </c>
      <c r="W1091" s="41">
        <f t="shared" ref="W1091:W1154" si="125">INT(C1091)</f>
        <v>45174</v>
      </c>
      <c r="X1091" s="5">
        <v>119</v>
      </c>
    </row>
    <row r="1092" spans="1:24" ht="15.75" customHeight="1" x14ac:dyDescent="0.3">
      <c r="A1092" s="4">
        <v>2091</v>
      </c>
      <c r="B1092" s="5" t="s">
        <v>1199</v>
      </c>
      <c r="C1092" s="6">
        <v>45175.495138888888</v>
      </c>
      <c r="D1092" s="5" t="s">
        <v>14</v>
      </c>
      <c r="E1092" s="5" t="s">
        <v>93</v>
      </c>
      <c r="F1092" s="5" t="s">
        <v>38</v>
      </c>
      <c r="G1092" s="5" t="s">
        <v>39</v>
      </c>
      <c r="H1092" s="5">
        <v>133</v>
      </c>
      <c r="I1092" s="5">
        <v>22</v>
      </c>
      <c r="J1092" s="5" t="s">
        <v>26</v>
      </c>
      <c r="K1092" s="5" t="s">
        <v>35</v>
      </c>
      <c r="L1092" s="5" t="s">
        <v>40</v>
      </c>
      <c r="M1092" s="7" t="s">
        <v>46</v>
      </c>
      <c r="N1092" s="26">
        <f t="shared" si="119"/>
        <v>1</v>
      </c>
      <c r="O1092" s="42">
        <f t="shared" si="120"/>
        <v>45175</v>
      </c>
      <c r="P1092" s="5" t="str">
        <f t="shared" si="121"/>
        <v>Wednesday</v>
      </c>
      <c r="Q1092" s="5">
        <f t="shared" si="122"/>
        <v>11</v>
      </c>
      <c r="R1092" s="28">
        <f t="shared" si="123"/>
        <v>0.85806451612903223</v>
      </c>
      <c r="S1092" s="29">
        <f t="shared" si="124"/>
        <v>85.806451612903217</v>
      </c>
      <c r="T1092" s="5" t="str">
        <f>IF(Delivery_Data3[[#This Row],[Delays (min)]]&gt;0,"No","Yes")</f>
        <v>No</v>
      </c>
      <c r="W1092" s="41">
        <f t="shared" si="125"/>
        <v>45175</v>
      </c>
      <c r="X1092" s="5">
        <v>133</v>
      </c>
    </row>
    <row r="1093" spans="1:24" ht="15.75" customHeight="1" x14ac:dyDescent="0.3">
      <c r="A1093" s="4">
        <v>2092</v>
      </c>
      <c r="B1093" s="5" t="s">
        <v>1200</v>
      </c>
      <c r="C1093" s="6">
        <v>45173.339583333334</v>
      </c>
      <c r="D1093" s="5" t="s">
        <v>43</v>
      </c>
      <c r="E1093" s="5" t="s">
        <v>200</v>
      </c>
      <c r="F1093" s="5" t="s">
        <v>16</v>
      </c>
      <c r="G1093" s="5" t="s">
        <v>56</v>
      </c>
      <c r="H1093" s="5">
        <v>200</v>
      </c>
      <c r="I1093" s="5">
        <v>11</v>
      </c>
      <c r="J1093" s="5" t="s">
        <v>18</v>
      </c>
      <c r="K1093" s="5" t="s">
        <v>49</v>
      </c>
      <c r="L1093" s="5" t="s">
        <v>20</v>
      </c>
      <c r="M1093" s="7" t="s">
        <v>46</v>
      </c>
      <c r="N1093" s="26">
        <f t="shared" si="119"/>
        <v>0</v>
      </c>
      <c r="O1093" s="42">
        <f t="shared" si="120"/>
        <v>45173</v>
      </c>
      <c r="P1093" s="5" t="str">
        <f t="shared" si="121"/>
        <v>Monday</v>
      </c>
      <c r="Q1093" s="5">
        <f t="shared" si="122"/>
        <v>8</v>
      </c>
      <c r="R1093" s="28">
        <f t="shared" si="123"/>
        <v>0.94786729857819907</v>
      </c>
      <c r="S1093" s="29">
        <f t="shared" si="124"/>
        <v>94.786729857819907</v>
      </c>
      <c r="T1093" s="5" t="str">
        <f>IF(Delivery_Data3[[#This Row],[Delays (min)]]&gt;0,"No","Yes")</f>
        <v>No</v>
      </c>
      <c r="W1093" s="41">
        <f t="shared" si="125"/>
        <v>45173</v>
      </c>
      <c r="X1093" s="5">
        <v>200</v>
      </c>
    </row>
    <row r="1094" spans="1:24" ht="15.75" customHeight="1" x14ac:dyDescent="0.3">
      <c r="A1094" s="4">
        <v>2093</v>
      </c>
      <c r="B1094" s="5" t="s">
        <v>1201</v>
      </c>
      <c r="C1094" s="6">
        <v>45175.701388888891</v>
      </c>
      <c r="D1094" s="5" t="s">
        <v>43</v>
      </c>
      <c r="E1094" s="5" t="s">
        <v>51</v>
      </c>
      <c r="F1094" s="5" t="s">
        <v>24</v>
      </c>
      <c r="G1094" s="5" t="s">
        <v>39</v>
      </c>
      <c r="H1094" s="5">
        <v>94</v>
      </c>
      <c r="I1094" s="5">
        <v>21</v>
      </c>
      <c r="J1094" s="5" t="s">
        <v>18</v>
      </c>
      <c r="K1094" s="5" t="s">
        <v>49</v>
      </c>
      <c r="L1094" s="5" t="s">
        <v>20</v>
      </c>
      <c r="M1094" s="7" t="s">
        <v>41</v>
      </c>
      <c r="N1094" s="26">
        <f t="shared" si="119"/>
        <v>0</v>
      </c>
      <c r="O1094" s="42">
        <f t="shared" si="120"/>
        <v>45175</v>
      </c>
      <c r="P1094" s="5" t="str">
        <f t="shared" si="121"/>
        <v>Wednesday</v>
      </c>
      <c r="Q1094" s="5">
        <f t="shared" si="122"/>
        <v>16</v>
      </c>
      <c r="R1094" s="28">
        <f t="shared" si="123"/>
        <v>0.81739130434782614</v>
      </c>
      <c r="S1094" s="29">
        <f t="shared" si="124"/>
        <v>81.739130434782609</v>
      </c>
      <c r="T1094" s="5" t="str">
        <f>IF(Delivery_Data3[[#This Row],[Delays (min)]]&gt;0,"No","Yes")</f>
        <v>No</v>
      </c>
      <c r="W1094" s="41">
        <f t="shared" si="125"/>
        <v>45175</v>
      </c>
      <c r="X1094" s="5">
        <v>94</v>
      </c>
    </row>
    <row r="1095" spans="1:24" ht="15.75" customHeight="1" x14ac:dyDescent="0.3">
      <c r="A1095" s="4">
        <v>2094</v>
      </c>
      <c r="B1095" s="5" t="s">
        <v>1202</v>
      </c>
      <c r="C1095" s="6">
        <v>45172.340277777781</v>
      </c>
      <c r="D1095" s="5" t="s">
        <v>14</v>
      </c>
      <c r="E1095" s="5" t="s">
        <v>122</v>
      </c>
      <c r="F1095" s="5" t="s">
        <v>16</v>
      </c>
      <c r="G1095" s="5" t="s">
        <v>56</v>
      </c>
      <c r="H1095" s="5">
        <v>125</v>
      </c>
      <c r="I1095" s="5">
        <v>25</v>
      </c>
      <c r="J1095" s="5" t="s">
        <v>26</v>
      </c>
      <c r="K1095" s="5" t="s">
        <v>49</v>
      </c>
      <c r="L1095" s="5" t="s">
        <v>40</v>
      </c>
      <c r="M1095" s="7" t="s">
        <v>46</v>
      </c>
      <c r="N1095" s="26">
        <f t="shared" si="119"/>
        <v>1</v>
      </c>
      <c r="O1095" s="42">
        <f t="shared" si="120"/>
        <v>45172</v>
      </c>
      <c r="P1095" s="5" t="str">
        <f t="shared" si="121"/>
        <v>Sunday</v>
      </c>
      <c r="Q1095" s="5">
        <f t="shared" si="122"/>
        <v>8</v>
      </c>
      <c r="R1095" s="28">
        <f t="shared" si="123"/>
        <v>0.83333333333333337</v>
      </c>
      <c r="S1095" s="29">
        <f t="shared" si="124"/>
        <v>83.333333333333343</v>
      </c>
      <c r="T1095" s="5" t="str">
        <f>IF(Delivery_Data3[[#This Row],[Delays (min)]]&gt;0,"No","Yes")</f>
        <v>No</v>
      </c>
      <c r="W1095" s="41">
        <f t="shared" si="125"/>
        <v>45172</v>
      </c>
      <c r="X1095" s="5">
        <v>125</v>
      </c>
    </row>
    <row r="1096" spans="1:24" ht="15.75" customHeight="1" x14ac:dyDescent="0.3">
      <c r="A1096" s="4">
        <v>2095</v>
      </c>
      <c r="B1096" s="5" t="s">
        <v>1203</v>
      </c>
      <c r="C1096" s="6">
        <v>45174.693749999999</v>
      </c>
      <c r="D1096" s="5" t="s">
        <v>14</v>
      </c>
      <c r="E1096" s="5" t="s">
        <v>44</v>
      </c>
      <c r="F1096" s="5" t="s">
        <v>24</v>
      </c>
      <c r="G1096" s="5" t="s">
        <v>31</v>
      </c>
      <c r="H1096" s="5">
        <v>197</v>
      </c>
      <c r="I1096" s="5">
        <v>4</v>
      </c>
      <c r="J1096" s="5" t="s">
        <v>26</v>
      </c>
      <c r="K1096" s="5" t="s">
        <v>19</v>
      </c>
      <c r="L1096" s="5" t="s">
        <v>20</v>
      </c>
      <c r="M1096" s="7" t="s">
        <v>41</v>
      </c>
      <c r="N1096" s="26">
        <f t="shared" si="119"/>
        <v>1</v>
      </c>
      <c r="O1096" s="42">
        <f t="shared" si="120"/>
        <v>45174</v>
      </c>
      <c r="P1096" s="5" t="str">
        <f t="shared" si="121"/>
        <v>Tuesday</v>
      </c>
      <c r="Q1096" s="5">
        <f t="shared" si="122"/>
        <v>16</v>
      </c>
      <c r="R1096" s="28">
        <f t="shared" si="123"/>
        <v>0.98009950248756217</v>
      </c>
      <c r="S1096" s="29">
        <f t="shared" si="124"/>
        <v>98.009950248756212</v>
      </c>
      <c r="T1096" s="5" t="str">
        <f>IF(Delivery_Data3[[#This Row],[Delays (min)]]&gt;0,"No","Yes")</f>
        <v>No</v>
      </c>
      <c r="W1096" s="41">
        <f t="shared" si="125"/>
        <v>45174</v>
      </c>
      <c r="X1096" s="5">
        <v>197</v>
      </c>
    </row>
    <row r="1097" spans="1:24" ht="15.75" customHeight="1" x14ac:dyDescent="0.3">
      <c r="A1097" s="4">
        <v>2096</v>
      </c>
      <c r="B1097" s="5" t="s">
        <v>1204</v>
      </c>
      <c r="C1097" s="6">
        <v>45175.600694444445</v>
      </c>
      <c r="D1097" s="5" t="s">
        <v>43</v>
      </c>
      <c r="E1097" s="5" t="s">
        <v>111</v>
      </c>
      <c r="F1097" s="5" t="s">
        <v>38</v>
      </c>
      <c r="G1097" s="5" t="s">
        <v>17</v>
      </c>
      <c r="H1097" s="5">
        <v>195</v>
      </c>
      <c r="I1097" s="5">
        <v>4</v>
      </c>
      <c r="J1097" s="5" t="s">
        <v>26</v>
      </c>
      <c r="K1097" s="5" t="s">
        <v>49</v>
      </c>
      <c r="L1097" s="5" t="s">
        <v>28</v>
      </c>
      <c r="M1097" s="7" t="s">
        <v>46</v>
      </c>
      <c r="N1097" s="26">
        <f t="shared" si="119"/>
        <v>1</v>
      </c>
      <c r="O1097" s="42">
        <f t="shared" si="120"/>
        <v>45175</v>
      </c>
      <c r="P1097" s="5" t="str">
        <f t="shared" si="121"/>
        <v>Wednesday</v>
      </c>
      <c r="Q1097" s="5">
        <f t="shared" si="122"/>
        <v>14</v>
      </c>
      <c r="R1097" s="28">
        <f t="shared" si="123"/>
        <v>0.97989949748743721</v>
      </c>
      <c r="S1097" s="29">
        <f t="shared" si="124"/>
        <v>97.989949748743726</v>
      </c>
      <c r="T1097" s="5" t="str">
        <f>IF(Delivery_Data3[[#This Row],[Delays (min)]]&gt;0,"No","Yes")</f>
        <v>No</v>
      </c>
      <c r="W1097" s="41">
        <f t="shared" si="125"/>
        <v>45175</v>
      </c>
      <c r="X1097" s="5">
        <v>195</v>
      </c>
    </row>
    <row r="1098" spans="1:24" ht="15.75" customHeight="1" x14ac:dyDescent="0.3">
      <c r="A1098" s="4">
        <v>2097</v>
      </c>
      <c r="B1098" s="5" t="s">
        <v>1205</v>
      </c>
      <c r="C1098" s="6">
        <v>45175.436111111114</v>
      </c>
      <c r="D1098" s="5" t="s">
        <v>43</v>
      </c>
      <c r="E1098" s="5" t="s">
        <v>243</v>
      </c>
      <c r="F1098" s="5" t="s">
        <v>16</v>
      </c>
      <c r="G1098" s="5" t="s">
        <v>25</v>
      </c>
      <c r="H1098" s="5">
        <v>168</v>
      </c>
      <c r="I1098" s="5">
        <v>15</v>
      </c>
      <c r="J1098" s="5" t="s">
        <v>26</v>
      </c>
      <c r="K1098" s="5" t="s">
        <v>19</v>
      </c>
      <c r="L1098" s="5" t="s">
        <v>20</v>
      </c>
      <c r="M1098" s="7" t="s">
        <v>46</v>
      </c>
      <c r="N1098" s="26">
        <f t="shared" si="119"/>
        <v>1</v>
      </c>
      <c r="O1098" s="42">
        <f t="shared" si="120"/>
        <v>45175</v>
      </c>
      <c r="P1098" s="5" t="str">
        <f t="shared" si="121"/>
        <v>Wednesday</v>
      </c>
      <c r="Q1098" s="5">
        <f t="shared" si="122"/>
        <v>10</v>
      </c>
      <c r="R1098" s="28">
        <f t="shared" si="123"/>
        <v>0.91803278688524592</v>
      </c>
      <c r="S1098" s="29">
        <f t="shared" si="124"/>
        <v>91.803278688524586</v>
      </c>
      <c r="T1098" s="5" t="str">
        <f>IF(Delivery_Data3[[#This Row],[Delays (min)]]&gt;0,"No","Yes")</f>
        <v>No</v>
      </c>
      <c r="W1098" s="41">
        <f t="shared" si="125"/>
        <v>45175</v>
      </c>
      <c r="X1098" s="5">
        <v>168</v>
      </c>
    </row>
    <row r="1099" spans="1:24" ht="15.75" customHeight="1" x14ac:dyDescent="0.3">
      <c r="A1099" s="4">
        <v>2098</v>
      </c>
      <c r="B1099" s="5" t="s">
        <v>1206</v>
      </c>
      <c r="C1099" s="6">
        <v>45173.425000000003</v>
      </c>
      <c r="D1099" s="5" t="s">
        <v>14</v>
      </c>
      <c r="E1099" s="5" t="s">
        <v>220</v>
      </c>
      <c r="F1099" s="5" t="s">
        <v>38</v>
      </c>
      <c r="G1099" s="5" t="s">
        <v>17</v>
      </c>
      <c r="H1099" s="5">
        <v>180</v>
      </c>
      <c r="I1099" s="5">
        <v>26</v>
      </c>
      <c r="J1099" s="5" t="s">
        <v>26</v>
      </c>
      <c r="K1099" s="5" t="s">
        <v>35</v>
      </c>
      <c r="L1099" s="5" t="s">
        <v>20</v>
      </c>
      <c r="M1099" s="7" t="s">
        <v>21</v>
      </c>
      <c r="N1099" s="26">
        <f t="shared" si="119"/>
        <v>1</v>
      </c>
      <c r="O1099" s="42">
        <f t="shared" si="120"/>
        <v>45173</v>
      </c>
      <c r="P1099" s="5" t="str">
        <f t="shared" si="121"/>
        <v>Monday</v>
      </c>
      <c r="Q1099" s="5">
        <f t="shared" si="122"/>
        <v>10</v>
      </c>
      <c r="R1099" s="28">
        <f t="shared" si="123"/>
        <v>0.87378640776699024</v>
      </c>
      <c r="S1099" s="29">
        <f t="shared" si="124"/>
        <v>87.378640776699029</v>
      </c>
      <c r="T1099" s="5" t="str">
        <f>IF(Delivery_Data3[[#This Row],[Delays (min)]]&gt;0,"No","Yes")</f>
        <v>No</v>
      </c>
      <c r="W1099" s="41">
        <f t="shared" si="125"/>
        <v>45173</v>
      </c>
      <c r="X1099" s="5">
        <v>180</v>
      </c>
    </row>
    <row r="1100" spans="1:24" ht="15.75" customHeight="1" x14ac:dyDescent="0.3">
      <c r="A1100" s="4">
        <v>2099</v>
      </c>
      <c r="B1100" s="5" t="s">
        <v>1207</v>
      </c>
      <c r="C1100" s="6">
        <v>45172.439583333333</v>
      </c>
      <c r="D1100" s="5" t="s">
        <v>43</v>
      </c>
      <c r="E1100" s="5" t="s">
        <v>87</v>
      </c>
      <c r="F1100" s="5" t="s">
        <v>16</v>
      </c>
      <c r="G1100" s="5" t="s">
        <v>25</v>
      </c>
      <c r="H1100" s="5">
        <v>237</v>
      </c>
      <c r="I1100" s="5">
        <v>16</v>
      </c>
      <c r="J1100" s="5" t="s">
        <v>26</v>
      </c>
      <c r="K1100" s="5" t="s">
        <v>27</v>
      </c>
      <c r="L1100" s="5" t="s">
        <v>28</v>
      </c>
      <c r="M1100" s="7" t="s">
        <v>21</v>
      </c>
      <c r="N1100" s="26">
        <f t="shared" si="119"/>
        <v>1</v>
      </c>
      <c r="O1100" s="42">
        <f t="shared" si="120"/>
        <v>45172</v>
      </c>
      <c r="P1100" s="5" t="str">
        <f t="shared" si="121"/>
        <v>Sunday</v>
      </c>
      <c r="Q1100" s="5">
        <f t="shared" si="122"/>
        <v>10</v>
      </c>
      <c r="R1100" s="28">
        <f t="shared" si="123"/>
        <v>0.93675889328063244</v>
      </c>
      <c r="S1100" s="29">
        <f t="shared" si="124"/>
        <v>93.675889328063249</v>
      </c>
      <c r="T1100" s="5" t="str">
        <f>IF(Delivery_Data3[[#This Row],[Delays (min)]]&gt;0,"No","Yes")</f>
        <v>No</v>
      </c>
      <c r="W1100" s="41">
        <f t="shared" si="125"/>
        <v>45172</v>
      </c>
      <c r="X1100" s="5">
        <v>237</v>
      </c>
    </row>
    <row r="1101" spans="1:24" ht="15.75" customHeight="1" x14ac:dyDescent="0.3">
      <c r="A1101" s="4">
        <v>2100</v>
      </c>
      <c r="B1101" s="5" t="s">
        <v>1208</v>
      </c>
      <c r="C1101" s="6">
        <v>45172.458333333336</v>
      </c>
      <c r="D1101" s="5" t="s">
        <v>14</v>
      </c>
      <c r="E1101" s="5" t="s">
        <v>189</v>
      </c>
      <c r="F1101" s="5" t="s">
        <v>16</v>
      </c>
      <c r="G1101" s="5" t="s">
        <v>56</v>
      </c>
      <c r="H1101" s="5">
        <v>79</v>
      </c>
      <c r="I1101" s="5">
        <v>11</v>
      </c>
      <c r="J1101" s="5" t="s">
        <v>18</v>
      </c>
      <c r="K1101" s="5" t="s">
        <v>19</v>
      </c>
      <c r="L1101" s="5" t="s">
        <v>28</v>
      </c>
      <c r="M1101" s="7" t="s">
        <v>46</v>
      </c>
      <c r="N1101" s="26">
        <f t="shared" si="119"/>
        <v>0</v>
      </c>
      <c r="O1101" s="42">
        <f t="shared" si="120"/>
        <v>45172</v>
      </c>
      <c r="P1101" s="5" t="str">
        <f t="shared" si="121"/>
        <v>Sunday</v>
      </c>
      <c r="Q1101" s="5">
        <f t="shared" si="122"/>
        <v>11</v>
      </c>
      <c r="R1101" s="28">
        <f t="shared" si="123"/>
        <v>0.87777777777777777</v>
      </c>
      <c r="S1101" s="29">
        <f t="shared" si="124"/>
        <v>87.777777777777771</v>
      </c>
      <c r="T1101" s="5" t="str">
        <f>IF(Delivery_Data3[[#This Row],[Delays (min)]]&gt;0,"No","Yes")</f>
        <v>No</v>
      </c>
      <c r="W1101" s="41">
        <f t="shared" si="125"/>
        <v>45172</v>
      </c>
      <c r="X1101" s="5">
        <v>79</v>
      </c>
    </row>
    <row r="1102" spans="1:24" ht="15.75" customHeight="1" x14ac:dyDescent="0.3">
      <c r="A1102" s="4">
        <v>2101</v>
      </c>
      <c r="B1102" s="5" t="s">
        <v>157</v>
      </c>
      <c r="C1102" s="6">
        <v>45175.338888888888</v>
      </c>
      <c r="D1102" s="5" t="s">
        <v>14</v>
      </c>
      <c r="E1102" s="5" t="s">
        <v>158</v>
      </c>
      <c r="F1102" s="5" t="s">
        <v>16</v>
      </c>
      <c r="G1102" s="5" t="s">
        <v>56</v>
      </c>
      <c r="H1102" s="5">
        <v>90</v>
      </c>
      <c r="I1102" s="5">
        <v>20</v>
      </c>
      <c r="J1102" s="5" t="s">
        <v>32</v>
      </c>
      <c r="K1102" s="5" t="s">
        <v>45</v>
      </c>
      <c r="L1102" s="5" t="s">
        <v>20</v>
      </c>
      <c r="M1102" s="7" t="s">
        <v>46</v>
      </c>
      <c r="N1102" s="26">
        <f t="shared" si="119"/>
        <v>-1</v>
      </c>
      <c r="O1102" s="42">
        <f t="shared" si="120"/>
        <v>45175</v>
      </c>
      <c r="P1102" s="5" t="str">
        <f t="shared" si="121"/>
        <v>Wednesday</v>
      </c>
      <c r="Q1102" s="5">
        <f t="shared" si="122"/>
        <v>8</v>
      </c>
      <c r="R1102" s="28">
        <f t="shared" si="123"/>
        <v>0.81818181818181823</v>
      </c>
      <c r="S1102" s="29">
        <f t="shared" si="124"/>
        <v>81.818181818181827</v>
      </c>
      <c r="T1102" s="5" t="str">
        <f>IF(Delivery_Data3[[#This Row],[Delays (min)]]&gt;0,"No","Yes")</f>
        <v>No</v>
      </c>
      <c r="W1102" s="41">
        <f t="shared" si="125"/>
        <v>45175</v>
      </c>
      <c r="X1102" s="5">
        <v>90</v>
      </c>
    </row>
    <row r="1103" spans="1:24" ht="15.75" customHeight="1" x14ac:dyDescent="0.3">
      <c r="A1103" s="4">
        <v>2102</v>
      </c>
      <c r="B1103" s="5" t="s">
        <v>1209</v>
      </c>
      <c r="C1103" s="6">
        <v>45171.60833333333</v>
      </c>
      <c r="D1103" s="5" t="s">
        <v>43</v>
      </c>
      <c r="E1103" s="5" t="s">
        <v>240</v>
      </c>
      <c r="F1103" s="5" t="s">
        <v>38</v>
      </c>
      <c r="G1103" s="5" t="s">
        <v>31</v>
      </c>
      <c r="H1103" s="5">
        <v>203</v>
      </c>
      <c r="I1103" s="5">
        <v>5</v>
      </c>
      <c r="J1103" s="5" t="s">
        <v>32</v>
      </c>
      <c r="K1103" s="5" t="s">
        <v>19</v>
      </c>
      <c r="L1103" s="5" t="s">
        <v>40</v>
      </c>
      <c r="M1103" s="7" t="s">
        <v>46</v>
      </c>
      <c r="N1103" s="26">
        <f t="shared" si="119"/>
        <v>-1</v>
      </c>
      <c r="O1103" s="42">
        <f t="shared" si="120"/>
        <v>45171</v>
      </c>
      <c r="P1103" s="5" t="str">
        <f t="shared" si="121"/>
        <v>Saturday</v>
      </c>
      <c r="Q1103" s="5">
        <f t="shared" si="122"/>
        <v>14</v>
      </c>
      <c r="R1103" s="28">
        <f t="shared" si="123"/>
        <v>0.97596153846153844</v>
      </c>
      <c r="S1103" s="29">
        <f t="shared" si="124"/>
        <v>97.59615384615384</v>
      </c>
      <c r="T1103" s="5" t="str">
        <f>IF(Delivery_Data3[[#This Row],[Delays (min)]]&gt;0,"No","Yes")</f>
        <v>No</v>
      </c>
      <c r="W1103" s="41">
        <f t="shared" si="125"/>
        <v>45171</v>
      </c>
      <c r="X1103" s="5">
        <v>203</v>
      </c>
    </row>
    <row r="1104" spans="1:24" ht="15.75" customHeight="1" x14ac:dyDescent="0.3">
      <c r="A1104" s="4">
        <v>2103</v>
      </c>
      <c r="B1104" s="5" t="s">
        <v>1210</v>
      </c>
      <c r="C1104" s="6">
        <v>45170.467361111114</v>
      </c>
      <c r="D1104" s="5" t="s">
        <v>43</v>
      </c>
      <c r="E1104" s="5" t="s">
        <v>374</v>
      </c>
      <c r="F1104" s="5" t="s">
        <v>16</v>
      </c>
      <c r="G1104" s="5" t="s">
        <v>39</v>
      </c>
      <c r="H1104" s="5">
        <v>188</v>
      </c>
      <c r="I1104" s="5">
        <v>1</v>
      </c>
      <c r="J1104" s="5" t="s">
        <v>26</v>
      </c>
      <c r="K1104" s="5" t="s">
        <v>35</v>
      </c>
      <c r="L1104" s="5" t="s">
        <v>40</v>
      </c>
      <c r="M1104" s="7" t="s">
        <v>46</v>
      </c>
      <c r="N1104" s="26">
        <f t="shared" si="119"/>
        <v>1</v>
      </c>
      <c r="O1104" s="42">
        <f t="shared" si="120"/>
        <v>45170</v>
      </c>
      <c r="P1104" s="5" t="str">
        <f t="shared" si="121"/>
        <v>Friday</v>
      </c>
      <c r="Q1104" s="5">
        <f t="shared" si="122"/>
        <v>11</v>
      </c>
      <c r="R1104" s="28">
        <f t="shared" si="123"/>
        <v>0.99470899470899465</v>
      </c>
      <c r="S1104" s="29">
        <f t="shared" si="124"/>
        <v>99.470899470899468</v>
      </c>
      <c r="T1104" s="5" t="str">
        <f>IF(Delivery_Data3[[#This Row],[Delays (min)]]&gt;0,"No","Yes")</f>
        <v>No</v>
      </c>
      <c r="W1104" s="41">
        <f t="shared" si="125"/>
        <v>45170</v>
      </c>
      <c r="X1104" s="5">
        <v>188</v>
      </c>
    </row>
    <row r="1105" spans="1:24" ht="15.75" customHeight="1" x14ac:dyDescent="0.3">
      <c r="A1105" s="4">
        <v>2104</v>
      </c>
      <c r="B1105" s="5" t="s">
        <v>1211</v>
      </c>
      <c r="C1105" s="6">
        <v>45173.459027777775</v>
      </c>
      <c r="D1105" s="5" t="s">
        <v>43</v>
      </c>
      <c r="E1105" s="5" t="s">
        <v>200</v>
      </c>
      <c r="F1105" s="5" t="s">
        <v>16</v>
      </c>
      <c r="G1105" s="5" t="s">
        <v>56</v>
      </c>
      <c r="H1105" s="5">
        <v>191</v>
      </c>
      <c r="I1105" s="5">
        <v>23</v>
      </c>
      <c r="J1105" s="5" t="s">
        <v>32</v>
      </c>
      <c r="K1105" s="5" t="s">
        <v>27</v>
      </c>
      <c r="L1105" s="5" t="s">
        <v>40</v>
      </c>
      <c r="M1105" s="7" t="s">
        <v>21</v>
      </c>
      <c r="N1105" s="26">
        <f t="shared" si="119"/>
        <v>-1</v>
      </c>
      <c r="O1105" s="42">
        <f t="shared" si="120"/>
        <v>45173</v>
      </c>
      <c r="P1105" s="5" t="str">
        <f t="shared" si="121"/>
        <v>Monday</v>
      </c>
      <c r="Q1105" s="5">
        <f t="shared" si="122"/>
        <v>11</v>
      </c>
      <c r="R1105" s="28">
        <f t="shared" si="123"/>
        <v>0.89252336448598135</v>
      </c>
      <c r="S1105" s="29">
        <f t="shared" si="124"/>
        <v>89.252336448598129</v>
      </c>
      <c r="T1105" s="5" t="str">
        <f>IF(Delivery_Data3[[#This Row],[Delays (min)]]&gt;0,"No","Yes")</f>
        <v>No</v>
      </c>
      <c r="W1105" s="41">
        <f t="shared" si="125"/>
        <v>45173</v>
      </c>
      <c r="X1105" s="5">
        <v>191</v>
      </c>
    </row>
    <row r="1106" spans="1:24" ht="15.75" customHeight="1" x14ac:dyDescent="0.3">
      <c r="A1106" s="4">
        <v>2105</v>
      </c>
      <c r="B1106" s="5" t="s">
        <v>1212</v>
      </c>
      <c r="C1106" s="6">
        <v>45176.469444444447</v>
      </c>
      <c r="D1106" s="5" t="s">
        <v>14</v>
      </c>
      <c r="E1106" s="5" t="s">
        <v>267</v>
      </c>
      <c r="F1106" s="5" t="s">
        <v>38</v>
      </c>
      <c r="G1106" s="5" t="s">
        <v>25</v>
      </c>
      <c r="H1106" s="5">
        <v>162</v>
      </c>
      <c r="I1106" s="5">
        <v>9</v>
      </c>
      <c r="J1106" s="5" t="s">
        <v>32</v>
      </c>
      <c r="K1106" s="5" t="s">
        <v>35</v>
      </c>
      <c r="L1106" s="5" t="s">
        <v>20</v>
      </c>
      <c r="M1106" s="7" t="s">
        <v>46</v>
      </c>
      <c r="N1106" s="26">
        <f t="shared" si="119"/>
        <v>-1</v>
      </c>
      <c r="O1106" s="42">
        <f t="shared" si="120"/>
        <v>45176</v>
      </c>
      <c r="P1106" s="5" t="str">
        <f t="shared" si="121"/>
        <v>Thursday</v>
      </c>
      <c r="Q1106" s="5">
        <f t="shared" si="122"/>
        <v>11</v>
      </c>
      <c r="R1106" s="28">
        <f t="shared" si="123"/>
        <v>0.94736842105263153</v>
      </c>
      <c r="S1106" s="29">
        <f t="shared" si="124"/>
        <v>94.73684210526315</v>
      </c>
      <c r="T1106" s="5" t="str">
        <f>IF(Delivery_Data3[[#This Row],[Delays (min)]]&gt;0,"No","Yes")</f>
        <v>No</v>
      </c>
      <c r="W1106" s="41">
        <f t="shared" si="125"/>
        <v>45176</v>
      </c>
      <c r="X1106" s="5">
        <v>162</v>
      </c>
    </row>
    <row r="1107" spans="1:24" ht="15.75" customHeight="1" x14ac:dyDescent="0.3">
      <c r="A1107" s="4">
        <v>2106</v>
      </c>
      <c r="B1107" s="5" t="s">
        <v>1213</v>
      </c>
      <c r="C1107" s="6">
        <v>45171.644444444442</v>
      </c>
      <c r="D1107" s="5" t="s">
        <v>43</v>
      </c>
      <c r="E1107" s="5" t="s">
        <v>80</v>
      </c>
      <c r="F1107" s="5" t="s">
        <v>38</v>
      </c>
      <c r="G1107" s="5" t="s">
        <v>56</v>
      </c>
      <c r="H1107" s="5">
        <v>151</v>
      </c>
      <c r="I1107" s="5">
        <v>3</v>
      </c>
      <c r="J1107" s="5" t="s">
        <v>18</v>
      </c>
      <c r="K1107" s="5" t="s">
        <v>45</v>
      </c>
      <c r="L1107" s="5" t="s">
        <v>20</v>
      </c>
      <c r="M1107" s="7" t="s">
        <v>41</v>
      </c>
      <c r="N1107" s="26">
        <f t="shared" si="119"/>
        <v>0</v>
      </c>
      <c r="O1107" s="42">
        <f t="shared" si="120"/>
        <v>45171</v>
      </c>
      <c r="P1107" s="5" t="str">
        <f t="shared" si="121"/>
        <v>Saturday</v>
      </c>
      <c r="Q1107" s="5">
        <f t="shared" si="122"/>
        <v>15</v>
      </c>
      <c r="R1107" s="28">
        <f t="shared" si="123"/>
        <v>0.98051948051948057</v>
      </c>
      <c r="S1107" s="29">
        <f t="shared" si="124"/>
        <v>98.05194805194806</v>
      </c>
      <c r="T1107" s="5" t="str">
        <f>IF(Delivery_Data3[[#This Row],[Delays (min)]]&gt;0,"No","Yes")</f>
        <v>No</v>
      </c>
      <c r="W1107" s="41">
        <f t="shared" si="125"/>
        <v>45171</v>
      </c>
      <c r="X1107" s="5">
        <v>151</v>
      </c>
    </row>
    <row r="1108" spans="1:24" ht="15.75" customHeight="1" x14ac:dyDescent="0.3">
      <c r="A1108" s="4">
        <v>2107</v>
      </c>
      <c r="B1108" s="5" t="s">
        <v>1214</v>
      </c>
      <c r="C1108" s="6">
        <v>45176.404166666667</v>
      </c>
      <c r="D1108" s="5" t="s">
        <v>43</v>
      </c>
      <c r="E1108" s="5" t="s">
        <v>288</v>
      </c>
      <c r="F1108" s="5" t="s">
        <v>24</v>
      </c>
      <c r="G1108" s="5" t="s">
        <v>17</v>
      </c>
      <c r="H1108" s="5">
        <v>98</v>
      </c>
      <c r="I1108" s="5">
        <v>26</v>
      </c>
      <c r="J1108" s="5" t="s">
        <v>32</v>
      </c>
      <c r="K1108" s="5" t="s">
        <v>19</v>
      </c>
      <c r="L1108" s="5" t="s">
        <v>40</v>
      </c>
      <c r="M1108" s="7" t="s">
        <v>46</v>
      </c>
      <c r="N1108" s="26">
        <f t="shared" si="119"/>
        <v>-1</v>
      </c>
      <c r="O1108" s="42">
        <f t="shared" si="120"/>
        <v>45176</v>
      </c>
      <c r="P1108" s="5" t="str">
        <f t="shared" si="121"/>
        <v>Thursday</v>
      </c>
      <c r="Q1108" s="5">
        <f t="shared" si="122"/>
        <v>9</v>
      </c>
      <c r="R1108" s="28">
        <f t="shared" si="123"/>
        <v>0.79032258064516125</v>
      </c>
      <c r="S1108" s="29">
        <f t="shared" si="124"/>
        <v>79.032258064516128</v>
      </c>
      <c r="T1108" s="5" t="str">
        <f>IF(Delivery_Data3[[#This Row],[Delays (min)]]&gt;0,"No","Yes")</f>
        <v>No</v>
      </c>
      <c r="W1108" s="41">
        <f t="shared" si="125"/>
        <v>45176</v>
      </c>
      <c r="X1108" s="5">
        <v>98</v>
      </c>
    </row>
    <row r="1109" spans="1:24" ht="15.75" customHeight="1" x14ac:dyDescent="0.3">
      <c r="A1109" s="4">
        <v>2108</v>
      </c>
      <c r="B1109" s="5" t="s">
        <v>1215</v>
      </c>
      <c r="C1109" s="6">
        <v>45170.640972222223</v>
      </c>
      <c r="D1109" s="5" t="s">
        <v>43</v>
      </c>
      <c r="E1109" s="5" t="s">
        <v>204</v>
      </c>
      <c r="F1109" s="5" t="s">
        <v>24</v>
      </c>
      <c r="G1109" s="5" t="s">
        <v>39</v>
      </c>
      <c r="H1109" s="5">
        <v>65</v>
      </c>
      <c r="I1109" s="5">
        <v>11</v>
      </c>
      <c r="J1109" s="5" t="s">
        <v>32</v>
      </c>
      <c r="K1109" s="5" t="s">
        <v>49</v>
      </c>
      <c r="L1109" s="5" t="s">
        <v>20</v>
      </c>
      <c r="M1109" s="7" t="s">
        <v>46</v>
      </c>
      <c r="N1109" s="26">
        <f t="shared" si="119"/>
        <v>-1</v>
      </c>
      <c r="O1109" s="42">
        <f t="shared" si="120"/>
        <v>45170</v>
      </c>
      <c r="P1109" s="5" t="str">
        <f t="shared" si="121"/>
        <v>Friday</v>
      </c>
      <c r="Q1109" s="5">
        <f t="shared" si="122"/>
        <v>15</v>
      </c>
      <c r="R1109" s="28">
        <f t="shared" si="123"/>
        <v>0.85526315789473684</v>
      </c>
      <c r="S1109" s="29">
        <f t="shared" si="124"/>
        <v>85.526315789473685</v>
      </c>
      <c r="T1109" s="5" t="str">
        <f>IF(Delivery_Data3[[#This Row],[Delays (min)]]&gt;0,"No","Yes")</f>
        <v>No</v>
      </c>
      <c r="W1109" s="41">
        <f t="shared" si="125"/>
        <v>45170</v>
      </c>
      <c r="X1109" s="5">
        <v>65</v>
      </c>
    </row>
    <row r="1110" spans="1:24" ht="15.75" customHeight="1" x14ac:dyDescent="0.3">
      <c r="A1110" s="4">
        <v>2109</v>
      </c>
      <c r="B1110" s="5" t="s">
        <v>1216</v>
      </c>
      <c r="C1110" s="6">
        <v>45176.662499999999</v>
      </c>
      <c r="D1110" s="5" t="s">
        <v>14</v>
      </c>
      <c r="E1110" s="5" t="s">
        <v>158</v>
      </c>
      <c r="F1110" s="5" t="s">
        <v>38</v>
      </c>
      <c r="G1110" s="5" t="s">
        <v>17</v>
      </c>
      <c r="H1110" s="5">
        <v>177</v>
      </c>
      <c r="I1110" s="5">
        <v>12</v>
      </c>
      <c r="J1110" s="5" t="s">
        <v>32</v>
      </c>
      <c r="K1110" s="5" t="s">
        <v>27</v>
      </c>
      <c r="L1110" s="5" t="s">
        <v>40</v>
      </c>
      <c r="M1110" s="7" t="s">
        <v>46</v>
      </c>
      <c r="N1110" s="26">
        <f t="shared" si="119"/>
        <v>-1</v>
      </c>
      <c r="O1110" s="42">
        <f t="shared" si="120"/>
        <v>45176</v>
      </c>
      <c r="P1110" s="5" t="str">
        <f t="shared" si="121"/>
        <v>Thursday</v>
      </c>
      <c r="Q1110" s="5">
        <f t="shared" si="122"/>
        <v>15</v>
      </c>
      <c r="R1110" s="28">
        <f t="shared" si="123"/>
        <v>0.93650793650793651</v>
      </c>
      <c r="S1110" s="29">
        <f t="shared" si="124"/>
        <v>93.650793650793645</v>
      </c>
      <c r="T1110" s="5" t="str">
        <f>IF(Delivery_Data3[[#This Row],[Delays (min)]]&gt;0,"No","Yes")</f>
        <v>No</v>
      </c>
      <c r="W1110" s="41">
        <f t="shared" si="125"/>
        <v>45176</v>
      </c>
      <c r="X1110" s="5">
        <v>177</v>
      </c>
    </row>
    <row r="1111" spans="1:24" ht="15.75" customHeight="1" x14ac:dyDescent="0.3">
      <c r="A1111" s="4">
        <v>2110</v>
      </c>
      <c r="B1111" s="5" t="s">
        <v>1217</v>
      </c>
      <c r="C1111" s="6">
        <v>45177.450694444444</v>
      </c>
      <c r="D1111" s="5" t="s">
        <v>14</v>
      </c>
      <c r="E1111" s="5" t="s">
        <v>403</v>
      </c>
      <c r="F1111" s="5" t="s">
        <v>24</v>
      </c>
      <c r="G1111" s="5" t="s">
        <v>31</v>
      </c>
      <c r="H1111" s="5">
        <v>238</v>
      </c>
      <c r="I1111" s="5">
        <v>16</v>
      </c>
      <c r="J1111" s="5" t="s">
        <v>32</v>
      </c>
      <c r="K1111" s="5" t="s">
        <v>45</v>
      </c>
      <c r="L1111" s="5" t="s">
        <v>40</v>
      </c>
      <c r="M1111" s="7" t="s">
        <v>46</v>
      </c>
      <c r="N1111" s="26">
        <f t="shared" si="119"/>
        <v>-1</v>
      </c>
      <c r="O1111" s="42">
        <f t="shared" si="120"/>
        <v>45177</v>
      </c>
      <c r="P1111" s="5" t="str">
        <f t="shared" si="121"/>
        <v>Friday</v>
      </c>
      <c r="Q1111" s="5">
        <f t="shared" si="122"/>
        <v>10</v>
      </c>
      <c r="R1111" s="28">
        <f t="shared" si="123"/>
        <v>0.93700787401574803</v>
      </c>
      <c r="S1111" s="29">
        <f t="shared" si="124"/>
        <v>93.7007874015748</v>
      </c>
      <c r="T1111" s="5" t="str">
        <f>IF(Delivery_Data3[[#This Row],[Delays (min)]]&gt;0,"No","Yes")</f>
        <v>No</v>
      </c>
      <c r="W1111" s="41">
        <f t="shared" si="125"/>
        <v>45177</v>
      </c>
      <c r="X1111" s="5">
        <v>238</v>
      </c>
    </row>
    <row r="1112" spans="1:24" ht="15.75" customHeight="1" x14ac:dyDescent="0.3">
      <c r="A1112" s="4">
        <v>2111</v>
      </c>
      <c r="B1112" s="5" t="s">
        <v>1218</v>
      </c>
      <c r="C1112" s="6">
        <v>45175.574999999997</v>
      </c>
      <c r="D1112" s="5" t="s">
        <v>14</v>
      </c>
      <c r="E1112" s="5" t="s">
        <v>245</v>
      </c>
      <c r="F1112" s="5" t="s">
        <v>16</v>
      </c>
      <c r="G1112" s="5" t="s">
        <v>31</v>
      </c>
      <c r="H1112" s="5">
        <v>75</v>
      </c>
      <c r="I1112" s="5">
        <v>3</v>
      </c>
      <c r="J1112" s="5" t="s">
        <v>18</v>
      </c>
      <c r="K1112" s="5" t="s">
        <v>49</v>
      </c>
      <c r="L1112" s="5" t="s">
        <v>40</v>
      </c>
      <c r="M1112" s="7" t="s">
        <v>46</v>
      </c>
      <c r="N1112" s="26">
        <f t="shared" si="119"/>
        <v>0</v>
      </c>
      <c r="O1112" s="42">
        <f t="shared" si="120"/>
        <v>45175</v>
      </c>
      <c r="P1112" s="5" t="str">
        <f t="shared" si="121"/>
        <v>Wednesday</v>
      </c>
      <c r="Q1112" s="5">
        <f t="shared" si="122"/>
        <v>13</v>
      </c>
      <c r="R1112" s="28">
        <f t="shared" si="123"/>
        <v>0.96153846153846156</v>
      </c>
      <c r="S1112" s="29">
        <f t="shared" si="124"/>
        <v>96.15384615384616</v>
      </c>
      <c r="T1112" s="5" t="str">
        <f>IF(Delivery_Data3[[#This Row],[Delays (min)]]&gt;0,"No","Yes")</f>
        <v>No</v>
      </c>
      <c r="W1112" s="41">
        <f t="shared" si="125"/>
        <v>45175</v>
      </c>
      <c r="X1112" s="5">
        <v>75</v>
      </c>
    </row>
    <row r="1113" spans="1:24" ht="15.75" customHeight="1" x14ac:dyDescent="0.3">
      <c r="A1113" s="4">
        <v>2112</v>
      </c>
      <c r="B1113" s="5" t="s">
        <v>1219</v>
      </c>
      <c r="C1113" s="6">
        <v>45170.497916666667</v>
      </c>
      <c r="D1113" s="5" t="s">
        <v>43</v>
      </c>
      <c r="E1113" s="5" t="s">
        <v>197</v>
      </c>
      <c r="F1113" s="5" t="s">
        <v>16</v>
      </c>
      <c r="G1113" s="5" t="s">
        <v>25</v>
      </c>
      <c r="H1113" s="5">
        <v>64</v>
      </c>
      <c r="I1113" s="5">
        <v>10</v>
      </c>
      <c r="J1113" s="5" t="s">
        <v>18</v>
      </c>
      <c r="K1113" s="5" t="s">
        <v>49</v>
      </c>
      <c r="L1113" s="5" t="s">
        <v>28</v>
      </c>
      <c r="M1113" s="7" t="s">
        <v>21</v>
      </c>
      <c r="N1113" s="26">
        <f t="shared" si="119"/>
        <v>0</v>
      </c>
      <c r="O1113" s="42">
        <f t="shared" si="120"/>
        <v>45170</v>
      </c>
      <c r="P1113" s="5" t="str">
        <f t="shared" si="121"/>
        <v>Friday</v>
      </c>
      <c r="Q1113" s="5">
        <f t="shared" si="122"/>
        <v>11</v>
      </c>
      <c r="R1113" s="28">
        <f t="shared" si="123"/>
        <v>0.86486486486486491</v>
      </c>
      <c r="S1113" s="29">
        <f t="shared" si="124"/>
        <v>86.486486486486484</v>
      </c>
      <c r="T1113" s="5" t="str">
        <f>IF(Delivery_Data3[[#This Row],[Delays (min)]]&gt;0,"No","Yes")</f>
        <v>No</v>
      </c>
      <c r="W1113" s="41">
        <f t="shared" si="125"/>
        <v>45170</v>
      </c>
      <c r="X1113" s="5">
        <v>64</v>
      </c>
    </row>
    <row r="1114" spans="1:24" ht="15.75" customHeight="1" x14ac:dyDescent="0.3">
      <c r="A1114" s="4">
        <v>2113</v>
      </c>
      <c r="B1114" s="5" t="s">
        <v>1220</v>
      </c>
      <c r="C1114" s="6">
        <v>45175.428472222222</v>
      </c>
      <c r="D1114" s="5" t="s">
        <v>43</v>
      </c>
      <c r="E1114" s="5" t="s">
        <v>109</v>
      </c>
      <c r="F1114" s="5" t="s">
        <v>16</v>
      </c>
      <c r="G1114" s="5" t="s">
        <v>56</v>
      </c>
      <c r="H1114" s="5">
        <v>110</v>
      </c>
      <c r="I1114" s="5">
        <v>14</v>
      </c>
      <c r="J1114" s="5" t="s">
        <v>26</v>
      </c>
      <c r="K1114" s="5" t="s">
        <v>49</v>
      </c>
      <c r="L1114" s="5" t="s">
        <v>20</v>
      </c>
      <c r="M1114" s="7" t="s">
        <v>46</v>
      </c>
      <c r="N1114" s="26">
        <f t="shared" si="119"/>
        <v>1</v>
      </c>
      <c r="O1114" s="42">
        <f t="shared" si="120"/>
        <v>45175</v>
      </c>
      <c r="P1114" s="5" t="str">
        <f t="shared" si="121"/>
        <v>Wednesday</v>
      </c>
      <c r="Q1114" s="5">
        <f t="shared" si="122"/>
        <v>10</v>
      </c>
      <c r="R1114" s="28">
        <f t="shared" si="123"/>
        <v>0.88709677419354838</v>
      </c>
      <c r="S1114" s="29">
        <f t="shared" si="124"/>
        <v>88.709677419354833</v>
      </c>
      <c r="T1114" s="5" t="str">
        <f>IF(Delivery_Data3[[#This Row],[Delays (min)]]&gt;0,"No","Yes")</f>
        <v>No</v>
      </c>
      <c r="W1114" s="41">
        <f t="shared" si="125"/>
        <v>45175</v>
      </c>
      <c r="X1114" s="5">
        <v>110</v>
      </c>
    </row>
    <row r="1115" spans="1:24" ht="15.75" customHeight="1" x14ac:dyDescent="0.3">
      <c r="A1115" s="4">
        <v>2114</v>
      </c>
      <c r="B1115" s="5" t="s">
        <v>1221</v>
      </c>
      <c r="C1115" s="6">
        <v>45171.460416666669</v>
      </c>
      <c r="D1115" s="5" t="s">
        <v>14</v>
      </c>
      <c r="E1115" s="5" t="s">
        <v>285</v>
      </c>
      <c r="F1115" s="5" t="s">
        <v>24</v>
      </c>
      <c r="G1115" s="5" t="s">
        <v>17</v>
      </c>
      <c r="H1115" s="5">
        <v>149</v>
      </c>
      <c r="I1115" s="5">
        <v>6</v>
      </c>
      <c r="J1115" s="5" t="s">
        <v>26</v>
      </c>
      <c r="K1115" s="5" t="s">
        <v>19</v>
      </c>
      <c r="L1115" s="5" t="s">
        <v>20</v>
      </c>
      <c r="M1115" s="7" t="s">
        <v>41</v>
      </c>
      <c r="N1115" s="26">
        <f t="shared" si="119"/>
        <v>1</v>
      </c>
      <c r="O1115" s="42">
        <f t="shared" si="120"/>
        <v>45171</v>
      </c>
      <c r="P1115" s="5" t="str">
        <f t="shared" si="121"/>
        <v>Saturday</v>
      </c>
      <c r="Q1115" s="5">
        <f t="shared" si="122"/>
        <v>11</v>
      </c>
      <c r="R1115" s="28">
        <f t="shared" si="123"/>
        <v>0.96129032258064517</v>
      </c>
      <c r="S1115" s="29">
        <f t="shared" si="124"/>
        <v>96.129032258064512</v>
      </c>
      <c r="T1115" s="5" t="str">
        <f>IF(Delivery_Data3[[#This Row],[Delays (min)]]&gt;0,"No","Yes")</f>
        <v>No</v>
      </c>
      <c r="W1115" s="41">
        <f t="shared" si="125"/>
        <v>45171</v>
      </c>
      <c r="X1115" s="5">
        <v>149</v>
      </c>
    </row>
    <row r="1116" spans="1:24" ht="15.75" customHeight="1" x14ac:dyDescent="0.3">
      <c r="A1116" s="4">
        <v>2115</v>
      </c>
      <c r="B1116" s="5" t="s">
        <v>1222</v>
      </c>
      <c r="C1116" s="6">
        <v>45173.456944444442</v>
      </c>
      <c r="D1116" s="5" t="s">
        <v>14</v>
      </c>
      <c r="E1116" s="5" t="s">
        <v>160</v>
      </c>
      <c r="F1116" s="5" t="s">
        <v>16</v>
      </c>
      <c r="G1116" s="5" t="s">
        <v>31</v>
      </c>
      <c r="H1116" s="5">
        <v>62</v>
      </c>
      <c r="I1116" s="5">
        <v>27</v>
      </c>
      <c r="J1116" s="5" t="s">
        <v>26</v>
      </c>
      <c r="K1116" s="5" t="s">
        <v>35</v>
      </c>
      <c r="L1116" s="5" t="s">
        <v>20</v>
      </c>
      <c r="M1116" s="7" t="s">
        <v>46</v>
      </c>
      <c r="N1116" s="26">
        <f t="shared" si="119"/>
        <v>1</v>
      </c>
      <c r="O1116" s="42">
        <f t="shared" si="120"/>
        <v>45173</v>
      </c>
      <c r="P1116" s="5" t="str">
        <f t="shared" si="121"/>
        <v>Monday</v>
      </c>
      <c r="Q1116" s="5">
        <f t="shared" si="122"/>
        <v>10</v>
      </c>
      <c r="R1116" s="28">
        <f t="shared" si="123"/>
        <v>0.6966292134831461</v>
      </c>
      <c r="S1116" s="29">
        <f t="shared" si="124"/>
        <v>69.662921348314612</v>
      </c>
      <c r="T1116" s="5" t="str">
        <f>IF(Delivery_Data3[[#This Row],[Delays (min)]]&gt;0,"No","Yes")</f>
        <v>No</v>
      </c>
      <c r="W1116" s="41">
        <f t="shared" si="125"/>
        <v>45173</v>
      </c>
      <c r="X1116" s="5">
        <v>62</v>
      </c>
    </row>
    <row r="1117" spans="1:24" ht="15.75" customHeight="1" x14ac:dyDescent="0.3">
      <c r="A1117" s="4">
        <v>2116</v>
      </c>
      <c r="B1117" s="5" t="s">
        <v>1223</v>
      </c>
      <c r="C1117" s="6">
        <v>45174.700694444444</v>
      </c>
      <c r="D1117" s="5" t="s">
        <v>14</v>
      </c>
      <c r="E1117" s="5" t="s">
        <v>231</v>
      </c>
      <c r="F1117" s="5" t="s">
        <v>38</v>
      </c>
      <c r="G1117" s="5" t="s">
        <v>31</v>
      </c>
      <c r="H1117" s="5">
        <v>184</v>
      </c>
      <c r="I1117" s="5">
        <v>13</v>
      </c>
      <c r="J1117" s="5" t="s">
        <v>26</v>
      </c>
      <c r="K1117" s="5" t="s">
        <v>49</v>
      </c>
      <c r="L1117" s="5" t="s">
        <v>40</v>
      </c>
      <c r="M1117" s="7" t="s">
        <v>46</v>
      </c>
      <c r="N1117" s="26">
        <f t="shared" si="119"/>
        <v>1</v>
      </c>
      <c r="O1117" s="42">
        <f t="shared" si="120"/>
        <v>45174</v>
      </c>
      <c r="P1117" s="5" t="str">
        <f t="shared" si="121"/>
        <v>Tuesday</v>
      </c>
      <c r="Q1117" s="5">
        <f t="shared" si="122"/>
        <v>16</v>
      </c>
      <c r="R1117" s="28">
        <f t="shared" si="123"/>
        <v>0.93401015228426398</v>
      </c>
      <c r="S1117" s="29">
        <f t="shared" si="124"/>
        <v>93.401015228426402</v>
      </c>
      <c r="T1117" s="5" t="str">
        <f>IF(Delivery_Data3[[#This Row],[Delays (min)]]&gt;0,"No","Yes")</f>
        <v>No</v>
      </c>
      <c r="W1117" s="41">
        <f t="shared" si="125"/>
        <v>45174</v>
      </c>
      <c r="X1117" s="5">
        <v>184</v>
      </c>
    </row>
    <row r="1118" spans="1:24" ht="15.75" customHeight="1" x14ac:dyDescent="0.3">
      <c r="A1118" s="4">
        <v>2117</v>
      </c>
      <c r="B1118" s="5" t="s">
        <v>992</v>
      </c>
      <c r="C1118" s="6">
        <v>45173.631944444445</v>
      </c>
      <c r="D1118" s="5" t="s">
        <v>14</v>
      </c>
      <c r="E1118" s="5" t="s">
        <v>277</v>
      </c>
      <c r="F1118" s="5" t="s">
        <v>16</v>
      </c>
      <c r="G1118" s="5" t="s">
        <v>25</v>
      </c>
      <c r="H1118" s="5">
        <v>184</v>
      </c>
      <c r="I1118" s="5">
        <v>18</v>
      </c>
      <c r="J1118" s="5" t="s">
        <v>18</v>
      </c>
      <c r="K1118" s="5" t="s">
        <v>27</v>
      </c>
      <c r="L1118" s="5" t="s">
        <v>40</v>
      </c>
      <c r="M1118" s="7" t="s">
        <v>21</v>
      </c>
      <c r="N1118" s="26">
        <f t="shared" si="119"/>
        <v>0</v>
      </c>
      <c r="O1118" s="42">
        <f t="shared" si="120"/>
        <v>45173</v>
      </c>
      <c r="P1118" s="5" t="str">
        <f t="shared" si="121"/>
        <v>Monday</v>
      </c>
      <c r="Q1118" s="5">
        <f t="shared" si="122"/>
        <v>15</v>
      </c>
      <c r="R1118" s="28">
        <f t="shared" si="123"/>
        <v>0.91089108910891092</v>
      </c>
      <c r="S1118" s="29">
        <f t="shared" si="124"/>
        <v>91.089108910891099</v>
      </c>
      <c r="T1118" s="5" t="str">
        <f>IF(Delivery_Data3[[#This Row],[Delays (min)]]&gt;0,"No","Yes")</f>
        <v>No</v>
      </c>
      <c r="W1118" s="41">
        <f t="shared" si="125"/>
        <v>45173</v>
      </c>
      <c r="X1118" s="5">
        <v>184</v>
      </c>
    </row>
    <row r="1119" spans="1:24" ht="15.75" customHeight="1" x14ac:dyDescent="0.3">
      <c r="A1119" s="4">
        <v>2118</v>
      </c>
      <c r="B1119" s="5" t="s">
        <v>1224</v>
      </c>
      <c r="C1119" s="6">
        <v>45174.342361111114</v>
      </c>
      <c r="D1119" s="5" t="s">
        <v>14</v>
      </c>
      <c r="E1119" s="5" t="s">
        <v>97</v>
      </c>
      <c r="F1119" s="5" t="s">
        <v>38</v>
      </c>
      <c r="G1119" s="5" t="s">
        <v>56</v>
      </c>
      <c r="H1119" s="5">
        <v>134</v>
      </c>
      <c r="I1119" s="5">
        <v>14</v>
      </c>
      <c r="J1119" s="5" t="s">
        <v>18</v>
      </c>
      <c r="K1119" s="5" t="s">
        <v>35</v>
      </c>
      <c r="L1119" s="5" t="s">
        <v>40</v>
      </c>
      <c r="M1119" s="7" t="s">
        <v>41</v>
      </c>
      <c r="N1119" s="26">
        <f t="shared" si="119"/>
        <v>0</v>
      </c>
      <c r="O1119" s="42">
        <f t="shared" si="120"/>
        <v>45174</v>
      </c>
      <c r="P1119" s="5" t="str">
        <f t="shared" si="121"/>
        <v>Tuesday</v>
      </c>
      <c r="Q1119" s="5">
        <f t="shared" si="122"/>
        <v>8</v>
      </c>
      <c r="R1119" s="28">
        <f t="shared" si="123"/>
        <v>0.90540540540540537</v>
      </c>
      <c r="S1119" s="29">
        <f t="shared" si="124"/>
        <v>90.540540540540533</v>
      </c>
      <c r="T1119" s="5" t="str">
        <f>IF(Delivery_Data3[[#This Row],[Delays (min)]]&gt;0,"No","Yes")</f>
        <v>No</v>
      </c>
      <c r="W1119" s="41">
        <f t="shared" si="125"/>
        <v>45174</v>
      </c>
      <c r="X1119" s="5">
        <v>134</v>
      </c>
    </row>
    <row r="1120" spans="1:24" ht="15.75" customHeight="1" x14ac:dyDescent="0.3">
      <c r="A1120" s="4">
        <v>2119</v>
      </c>
      <c r="B1120" s="5" t="s">
        <v>1225</v>
      </c>
      <c r="C1120" s="6">
        <v>45172.418055555558</v>
      </c>
      <c r="D1120" s="5" t="s">
        <v>43</v>
      </c>
      <c r="E1120" s="5" t="s">
        <v>93</v>
      </c>
      <c r="F1120" s="5" t="s">
        <v>24</v>
      </c>
      <c r="G1120" s="5" t="s">
        <v>39</v>
      </c>
      <c r="H1120" s="5">
        <v>235</v>
      </c>
      <c r="I1120" s="5">
        <v>22</v>
      </c>
      <c r="J1120" s="5" t="s">
        <v>26</v>
      </c>
      <c r="K1120" s="5" t="s">
        <v>45</v>
      </c>
      <c r="L1120" s="5" t="s">
        <v>28</v>
      </c>
      <c r="M1120" s="7" t="s">
        <v>21</v>
      </c>
      <c r="N1120" s="26">
        <f t="shared" si="119"/>
        <v>1</v>
      </c>
      <c r="O1120" s="42">
        <f t="shared" si="120"/>
        <v>45172</v>
      </c>
      <c r="P1120" s="5" t="str">
        <f t="shared" si="121"/>
        <v>Sunday</v>
      </c>
      <c r="Q1120" s="5">
        <f t="shared" si="122"/>
        <v>10</v>
      </c>
      <c r="R1120" s="28">
        <f t="shared" si="123"/>
        <v>0.91439688715953304</v>
      </c>
      <c r="S1120" s="29">
        <f t="shared" si="124"/>
        <v>91.439688715953309</v>
      </c>
      <c r="T1120" s="5" t="str">
        <f>IF(Delivery_Data3[[#This Row],[Delays (min)]]&gt;0,"No","Yes")</f>
        <v>No</v>
      </c>
      <c r="W1120" s="41">
        <f t="shared" si="125"/>
        <v>45172</v>
      </c>
      <c r="X1120" s="5">
        <v>235</v>
      </c>
    </row>
    <row r="1121" spans="1:24" ht="15.75" customHeight="1" x14ac:dyDescent="0.3">
      <c r="A1121" s="4">
        <v>2120</v>
      </c>
      <c r="B1121" s="5" t="s">
        <v>1226</v>
      </c>
      <c r="C1121" s="6">
        <v>45177.679166666669</v>
      </c>
      <c r="D1121" s="5" t="s">
        <v>14</v>
      </c>
      <c r="E1121" s="5" t="s">
        <v>156</v>
      </c>
      <c r="F1121" s="5" t="s">
        <v>16</v>
      </c>
      <c r="G1121" s="5" t="s">
        <v>56</v>
      </c>
      <c r="H1121" s="5">
        <v>167</v>
      </c>
      <c r="I1121" s="5">
        <v>4</v>
      </c>
      <c r="J1121" s="5" t="s">
        <v>32</v>
      </c>
      <c r="K1121" s="5" t="s">
        <v>27</v>
      </c>
      <c r="L1121" s="5" t="s">
        <v>20</v>
      </c>
      <c r="M1121" s="7" t="s">
        <v>41</v>
      </c>
      <c r="N1121" s="26">
        <f t="shared" si="119"/>
        <v>-1</v>
      </c>
      <c r="O1121" s="42">
        <f t="shared" si="120"/>
        <v>45177</v>
      </c>
      <c r="P1121" s="5" t="str">
        <f t="shared" si="121"/>
        <v>Friday</v>
      </c>
      <c r="Q1121" s="5">
        <f t="shared" si="122"/>
        <v>16</v>
      </c>
      <c r="R1121" s="28">
        <f t="shared" si="123"/>
        <v>0.97660818713450293</v>
      </c>
      <c r="S1121" s="29">
        <f t="shared" si="124"/>
        <v>97.660818713450297</v>
      </c>
      <c r="T1121" s="5" t="str">
        <f>IF(Delivery_Data3[[#This Row],[Delays (min)]]&gt;0,"No","Yes")</f>
        <v>No</v>
      </c>
      <c r="W1121" s="41">
        <f t="shared" si="125"/>
        <v>45177</v>
      </c>
      <c r="X1121" s="5">
        <v>167</v>
      </c>
    </row>
    <row r="1122" spans="1:24" ht="15.75" customHeight="1" x14ac:dyDescent="0.3">
      <c r="A1122" s="4">
        <v>2121</v>
      </c>
      <c r="B1122" s="5" t="s">
        <v>1227</v>
      </c>
      <c r="C1122" s="6">
        <v>45170.410416666666</v>
      </c>
      <c r="D1122" s="5" t="s">
        <v>14</v>
      </c>
      <c r="E1122" s="5" t="s">
        <v>101</v>
      </c>
      <c r="F1122" s="5" t="s">
        <v>24</v>
      </c>
      <c r="G1122" s="5" t="s">
        <v>31</v>
      </c>
      <c r="H1122" s="5">
        <v>161</v>
      </c>
      <c r="I1122" s="5">
        <v>21</v>
      </c>
      <c r="J1122" s="5" t="s">
        <v>18</v>
      </c>
      <c r="K1122" s="5" t="s">
        <v>35</v>
      </c>
      <c r="L1122" s="5" t="s">
        <v>20</v>
      </c>
      <c r="M1122" s="7" t="s">
        <v>21</v>
      </c>
      <c r="N1122" s="26">
        <f t="shared" si="119"/>
        <v>0</v>
      </c>
      <c r="O1122" s="42">
        <f t="shared" si="120"/>
        <v>45170</v>
      </c>
      <c r="P1122" s="5" t="str">
        <f t="shared" si="121"/>
        <v>Friday</v>
      </c>
      <c r="Q1122" s="5">
        <f t="shared" si="122"/>
        <v>9</v>
      </c>
      <c r="R1122" s="28">
        <f t="shared" si="123"/>
        <v>0.88461538461538458</v>
      </c>
      <c r="S1122" s="29">
        <f t="shared" si="124"/>
        <v>88.461538461538453</v>
      </c>
      <c r="T1122" s="5" t="str">
        <f>IF(Delivery_Data3[[#This Row],[Delays (min)]]&gt;0,"No","Yes")</f>
        <v>No</v>
      </c>
      <c r="W1122" s="41">
        <f t="shared" si="125"/>
        <v>45170</v>
      </c>
      <c r="X1122" s="5">
        <v>161</v>
      </c>
    </row>
    <row r="1123" spans="1:24" ht="15.75" customHeight="1" x14ac:dyDescent="0.3">
      <c r="A1123" s="4">
        <v>2122</v>
      </c>
      <c r="B1123" s="5" t="s">
        <v>1228</v>
      </c>
      <c r="C1123" s="6">
        <v>45172.395138888889</v>
      </c>
      <c r="D1123" s="5" t="s">
        <v>43</v>
      </c>
      <c r="E1123" s="5" t="s">
        <v>441</v>
      </c>
      <c r="F1123" s="5" t="s">
        <v>16</v>
      </c>
      <c r="G1123" s="5" t="s">
        <v>39</v>
      </c>
      <c r="H1123" s="5">
        <v>74</v>
      </c>
      <c r="I1123" s="5">
        <v>19</v>
      </c>
      <c r="J1123" s="5" t="s">
        <v>32</v>
      </c>
      <c r="K1123" s="5" t="s">
        <v>49</v>
      </c>
      <c r="L1123" s="5" t="s">
        <v>20</v>
      </c>
      <c r="M1123" s="7" t="s">
        <v>46</v>
      </c>
      <c r="N1123" s="26">
        <f t="shared" si="119"/>
        <v>-1</v>
      </c>
      <c r="O1123" s="42">
        <f t="shared" si="120"/>
        <v>45172</v>
      </c>
      <c r="P1123" s="5" t="str">
        <f t="shared" si="121"/>
        <v>Sunday</v>
      </c>
      <c r="Q1123" s="5">
        <f t="shared" si="122"/>
        <v>9</v>
      </c>
      <c r="R1123" s="28">
        <f t="shared" si="123"/>
        <v>0.79569892473118276</v>
      </c>
      <c r="S1123" s="29">
        <f t="shared" si="124"/>
        <v>79.569892473118273</v>
      </c>
      <c r="T1123" s="5" t="str">
        <f>IF(Delivery_Data3[[#This Row],[Delays (min)]]&gt;0,"No","Yes")</f>
        <v>No</v>
      </c>
      <c r="W1123" s="41">
        <f t="shared" si="125"/>
        <v>45172</v>
      </c>
      <c r="X1123" s="5">
        <v>74</v>
      </c>
    </row>
    <row r="1124" spans="1:24" ht="15.75" customHeight="1" x14ac:dyDescent="0.3">
      <c r="A1124" s="4">
        <v>2123</v>
      </c>
      <c r="B1124" s="5" t="s">
        <v>1229</v>
      </c>
      <c r="C1124" s="6">
        <v>45172.445833333331</v>
      </c>
      <c r="D1124" s="5" t="s">
        <v>14</v>
      </c>
      <c r="E1124" s="5" t="s">
        <v>132</v>
      </c>
      <c r="F1124" s="5" t="s">
        <v>16</v>
      </c>
      <c r="G1124" s="5" t="s">
        <v>56</v>
      </c>
      <c r="H1124" s="5">
        <v>117</v>
      </c>
      <c r="I1124" s="5">
        <v>6</v>
      </c>
      <c r="J1124" s="5" t="s">
        <v>32</v>
      </c>
      <c r="K1124" s="5" t="s">
        <v>49</v>
      </c>
      <c r="L1124" s="5" t="s">
        <v>20</v>
      </c>
      <c r="M1124" s="7" t="s">
        <v>41</v>
      </c>
      <c r="N1124" s="26">
        <f t="shared" si="119"/>
        <v>-1</v>
      </c>
      <c r="O1124" s="42">
        <f t="shared" si="120"/>
        <v>45172</v>
      </c>
      <c r="P1124" s="5" t="str">
        <f t="shared" si="121"/>
        <v>Sunday</v>
      </c>
      <c r="Q1124" s="5">
        <f t="shared" si="122"/>
        <v>10</v>
      </c>
      <c r="R1124" s="28">
        <f t="shared" si="123"/>
        <v>0.95121951219512191</v>
      </c>
      <c r="S1124" s="29">
        <f t="shared" si="124"/>
        <v>95.121951219512198</v>
      </c>
      <c r="T1124" s="5" t="str">
        <f>IF(Delivery_Data3[[#This Row],[Delays (min)]]&gt;0,"No","Yes")</f>
        <v>No</v>
      </c>
      <c r="W1124" s="41">
        <f t="shared" si="125"/>
        <v>45172</v>
      </c>
      <c r="X1124" s="5">
        <v>117</v>
      </c>
    </row>
    <row r="1125" spans="1:24" ht="15.75" customHeight="1" x14ac:dyDescent="0.3">
      <c r="A1125" s="4">
        <v>2124</v>
      </c>
      <c r="B1125" s="5" t="s">
        <v>728</v>
      </c>
      <c r="C1125" s="6">
        <v>45175.502083333333</v>
      </c>
      <c r="D1125" s="5" t="s">
        <v>14</v>
      </c>
      <c r="E1125" s="5" t="s">
        <v>189</v>
      </c>
      <c r="F1125" s="5" t="s">
        <v>24</v>
      </c>
      <c r="G1125" s="5" t="s">
        <v>39</v>
      </c>
      <c r="H1125" s="5">
        <v>111</v>
      </c>
      <c r="I1125" s="5">
        <v>15</v>
      </c>
      <c r="J1125" s="5" t="s">
        <v>32</v>
      </c>
      <c r="K1125" s="5" t="s">
        <v>35</v>
      </c>
      <c r="L1125" s="5" t="s">
        <v>40</v>
      </c>
      <c r="M1125" s="7" t="s">
        <v>41</v>
      </c>
      <c r="N1125" s="26">
        <f t="shared" si="119"/>
        <v>-1</v>
      </c>
      <c r="O1125" s="42">
        <f t="shared" si="120"/>
        <v>45175</v>
      </c>
      <c r="P1125" s="5" t="str">
        <f t="shared" si="121"/>
        <v>Wednesday</v>
      </c>
      <c r="Q1125" s="5">
        <f t="shared" si="122"/>
        <v>12</v>
      </c>
      <c r="R1125" s="28">
        <f t="shared" si="123"/>
        <v>0.88095238095238093</v>
      </c>
      <c r="S1125" s="29">
        <f t="shared" si="124"/>
        <v>88.095238095238088</v>
      </c>
      <c r="T1125" s="5" t="str">
        <f>IF(Delivery_Data3[[#This Row],[Delays (min)]]&gt;0,"No","Yes")</f>
        <v>No</v>
      </c>
      <c r="W1125" s="41">
        <f t="shared" si="125"/>
        <v>45175</v>
      </c>
      <c r="X1125" s="5">
        <v>111</v>
      </c>
    </row>
    <row r="1126" spans="1:24" ht="15.75" customHeight="1" x14ac:dyDescent="0.3">
      <c r="A1126" s="4">
        <v>2125</v>
      </c>
      <c r="B1126" s="5" t="s">
        <v>1230</v>
      </c>
      <c r="C1126" s="6">
        <v>45176.352777777778</v>
      </c>
      <c r="D1126" s="5" t="s">
        <v>43</v>
      </c>
      <c r="E1126" s="5" t="s">
        <v>115</v>
      </c>
      <c r="F1126" s="5" t="s">
        <v>16</v>
      </c>
      <c r="G1126" s="5" t="s">
        <v>25</v>
      </c>
      <c r="H1126" s="5">
        <v>154</v>
      </c>
      <c r="I1126" s="5">
        <v>13</v>
      </c>
      <c r="J1126" s="5" t="s">
        <v>32</v>
      </c>
      <c r="K1126" s="5" t="s">
        <v>19</v>
      </c>
      <c r="L1126" s="5" t="s">
        <v>40</v>
      </c>
      <c r="M1126" s="7" t="s">
        <v>41</v>
      </c>
      <c r="N1126" s="26">
        <f t="shared" si="119"/>
        <v>-1</v>
      </c>
      <c r="O1126" s="42">
        <f t="shared" si="120"/>
        <v>45176</v>
      </c>
      <c r="P1126" s="5" t="str">
        <f t="shared" si="121"/>
        <v>Thursday</v>
      </c>
      <c r="Q1126" s="5">
        <f t="shared" si="122"/>
        <v>8</v>
      </c>
      <c r="R1126" s="28">
        <f t="shared" si="123"/>
        <v>0.92215568862275454</v>
      </c>
      <c r="S1126" s="29">
        <f t="shared" si="124"/>
        <v>92.215568862275461</v>
      </c>
      <c r="T1126" s="5" t="str">
        <f>IF(Delivery_Data3[[#This Row],[Delays (min)]]&gt;0,"No","Yes")</f>
        <v>No</v>
      </c>
      <c r="W1126" s="41">
        <f t="shared" si="125"/>
        <v>45176</v>
      </c>
      <c r="X1126" s="5">
        <v>154</v>
      </c>
    </row>
    <row r="1127" spans="1:24" ht="15.75" customHeight="1" x14ac:dyDescent="0.3">
      <c r="A1127" s="4">
        <v>2126</v>
      </c>
      <c r="B1127" s="5" t="s">
        <v>1231</v>
      </c>
      <c r="C1127" s="6">
        <v>45177.529166666667</v>
      </c>
      <c r="D1127" s="5" t="s">
        <v>14</v>
      </c>
      <c r="E1127" s="5" t="s">
        <v>83</v>
      </c>
      <c r="F1127" s="5" t="s">
        <v>24</v>
      </c>
      <c r="G1127" s="5" t="s">
        <v>39</v>
      </c>
      <c r="H1127" s="5">
        <v>230</v>
      </c>
      <c r="I1127" s="5">
        <v>12</v>
      </c>
      <c r="J1127" s="5" t="s">
        <v>26</v>
      </c>
      <c r="K1127" s="5" t="s">
        <v>19</v>
      </c>
      <c r="L1127" s="5" t="s">
        <v>28</v>
      </c>
      <c r="M1127" s="7" t="s">
        <v>46</v>
      </c>
      <c r="N1127" s="26">
        <f t="shared" si="119"/>
        <v>1</v>
      </c>
      <c r="O1127" s="42">
        <f t="shared" si="120"/>
        <v>45177</v>
      </c>
      <c r="P1127" s="5" t="str">
        <f t="shared" si="121"/>
        <v>Friday</v>
      </c>
      <c r="Q1127" s="5">
        <f t="shared" si="122"/>
        <v>12</v>
      </c>
      <c r="R1127" s="28">
        <f t="shared" si="123"/>
        <v>0.95041322314049592</v>
      </c>
      <c r="S1127" s="29">
        <f t="shared" si="124"/>
        <v>95.041322314049594</v>
      </c>
      <c r="T1127" s="5" t="str">
        <f>IF(Delivery_Data3[[#This Row],[Delays (min)]]&gt;0,"No","Yes")</f>
        <v>No</v>
      </c>
      <c r="W1127" s="41">
        <f t="shared" si="125"/>
        <v>45177</v>
      </c>
      <c r="X1127" s="5">
        <v>230</v>
      </c>
    </row>
    <row r="1128" spans="1:24" ht="15.75" customHeight="1" x14ac:dyDescent="0.3">
      <c r="A1128" s="4">
        <v>2127</v>
      </c>
      <c r="B1128" s="5" t="s">
        <v>1232</v>
      </c>
      <c r="C1128" s="6">
        <v>45177.411805555559</v>
      </c>
      <c r="D1128" s="5" t="s">
        <v>43</v>
      </c>
      <c r="E1128" s="5" t="s">
        <v>99</v>
      </c>
      <c r="F1128" s="5" t="s">
        <v>38</v>
      </c>
      <c r="G1128" s="5" t="s">
        <v>39</v>
      </c>
      <c r="H1128" s="5">
        <v>206</v>
      </c>
      <c r="I1128" s="5">
        <v>13</v>
      </c>
      <c r="J1128" s="5" t="s">
        <v>26</v>
      </c>
      <c r="K1128" s="5" t="s">
        <v>35</v>
      </c>
      <c r="L1128" s="5" t="s">
        <v>40</v>
      </c>
      <c r="M1128" s="7" t="s">
        <v>41</v>
      </c>
      <c r="N1128" s="26">
        <f t="shared" si="119"/>
        <v>1</v>
      </c>
      <c r="O1128" s="42">
        <f t="shared" si="120"/>
        <v>45177</v>
      </c>
      <c r="P1128" s="5" t="str">
        <f t="shared" si="121"/>
        <v>Friday</v>
      </c>
      <c r="Q1128" s="5">
        <f t="shared" si="122"/>
        <v>9</v>
      </c>
      <c r="R1128" s="28">
        <f t="shared" si="123"/>
        <v>0.94063926940639264</v>
      </c>
      <c r="S1128" s="29">
        <f t="shared" si="124"/>
        <v>94.063926940639263</v>
      </c>
      <c r="T1128" s="5" t="str">
        <f>IF(Delivery_Data3[[#This Row],[Delays (min)]]&gt;0,"No","Yes")</f>
        <v>No</v>
      </c>
      <c r="W1128" s="41">
        <f t="shared" si="125"/>
        <v>45177</v>
      </c>
      <c r="X1128" s="5">
        <v>206</v>
      </c>
    </row>
    <row r="1129" spans="1:24" ht="15.75" customHeight="1" x14ac:dyDescent="0.3">
      <c r="A1129" s="4">
        <v>2128</v>
      </c>
      <c r="B1129" s="5" t="s">
        <v>1233</v>
      </c>
      <c r="C1129" s="6">
        <v>45174.638888888891</v>
      </c>
      <c r="D1129" s="5" t="s">
        <v>43</v>
      </c>
      <c r="E1129" s="5" t="s">
        <v>263</v>
      </c>
      <c r="F1129" s="5" t="s">
        <v>16</v>
      </c>
      <c r="G1129" s="5" t="s">
        <v>56</v>
      </c>
      <c r="H1129" s="5">
        <v>141</v>
      </c>
      <c r="I1129" s="5">
        <v>24</v>
      </c>
      <c r="J1129" s="5" t="s">
        <v>32</v>
      </c>
      <c r="K1129" s="5" t="s">
        <v>27</v>
      </c>
      <c r="L1129" s="5" t="s">
        <v>20</v>
      </c>
      <c r="M1129" s="7" t="s">
        <v>21</v>
      </c>
      <c r="N1129" s="26">
        <f t="shared" si="119"/>
        <v>-1</v>
      </c>
      <c r="O1129" s="42">
        <f t="shared" si="120"/>
        <v>45174</v>
      </c>
      <c r="P1129" s="5" t="str">
        <f t="shared" si="121"/>
        <v>Tuesday</v>
      </c>
      <c r="Q1129" s="5">
        <f t="shared" si="122"/>
        <v>15</v>
      </c>
      <c r="R1129" s="28">
        <f t="shared" si="123"/>
        <v>0.8545454545454545</v>
      </c>
      <c r="S1129" s="29">
        <f t="shared" si="124"/>
        <v>85.454545454545453</v>
      </c>
      <c r="T1129" s="5" t="str">
        <f>IF(Delivery_Data3[[#This Row],[Delays (min)]]&gt;0,"No","Yes")</f>
        <v>No</v>
      </c>
      <c r="W1129" s="41">
        <f t="shared" si="125"/>
        <v>45174</v>
      </c>
      <c r="X1129" s="5">
        <v>141</v>
      </c>
    </row>
    <row r="1130" spans="1:24" ht="15.75" customHeight="1" x14ac:dyDescent="0.3">
      <c r="A1130" s="4">
        <v>2129</v>
      </c>
      <c r="B1130" s="5" t="s">
        <v>1234</v>
      </c>
      <c r="C1130" s="6">
        <v>45172.587500000001</v>
      </c>
      <c r="D1130" s="5" t="s">
        <v>43</v>
      </c>
      <c r="E1130" s="5" t="s">
        <v>60</v>
      </c>
      <c r="F1130" s="5" t="s">
        <v>38</v>
      </c>
      <c r="G1130" s="5" t="s">
        <v>31</v>
      </c>
      <c r="H1130" s="5">
        <v>224</v>
      </c>
      <c r="I1130" s="5">
        <v>27</v>
      </c>
      <c r="J1130" s="5" t="s">
        <v>32</v>
      </c>
      <c r="K1130" s="5" t="s">
        <v>45</v>
      </c>
      <c r="L1130" s="5" t="s">
        <v>20</v>
      </c>
      <c r="M1130" s="7" t="s">
        <v>21</v>
      </c>
      <c r="N1130" s="26">
        <f t="shared" si="119"/>
        <v>-1</v>
      </c>
      <c r="O1130" s="42">
        <f t="shared" si="120"/>
        <v>45172</v>
      </c>
      <c r="P1130" s="5" t="str">
        <f t="shared" si="121"/>
        <v>Sunday</v>
      </c>
      <c r="Q1130" s="5">
        <f t="shared" si="122"/>
        <v>14</v>
      </c>
      <c r="R1130" s="28">
        <f t="shared" si="123"/>
        <v>0.89243027888446214</v>
      </c>
      <c r="S1130" s="29">
        <f t="shared" si="124"/>
        <v>89.243027888446207</v>
      </c>
      <c r="T1130" s="5" t="str">
        <f>IF(Delivery_Data3[[#This Row],[Delays (min)]]&gt;0,"No","Yes")</f>
        <v>No</v>
      </c>
      <c r="W1130" s="41">
        <f t="shared" si="125"/>
        <v>45172</v>
      </c>
      <c r="X1130" s="5">
        <v>224</v>
      </c>
    </row>
    <row r="1131" spans="1:24" ht="15.75" customHeight="1" x14ac:dyDescent="0.3">
      <c r="A1131" s="4">
        <v>2130</v>
      </c>
      <c r="B1131" s="5" t="s">
        <v>1235</v>
      </c>
      <c r="C1131" s="6">
        <v>45176.502083333333</v>
      </c>
      <c r="D1131" s="5" t="s">
        <v>43</v>
      </c>
      <c r="E1131" s="5" t="s">
        <v>270</v>
      </c>
      <c r="F1131" s="5" t="s">
        <v>38</v>
      </c>
      <c r="G1131" s="5" t="s">
        <v>39</v>
      </c>
      <c r="H1131" s="5">
        <v>167</v>
      </c>
      <c r="I1131" s="5">
        <v>22</v>
      </c>
      <c r="J1131" s="5" t="s">
        <v>32</v>
      </c>
      <c r="K1131" s="5" t="s">
        <v>27</v>
      </c>
      <c r="L1131" s="5" t="s">
        <v>20</v>
      </c>
      <c r="M1131" s="7" t="s">
        <v>46</v>
      </c>
      <c r="N1131" s="26">
        <f t="shared" si="119"/>
        <v>-1</v>
      </c>
      <c r="O1131" s="42">
        <f t="shared" si="120"/>
        <v>45176</v>
      </c>
      <c r="P1131" s="5" t="str">
        <f t="shared" si="121"/>
        <v>Thursday</v>
      </c>
      <c r="Q1131" s="5">
        <f t="shared" si="122"/>
        <v>12</v>
      </c>
      <c r="R1131" s="28">
        <f t="shared" si="123"/>
        <v>0.8835978835978836</v>
      </c>
      <c r="S1131" s="29">
        <f t="shared" si="124"/>
        <v>88.359788359788354</v>
      </c>
      <c r="T1131" s="5" t="str">
        <f>IF(Delivery_Data3[[#This Row],[Delays (min)]]&gt;0,"No","Yes")</f>
        <v>No</v>
      </c>
      <c r="W1131" s="41">
        <f t="shared" si="125"/>
        <v>45176</v>
      </c>
      <c r="X1131" s="5">
        <v>167</v>
      </c>
    </row>
    <row r="1132" spans="1:24" ht="15.75" customHeight="1" x14ac:dyDescent="0.3">
      <c r="A1132" s="4">
        <v>2131</v>
      </c>
      <c r="B1132" s="5" t="s">
        <v>1236</v>
      </c>
      <c r="C1132" s="6">
        <v>45173.569444444445</v>
      </c>
      <c r="D1132" s="5" t="s">
        <v>43</v>
      </c>
      <c r="E1132" s="5" t="s">
        <v>60</v>
      </c>
      <c r="F1132" s="5" t="s">
        <v>24</v>
      </c>
      <c r="G1132" s="5" t="s">
        <v>17</v>
      </c>
      <c r="H1132" s="5">
        <v>188</v>
      </c>
      <c r="I1132" s="5">
        <v>15</v>
      </c>
      <c r="J1132" s="5" t="s">
        <v>18</v>
      </c>
      <c r="K1132" s="5" t="s">
        <v>45</v>
      </c>
      <c r="L1132" s="5" t="s">
        <v>20</v>
      </c>
      <c r="M1132" s="7" t="s">
        <v>46</v>
      </c>
      <c r="N1132" s="26">
        <f t="shared" si="119"/>
        <v>0</v>
      </c>
      <c r="O1132" s="42">
        <f t="shared" si="120"/>
        <v>45173</v>
      </c>
      <c r="P1132" s="5" t="str">
        <f t="shared" si="121"/>
        <v>Monday</v>
      </c>
      <c r="Q1132" s="5">
        <f t="shared" si="122"/>
        <v>13</v>
      </c>
      <c r="R1132" s="28">
        <f t="shared" si="123"/>
        <v>0.92610837438423643</v>
      </c>
      <c r="S1132" s="29">
        <f t="shared" si="124"/>
        <v>92.610837438423644</v>
      </c>
      <c r="T1132" s="5" t="str">
        <f>IF(Delivery_Data3[[#This Row],[Delays (min)]]&gt;0,"No","Yes")</f>
        <v>No</v>
      </c>
      <c r="W1132" s="41">
        <f t="shared" si="125"/>
        <v>45173</v>
      </c>
      <c r="X1132" s="5">
        <v>188</v>
      </c>
    </row>
    <row r="1133" spans="1:24" ht="15.75" customHeight="1" x14ac:dyDescent="0.3">
      <c r="A1133" s="4">
        <v>2132</v>
      </c>
      <c r="B1133" s="5" t="s">
        <v>1237</v>
      </c>
      <c r="C1133" s="6">
        <v>45177.704861111109</v>
      </c>
      <c r="D1133" s="5" t="s">
        <v>43</v>
      </c>
      <c r="E1133" s="5" t="s">
        <v>156</v>
      </c>
      <c r="F1133" s="5" t="s">
        <v>24</v>
      </c>
      <c r="G1133" s="5" t="s">
        <v>25</v>
      </c>
      <c r="H1133" s="5">
        <v>75</v>
      </c>
      <c r="I1133" s="5">
        <v>28</v>
      </c>
      <c r="J1133" s="5" t="s">
        <v>18</v>
      </c>
      <c r="K1133" s="5" t="s">
        <v>19</v>
      </c>
      <c r="L1133" s="5" t="s">
        <v>20</v>
      </c>
      <c r="M1133" s="7" t="s">
        <v>21</v>
      </c>
      <c r="N1133" s="26">
        <f t="shared" si="119"/>
        <v>0</v>
      </c>
      <c r="O1133" s="42">
        <f t="shared" si="120"/>
        <v>45177</v>
      </c>
      <c r="P1133" s="5" t="str">
        <f t="shared" si="121"/>
        <v>Friday</v>
      </c>
      <c r="Q1133" s="5">
        <f t="shared" si="122"/>
        <v>16</v>
      </c>
      <c r="R1133" s="28">
        <f t="shared" si="123"/>
        <v>0.72815533980582525</v>
      </c>
      <c r="S1133" s="29">
        <f t="shared" si="124"/>
        <v>72.815533980582529</v>
      </c>
      <c r="T1133" s="5" t="str">
        <f>IF(Delivery_Data3[[#This Row],[Delays (min)]]&gt;0,"No","Yes")</f>
        <v>No</v>
      </c>
      <c r="W1133" s="41">
        <f t="shared" si="125"/>
        <v>45177</v>
      </c>
      <c r="X1133" s="5">
        <v>75</v>
      </c>
    </row>
    <row r="1134" spans="1:24" ht="15.75" customHeight="1" x14ac:dyDescent="0.3">
      <c r="A1134" s="4">
        <v>2133</v>
      </c>
      <c r="B1134" s="5" t="s">
        <v>1238</v>
      </c>
      <c r="C1134" s="6">
        <v>45177.451388888891</v>
      </c>
      <c r="D1134" s="5" t="s">
        <v>43</v>
      </c>
      <c r="E1134" s="5" t="s">
        <v>311</v>
      </c>
      <c r="F1134" s="5" t="s">
        <v>16</v>
      </c>
      <c r="G1134" s="5" t="s">
        <v>17</v>
      </c>
      <c r="H1134" s="5">
        <v>198</v>
      </c>
      <c r="I1134" s="5">
        <v>24</v>
      </c>
      <c r="J1134" s="5" t="s">
        <v>26</v>
      </c>
      <c r="K1134" s="5" t="s">
        <v>45</v>
      </c>
      <c r="L1134" s="5" t="s">
        <v>28</v>
      </c>
      <c r="M1134" s="7" t="s">
        <v>46</v>
      </c>
      <c r="N1134" s="26">
        <f t="shared" si="119"/>
        <v>1</v>
      </c>
      <c r="O1134" s="42">
        <f t="shared" si="120"/>
        <v>45177</v>
      </c>
      <c r="P1134" s="5" t="str">
        <f t="shared" si="121"/>
        <v>Friday</v>
      </c>
      <c r="Q1134" s="5">
        <f t="shared" si="122"/>
        <v>10</v>
      </c>
      <c r="R1134" s="28">
        <f t="shared" si="123"/>
        <v>0.89189189189189189</v>
      </c>
      <c r="S1134" s="29">
        <f t="shared" si="124"/>
        <v>89.189189189189193</v>
      </c>
      <c r="T1134" s="5" t="str">
        <f>IF(Delivery_Data3[[#This Row],[Delays (min)]]&gt;0,"No","Yes")</f>
        <v>No</v>
      </c>
      <c r="W1134" s="41">
        <f t="shared" si="125"/>
        <v>45177</v>
      </c>
      <c r="X1134" s="5">
        <v>198</v>
      </c>
    </row>
    <row r="1135" spans="1:24" ht="15.75" customHeight="1" x14ac:dyDescent="0.3">
      <c r="A1135" s="4">
        <v>2134</v>
      </c>
      <c r="B1135" s="5" t="s">
        <v>1239</v>
      </c>
      <c r="C1135" s="6">
        <v>45171.431250000001</v>
      </c>
      <c r="D1135" s="5" t="s">
        <v>43</v>
      </c>
      <c r="E1135" s="5" t="s">
        <v>78</v>
      </c>
      <c r="F1135" s="5" t="s">
        <v>24</v>
      </c>
      <c r="G1135" s="5" t="s">
        <v>31</v>
      </c>
      <c r="H1135" s="5">
        <v>64</v>
      </c>
      <c r="I1135" s="5">
        <v>18</v>
      </c>
      <c r="J1135" s="5" t="s">
        <v>32</v>
      </c>
      <c r="K1135" s="5" t="s">
        <v>35</v>
      </c>
      <c r="L1135" s="5" t="s">
        <v>40</v>
      </c>
      <c r="M1135" s="7" t="s">
        <v>46</v>
      </c>
      <c r="N1135" s="26">
        <f t="shared" si="119"/>
        <v>-1</v>
      </c>
      <c r="O1135" s="42">
        <f t="shared" si="120"/>
        <v>45171</v>
      </c>
      <c r="P1135" s="5" t="str">
        <f t="shared" si="121"/>
        <v>Saturday</v>
      </c>
      <c r="Q1135" s="5">
        <f t="shared" si="122"/>
        <v>10</v>
      </c>
      <c r="R1135" s="28">
        <f t="shared" si="123"/>
        <v>0.78048780487804881</v>
      </c>
      <c r="S1135" s="29">
        <f t="shared" si="124"/>
        <v>78.048780487804876</v>
      </c>
      <c r="T1135" s="5" t="str">
        <f>IF(Delivery_Data3[[#This Row],[Delays (min)]]&gt;0,"No","Yes")</f>
        <v>No</v>
      </c>
      <c r="W1135" s="41">
        <f t="shared" si="125"/>
        <v>45171</v>
      </c>
      <c r="X1135" s="5">
        <v>64</v>
      </c>
    </row>
    <row r="1136" spans="1:24" ht="15.75" customHeight="1" x14ac:dyDescent="0.3">
      <c r="A1136" s="4">
        <v>2135</v>
      </c>
      <c r="B1136" s="5" t="s">
        <v>1240</v>
      </c>
      <c r="C1136" s="6">
        <v>45175.42291666667</v>
      </c>
      <c r="D1136" s="5" t="s">
        <v>43</v>
      </c>
      <c r="E1136" s="5" t="s">
        <v>115</v>
      </c>
      <c r="F1136" s="5" t="s">
        <v>16</v>
      </c>
      <c r="G1136" s="5" t="s">
        <v>39</v>
      </c>
      <c r="H1136" s="5">
        <v>101</v>
      </c>
      <c r="I1136" s="5">
        <v>25</v>
      </c>
      <c r="J1136" s="5" t="s">
        <v>32</v>
      </c>
      <c r="K1136" s="5" t="s">
        <v>19</v>
      </c>
      <c r="L1136" s="5" t="s">
        <v>28</v>
      </c>
      <c r="M1136" s="7" t="s">
        <v>46</v>
      </c>
      <c r="N1136" s="26">
        <f t="shared" si="119"/>
        <v>-1</v>
      </c>
      <c r="O1136" s="42">
        <f t="shared" si="120"/>
        <v>45175</v>
      </c>
      <c r="P1136" s="5" t="str">
        <f t="shared" si="121"/>
        <v>Wednesday</v>
      </c>
      <c r="Q1136" s="5">
        <f t="shared" si="122"/>
        <v>10</v>
      </c>
      <c r="R1136" s="28">
        <f t="shared" si="123"/>
        <v>0.80158730158730163</v>
      </c>
      <c r="S1136" s="29">
        <f t="shared" si="124"/>
        <v>80.158730158730165</v>
      </c>
      <c r="T1136" s="5" t="str">
        <f>IF(Delivery_Data3[[#This Row],[Delays (min)]]&gt;0,"No","Yes")</f>
        <v>No</v>
      </c>
      <c r="W1136" s="41">
        <f t="shared" si="125"/>
        <v>45175</v>
      </c>
      <c r="X1136" s="5">
        <v>101</v>
      </c>
    </row>
    <row r="1137" spans="1:24" ht="15.75" customHeight="1" x14ac:dyDescent="0.3">
      <c r="A1137" s="4">
        <v>2136</v>
      </c>
      <c r="B1137" s="5" t="s">
        <v>1241</v>
      </c>
      <c r="C1137" s="6">
        <v>45175.368750000001</v>
      </c>
      <c r="D1137" s="5" t="s">
        <v>43</v>
      </c>
      <c r="E1137" s="5" t="s">
        <v>169</v>
      </c>
      <c r="F1137" s="5" t="s">
        <v>38</v>
      </c>
      <c r="G1137" s="5" t="s">
        <v>39</v>
      </c>
      <c r="H1137" s="5">
        <v>179</v>
      </c>
      <c r="I1137" s="5">
        <v>16</v>
      </c>
      <c r="J1137" s="5" t="s">
        <v>26</v>
      </c>
      <c r="K1137" s="5" t="s">
        <v>27</v>
      </c>
      <c r="L1137" s="5" t="s">
        <v>40</v>
      </c>
      <c r="M1137" s="7" t="s">
        <v>41</v>
      </c>
      <c r="N1137" s="26">
        <f t="shared" si="119"/>
        <v>1</v>
      </c>
      <c r="O1137" s="42">
        <f t="shared" si="120"/>
        <v>45175</v>
      </c>
      <c r="P1137" s="5" t="str">
        <f t="shared" si="121"/>
        <v>Wednesday</v>
      </c>
      <c r="Q1137" s="5">
        <f t="shared" si="122"/>
        <v>8</v>
      </c>
      <c r="R1137" s="28">
        <f t="shared" si="123"/>
        <v>0.91794871794871791</v>
      </c>
      <c r="S1137" s="29">
        <f t="shared" si="124"/>
        <v>91.794871794871796</v>
      </c>
      <c r="T1137" s="5" t="str">
        <f>IF(Delivery_Data3[[#This Row],[Delays (min)]]&gt;0,"No","Yes")</f>
        <v>No</v>
      </c>
      <c r="W1137" s="41">
        <f t="shared" si="125"/>
        <v>45175</v>
      </c>
      <c r="X1137" s="5">
        <v>179</v>
      </c>
    </row>
    <row r="1138" spans="1:24" ht="15.75" customHeight="1" x14ac:dyDescent="0.3">
      <c r="A1138" s="4">
        <v>2137</v>
      </c>
      <c r="B1138" s="5" t="s">
        <v>1242</v>
      </c>
      <c r="C1138" s="6">
        <v>45174.600694444445</v>
      </c>
      <c r="D1138" s="5" t="s">
        <v>43</v>
      </c>
      <c r="E1138" s="5" t="s">
        <v>261</v>
      </c>
      <c r="F1138" s="5" t="s">
        <v>24</v>
      </c>
      <c r="G1138" s="5" t="s">
        <v>25</v>
      </c>
      <c r="H1138" s="5">
        <v>137</v>
      </c>
      <c r="I1138" s="5">
        <v>0</v>
      </c>
      <c r="J1138" s="5" t="s">
        <v>18</v>
      </c>
      <c r="K1138" s="5" t="s">
        <v>19</v>
      </c>
      <c r="L1138" s="5" t="s">
        <v>28</v>
      </c>
      <c r="M1138" s="7" t="s">
        <v>41</v>
      </c>
      <c r="N1138" s="26">
        <f t="shared" si="119"/>
        <v>0</v>
      </c>
      <c r="O1138" s="42">
        <f t="shared" si="120"/>
        <v>45174</v>
      </c>
      <c r="P1138" s="5" t="str">
        <f t="shared" si="121"/>
        <v>Tuesday</v>
      </c>
      <c r="Q1138" s="5">
        <f t="shared" si="122"/>
        <v>14</v>
      </c>
      <c r="R1138" s="28">
        <f t="shared" si="123"/>
        <v>1</v>
      </c>
      <c r="S1138" s="29">
        <f t="shared" si="124"/>
        <v>100</v>
      </c>
      <c r="T1138" s="5" t="str">
        <f>IF(Delivery_Data3[[#This Row],[Delays (min)]]&gt;0,"No","Yes")</f>
        <v>Yes</v>
      </c>
      <c r="W1138" s="41">
        <f t="shared" si="125"/>
        <v>45174</v>
      </c>
      <c r="X1138" s="5">
        <v>137</v>
      </c>
    </row>
    <row r="1139" spans="1:24" ht="15.75" customHeight="1" x14ac:dyDescent="0.3">
      <c r="A1139" s="4">
        <v>2138</v>
      </c>
      <c r="B1139" s="5" t="s">
        <v>1243</v>
      </c>
      <c r="C1139" s="6">
        <v>45172.540277777778</v>
      </c>
      <c r="D1139" s="5" t="s">
        <v>43</v>
      </c>
      <c r="E1139" s="5" t="s">
        <v>311</v>
      </c>
      <c r="F1139" s="5" t="s">
        <v>38</v>
      </c>
      <c r="G1139" s="5" t="s">
        <v>56</v>
      </c>
      <c r="H1139" s="5">
        <v>86</v>
      </c>
      <c r="I1139" s="5">
        <v>19</v>
      </c>
      <c r="J1139" s="5" t="s">
        <v>18</v>
      </c>
      <c r="K1139" s="5" t="s">
        <v>19</v>
      </c>
      <c r="L1139" s="5" t="s">
        <v>28</v>
      </c>
      <c r="M1139" s="7" t="s">
        <v>21</v>
      </c>
      <c r="N1139" s="26">
        <f t="shared" si="119"/>
        <v>0</v>
      </c>
      <c r="O1139" s="42">
        <f t="shared" si="120"/>
        <v>45172</v>
      </c>
      <c r="P1139" s="5" t="str">
        <f t="shared" si="121"/>
        <v>Sunday</v>
      </c>
      <c r="Q1139" s="5">
        <f t="shared" si="122"/>
        <v>12</v>
      </c>
      <c r="R1139" s="28">
        <f t="shared" si="123"/>
        <v>0.81904761904761902</v>
      </c>
      <c r="S1139" s="29">
        <f t="shared" si="124"/>
        <v>81.904761904761898</v>
      </c>
      <c r="T1139" s="5" t="str">
        <f>IF(Delivery_Data3[[#This Row],[Delays (min)]]&gt;0,"No","Yes")</f>
        <v>No</v>
      </c>
      <c r="W1139" s="41">
        <f t="shared" si="125"/>
        <v>45172</v>
      </c>
      <c r="X1139" s="5">
        <v>86</v>
      </c>
    </row>
    <row r="1140" spans="1:24" ht="15.75" customHeight="1" x14ac:dyDescent="0.3">
      <c r="A1140" s="4">
        <v>2139</v>
      </c>
      <c r="B1140" s="5" t="s">
        <v>1244</v>
      </c>
      <c r="C1140" s="6">
        <v>45173.479861111111</v>
      </c>
      <c r="D1140" s="5" t="s">
        <v>43</v>
      </c>
      <c r="E1140" s="5" t="s">
        <v>122</v>
      </c>
      <c r="F1140" s="5" t="s">
        <v>24</v>
      </c>
      <c r="G1140" s="5" t="s">
        <v>31</v>
      </c>
      <c r="H1140" s="5">
        <v>73</v>
      </c>
      <c r="I1140" s="5">
        <v>9</v>
      </c>
      <c r="J1140" s="5" t="s">
        <v>18</v>
      </c>
      <c r="K1140" s="5" t="s">
        <v>19</v>
      </c>
      <c r="L1140" s="5" t="s">
        <v>28</v>
      </c>
      <c r="M1140" s="7" t="s">
        <v>21</v>
      </c>
      <c r="N1140" s="26">
        <f t="shared" si="119"/>
        <v>0</v>
      </c>
      <c r="O1140" s="42">
        <f t="shared" si="120"/>
        <v>45173</v>
      </c>
      <c r="P1140" s="5" t="str">
        <f t="shared" si="121"/>
        <v>Monday</v>
      </c>
      <c r="Q1140" s="5">
        <f t="shared" si="122"/>
        <v>11</v>
      </c>
      <c r="R1140" s="28">
        <f t="shared" si="123"/>
        <v>0.8902439024390244</v>
      </c>
      <c r="S1140" s="29">
        <f t="shared" si="124"/>
        <v>89.024390243902445</v>
      </c>
      <c r="T1140" s="5" t="str">
        <f>IF(Delivery_Data3[[#This Row],[Delays (min)]]&gt;0,"No","Yes")</f>
        <v>No</v>
      </c>
      <c r="W1140" s="41">
        <f t="shared" si="125"/>
        <v>45173</v>
      </c>
      <c r="X1140" s="5">
        <v>73</v>
      </c>
    </row>
    <row r="1141" spans="1:24" ht="15.75" customHeight="1" x14ac:dyDescent="0.3">
      <c r="A1141" s="4">
        <v>2140</v>
      </c>
      <c r="B1141" s="5" t="s">
        <v>1245</v>
      </c>
      <c r="C1141" s="6">
        <v>45171.477777777778</v>
      </c>
      <c r="D1141" s="5" t="s">
        <v>14</v>
      </c>
      <c r="E1141" s="5" t="s">
        <v>156</v>
      </c>
      <c r="F1141" s="5" t="s">
        <v>24</v>
      </c>
      <c r="G1141" s="5" t="s">
        <v>39</v>
      </c>
      <c r="H1141" s="5">
        <v>224</v>
      </c>
      <c r="I1141" s="5">
        <v>0</v>
      </c>
      <c r="J1141" s="5" t="s">
        <v>18</v>
      </c>
      <c r="K1141" s="5" t="s">
        <v>45</v>
      </c>
      <c r="L1141" s="5" t="s">
        <v>28</v>
      </c>
      <c r="M1141" s="7" t="s">
        <v>46</v>
      </c>
      <c r="N1141" s="26">
        <f t="shared" si="119"/>
        <v>0</v>
      </c>
      <c r="O1141" s="42">
        <f t="shared" si="120"/>
        <v>45171</v>
      </c>
      <c r="P1141" s="5" t="str">
        <f t="shared" si="121"/>
        <v>Saturday</v>
      </c>
      <c r="Q1141" s="5">
        <f t="shared" si="122"/>
        <v>11</v>
      </c>
      <c r="R1141" s="28">
        <f t="shared" si="123"/>
        <v>1</v>
      </c>
      <c r="S1141" s="29">
        <f t="shared" si="124"/>
        <v>100</v>
      </c>
      <c r="T1141" s="5" t="str">
        <f>IF(Delivery_Data3[[#This Row],[Delays (min)]]&gt;0,"No","Yes")</f>
        <v>Yes</v>
      </c>
      <c r="W1141" s="41">
        <f t="shared" si="125"/>
        <v>45171</v>
      </c>
      <c r="X1141" s="5">
        <v>224</v>
      </c>
    </row>
    <row r="1142" spans="1:24" ht="15.75" customHeight="1" x14ac:dyDescent="0.3">
      <c r="A1142" s="4">
        <v>2141</v>
      </c>
      <c r="B1142" s="5" t="s">
        <v>1246</v>
      </c>
      <c r="C1142" s="6">
        <v>45172.42083333333</v>
      </c>
      <c r="D1142" s="5" t="s">
        <v>43</v>
      </c>
      <c r="E1142" s="5" t="s">
        <v>149</v>
      </c>
      <c r="F1142" s="5" t="s">
        <v>24</v>
      </c>
      <c r="G1142" s="5" t="s">
        <v>17</v>
      </c>
      <c r="H1142" s="5">
        <v>232</v>
      </c>
      <c r="I1142" s="5">
        <v>10</v>
      </c>
      <c r="J1142" s="5" t="s">
        <v>18</v>
      </c>
      <c r="K1142" s="5" t="s">
        <v>45</v>
      </c>
      <c r="L1142" s="5" t="s">
        <v>40</v>
      </c>
      <c r="M1142" s="7" t="s">
        <v>46</v>
      </c>
      <c r="N1142" s="26">
        <f t="shared" si="119"/>
        <v>0</v>
      </c>
      <c r="O1142" s="42">
        <f t="shared" si="120"/>
        <v>45172</v>
      </c>
      <c r="P1142" s="5" t="str">
        <f t="shared" si="121"/>
        <v>Sunday</v>
      </c>
      <c r="Q1142" s="5">
        <f t="shared" si="122"/>
        <v>10</v>
      </c>
      <c r="R1142" s="28">
        <f t="shared" si="123"/>
        <v>0.95867768595041325</v>
      </c>
      <c r="S1142" s="29">
        <f t="shared" si="124"/>
        <v>95.867768595041326</v>
      </c>
      <c r="T1142" s="5" t="str">
        <f>IF(Delivery_Data3[[#This Row],[Delays (min)]]&gt;0,"No","Yes")</f>
        <v>No</v>
      </c>
      <c r="W1142" s="41">
        <f t="shared" si="125"/>
        <v>45172</v>
      </c>
      <c r="X1142" s="5">
        <v>232</v>
      </c>
    </row>
    <row r="1143" spans="1:24" ht="15.75" customHeight="1" x14ac:dyDescent="0.3">
      <c r="A1143" s="4">
        <v>2142</v>
      </c>
      <c r="B1143" s="5" t="s">
        <v>1247</v>
      </c>
      <c r="C1143" s="6">
        <v>45170.378472222219</v>
      </c>
      <c r="D1143" s="5" t="s">
        <v>14</v>
      </c>
      <c r="E1143" s="5" t="s">
        <v>263</v>
      </c>
      <c r="F1143" s="5" t="s">
        <v>38</v>
      </c>
      <c r="G1143" s="5" t="s">
        <v>17</v>
      </c>
      <c r="H1143" s="5">
        <v>165</v>
      </c>
      <c r="I1143" s="5">
        <v>15</v>
      </c>
      <c r="J1143" s="5" t="s">
        <v>18</v>
      </c>
      <c r="K1143" s="5" t="s">
        <v>27</v>
      </c>
      <c r="L1143" s="5" t="s">
        <v>20</v>
      </c>
      <c r="M1143" s="7" t="s">
        <v>46</v>
      </c>
      <c r="N1143" s="26">
        <f t="shared" si="119"/>
        <v>0</v>
      </c>
      <c r="O1143" s="42">
        <f t="shared" si="120"/>
        <v>45170</v>
      </c>
      <c r="P1143" s="5" t="str">
        <f t="shared" si="121"/>
        <v>Friday</v>
      </c>
      <c r="Q1143" s="5">
        <f t="shared" si="122"/>
        <v>9</v>
      </c>
      <c r="R1143" s="28">
        <f t="shared" si="123"/>
        <v>0.91666666666666663</v>
      </c>
      <c r="S1143" s="29">
        <f t="shared" si="124"/>
        <v>91.666666666666657</v>
      </c>
      <c r="T1143" s="5" t="str">
        <f>IF(Delivery_Data3[[#This Row],[Delays (min)]]&gt;0,"No","Yes")</f>
        <v>No</v>
      </c>
      <c r="W1143" s="41">
        <f t="shared" si="125"/>
        <v>45170</v>
      </c>
      <c r="X1143" s="5">
        <v>165</v>
      </c>
    </row>
    <row r="1144" spans="1:24" ht="15.75" customHeight="1" x14ac:dyDescent="0.3">
      <c r="A1144" s="4">
        <v>2143</v>
      </c>
      <c r="B1144" s="5" t="s">
        <v>1248</v>
      </c>
      <c r="C1144" s="6">
        <v>45177.397916666669</v>
      </c>
      <c r="D1144" s="5" t="s">
        <v>43</v>
      </c>
      <c r="E1144" s="5" t="s">
        <v>68</v>
      </c>
      <c r="F1144" s="5" t="s">
        <v>24</v>
      </c>
      <c r="G1144" s="5" t="s">
        <v>56</v>
      </c>
      <c r="H1144" s="5">
        <v>184</v>
      </c>
      <c r="I1144" s="5">
        <v>1</v>
      </c>
      <c r="J1144" s="5" t="s">
        <v>32</v>
      </c>
      <c r="K1144" s="5" t="s">
        <v>27</v>
      </c>
      <c r="L1144" s="5" t="s">
        <v>20</v>
      </c>
      <c r="M1144" s="7" t="s">
        <v>46</v>
      </c>
      <c r="N1144" s="26">
        <f t="shared" si="119"/>
        <v>-1</v>
      </c>
      <c r="O1144" s="42">
        <f t="shared" si="120"/>
        <v>45177</v>
      </c>
      <c r="P1144" s="5" t="str">
        <f t="shared" si="121"/>
        <v>Friday</v>
      </c>
      <c r="Q1144" s="5">
        <f t="shared" si="122"/>
        <v>9</v>
      </c>
      <c r="R1144" s="28">
        <f t="shared" si="123"/>
        <v>0.99459459459459465</v>
      </c>
      <c r="S1144" s="29">
        <f t="shared" si="124"/>
        <v>99.459459459459467</v>
      </c>
      <c r="T1144" s="5" t="str">
        <f>IF(Delivery_Data3[[#This Row],[Delays (min)]]&gt;0,"No","Yes")</f>
        <v>No</v>
      </c>
      <c r="W1144" s="41">
        <f t="shared" si="125"/>
        <v>45177</v>
      </c>
      <c r="X1144" s="5">
        <v>184</v>
      </c>
    </row>
    <row r="1145" spans="1:24" ht="15.75" customHeight="1" x14ac:dyDescent="0.3">
      <c r="A1145" s="4">
        <v>2144</v>
      </c>
      <c r="B1145" s="5" t="s">
        <v>1249</v>
      </c>
      <c r="C1145" s="6">
        <v>45173.668055555558</v>
      </c>
      <c r="D1145" s="5" t="s">
        <v>43</v>
      </c>
      <c r="E1145" s="5" t="s">
        <v>220</v>
      </c>
      <c r="F1145" s="5" t="s">
        <v>38</v>
      </c>
      <c r="G1145" s="5" t="s">
        <v>25</v>
      </c>
      <c r="H1145" s="5">
        <v>142</v>
      </c>
      <c r="I1145" s="5">
        <v>25</v>
      </c>
      <c r="J1145" s="5" t="s">
        <v>26</v>
      </c>
      <c r="K1145" s="5" t="s">
        <v>19</v>
      </c>
      <c r="L1145" s="5" t="s">
        <v>40</v>
      </c>
      <c r="M1145" s="7" t="s">
        <v>46</v>
      </c>
      <c r="N1145" s="26">
        <f t="shared" si="119"/>
        <v>1</v>
      </c>
      <c r="O1145" s="42">
        <f t="shared" si="120"/>
        <v>45173</v>
      </c>
      <c r="P1145" s="5" t="str">
        <f t="shared" si="121"/>
        <v>Monday</v>
      </c>
      <c r="Q1145" s="5">
        <f t="shared" si="122"/>
        <v>16</v>
      </c>
      <c r="R1145" s="28">
        <f t="shared" si="123"/>
        <v>0.85029940119760483</v>
      </c>
      <c r="S1145" s="29">
        <f t="shared" si="124"/>
        <v>85.029940119760482</v>
      </c>
      <c r="T1145" s="5" t="str">
        <f>IF(Delivery_Data3[[#This Row],[Delays (min)]]&gt;0,"No","Yes")</f>
        <v>No</v>
      </c>
      <c r="W1145" s="41">
        <f t="shared" si="125"/>
        <v>45173</v>
      </c>
      <c r="X1145" s="5">
        <v>142</v>
      </c>
    </row>
    <row r="1146" spans="1:24" ht="15.75" customHeight="1" x14ac:dyDescent="0.3">
      <c r="A1146" s="4">
        <v>2145</v>
      </c>
      <c r="B1146" s="5" t="s">
        <v>1250</v>
      </c>
      <c r="C1146" s="6">
        <v>45176.572222222225</v>
      </c>
      <c r="D1146" s="5" t="s">
        <v>14</v>
      </c>
      <c r="E1146" s="5" t="s">
        <v>58</v>
      </c>
      <c r="F1146" s="5" t="s">
        <v>24</v>
      </c>
      <c r="G1146" s="5" t="s">
        <v>39</v>
      </c>
      <c r="H1146" s="5">
        <v>115</v>
      </c>
      <c r="I1146" s="5">
        <v>16</v>
      </c>
      <c r="J1146" s="5" t="s">
        <v>18</v>
      </c>
      <c r="K1146" s="5" t="s">
        <v>27</v>
      </c>
      <c r="L1146" s="5" t="s">
        <v>40</v>
      </c>
      <c r="M1146" s="7" t="s">
        <v>41</v>
      </c>
      <c r="N1146" s="26">
        <f t="shared" si="119"/>
        <v>0</v>
      </c>
      <c r="O1146" s="42">
        <f t="shared" si="120"/>
        <v>45176</v>
      </c>
      <c r="P1146" s="5" t="str">
        <f t="shared" si="121"/>
        <v>Thursday</v>
      </c>
      <c r="Q1146" s="5">
        <f t="shared" si="122"/>
        <v>13</v>
      </c>
      <c r="R1146" s="28">
        <f t="shared" si="123"/>
        <v>0.87786259541984735</v>
      </c>
      <c r="S1146" s="29">
        <f t="shared" si="124"/>
        <v>87.786259541984734</v>
      </c>
      <c r="T1146" s="5" t="str">
        <f>IF(Delivery_Data3[[#This Row],[Delays (min)]]&gt;0,"No","Yes")</f>
        <v>No</v>
      </c>
      <c r="W1146" s="41">
        <f t="shared" si="125"/>
        <v>45176</v>
      </c>
      <c r="X1146" s="5">
        <v>115</v>
      </c>
    </row>
    <row r="1147" spans="1:24" ht="15.75" customHeight="1" x14ac:dyDescent="0.3">
      <c r="A1147" s="4">
        <v>2146</v>
      </c>
      <c r="B1147" s="5" t="s">
        <v>1251</v>
      </c>
      <c r="C1147" s="6">
        <v>45171.362500000003</v>
      </c>
      <c r="D1147" s="5" t="s">
        <v>14</v>
      </c>
      <c r="E1147" s="5" t="s">
        <v>261</v>
      </c>
      <c r="F1147" s="5" t="s">
        <v>24</v>
      </c>
      <c r="G1147" s="5" t="s">
        <v>17</v>
      </c>
      <c r="H1147" s="5">
        <v>66</v>
      </c>
      <c r="I1147" s="5">
        <v>18</v>
      </c>
      <c r="J1147" s="5" t="s">
        <v>32</v>
      </c>
      <c r="K1147" s="5" t="s">
        <v>35</v>
      </c>
      <c r="L1147" s="5" t="s">
        <v>20</v>
      </c>
      <c r="M1147" s="7" t="s">
        <v>41</v>
      </c>
      <c r="N1147" s="26">
        <f t="shared" si="119"/>
        <v>-1</v>
      </c>
      <c r="O1147" s="42">
        <f t="shared" si="120"/>
        <v>45171</v>
      </c>
      <c r="P1147" s="5" t="str">
        <f t="shared" si="121"/>
        <v>Saturday</v>
      </c>
      <c r="Q1147" s="5">
        <f t="shared" si="122"/>
        <v>8</v>
      </c>
      <c r="R1147" s="28">
        <f t="shared" si="123"/>
        <v>0.7857142857142857</v>
      </c>
      <c r="S1147" s="29">
        <f t="shared" si="124"/>
        <v>78.571428571428569</v>
      </c>
      <c r="T1147" s="5" t="str">
        <f>IF(Delivery_Data3[[#This Row],[Delays (min)]]&gt;0,"No","Yes")</f>
        <v>No</v>
      </c>
      <c r="W1147" s="41">
        <f t="shared" si="125"/>
        <v>45171</v>
      </c>
      <c r="X1147" s="5">
        <v>66</v>
      </c>
    </row>
    <row r="1148" spans="1:24" ht="15.75" customHeight="1" x14ac:dyDescent="0.3">
      <c r="A1148" s="4">
        <v>2147</v>
      </c>
      <c r="B1148" s="5" t="s">
        <v>766</v>
      </c>
      <c r="C1148" s="6">
        <v>45170.662499999999</v>
      </c>
      <c r="D1148" s="5" t="s">
        <v>14</v>
      </c>
      <c r="E1148" s="5" t="s">
        <v>126</v>
      </c>
      <c r="F1148" s="5" t="s">
        <v>38</v>
      </c>
      <c r="G1148" s="5" t="s">
        <v>31</v>
      </c>
      <c r="H1148" s="5">
        <v>204</v>
      </c>
      <c r="I1148" s="5">
        <v>29</v>
      </c>
      <c r="J1148" s="5" t="s">
        <v>26</v>
      </c>
      <c r="K1148" s="5" t="s">
        <v>19</v>
      </c>
      <c r="L1148" s="5" t="s">
        <v>20</v>
      </c>
      <c r="M1148" s="7" t="s">
        <v>21</v>
      </c>
      <c r="N1148" s="26">
        <f t="shared" si="119"/>
        <v>1</v>
      </c>
      <c r="O1148" s="42">
        <f t="shared" si="120"/>
        <v>45170</v>
      </c>
      <c r="P1148" s="5" t="str">
        <f t="shared" si="121"/>
        <v>Friday</v>
      </c>
      <c r="Q1148" s="5">
        <f t="shared" si="122"/>
        <v>15</v>
      </c>
      <c r="R1148" s="28">
        <f t="shared" si="123"/>
        <v>0.87553648068669532</v>
      </c>
      <c r="S1148" s="29">
        <f t="shared" si="124"/>
        <v>87.553648068669531</v>
      </c>
      <c r="T1148" s="5" t="str">
        <f>IF(Delivery_Data3[[#This Row],[Delays (min)]]&gt;0,"No","Yes")</f>
        <v>No</v>
      </c>
      <c r="W1148" s="41">
        <f t="shared" si="125"/>
        <v>45170</v>
      </c>
      <c r="X1148" s="5">
        <v>204</v>
      </c>
    </row>
    <row r="1149" spans="1:24" ht="15.75" customHeight="1" x14ac:dyDescent="0.3">
      <c r="A1149" s="4">
        <v>2148</v>
      </c>
      <c r="B1149" s="5" t="s">
        <v>1252</v>
      </c>
      <c r="C1149" s="6">
        <v>45170.637499999997</v>
      </c>
      <c r="D1149" s="5" t="s">
        <v>43</v>
      </c>
      <c r="E1149" s="5" t="s">
        <v>243</v>
      </c>
      <c r="F1149" s="5" t="s">
        <v>38</v>
      </c>
      <c r="G1149" s="5" t="s">
        <v>31</v>
      </c>
      <c r="H1149" s="5">
        <v>170</v>
      </c>
      <c r="I1149" s="5">
        <v>29</v>
      </c>
      <c r="J1149" s="5" t="s">
        <v>26</v>
      </c>
      <c r="K1149" s="5" t="s">
        <v>19</v>
      </c>
      <c r="L1149" s="5" t="s">
        <v>40</v>
      </c>
      <c r="M1149" s="7" t="s">
        <v>46</v>
      </c>
      <c r="N1149" s="26">
        <f t="shared" si="119"/>
        <v>1</v>
      </c>
      <c r="O1149" s="42">
        <f t="shared" si="120"/>
        <v>45170</v>
      </c>
      <c r="P1149" s="5" t="str">
        <f t="shared" si="121"/>
        <v>Friday</v>
      </c>
      <c r="Q1149" s="5">
        <f t="shared" si="122"/>
        <v>15</v>
      </c>
      <c r="R1149" s="28">
        <f t="shared" si="123"/>
        <v>0.85427135678391963</v>
      </c>
      <c r="S1149" s="29">
        <f t="shared" si="124"/>
        <v>85.427135678391963</v>
      </c>
      <c r="T1149" s="5" t="str">
        <f>IF(Delivery_Data3[[#This Row],[Delays (min)]]&gt;0,"No","Yes")</f>
        <v>No</v>
      </c>
      <c r="W1149" s="41">
        <f t="shared" si="125"/>
        <v>45170</v>
      </c>
      <c r="X1149" s="5">
        <v>170</v>
      </c>
    </row>
    <row r="1150" spans="1:24" ht="15.75" customHeight="1" x14ac:dyDescent="0.3">
      <c r="A1150" s="4">
        <v>2149</v>
      </c>
      <c r="B1150" s="5" t="s">
        <v>1253</v>
      </c>
      <c r="C1150" s="6">
        <v>45172.484722222223</v>
      </c>
      <c r="D1150" s="5" t="s">
        <v>43</v>
      </c>
      <c r="E1150" s="5" t="s">
        <v>93</v>
      </c>
      <c r="F1150" s="5" t="s">
        <v>16</v>
      </c>
      <c r="G1150" s="5" t="s">
        <v>56</v>
      </c>
      <c r="H1150" s="5">
        <v>71</v>
      </c>
      <c r="I1150" s="5">
        <v>16</v>
      </c>
      <c r="J1150" s="5" t="s">
        <v>32</v>
      </c>
      <c r="K1150" s="5" t="s">
        <v>45</v>
      </c>
      <c r="L1150" s="5" t="s">
        <v>28</v>
      </c>
      <c r="M1150" s="7" t="s">
        <v>41</v>
      </c>
      <c r="N1150" s="26">
        <f t="shared" si="119"/>
        <v>-1</v>
      </c>
      <c r="O1150" s="42">
        <f t="shared" si="120"/>
        <v>45172</v>
      </c>
      <c r="P1150" s="5" t="str">
        <f t="shared" si="121"/>
        <v>Sunday</v>
      </c>
      <c r="Q1150" s="5">
        <f t="shared" si="122"/>
        <v>11</v>
      </c>
      <c r="R1150" s="28">
        <f t="shared" si="123"/>
        <v>0.81609195402298851</v>
      </c>
      <c r="S1150" s="29">
        <f t="shared" si="124"/>
        <v>81.609195402298852</v>
      </c>
      <c r="T1150" s="5" t="str">
        <f>IF(Delivery_Data3[[#This Row],[Delays (min)]]&gt;0,"No","Yes")</f>
        <v>No</v>
      </c>
      <c r="W1150" s="41">
        <f t="shared" si="125"/>
        <v>45172</v>
      </c>
      <c r="X1150" s="5">
        <v>71</v>
      </c>
    </row>
    <row r="1151" spans="1:24" ht="15.75" customHeight="1" x14ac:dyDescent="0.3">
      <c r="A1151" s="4">
        <v>2150</v>
      </c>
      <c r="B1151" s="5" t="s">
        <v>1254</v>
      </c>
      <c r="C1151" s="6">
        <v>45174.54583333333</v>
      </c>
      <c r="D1151" s="5" t="s">
        <v>14</v>
      </c>
      <c r="E1151" s="5" t="s">
        <v>37</v>
      </c>
      <c r="F1151" s="5" t="s">
        <v>38</v>
      </c>
      <c r="G1151" s="5" t="s">
        <v>17</v>
      </c>
      <c r="H1151" s="5">
        <v>182</v>
      </c>
      <c r="I1151" s="5">
        <v>24</v>
      </c>
      <c r="J1151" s="5" t="s">
        <v>18</v>
      </c>
      <c r="K1151" s="5" t="s">
        <v>49</v>
      </c>
      <c r="L1151" s="5" t="s">
        <v>40</v>
      </c>
      <c r="M1151" s="7" t="s">
        <v>41</v>
      </c>
      <c r="N1151" s="26">
        <f t="shared" si="119"/>
        <v>0</v>
      </c>
      <c r="O1151" s="42">
        <f t="shared" si="120"/>
        <v>45174</v>
      </c>
      <c r="P1151" s="5" t="str">
        <f t="shared" si="121"/>
        <v>Tuesday</v>
      </c>
      <c r="Q1151" s="5">
        <f t="shared" si="122"/>
        <v>13</v>
      </c>
      <c r="R1151" s="28">
        <f t="shared" si="123"/>
        <v>0.88349514563106801</v>
      </c>
      <c r="S1151" s="29">
        <f t="shared" si="124"/>
        <v>88.349514563106794</v>
      </c>
      <c r="T1151" s="5" t="str">
        <f>IF(Delivery_Data3[[#This Row],[Delays (min)]]&gt;0,"No","Yes")</f>
        <v>No</v>
      </c>
      <c r="W1151" s="41">
        <f t="shared" si="125"/>
        <v>45174</v>
      </c>
      <c r="X1151" s="5">
        <v>182</v>
      </c>
    </row>
    <row r="1152" spans="1:24" ht="15.75" customHeight="1" x14ac:dyDescent="0.3">
      <c r="A1152" s="4">
        <v>2151</v>
      </c>
      <c r="B1152" s="5" t="s">
        <v>1255</v>
      </c>
      <c r="C1152" s="6">
        <v>45175.549305555556</v>
      </c>
      <c r="D1152" s="5" t="s">
        <v>43</v>
      </c>
      <c r="E1152" s="5" t="s">
        <v>200</v>
      </c>
      <c r="F1152" s="5" t="s">
        <v>38</v>
      </c>
      <c r="G1152" s="5" t="s">
        <v>39</v>
      </c>
      <c r="H1152" s="5">
        <v>114</v>
      </c>
      <c r="I1152" s="5">
        <v>5</v>
      </c>
      <c r="J1152" s="5" t="s">
        <v>32</v>
      </c>
      <c r="K1152" s="5" t="s">
        <v>45</v>
      </c>
      <c r="L1152" s="5" t="s">
        <v>20</v>
      </c>
      <c r="M1152" s="7" t="s">
        <v>46</v>
      </c>
      <c r="N1152" s="26">
        <f t="shared" si="119"/>
        <v>-1</v>
      </c>
      <c r="O1152" s="42">
        <f t="shared" si="120"/>
        <v>45175</v>
      </c>
      <c r="P1152" s="5" t="str">
        <f t="shared" si="121"/>
        <v>Wednesday</v>
      </c>
      <c r="Q1152" s="5">
        <f t="shared" si="122"/>
        <v>13</v>
      </c>
      <c r="R1152" s="28">
        <f t="shared" si="123"/>
        <v>0.95798319327731096</v>
      </c>
      <c r="S1152" s="29">
        <f t="shared" si="124"/>
        <v>95.798319327731093</v>
      </c>
      <c r="T1152" s="5" t="str">
        <f>IF(Delivery_Data3[[#This Row],[Delays (min)]]&gt;0,"No","Yes")</f>
        <v>No</v>
      </c>
      <c r="W1152" s="41">
        <f t="shared" si="125"/>
        <v>45175</v>
      </c>
      <c r="X1152" s="5">
        <v>114</v>
      </c>
    </row>
    <row r="1153" spans="1:24" ht="15.75" customHeight="1" x14ac:dyDescent="0.3">
      <c r="A1153" s="4">
        <v>2152</v>
      </c>
      <c r="B1153" s="5" t="s">
        <v>1256</v>
      </c>
      <c r="C1153" s="6">
        <v>45171.396527777775</v>
      </c>
      <c r="D1153" s="5" t="s">
        <v>14</v>
      </c>
      <c r="E1153" s="5" t="s">
        <v>333</v>
      </c>
      <c r="F1153" s="5" t="s">
        <v>16</v>
      </c>
      <c r="G1153" s="5" t="s">
        <v>39</v>
      </c>
      <c r="H1153" s="5">
        <v>84</v>
      </c>
      <c r="I1153" s="5">
        <v>7</v>
      </c>
      <c r="J1153" s="5" t="s">
        <v>32</v>
      </c>
      <c r="K1153" s="5" t="s">
        <v>49</v>
      </c>
      <c r="L1153" s="5" t="s">
        <v>40</v>
      </c>
      <c r="M1153" s="7" t="s">
        <v>46</v>
      </c>
      <c r="N1153" s="26">
        <f t="shared" si="119"/>
        <v>-1</v>
      </c>
      <c r="O1153" s="42">
        <f t="shared" si="120"/>
        <v>45171</v>
      </c>
      <c r="P1153" s="5" t="str">
        <f t="shared" si="121"/>
        <v>Saturday</v>
      </c>
      <c r="Q1153" s="5">
        <f t="shared" si="122"/>
        <v>9</v>
      </c>
      <c r="R1153" s="28">
        <f t="shared" si="123"/>
        <v>0.92307692307692313</v>
      </c>
      <c r="S1153" s="29">
        <f t="shared" si="124"/>
        <v>92.307692307692307</v>
      </c>
      <c r="T1153" s="5" t="str">
        <f>IF(Delivery_Data3[[#This Row],[Delays (min)]]&gt;0,"No","Yes")</f>
        <v>No</v>
      </c>
      <c r="W1153" s="41">
        <f t="shared" si="125"/>
        <v>45171</v>
      </c>
      <c r="X1153" s="5">
        <v>84</v>
      </c>
    </row>
    <row r="1154" spans="1:24" ht="15.75" customHeight="1" x14ac:dyDescent="0.3">
      <c r="A1154" s="4">
        <v>2153</v>
      </c>
      <c r="B1154" s="5" t="s">
        <v>1257</v>
      </c>
      <c r="C1154" s="6">
        <v>45172.424305555556</v>
      </c>
      <c r="D1154" s="5" t="s">
        <v>14</v>
      </c>
      <c r="E1154" s="5" t="s">
        <v>288</v>
      </c>
      <c r="F1154" s="5" t="s">
        <v>24</v>
      </c>
      <c r="G1154" s="5" t="s">
        <v>31</v>
      </c>
      <c r="H1154" s="5">
        <v>181</v>
      </c>
      <c r="I1154" s="5">
        <v>16</v>
      </c>
      <c r="J1154" s="5" t="s">
        <v>32</v>
      </c>
      <c r="K1154" s="5" t="s">
        <v>19</v>
      </c>
      <c r="L1154" s="5" t="s">
        <v>40</v>
      </c>
      <c r="M1154" s="7" t="s">
        <v>21</v>
      </c>
      <c r="N1154" s="26">
        <f t="shared" ref="N1154:N1217" si="126">IF(J1154="Positive",1,IF(J1154="Neutral",0,IF(J1154="Negative",-1,"")))</f>
        <v>-1</v>
      </c>
      <c r="O1154" s="42">
        <f t="shared" ref="O1154:O1217" si="127">INT(C1154)</f>
        <v>45172</v>
      </c>
      <c r="P1154" s="5" t="str">
        <f t="shared" ref="P1154:P1217" si="128">TEXT(C1154,"dddd")</f>
        <v>Sunday</v>
      </c>
      <c r="Q1154" s="5">
        <f t="shared" ref="Q1154:Q1217" si="129">HOUR(C1154)</f>
        <v>10</v>
      </c>
      <c r="R1154" s="28">
        <f t="shared" ref="R1154:R1217" si="130">H1154/(H1154+I1154)</f>
        <v>0.91878172588832485</v>
      </c>
      <c r="S1154" s="29">
        <f t="shared" si="124"/>
        <v>91.878172588832484</v>
      </c>
      <c r="T1154" s="5" t="str">
        <f>IF(Delivery_Data3[[#This Row],[Delays (min)]]&gt;0,"No","Yes")</f>
        <v>No</v>
      </c>
      <c r="W1154" s="41">
        <f t="shared" si="125"/>
        <v>45172</v>
      </c>
      <c r="X1154" s="5">
        <v>181</v>
      </c>
    </row>
    <row r="1155" spans="1:24" ht="15.75" customHeight="1" x14ac:dyDescent="0.3">
      <c r="A1155" s="4">
        <v>2154</v>
      </c>
      <c r="B1155" s="5" t="s">
        <v>1258</v>
      </c>
      <c r="C1155" s="6">
        <v>45174.64166666667</v>
      </c>
      <c r="D1155" s="5" t="s">
        <v>14</v>
      </c>
      <c r="E1155" s="5" t="s">
        <v>162</v>
      </c>
      <c r="F1155" s="5" t="s">
        <v>24</v>
      </c>
      <c r="G1155" s="5" t="s">
        <v>31</v>
      </c>
      <c r="H1155" s="5">
        <v>188</v>
      </c>
      <c r="I1155" s="5">
        <v>26</v>
      </c>
      <c r="J1155" s="5" t="s">
        <v>26</v>
      </c>
      <c r="K1155" s="5" t="s">
        <v>27</v>
      </c>
      <c r="L1155" s="5" t="s">
        <v>40</v>
      </c>
      <c r="M1155" s="7" t="s">
        <v>21</v>
      </c>
      <c r="N1155" s="26">
        <f t="shared" si="126"/>
        <v>1</v>
      </c>
      <c r="O1155" s="42">
        <f t="shared" si="127"/>
        <v>45174</v>
      </c>
      <c r="P1155" s="5" t="str">
        <f t="shared" si="128"/>
        <v>Tuesday</v>
      </c>
      <c r="Q1155" s="5">
        <f t="shared" si="129"/>
        <v>15</v>
      </c>
      <c r="R1155" s="28">
        <f t="shared" si="130"/>
        <v>0.87850467289719625</v>
      </c>
      <c r="S1155" s="29">
        <f t="shared" ref="S1155:S1218" si="131">IF(H1155+I1155=0,0,(H1155/(H1155+I1155))*100) + (IFERROR(--J1155,0)*10)</f>
        <v>87.850467289719631</v>
      </c>
      <c r="T1155" s="5" t="str">
        <f>IF(Delivery_Data3[[#This Row],[Delays (min)]]&gt;0,"No","Yes")</f>
        <v>No</v>
      </c>
      <c r="W1155" s="41">
        <f t="shared" ref="W1155:W1218" si="132">INT(C1155)</f>
        <v>45174</v>
      </c>
      <c r="X1155" s="5">
        <v>188</v>
      </c>
    </row>
    <row r="1156" spans="1:24" ht="15.75" customHeight="1" x14ac:dyDescent="0.3">
      <c r="A1156" s="4">
        <v>2155</v>
      </c>
      <c r="B1156" s="5" t="s">
        <v>1259</v>
      </c>
      <c r="C1156" s="6">
        <v>45177.468055555553</v>
      </c>
      <c r="D1156" s="5" t="s">
        <v>43</v>
      </c>
      <c r="E1156" s="5" t="s">
        <v>93</v>
      </c>
      <c r="F1156" s="5" t="s">
        <v>24</v>
      </c>
      <c r="G1156" s="5" t="s">
        <v>56</v>
      </c>
      <c r="H1156" s="5">
        <v>162</v>
      </c>
      <c r="I1156" s="5">
        <v>3</v>
      </c>
      <c r="J1156" s="5" t="s">
        <v>26</v>
      </c>
      <c r="K1156" s="5" t="s">
        <v>45</v>
      </c>
      <c r="L1156" s="5" t="s">
        <v>20</v>
      </c>
      <c r="M1156" s="7" t="s">
        <v>46</v>
      </c>
      <c r="N1156" s="26">
        <f t="shared" si="126"/>
        <v>1</v>
      </c>
      <c r="O1156" s="42">
        <f t="shared" si="127"/>
        <v>45177</v>
      </c>
      <c r="P1156" s="5" t="str">
        <f t="shared" si="128"/>
        <v>Friday</v>
      </c>
      <c r="Q1156" s="5">
        <f t="shared" si="129"/>
        <v>11</v>
      </c>
      <c r="R1156" s="28">
        <f t="shared" si="130"/>
        <v>0.98181818181818181</v>
      </c>
      <c r="S1156" s="29">
        <f t="shared" si="131"/>
        <v>98.181818181818187</v>
      </c>
      <c r="T1156" s="5" t="str">
        <f>IF(Delivery_Data3[[#This Row],[Delays (min)]]&gt;0,"No","Yes")</f>
        <v>No</v>
      </c>
      <c r="W1156" s="41">
        <f t="shared" si="132"/>
        <v>45177</v>
      </c>
      <c r="X1156" s="5">
        <v>162</v>
      </c>
    </row>
    <row r="1157" spans="1:24" ht="15.75" customHeight="1" x14ac:dyDescent="0.3">
      <c r="A1157" s="4">
        <v>2156</v>
      </c>
      <c r="B1157" s="5" t="s">
        <v>1260</v>
      </c>
      <c r="C1157" s="6">
        <v>45170.423611111109</v>
      </c>
      <c r="D1157" s="5" t="s">
        <v>43</v>
      </c>
      <c r="E1157" s="5" t="s">
        <v>154</v>
      </c>
      <c r="F1157" s="5" t="s">
        <v>38</v>
      </c>
      <c r="G1157" s="5" t="s">
        <v>56</v>
      </c>
      <c r="H1157" s="5">
        <v>227</v>
      </c>
      <c r="I1157" s="5">
        <v>1</v>
      </c>
      <c r="J1157" s="5" t="s">
        <v>26</v>
      </c>
      <c r="K1157" s="5" t="s">
        <v>27</v>
      </c>
      <c r="L1157" s="5" t="s">
        <v>20</v>
      </c>
      <c r="M1157" s="7" t="s">
        <v>41</v>
      </c>
      <c r="N1157" s="26">
        <f t="shared" si="126"/>
        <v>1</v>
      </c>
      <c r="O1157" s="42">
        <f t="shared" si="127"/>
        <v>45170</v>
      </c>
      <c r="P1157" s="5" t="str">
        <f t="shared" si="128"/>
        <v>Friday</v>
      </c>
      <c r="Q1157" s="5">
        <f t="shared" si="129"/>
        <v>10</v>
      </c>
      <c r="R1157" s="28">
        <f t="shared" si="130"/>
        <v>0.99561403508771928</v>
      </c>
      <c r="S1157" s="29">
        <f t="shared" si="131"/>
        <v>99.561403508771932</v>
      </c>
      <c r="T1157" s="5" t="str">
        <f>IF(Delivery_Data3[[#This Row],[Delays (min)]]&gt;0,"No","Yes")</f>
        <v>No</v>
      </c>
      <c r="W1157" s="41">
        <f t="shared" si="132"/>
        <v>45170</v>
      </c>
      <c r="X1157" s="5">
        <v>227</v>
      </c>
    </row>
    <row r="1158" spans="1:24" ht="15.75" customHeight="1" x14ac:dyDescent="0.3">
      <c r="A1158" s="4">
        <v>2157</v>
      </c>
      <c r="B1158" s="5" t="s">
        <v>1261</v>
      </c>
      <c r="C1158" s="6">
        <v>45174.57916666667</v>
      </c>
      <c r="D1158" s="5" t="s">
        <v>43</v>
      </c>
      <c r="E1158" s="5" t="s">
        <v>44</v>
      </c>
      <c r="F1158" s="5" t="s">
        <v>38</v>
      </c>
      <c r="G1158" s="5" t="s">
        <v>56</v>
      </c>
      <c r="H1158" s="5">
        <v>131</v>
      </c>
      <c r="I1158" s="5">
        <v>27</v>
      </c>
      <c r="J1158" s="5" t="s">
        <v>32</v>
      </c>
      <c r="K1158" s="5" t="s">
        <v>45</v>
      </c>
      <c r="L1158" s="5" t="s">
        <v>40</v>
      </c>
      <c r="M1158" s="7" t="s">
        <v>41</v>
      </c>
      <c r="N1158" s="26">
        <f t="shared" si="126"/>
        <v>-1</v>
      </c>
      <c r="O1158" s="42">
        <f t="shared" si="127"/>
        <v>45174</v>
      </c>
      <c r="P1158" s="5" t="str">
        <f t="shared" si="128"/>
        <v>Tuesday</v>
      </c>
      <c r="Q1158" s="5">
        <f t="shared" si="129"/>
        <v>13</v>
      </c>
      <c r="R1158" s="28">
        <f t="shared" si="130"/>
        <v>0.82911392405063289</v>
      </c>
      <c r="S1158" s="29">
        <f t="shared" si="131"/>
        <v>82.911392405063282</v>
      </c>
      <c r="T1158" s="5" t="str">
        <f>IF(Delivery_Data3[[#This Row],[Delays (min)]]&gt;0,"No","Yes")</f>
        <v>No</v>
      </c>
      <c r="W1158" s="41">
        <f t="shared" si="132"/>
        <v>45174</v>
      </c>
      <c r="X1158" s="5">
        <v>131</v>
      </c>
    </row>
    <row r="1159" spans="1:24" ht="15.75" customHeight="1" x14ac:dyDescent="0.3">
      <c r="A1159" s="4">
        <v>2158</v>
      </c>
      <c r="B1159" s="5" t="s">
        <v>1262</v>
      </c>
      <c r="C1159" s="6">
        <v>45171.42291666667</v>
      </c>
      <c r="D1159" s="5" t="s">
        <v>43</v>
      </c>
      <c r="E1159" s="5" t="s">
        <v>87</v>
      </c>
      <c r="F1159" s="5" t="s">
        <v>16</v>
      </c>
      <c r="G1159" s="5" t="s">
        <v>56</v>
      </c>
      <c r="H1159" s="5">
        <v>219</v>
      </c>
      <c r="I1159" s="5">
        <v>10</v>
      </c>
      <c r="J1159" s="5" t="s">
        <v>18</v>
      </c>
      <c r="K1159" s="5" t="s">
        <v>27</v>
      </c>
      <c r="L1159" s="5" t="s">
        <v>28</v>
      </c>
      <c r="M1159" s="7" t="s">
        <v>46</v>
      </c>
      <c r="N1159" s="26">
        <f t="shared" si="126"/>
        <v>0</v>
      </c>
      <c r="O1159" s="42">
        <f t="shared" si="127"/>
        <v>45171</v>
      </c>
      <c r="P1159" s="5" t="str">
        <f t="shared" si="128"/>
        <v>Saturday</v>
      </c>
      <c r="Q1159" s="5">
        <f t="shared" si="129"/>
        <v>10</v>
      </c>
      <c r="R1159" s="28">
        <f t="shared" si="130"/>
        <v>0.95633187772925765</v>
      </c>
      <c r="S1159" s="29">
        <f t="shared" si="131"/>
        <v>95.633187772925766</v>
      </c>
      <c r="T1159" s="5" t="str">
        <f>IF(Delivery_Data3[[#This Row],[Delays (min)]]&gt;0,"No","Yes")</f>
        <v>No</v>
      </c>
      <c r="W1159" s="41">
        <f t="shared" si="132"/>
        <v>45171</v>
      </c>
      <c r="X1159" s="5">
        <v>219</v>
      </c>
    </row>
    <row r="1160" spans="1:24" ht="15.75" customHeight="1" x14ac:dyDescent="0.3">
      <c r="A1160" s="4">
        <v>2159</v>
      </c>
      <c r="B1160" s="5" t="s">
        <v>1263</v>
      </c>
      <c r="C1160" s="6">
        <v>45176.59097222222</v>
      </c>
      <c r="D1160" s="5" t="s">
        <v>43</v>
      </c>
      <c r="E1160" s="5" t="s">
        <v>140</v>
      </c>
      <c r="F1160" s="5" t="s">
        <v>38</v>
      </c>
      <c r="G1160" s="5" t="s">
        <v>31</v>
      </c>
      <c r="H1160" s="5">
        <v>139</v>
      </c>
      <c r="I1160" s="5">
        <v>26</v>
      </c>
      <c r="J1160" s="5" t="s">
        <v>18</v>
      </c>
      <c r="K1160" s="5" t="s">
        <v>49</v>
      </c>
      <c r="L1160" s="5" t="s">
        <v>20</v>
      </c>
      <c r="M1160" s="7" t="s">
        <v>41</v>
      </c>
      <c r="N1160" s="26">
        <f t="shared" si="126"/>
        <v>0</v>
      </c>
      <c r="O1160" s="42">
        <f t="shared" si="127"/>
        <v>45176</v>
      </c>
      <c r="P1160" s="5" t="str">
        <f t="shared" si="128"/>
        <v>Thursday</v>
      </c>
      <c r="Q1160" s="5">
        <f t="shared" si="129"/>
        <v>14</v>
      </c>
      <c r="R1160" s="28">
        <f t="shared" si="130"/>
        <v>0.84242424242424241</v>
      </c>
      <c r="S1160" s="29">
        <f t="shared" si="131"/>
        <v>84.242424242424235</v>
      </c>
      <c r="T1160" s="5" t="str">
        <f>IF(Delivery_Data3[[#This Row],[Delays (min)]]&gt;0,"No","Yes")</f>
        <v>No</v>
      </c>
      <c r="W1160" s="41">
        <f t="shared" si="132"/>
        <v>45176</v>
      </c>
      <c r="X1160" s="5">
        <v>139</v>
      </c>
    </row>
    <row r="1161" spans="1:24" ht="15.75" customHeight="1" x14ac:dyDescent="0.3">
      <c r="A1161" s="4">
        <v>2160</v>
      </c>
      <c r="B1161" s="5" t="s">
        <v>1264</v>
      </c>
      <c r="C1161" s="6">
        <v>45174.571527777778</v>
      </c>
      <c r="D1161" s="5" t="s">
        <v>43</v>
      </c>
      <c r="E1161" s="5" t="s">
        <v>23</v>
      </c>
      <c r="F1161" s="5" t="s">
        <v>24</v>
      </c>
      <c r="G1161" s="5" t="s">
        <v>25</v>
      </c>
      <c r="H1161" s="5">
        <v>217</v>
      </c>
      <c r="I1161" s="5">
        <v>7</v>
      </c>
      <c r="J1161" s="5" t="s">
        <v>32</v>
      </c>
      <c r="K1161" s="5" t="s">
        <v>35</v>
      </c>
      <c r="L1161" s="5" t="s">
        <v>40</v>
      </c>
      <c r="M1161" s="7" t="s">
        <v>41</v>
      </c>
      <c r="N1161" s="26">
        <f t="shared" si="126"/>
        <v>-1</v>
      </c>
      <c r="O1161" s="42">
        <f t="shared" si="127"/>
        <v>45174</v>
      </c>
      <c r="P1161" s="5" t="str">
        <f t="shared" si="128"/>
        <v>Tuesday</v>
      </c>
      <c r="Q1161" s="5">
        <f t="shared" si="129"/>
        <v>13</v>
      </c>
      <c r="R1161" s="28">
        <f t="shared" si="130"/>
        <v>0.96875</v>
      </c>
      <c r="S1161" s="29">
        <f t="shared" si="131"/>
        <v>96.875</v>
      </c>
      <c r="T1161" s="5" t="str">
        <f>IF(Delivery_Data3[[#This Row],[Delays (min)]]&gt;0,"No","Yes")</f>
        <v>No</v>
      </c>
      <c r="W1161" s="41">
        <f t="shared" si="132"/>
        <v>45174</v>
      </c>
      <c r="X1161" s="5">
        <v>217</v>
      </c>
    </row>
    <row r="1162" spans="1:24" ht="15.75" customHeight="1" x14ac:dyDescent="0.3">
      <c r="A1162" s="4">
        <v>2161</v>
      </c>
      <c r="B1162" s="5" t="s">
        <v>1265</v>
      </c>
      <c r="C1162" s="6">
        <v>45173.620833333334</v>
      </c>
      <c r="D1162" s="5" t="s">
        <v>43</v>
      </c>
      <c r="E1162" s="5" t="s">
        <v>234</v>
      </c>
      <c r="F1162" s="5" t="s">
        <v>16</v>
      </c>
      <c r="G1162" s="5" t="s">
        <v>31</v>
      </c>
      <c r="H1162" s="5">
        <v>60</v>
      </c>
      <c r="I1162" s="5">
        <v>16</v>
      </c>
      <c r="J1162" s="5" t="s">
        <v>32</v>
      </c>
      <c r="K1162" s="5" t="s">
        <v>45</v>
      </c>
      <c r="L1162" s="5" t="s">
        <v>40</v>
      </c>
      <c r="M1162" s="7" t="s">
        <v>46</v>
      </c>
      <c r="N1162" s="26">
        <f t="shared" si="126"/>
        <v>-1</v>
      </c>
      <c r="O1162" s="42">
        <f t="shared" si="127"/>
        <v>45173</v>
      </c>
      <c r="P1162" s="5" t="str">
        <f t="shared" si="128"/>
        <v>Monday</v>
      </c>
      <c r="Q1162" s="5">
        <f t="shared" si="129"/>
        <v>14</v>
      </c>
      <c r="R1162" s="28">
        <f t="shared" si="130"/>
        <v>0.78947368421052633</v>
      </c>
      <c r="S1162" s="29">
        <f t="shared" si="131"/>
        <v>78.94736842105263</v>
      </c>
      <c r="T1162" s="5" t="str">
        <f>IF(Delivery_Data3[[#This Row],[Delays (min)]]&gt;0,"No","Yes")</f>
        <v>No</v>
      </c>
      <c r="W1162" s="41">
        <f t="shared" si="132"/>
        <v>45173</v>
      </c>
      <c r="X1162" s="5">
        <v>60</v>
      </c>
    </row>
    <row r="1163" spans="1:24" ht="15.75" customHeight="1" x14ac:dyDescent="0.3">
      <c r="A1163" s="4">
        <v>2162</v>
      </c>
      <c r="B1163" s="5" t="s">
        <v>1266</v>
      </c>
      <c r="C1163" s="6">
        <v>45170.490972222222</v>
      </c>
      <c r="D1163" s="5" t="s">
        <v>14</v>
      </c>
      <c r="E1163" s="5" t="s">
        <v>182</v>
      </c>
      <c r="F1163" s="5" t="s">
        <v>24</v>
      </c>
      <c r="G1163" s="5" t="s">
        <v>31</v>
      </c>
      <c r="H1163" s="5">
        <v>118</v>
      </c>
      <c r="I1163" s="5">
        <v>11</v>
      </c>
      <c r="J1163" s="5" t="s">
        <v>26</v>
      </c>
      <c r="K1163" s="5" t="s">
        <v>35</v>
      </c>
      <c r="L1163" s="5" t="s">
        <v>20</v>
      </c>
      <c r="M1163" s="7" t="s">
        <v>46</v>
      </c>
      <c r="N1163" s="26">
        <f t="shared" si="126"/>
        <v>1</v>
      </c>
      <c r="O1163" s="42">
        <f t="shared" si="127"/>
        <v>45170</v>
      </c>
      <c r="P1163" s="5" t="str">
        <f t="shared" si="128"/>
        <v>Friday</v>
      </c>
      <c r="Q1163" s="5">
        <f t="shared" si="129"/>
        <v>11</v>
      </c>
      <c r="R1163" s="28">
        <f t="shared" si="130"/>
        <v>0.9147286821705426</v>
      </c>
      <c r="S1163" s="29">
        <f t="shared" si="131"/>
        <v>91.472868217054256</v>
      </c>
      <c r="T1163" s="5" t="str">
        <f>IF(Delivery_Data3[[#This Row],[Delays (min)]]&gt;0,"No","Yes")</f>
        <v>No</v>
      </c>
      <c r="W1163" s="41">
        <f t="shared" si="132"/>
        <v>45170</v>
      </c>
      <c r="X1163" s="5">
        <v>118</v>
      </c>
    </row>
    <row r="1164" spans="1:24" ht="15.75" customHeight="1" x14ac:dyDescent="0.3">
      <c r="A1164" s="4">
        <v>2163</v>
      </c>
      <c r="B1164" s="5" t="s">
        <v>1267</v>
      </c>
      <c r="C1164" s="6">
        <v>45173.702777777777</v>
      </c>
      <c r="D1164" s="5" t="s">
        <v>14</v>
      </c>
      <c r="E1164" s="5" t="s">
        <v>143</v>
      </c>
      <c r="F1164" s="5" t="s">
        <v>24</v>
      </c>
      <c r="G1164" s="5" t="s">
        <v>31</v>
      </c>
      <c r="H1164" s="5">
        <v>72</v>
      </c>
      <c r="I1164" s="5">
        <v>28</v>
      </c>
      <c r="J1164" s="5" t="s">
        <v>32</v>
      </c>
      <c r="K1164" s="5" t="s">
        <v>19</v>
      </c>
      <c r="L1164" s="5" t="s">
        <v>40</v>
      </c>
      <c r="M1164" s="7" t="s">
        <v>46</v>
      </c>
      <c r="N1164" s="26">
        <f t="shared" si="126"/>
        <v>-1</v>
      </c>
      <c r="O1164" s="42">
        <f t="shared" si="127"/>
        <v>45173</v>
      </c>
      <c r="P1164" s="5" t="str">
        <f t="shared" si="128"/>
        <v>Monday</v>
      </c>
      <c r="Q1164" s="5">
        <f t="shared" si="129"/>
        <v>16</v>
      </c>
      <c r="R1164" s="28">
        <f t="shared" si="130"/>
        <v>0.72</v>
      </c>
      <c r="S1164" s="29">
        <f t="shared" si="131"/>
        <v>72</v>
      </c>
      <c r="T1164" s="5" t="str">
        <f>IF(Delivery_Data3[[#This Row],[Delays (min)]]&gt;0,"No","Yes")</f>
        <v>No</v>
      </c>
      <c r="W1164" s="41">
        <f t="shared" si="132"/>
        <v>45173</v>
      </c>
      <c r="X1164" s="5">
        <v>72</v>
      </c>
    </row>
    <row r="1165" spans="1:24" ht="15.75" customHeight="1" x14ac:dyDescent="0.3">
      <c r="A1165" s="4">
        <v>2164</v>
      </c>
      <c r="B1165" s="5" t="s">
        <v>1268</v>
      </c>
      <c r="C1165" s="6">
        <v>45174.470833333333</v>
      </c>
      <c r="D1165" s="5" t="s">
        <v>14</v>
      </c>
      <c r="E1165" s="5" t="s">
        <v>154</v>
      </c>
      <c r="F1165" s="5" t="s">
        <v>38</v>
      </c>
      <c r="G1165" s="5" t="s">
        <v>17</v>
      </c>
      <c r="H1165" s="5">
        <v>118</v>
      </c>
      <c r="I1165" s="5">
        <v>0</v>
      </c>
      <c r="J1165" s="5" t="s">
        <v>32</v>
      </c>
      <c r="K1165" s="5" t="s">
        <v>49</v>
      </c>
      <c r="L1165" s="5" t="s">
        <v>28</v>
      </c>
      <c r="M1165" s="7" t="s">
        <v>21</v>
      </c>
      <c r="N1165" s="26">
        <f t="shared" si="126"/>
        <v>-1</v>
      </c>
      <c r="O1165" s="42">
        <f t="shared" si="127"/>
        <v>45174</v>
      </c>
      <c r="P1165" s="5" t="str">
        <f t="shared" si="128"/>
        <v>Tuesday</v>
      </c>
      <c r="Q1165" s="5">
        <f t="shared" si="129"/>
        <v>11</v>
      </c>
      <c r="R1165" s="28">
        <f t="shared" si="130"/>
        <v>1</v>
      </c>
      <c r="S1165" s="29">
        <f t="shared" si="131"/>
        <v>100</v>
      </c>
      <c r="T1165" s="5" t="str">
        <f>IF(Delivery_Data3[[#This Row],[Delays (min)]]&gt;0,"No","Yes")</f>
        <v>Yes</v>
      </c>
      <c r="W1165" s="41">
        <f t="shared" si="132"/>
        <v>45174</v>
      </c>
      <c r="X1165" s="5">
        <v>118</v>
      </c>
    </row>
    <row r="1166" spans="1:24" ht="15.75" customHeight="1" x14ac:dyDescent="0.3">
      <c r="A1166" s="4">
        <v>2165</v>
      </c>
      <c r="B1166" s="5" t="s">
        <v>1269</v>
      </c>
      <c r="C1166" s="6">
        <v>45170.519444444442</v>
      </c>
      <c r="D1166" s="5" t="s">
        <v>43</v>
      </c>
      <c r="E1166" s="5" t="s">
        <v>243</v>
      </c>
      <c r="F1166" s="5" t="s">
        <v>38</v>
      </c>
      <c r="G1166" s="5" t="s">
        <v>17</v>
      </c>
      <c r="H1166" s="5">
        <v>228</v>
      </c>
      <c r="I1166" s="5">
        <v>20</v>
      </c>
      <c r="J1166" s="5" t="s">
        <v>32</v>
      </c>
      <c r="K1166" s="5" t="s">
        <v>45</v>
      </c>
      <c r="L1166" s="5" t="s">
        <v>40</v>
      </c>
      <c r="M1166" s="7" t="s">
        <v>46</v>
      </c>
      <c r="N1166" s="26">
        <f t="shared" si="126"/>
        <v>-1</v>
      </c>
      <c r="O1166" s="42">
        <f t="shared" si="127"/>
        <v>45170</v>
      </c>
      <c r="P1166" s="5" t="str">
        <f t="shared" si="128"/>
        <v>Friday</v>
      </c>
      <c r="Q1166" s="5">
        <f t="shared" si="129"/>
        <v>12</v>
      </c>
      <c r="R1166" s="28">
        <f t="shared" si="130"/>
        <v>0.91935483870967738</v>
      </c>
      <c r="S1166" s="29">
        <f t="shared" si="131"/>
        <v>91.935483870967744</v>
      </c>
      <c r="T1166" s="5" t="str">
        <f>IF(Delivery_Data3[[#This Row],[Delays (min)]]&gt;0,"No","Yes")</f>
        <v>No</v>
      </c>
      <c r="W1166" s="41">
        <f t="shared" si="132"/>
        <v>45170</v>
      </c>
      <c r="X1166" s="5">
        <v>228</v>
      </c>
    </row>
    <row r="1167" spans="1:24" ht="15.75" customHeight="1" x14ac:dyDescent="0.3">
      <c r="A1167" s="4">
        <v>2166</v>
      </c>
      <c r="B1167" s="5" t="s">
        <v>1270</v>
      </c>
      <c r="C1167" s="6">
        <v>45177.522222222222</v>
      </c>
      <c r="D1167" s="5" t="s">
        <v>14</v>
      </c>
      <c r="E1167" s="5" t="s">
        <v>204</v>
      </c>
      <c r="F1167" s="5" t="s">
        <v>38</v>
      </c>
      <c r="G1167" s="5" t="s">
        <v>17</v>
      </c>
      <c r="H1167" s="5">
        <v>212</v>
      </c>
      <c r="I1167" s="5">
        <v>9</v>
      </c>
      <c r="J1167" s="5" t="s">
        <v>18</v>
      </c>
      <c r="K1167" s="5" t="s">
        <v>19</v>
      </c>
      <c r="L1167" s="5" t="s">
        <v>40</v>
      </c>
      <c r="M1167" s="7" t="s">
        <v>46</v>
      </c>
      <c r="N1167" s="26">
        <f t="shared" si="126"/>
        <v>0</v>
      </c>
      <c r="O1167" s="42">
        <f t="shared" si="127"/>
        <v>45177</v>
      </c>
      <c r="P1167" s="5" t="str">
        <f t="shared" si="128"/>
        <v>Friday</v>
      </c>
      <c r="Q1167" s="5">
        <f t="shared" si="129"/>
        <v>12</v>
      </c>
      <c r="R1167" s="28">
        <f t="shared" si="130"/>
        <v>0.95927601809954754</v>
      </c>
      <c r="S1167" s="29">
        <f t="shared" si="131"/>
        <v>95.927601809954751</v>
      </c>
      <c r="T1167" s="5" t="str">
        <f>IF(Delivery_Data3[[#This Row],[Delays (min)]]&gt;0,"No","Yes")</f>
        <v>No</v>
      </c>
      <c r="W1167" s="41">
        <f t="shared" si="132"/>
        <v>45177</v>
      </c>
      <c r="X1167" s="5">
        <v>212</v>
      </c>
    </row>
    <row r="1168" spans="1:24" ht="15.75" customHeight="1" x14ac:dyDescent="0.3">
      <c r="A1168" s="4">
        <v>2167</v>
      </c>
      <c r="B1168" s="5" t="s">
        <v>1271</v>
      </c>
      <c r="C1168" s="6">
        <v>45175.693055555559</v>
      </c>
      <c r="D1168" s="5" t="s">
        <v>43</v>
      </c>
      <c r="E1168" s="5" t="s">
        <v>261</v>
      </c>
      <c r="F1168" s="5" t="s">
        <v>24</v>
      </c>
      <c r="G1168" s="5" t="s">
        <v>31</v>
      </c>
      <c r="H1168" s="5">
        <v>169</v>
      </c>
      <c r="I1168" s="5">
        <v>24</v>
      </c>
      <c r="J1168" s="5" t="s">
        <v>18</v>
      </c>
      <c r="K1168" s="5" t="s">
        <v>49</v>
      </c>
      <c r="L1168" s="5" t="s">
        <v>40</v>
      </c>
      <c r="M1168" s="7" t="s">
        <v>21</v>
      </c>
      <c r="N1168" s="26">
        <f t="shared" si="126"/>
        <v>0</v>
      </c>
      <c r="O1168" s="42">
        <f t="shared" si="127"/>
        <v>45175</v>
      </c>
      <c r="P1168" s="5" t="str">
        <f t="shared" si="128"/>
        <v>Wednesday</v>
      </c>
      <c r="Q1168" s="5">
        <f t="shared" si="129"/>
        <v>16</v>
      </c>
      <c r="R1168" s="28">
        <f t="shared" si="130"/>
        <v>0.87564766839378239</v>
      </c>
      <c r="S1168" s="29">
        <f t="shared" si="131"/>
        <v>87.564766839378237</v>
      </c>
      <c r="T1168" s="5" t="str">
        <f>IF(Delivery_Data3[[#This Row],[Delays (min)]]&gt;0,"No","Yes")</f>
        <v>No</v>
      </c>
      <c r="W1168" s="41">
        <f t="shared" si="132"/>
        <v>45175</v>
      </c>
      <c r="X1168" s="5">
        <v>169</v>
      </c>
    </row>
    <row r="1169" spans="1:24" ht="15.75" customHeight="1" x14ac:dyDescent="0.3">
      <c r="A1169" s="4">
        <v>2168</v>
      </c>
      <c r="B1169" s="5" t="s">
        <v>1272</v>
      </c>
      <c r="C1169" s="6">
        <v>45177.345138888886</v>
      </c>
      <c r="D1169" s="5" t="s">
        <v>14</v>
      </c>
      <c r="E1169" s="5" t="s">
        <v>374</v>
      </c>
      <c r="F1169" s="5" t="s">
        <v>16</v>
      </c>
      <c r="G1169" s="5" t="s">
        <v>39</v>
      </c>
      <c r="H1169" s="5">
        <v>138</v>
      </c>
      <c r="I1169" s="5">
        <v>19</v>
      </c>
      <c r="J1169" s="5" t="s">
        <v>18</v>
      </c>
      <c r="K1169" s="5" t="s">
        <v>27</v>
      </c>
      <c r="L1169" s="5" t="s">
        <v>28</v>
      </c>
      <c r="M1169" s="7" t="s">
        <v>21</v>
      </c>
      <c r="N1169" s="26">
        <f t="shared" si="126"/>
        <v>0</v>
      </c>
      <c r="O1169" s="42">
        <f t="shared" si="127"/>
        <v>45177</v>
      </c>
      <c r="P1169" s="5" t="str">
        <f t="shared" si="128"/>
        <v>Friday</v>
      </c>
      <c r="Q1169" s="5">
        <f t="shared" si="129"/>
        <v>8</v>
      </c>
      <c r="R1169" s="28">
        <f t="shared" si="130"/>
        <v>0.87898089171974525</v>
      </c>
      <c r="S1169" s="29">
        <f t="shared" si="131"/>
        <v>87.898089171974519</v>
      </c>
      <c r="T1169" s="5" t="str">
        <f>IF(Delivery_Data3[[#This Row],[Delays (min)]]&gt;0,"No","Yes")</f>
        <v>No</v>
      </c>
      <c r="W1169" s="41">
        <f t="shared" si="132"/>
        <v>45177</v>
      </c>
      <c r="X1169" s="5">
        <v>138</v>
      </c>
    </row>
    <row r="1170" spans="1:24" ht="15.75" customHeight="1" x14ac:dyDescent="0.3">
      <c r="A1170" s="4">
        <v>2169</v>
      </c>
      <c r="B1170" s="5" t="s">
        <v>1273</v>
      </c>
      <c r="C1170" s="6">
        <v>45172.368750000001</v>
      </c>
      <c r="D1170" s="5" t="s">
        <v>14</v>
      </c>
      <c r="E1170" s="5" t="s">
        <v>304</v>
      </c>
      <c r="F1170" s="5" t="s">
        <v>16</v>
      </c>
      <c r="G1170" s="5" t="s">
        <v>17</v>
      </c>
      <c r="H1170" s="5">
        <v>99</v>
      </c>
      <c r="I1170" s="5">
        <v>13</v>
      </c>
      <c r="J1170" s="5" t="s">
        <v>32</v>
      </c>
      <c r="K1170" s="5" t="s">
        <v>35</v>
      </c>
      <c r="L1170" s="5" t="s">
        <v>28</v>
      </c>
      <c r="M1170" s="7" t="s">
        <v>46</v>
      </c>
      <c r="N1170" s="26">
        <f t="shared" si="126"/>
        <v>-1</v>
      </c>
      <c r="O1170" s="42">
        <f t="shared" si="127"/>
        <v>45172</v>
      </c>
      <c r="P1170" s="5" t="str">
        <f t="shared" si="128"/>
        <v>Sunday</v>
      </c>
      <c r="Q1170" s="5">
        <f t="shared" si="129"/>
        <v>8</v>
      </c>
      <c r="R1170" s="28">
        <f t="shared" si="130"/>
        <v>0.8839285714285714</v>
      </c>
      <c r="S1170" s="29">
        <f t="shared" si="131"/>
        <v>88.392857142857139</v>
      </c>
      <c r="T1170" s="5" t="str">
        <f>IF(Delivery_Data3[[#This Row],[Delays (min)]]&gt;0,"No","Yes")</f>
        <v>No</v>
      </c>
      <c r="W1170" s="41">
        <f t="shared" si="132"/>
        <v>45172</v>
      </c>
      <c r="X1170" s="5">
        <v>99</v>
      </c>
    </row>
    <row r="1171" spans="1:24" ht="15.75" customHeight="1" x14ac:dyDescent="0.3">
      <c r="A1171" s="4">
        <v>2170</v>
      </c>
      <c r="B1171" s="5" t="s">
        <v>1274</v>
      </c>
      <c r="C1171" s="6">
        <v>45175.371527777781</v>
      </c>
      <c r="D1171" s="5" t="s">
        <v>14</v>
      </c>
      <c r="E1171" s="5" t="s">
        <v>228</v>
      </c>
      <c r="F1171" s="5" t="s">
        <v>16</v>
      </c>
      <c r="G1171" s="5" t="s">
        <v>25</v>
      </c>
      <c r="H1171" s="5">
        <v>164</v>
      </c>
      <c r="I1171" s="5">
        <v>27</v>
      </c>
      <c r="J1171" s="5" t="s">
        <v>32</v>
      </c>
      <c r="K1171" s="5" t="s">
        <v>45</v>
      </c>
      <c r="L1171" s="5" t="s">
        <v>20</v>
      </c>
      <c r="M1171" s="7" t="s">
        <v>46</v>
      </c>
      <c r="N1171" s="26">
        <f t="shared" si="126"/>
        <v>-1</v>
      </c>
      <c r="O1171" s="42">
        <f t="shared" si="127"/>
        <v>45175</v>
      </c>
      <c r="P1171" s="5" t="str">
        <f t="shared" si="128"/>
        <v>Wednesday</v>
      </c>
      <c r="Q1171" s="5">
        <f t="shared" si="129"/>
        <v>8</v>
      </c>
      <c r="R1171" s="28">
        <f t="shared" si="130"/>
        <v>0.8586387434554974</v>
      </c>
      <c r="S1171" s="29">
        <f t="shared" si="131"/>
        <v>85.863874345549746</v>
      </c>
      <c r="T1171" s="5" t="str">
        <f>IF(Delivery_Data3[[#This Row],[Delays (min)]]&gt;0,"No","Yes")</f>
        <v>No</v>
      </c>
      <c r="W1171" s="41">
        <f t="shared" si="132"/>
        <v>45175</v>
      </c>
      <c r="X1171" s="5">
        <v>164</v>
      </c>
    </row>
    <row r="1172" spans="1:24" ht="15.75" customHeight="1" x14ac:dyDescent="0.3">
      <c r="A1172" s="4">
        <v>2171</v>
      </c>
      <c r="B1172" s="5" t="s">
        <v>1275</v>
      </c>
      <c r="C1172" s="6">
        <v>45175.617361111108</v>
      </c>
      <c r="D1172" s="5" t="s">
        <v>14</v>
      </c>
      <c r="E1172" s="5" t="s">
        <v>149</v>
      </c>
      <c r="F1172" s="5" t="s">
        <v>24</v>
      </c>
      <c r="G1172" s="5" t="s">
        <v>56</v>
      </c>
      <c r="H1172" s="5">
        <v>82</v>
      </c>
      <c r="I1172" s="5">
        <v>13</v>
      </c>
      <c r="J1172" s="5" t="s">
        <v>18</v>
      </c>
      <c r="K1172" s="5" t="s">
        <v>49</v>
      </c>
      <c r="L1172" s="5" t="s">
        <v>28</v>
      </c>
      <c r="M1172" s="7" t="s">
        <v>46</v>
      </c>
      <c r="N1172" s="26">
        <f t="shared" si="126"/>
        <v>0</v>
      </c>
      <c r="O1172" s="42">
        <f t="shared" si="127"/>
        <v>45175</v>
      </c>
      <c r="P1172" s="5" t="str">
        <f t="shared" si="128"/>
        <v>Wednesday</v>
      </c>
      <c r="Q1172" s="5">
        <f t="shared" si="129"/>
        <v>14</v>
      </c>
      <c r="R1172" s="28">
        <f t="shared" si="130"/>
        <v>0.86315789473684212</v>
      </c>
      <c r="S1172" s="29">
        <f t="shared" si="131"/>
        <v>86.31578947368422</v>
      </c>
      <c r="T1172" s="5" t="str">
        <f>IF(Delivery_Data3[[#This Row],[Delays (min)]]&gt;0,"No","Yes")</f>
        <v>No</v>
      </c>
      <c r="W1172" s="41">
        <f t="shared" si="132"/>
        <v>45175</v>
      </c>
      <c r="X1172" s="5">
        <v>82</v>
      </c>
    </row>
    <row r="1173" spans="1:24" ht="15.75" customHeight="1" x14ac:dyDescent="0.3">
      <c r="A1173" s="4">
        <v>2172</v>
      </c>
      <c r="B1173" s="5" t="s">
        <v>1276</v>
      </c>
      <c r="C1173" s="6">
        <v>45175.402083333334</v>
      </c>
      <c r="D1173" s="5" t="s">
        <v>14</v>
      </c>
      <c r="E1173" s="5" t="s">
        <v>37</v>
      </c>
      <c r="F1173" s="5" t="s">
        <v>16</v>
      </c>
      <c r="G1173" s="5" t="s">
        <v>39</v>
      </c>
      <c r="H1173" s="5">
        <v>164</v>
      </c>
      <c r="I1173" s="5">
        <v>6</v>
      </c>
      <c r="J1173" s="5" t="s">
        <v>18</v>
      </c>
      <c r="K1173" s="5" t="s">
        <v>49</v>
      </c>
      <c r="L1173" s="5" t="s">
        <v>20</v>
      </c>
      <c r="M1173" s="7" t="s">
        <v>21</v>
      </c>
      <c r="N1173" s="26">
        <f t="shared" si="126"/>
        <v>0</v>
      </c>
      <c r="O1173" s="42">
        <f t="shared" si="127"/>
        <v>45175</v>
      </c>
      <c r="P1173" s="5" t="str">
        <f t="shared" si="128"/>
        <v>Wednesday</v>
      </c>
      <c r="Q1173" s="5">
        <f t="shared" si="129"/>
        <v>9</v>
      </c>
      <c r="R1173" s="28">
        <f t="shared" si="130"/>
        <v>0.96470588235294119</v>
      </c>
      <c r="S1173" s="29">
        <f t="shared" si="131"/>
        <v>96.470588235294116</v>
      </c>
      <c r="T1173" s="5" t="str">
        <f>IF(Delivery_Data3[[#This Row],[Delays (min)]]&gt;0,"No","Yes")</f>
        <v>No</v>
      </c>
      <c r="W1173" s="41">
        <f t="shared" si="132"/>
        <v>45175</v>
      </c>
      <c r="X1173" s="5">
        <v>164</v>
      </c>
    </row>
    <row r="1174" spans="1:24" ht="15.75" customHeight="1" x14ac:dyDescent="0.3">
      <c r="A1174" s="4">
        <v>2173</v>
      </c>
      <c r="B1174" s="5" t="s">
        <v>1277</v>
      </c>
      <c r="C1174" s="6">
        <v>45177.493055555555</v>
      </c>
      <c r="D1174" s="5" t="s">
        <v>14</v>
      </c>
      <c r="E1174" s="5" t="s">
        <v>200</v>
      </c>
      <c r="F1174" s="5" t="s">
        <v>38</v>
      </c>
      <c r="G1174" s="5" t="s">
        <v>17</v>
      </c>
      <c r="H1174" s="5">
        <v>208</v>
      </c>
      <c r="I1174" s="5">
        <v>25</v>
      </c>
      <c r="J1174" s="5" t="s">
        <v>18</v>
      </c>
      <c r="K1174" s="5" t="s">
        <v>19</v>
      </c>
      <c r="L1174" s="5" t="s">
        <v>40</v>
      </c>
      <c r="M1174" s="7" t="s">
        <v>46</v>
      </c>
      <c r="N1174" s="26">
        <f t="shared" si="126"/>
        <v>0</v>
      </c>
      <c r="O1174" s="42">
        <f t="shared" si="127"/>
        <v>45177</v>
      </c>
      <c r="P1174" s="5" t="str">
        <f t="shared" si="128"/>
        <v>Friday</v>
      </c>
      <c r="Q1174" s="5">
        <f t="shared" si="129"/>
        <v>11</v>
      </c>
      <c r="R1174" s="28">
        <f t="shared" si="130"/>
        <v>0.89270386266094426</v>
      </c>
      <c r="S1174" s="29">
        <f t="shared" si="131"/>
        <v>89.27038626609442</v>
      </c>
      <c r="T1174" s="5" t="str">
        <f>IF(Delivery_Data3[[#This Row],[Delays (min)]]&gt;0,"No","Yes")</f>
        <v>No</v>
      </c>
      <c r="W1174" s="41">
        <f t="shared" si="132"/>
        <v>45177</v>
      </c>
      <c r="X1174" s="5">
        <v>208</v>
      </c>
    </row>
    <row r="1175" spans="1:24" ht="15.75" customHeight="1" x14ac:dyDescent="0.3">
      <c r="A1175" s="4">
        <v>2174</v>
      </c>
      <c r="B1175" s="5" t="s">
        <v>1278</v>
      </c>
      <c r="C1175" s="6">
        <v>45172.636111111111</v>
      </c>
      <c r="D1175" s="5" t="s">
        <v>43</v>
      </c>
      <c r="E1175" s="5" t="s">
        <v>164</v>
      </c>
      <c r="F1175" s="5" t="s">
        <v>16</v>
      </c>
      <c r="G1175" s="5" t="s">
        <v>39</v>
      </c>
      <c r="H1175" s="5">
        <v>89</v>
      </c>
      <c r="I1175" s="5">
        <v>18</v>
      </c>
      <c r="J1175" s="5" t="s">
        <v>32</v>
      </c>
      <c r="K1175" s="5" t="s">
        <v>19</v>
      </c>
      <c r="L1175" s="5" t="s">
        <v>20</v>
      </c>
      <c r="M1175" s="7" t="s">
        <v>41</v>
      </c>
      <c r="N1175" s="26">
        <f t="shared" si="126"/>
        <v>-1</v>
      </c>
      <c r="O1175" s="42">
        <f t="shared" si="127"/>
        <v>45172</v>
      </c>
      <c r="P1175" s="5" t="str">
        <f t="shared" si="128"/>
        <v>Sunday</v>
      </c>
      <c r="Q1175" s="5">
        <f t="shared" si="129"/>
        <v>15</v>
      </c>
      <c r="R1175" s="28">
        <f t="shared" si="130"/>
        <v>0.83177570093457942</v>
      </c>
      <c r="S1175" s="29">
        <f t="shared" si="131"/>
        <v>83.177570093457945</v>
      </c>
      <c r="T1175" s="5" t="str">
        <f>IF(Delivery_Data3[[#This Row],[Delays (min)]]&gt;0,"No","Yes")</f>
        <v>No</v>
      </c>
      <c r="W1175" s="41">
        <f t="shared" si="132"/>
        <v>45172</v>
      </c>
      <c r="X1175" s="5">
        <v>89</v>
      </c>
    </row>
    <row r="1176" spans="1:24" ht="15.75" customHeight="1" x14ac:dyDescent="0.3">
      <c r="A1176" s="4">
        <v>2175</v>
      </c>
      <c r="B1176" s="5" t="s">
        <v>1279</v>
      </c>
      <c r="C1176" s="6">
        <v>45173.602083333331</v>
      </c>
      <c r="D1176" s="5" t="s">
        <v>14</v>
      </c>
      <c r="E1176" s="5" t="s">
        <v>97</v>
      </c>
      <c r="F1176" s="5" t="s">
        <v>38</v>
      </c>
      <c r="G1176" s="5" t="s">
        <v>17</v>
      </c>
      <c r="H1176" s="5">
        <v>110</v>
      </c>
      <c r="I1176" s="5">
        <v>19</v>
      </c>
      <c r="J1176" s="5" t="s">
        <v>32</v>
      </c>
      <c r="K1176" s="5" t="s">
        <v>45</v>
      </c>
      <c r="L1176" s="5" t="s">
        <v>40</v>
      </c>
      <c r="M1176" s="7" t="s">
        <v>46</v>
      </c>
      <c r="N1176" s="26">
        <f t="shared" si="126"/>
        <v>-1</v>
      </c>
      <c r="O1176" s="42">
        <f t="shared" si="127"/>
        <v>45173</v>
      </c>
      <c r="P1176" s="5" t="str">
        <f t="shared" si="128"/>
        <v>Monday</v>
      </c>
      <c r="Q1176" s="5">
        <f t="shared" si="129"/>
        <v>14</v>
      </c>
      <c r="R1176" s="28">
        <f t="shared" si="130"/>
        <v>0.8527131782945736</v>
      </c>
      <c r="S1176" s="29">
        <f t="shared" si="131"/>
        <v>85.271317829457359</v>
      </c>
      <c r="T1176" s="5" t="str">
        <f>IF(Delivery_Data3[[#This Row],[Delays (min)]]&gt;0,"No","Yes")</f>
        <v>No</v>
      </c>
      <c r="W1176" s="41">
        <f t="shared" si="132"/>
        <v>45173</v>
      </c>
      <c r="X1176" s="5">
        <v>110</v>
      </c>
    </row>
    <row r="1177" spans="1:24" ht="15.75" customHeight="1" x14ac:dyDescent="0.3">
      <c r="A1177" s="4">
        <v>2176</v>
      </c>
      <c r="B1177" s="5" t="s">
        <v>1280</v>
      </c>
      <c r="C1177" s="6">
        <v>45175.455555555556</v>
      </c>
      <c r="D1177" s="5" t="s">
        <v>43</v>
      </c>
      <c r="E1177" s="5" t="s">
        <v>240</v>
      </c>
      <c r="F1177" s="5" t="s">
        <v>16</v>
      </c>
      <c r="G1177" s="5" t="s">
        <v>31</v>
      </c>
      <c r="H1177" s="5">
        <v>105</v>
      </c>
      <c r="I1177" s="5">
        <v>29</v>
      </c>
      <c r="J1177" s="5" t="s">
        <v>32</v>
      </c>
      <c r="K1177" s="5" t="s">
        <v>45</v>
      </c>
      <c r="L1177" s="5" t="s">
        <v>40</v>
      </c>
      <c r="M1177" s="7" t="s">
        <v>41</v>
      </c>
      <c r="N1177" s="26">
        <f t="shared" si="126"/>
        <v>-1</v>
      </c>
      <c r="O1177" s="42">
        <f t="shared" si="127"/>
        <v>45175</v>
      </c>
      <c r="P1177" s="5" t="str">
        <f t="shared" si="128"/>
        <v>Wednesday</v>
      </c>
      <c r="Q1177" s="5">
        <f t="shared" si="129"/>
        <v>10</v>
      </c>
      <c r="R1177" s="28">
        <f t="shared" si="130"/>
        <v>0.78358208955223885</v>
      </c>
      <c r="S1177" s="29">
        <f t="shared" si="131"/>
        <v>78.358208955223887</v>
      </c>
      <c r="T1177" s="5" t="str">
        <f>IF(Delivery_Data3[[#This Row],[Delays (min)]]&gt;0,"No","Yes")</f>
        <v>No</v>
      </c>
      <c r="W1177" s="41">
        <f t="shared" si="132"/>
        <v>45175</v>
      </c>
      <c r="X1177" s="5">
        <v>105</v>
      </c>
    </row>
    <row r="1178" spans="1:24" ht="15.75" customHeight="1" x14ac:dyDescent="0.3">
      <c r="A1178" s="4">
        <v>2177</v>
      </c>
      <c r="B1178" s="5" t="s">
        <v>1281</v>
      </c>
      <c r="C1178" s="6">
        <v>45174.593055555553</v>
      </c>
      <c r="D1178" s="5" t="s">
        <v>14</v>
      </c>
      <c r="E1178" s="5" t="s">
        <v>73</v>
      </c>
      <c r="F1178" s="5" t="s">
        <v>16</v>
      </c>
      <c r="G1178" s="5" t="s">
        <v>56</v>
      </c>
      <c r="H1178" s="5">
        <v>107</v>
      </c>
      <c r="I1178" s="5">
        <v>28</v>
      </c>
      <c r="J1178" s="5" t="s">
        <v>18</v>
      </c>
      <c r="K1178" s="5" t="s">
        <v>35</v>
      </c>
      <c r="L1178" s="5" t="s">
        <v>20</v>
      </c>
      <c r="M1178" s="7" t="s">
        <v>21</v>
      </c>
      <c r="N1178" s="26">
        <f t="shared" si="126"/>
        <v>0</v>
      </c>
      <c r="O1178" s="42">
        <f t="shared" si="127"/>
        <v>45174</v>
      </c>
      <c r="P1178" s="5" t="str">
        <f t="shared" si="128"/>
        <v>Tuesday</v>
      </c>
      <c r="Q1178" s="5">
        <f t="shared" si="129"/>
        <v>14</v>
      </c>
      <c r="R1178" s="28">
        <f t="shared" si="130"/>
        <v>0.79259259259259263</v>
      </c>
      <c r="S1178" s="29">
        <f t="shared" si="131"/>
        <v>79.259259259259267</v>
      </c>
      <c r="T1178" s="5" t="str">
        <f>IF(Delivery_Data3[[#This Row],[Delays (min)]]&gt;0,"No","Yes")</f>
        <v>No</v>
      </c>
      <c r="W1178" s="41">
        <f t="shared" si="132"/>
        <v>45174</v>
      </c>
      <c r="X1178" s="5">
        <v>107</v>
      </c>
    </row>
    <row r="1179" spans="1:24" ht="15.75" customHeight="1" x14ac:dyDescent="0.3">
      <c r="A1179" s="4">
        <v>2178</v>
      </c>
      <c r="B1179" s="5" t="s">
        <v>1282</v>
      </c>
      <c r="C1179" s="6">
        <v>45177.436111111114</v>
      </c>
      <c r="D1179" s="5" t="s">
        <v>43</v>
      </c>
      <c r="E1179" s="5" t="s">
        <v>355</v>
      </c>
      <c r="F1179" s="5" t="s">
        <v>24</v>
      </c>
      <c r="G1179" s="5" t="s">
        <v>56</v>
      </c>
      <c r="H1179" s="5">
        <v>114</v>
      </c>
      <c r="I1179" s="5">
        <v>23</v>
      </c>
      <c r="J1179" s="5" t="s">
        <v>32</v>
      </c>
      <c r="K1179" s="5" t="s">
        <v>19</v>
      </c>
      <c r="L1179" s="5" t="s">
        <v>40</v>
      </c>
      <c r="M1179" s="7" t="s">
        <v>46</v>
      </c>
      <c r="N1179" s="26">
        <f t="shared" si="126"/>
        <v>-1</v>
      </c>
      <c r="O1179" s="42">
        <f t="shared" si="127"/>
        <v>45177</v>
      </c>
      <c r="P1179" s="5" t="str">
        <f t="shared" si="128"/>
        <v>Friday</v>
      </c>
      <c r="Q1179" s="5">
        <f t="shared" si="129"/>
        <v>10</v>
      </c>
      <c r="R1179" s="28">
        <f t="shared" si="130"/>
        <v>0.83211678832116787</v>
      </c>
      <c r="S1179" s="29">
        <f t="shared" si="131"/>
        <v>83.211678832116789</v>
      </c>
      <c r="T1179" s="5" t="str">
        <f>IF(Delivery_Data3[[#This Row],[Delays (min)]]&gt;0,"No","Yes")</f>
        <v>No</v>
      </c>
      <c r="W1179" s="41">
        <f t="shared" si="132"/>
        <v>45177</v>
      </c>
      <c r="X1179" s="5">
        <v>114</v>
      </c>
    </row>
    <row r="1180" spans="1:24" ht="15.75" customHeight="1" x14ac:dyDescent="0.3">
      <c r="A1180" s="4">
        <v>2179</v>
      </c>
      <c r="B1180" s="5" t="s">
        <v>1283</v>
      </c>
      <c r="C1180" s="6">
        <v>45172.638888888891</v>
      </c>
      <c r="D1180" s="5" t="s">
        <v>14</v>
      </c>
      <c r="E1180" s="5" t="s">
        <v>128</v>
      </c>
      <c r="F1180" s="5" t="s">
        <v>16</v>
      </c>
      <c r="G1180" s="5" t="s">
        <v>25</v>
      </c>
      <c r="H1180" s="5">
        <v>194</v>
      </c>
      <c r="I1180" s="5">
        <v>6</v>
      </c>
      <c r="J1180" s="5" t="s">
        <v>32</v>
      </c>
      <c r="K1180" s="5" t="s">
        <v>35</v>
      </c>
      <c r="L1180" s="5" t="s">
        <v>28</v>
      </c>
      <c r="M1180" s="7" t="s">
        <v>41</v>
      </c>
      <c r="N1180" s="26">
        <f t="shared" si="126"/>
        <v>-1</v>
      </c>
      <c r="O1180" s="42">
        <f t="shared" si="127"/>
        <v>45172</v>
      </c>
      <c r="P1180" s="5" t="str">
        <f t="shared" si="128"/>
        <v>Sunday</v>
      </c>
      <c r="Q1180" s="5">
        <f t="shared" si="129"/>
        <v>15</v>
      </c>
      <c r="R1180" s="28">
        <f t="shared" si="130"/>
        <v>0.97</v>
      </c>
      <c r="S1180" s="29">
        <f t="shared" si="131"/>
        <v>97</v>
      </c>
      <c r="T1180" s="5" t="str">
        <f>IF(Delivery_Data3[[#This Row],[Delays (min)]]&gt;0,"No","Yes")</f>
        <v>No</v>
      </c>
      <c r="W1180" s="41">
        <f t="shared" si="132"/>
        <v>45172</v>
      </c>
      <c r="X1180" s="5">
        <v>194</v>
      </c>
    </row>
    <row r="1181" spans="1:24" ht="15.75" customHeight="1" x14ac:dyDescent="0.3">
      <c r="A1181" s="4">
        <v>2180</v>
      </c>
      <c r="B1181" s="5" t="s">
        <v>1284</v>
      </c>
      <c r="C1181" s="6">
        <v>45175.456944444442</v>
      </c>
      <c r="D1181" s="5" t="s">
        <v>43</v>
      </c>
      <c r="E1181" s="5" t="s">
        <v>243</v>
      </c>
      <c r="F1181" s="5" t="s">
        <v>16</v>
      </c>
      <c r="G1181" s="5" t="s">
        <v>39</v>
      </c>
      <c r="H1181" s="5">
        <v>105</v>
      </c>
      <c r="I1181" s="5">
        <v>13</v>
      </c>
      <c r="J1181" s="5" t="s">
        <v>32</v>
      </c>
      <c r="K1181" s="5" t="s">
        <v>19</v>
      </c>
      <c r="L1181" s="5" t="s">
        <v>20</v>
      </c>
      <c r="M1181" s="7" t="s">
        <v>21</v>
      </c>
      <c r="N1181" s="26">
        <f t="shared" si="126"/>
        <v>-1</v>
      </c>
      <c r="O1181" s="42">
        <f t="shared" si="127"/>
        <v>45175</v>
      </c>
      <c r="P1181" s="5" t="str">
        <f t="shared" si="128"/>
        <v>Wednesday</v>
      </c>
      <c r="Q1181" s="5">
        <f t="shared" si="129"/>
        <v>10</v>
      </c>
      <c r="R1181" s="28">
        <f t="shared" si="130"/>
        <v>0.88983050847457623</v>
      </c>
      <c r="S1181" s="29">
        <f t="shared" si="131"/>
        <v>88.983050847457619</v>
      </c>
      <c r="T1181" s="5" t="str">
        <f>IF(Delivery_Data3[[#This Row],[Delays (min)]]&gt;0,"No","Yes")</f>
        <v>No</v>
      </c>
      <c r="W1181" s="41">
        <f t="shared" si="132"/>
        <v>45175</v>
      </c>
      <c r="X1181" s="5">
        <v>105</v>
      </c>
    </row>
    <row r="1182" spans="1:24" ht="15.75" customHeight="1" x14ac:dyDescent="0.3">
      <c r="A1182" s="4">
        <v>2181</v>
      </c>
      <c r="B1182" s="5" t="s">
        <v>1285</v>
      </c>
      <c r="C1182" s="6">
        <v>45176.417361111111</v>
      </c>
      <c r="D1182" s="5" t="s">
        <v>14</v>
      </c>
      <c r="E1182" s="5" t="s">
        <v>115</v>
      </c>
      <c r="F1182" s="5" t="s">
        <v>16</v>
      </c>
      <c r="G1182" s="5" t="s">
        <v>56</v>
      </c>
      <c r="H1182" s="5">
        <v>89</v>
      </c>
      <c r="I1182" s="5">
        <v>28</v>
      </c>
      <c r="J1182" s="5" t="s">
        <v>32</v>
      </c>
      <c r="K1182" s="5" t="s">
        <v>19</v>
      </c>
      <c r="L1182" s="5" t="s">
        <v>28</v>
      </c>
      <c r="M1182" s="7" t="s">
        <v>41</v>
      </c>
      <c r="N1182" s="26">
        <f t="shared" si="126"/>
        <v>-1</v>
      </c>
      <c r="O1182" s="42">
        <f t="shared" si="127"/>
        <v>45176</v>
      </c>
      <c r="P1182" s="5" t="str">
        <f t="shared" si="128"/>
        <v>Thursday</v>
      </c>
      <c r="Q1182" s="5">
        <f t="shared" si="129"/>
        <v>10</v>
      </c>
      <c r="R1182" s="28">
        <f t="shared" si="130"/>
        <v>0.76068376068376065</v>
      </c>
      <c r="S1182" s="29">
        <f t="shared" si="131"/>
        <v>76.068376068376068</v>
      </c>
      <c r="T1182" s="5" t="str">
        <f>IF(Delivery_Data3[[#This Row],[Delays (min)]]&gt;0,"No","Yes")</f>
        <v>No</v>
      </c>
      <c r="W1182" s="41">
        <f t="shared" si="132"/>
        <v>45176</v>
      </c>
      <c r="X1182" s="5">
        <v>89</v>
      </c>
    </row>
    <row r="1183" spans="1:24" ht="15.75" customHeight="1" x14ac:dyDescent="0.3">
      <c r="A1183" s="4">
        <v>2182</v>
      </c>
      <c r="B1183" s="5" t="s">
        <v>1286</v>
      </c>
      <c r="C1183" s="6">
        <v>45176.413888888892</v>
      </c>
      <c r="D1183" s="5" t="s">
        <v>43</v>
      </c>
      <c r="E1183" s="5" t="s">
        <v>103</v>
      </c>
      <c r="F1183" s="5" t="s">
        <v>16</v>
      </c>
      <c r="G1183" s="5" t="s">
        <v>17</v>
      </c>
      <c r="H1183" s="5">
        <v>173</v>
      </c>
      <c r="I1183" s="5">
        <v>28</v>
      </c>
      <c r="J1183" s="5" t="s">
        <v>18</v>
      </c>
      <c r="K1183" s="5" t="s">
        <v>45</v>
      </c>
      <c r="L1183" s="5" t="s">
        <v>40</v>
      </c>
      <c r="M1183" s="7" t="s">
        <v>41</v>
      </c>
      <c r="N1183" s="26">
        <f t="shared" si="126"/>
        <v>0</v>
      </c>
      <c r="O1183" s="42">
        <f t="shared" si="127"/>
        <v>45176</v>
      </c>
      <c r="P1183" s="5" t="str">
        <f t="shared" si="128"/>
        <v>Thursday</v>
      </c>
      <c r="Q1183" s="5">
        <f t="shared" si="129"/>
        <v>9</v>
      </c>
      <c r="R1183" s="28">
        <f t="shared" si="130"/>
        <v>0.86069651741293529</v>
      </c>
      <c r="S1183" s="29">
        <f t="shared" si="131"/>
        <v>86.069651741293526</v>
      </c>
      <c r="T1183" s="5" t="str">
        <f>IF(Delivery_Data3[[#This Row],[Delays (min)]]&gt;0,"No","Yes")</f>
        <v>No</v>
      </c>
      <c r="W1183" s="41">
        <f t="shared" si="132"/>
        <v>45176</v>
      </c>
      <c r="X1183" s="5">
        <v>173</v>
      </c>
    </row>
    <row r="1184" spans="1:24" ht="15.75" customHeight="1" x14ac:dyDescent="0.3">
      <c r="A1184" s="4">
        <v>2183</v>
      </c>
      <c r="B1184" s="5" t="s">
        <v>1287</v>
      </c>
      <c r="C1184" s="6">
        <v>45171.56527777778</v>
      </c>
      <c r="D1184" s="5" t="s">
        <v>14</v>
      </c>
      <c r="E1184" s="5" t="s">
        <v>228</v>
      </c>
      <c r="F1184" s="5" t="s">
        <v>24</v>
      </c>
      <c r="G1184" s="5" t="s">
        <v>17</v>
      </c>
      <c r="H1184" s="5">
        <v>72</v>
      </c>
      <c r="I1184" s="5">
        <v>4</v>
      </c>
      <c r="J1184" s="5" t="s">
        <v>18</v>
      </c>
      <c r="K1184" s="5" t="s">
        <v>19</v>
      </c>
      <c r="L1184" s="5" t="s">
        <v>40</v>
      </c>
      <c r="M1184" s="7" t="s">
        <v>41</v>
      </c>
      <c r="N1184" s="26">
        <f t="shared" si="126"/>
        <v>0</v>
      </c>
      <c r="O1184" s="42">
        <f t="shared" si="127"/>
        <v>45171</v>
      </c>
      <c r="P1184" s="5" t="str">
        <f t="shared" si="128"/>
        <v>Saturday</v>
      </c>
      <c r="Q1184" s="5">
        <f t="shared" si="129"/>
        <v>13</v>
      </c>
      <c r="R1184" s="28">
        <f t="shared" si="130"/>
        <v>0.94736842105263153</v>
      </c>
      <c r="S1184" s="29">
        <f t="shared" si="131"/>
        <v>94.73684210526315</v>
      </c>
      <c r="T1184" s="5" t="str">
        <f>IF(Delivery_Data3[[#This Row],[Delays (min)]]&gt;0,"No","Yes")</f>
        <v>No</v>
      </c>
      <c r="W1184" s="41">
        <f t="shared" si="132"/>
        <v>45171</v>
      </c>
      <c r="X1184" s="5">
        <v>72</v>
      </c>
    </row>
    <row r="1185" spans="1:24" ht="15.75" customHeight="1" x14ac:dyDescent="0.3">
      <c r="A1185" s="4">
        <v>2184</v>
      </c>
      <c r="B1185" s="5" t="s">
        <v>1288</v>
      </c>
      <c r="C1185" s="6">
        <v>45172.45208333333</v>
      </c>
      <c r="D1185" s="5" t="s">
        <v>43</v>
      </c>
      <c r="E1185" s="5" t="s">
        <v>128</v>
      </c>
      <c r="F1185" s="5" t="s">
        <v>38</v>
      </c>
      <c r="G1185" s="5" t="s">
        <v>31</v>
      </c>
      <c r="H1185" s="5">
        <v>205</v>
      </c>
      <c r="I1185" s="5">
        <v>20</v>
      </c>
      <c r="J1185" s="5" t="s">
        <v>26</v>
      </c>
      <c r="K1185" s="5" t="s">
        <v>45</v>
      </c>
      <c r="L1185" s="5" t="s">
        <v>28</v>
      </c>
      <c r="M1185" s="7" t="s">
        <v>46</v>
      </c>
      <c r="N1185" s="26">
        <f t="shared" si="126"/>
        <v>1</v>
      </c>
      <c r="O1185" s="42">
        <f t="shared" si="127"/>
        <v>45172</v>
      </c>
      <c r="P1185" s="5" t="str">
        <f t="shared" si="128"/>
        <v>Sunday</v>
      </c>
      <c r="Q1185" s="5">
        <f t="shared" si="129"/>
        <v>10</v>
      </c>
      <c r="R1185" s="28">
        <f t="shared" si="130"/>
        <v>0.91111111111111109</v>
      </c>
      <c r="S1185" s="29">
        <f t="shared" si="131"/>
        <v>91.111111111111114</v>
      </c>
      <c r="T1185" s="5" t="str">
        <f>IF(Delivery_Data3[[#This Row],[Delays (min)]]&gt;0,"No","Yes")</f>
        <v>No</v>
      </c>
      <c r="W1185" s="41">
        <f t="shared" si="132"/>
        <v>45172</v>
      </c>
      <c r="X1185" s="5">
        <v>205</v>
      </c>
    </row>
    <row r="1186" spans="1:24" ht="15.75" customHeight="1" x14ac:dyDescent="0.3">
      <c r="A1186" s="4">
        <v>2185</v>
      </c>
      <c r="B1186" s="5" t="s">
        <v>1289</v>
      </c>
      <c r="C1186" s="6">
        <v>45175.361805555556</v>
      </c>
      <c r="D1186" s="5" t="s">
        <v>43</v>
      </c>
      <c r="E1186" s="5" t="s">
        <v>60</v>
      </c>
      <c r="F1186" s="5" t="s">
        <v>24</v>
      </c>
      <c r="G1186" s="5" t="s">
        <v>56</v>
      </c>
      <c r="H1186" s="5">
        <v>80</v>
      </c>
      <c r="I1186" s="5">
        <v>22</v>
      </c>
      <c r="J1186" s="5" t="s">
        <v>32</v>
      </c>
      <c r="K1186" s="5" t="s">
        <v>35</v>
      </c>
      <c r="L1186" s="5" t="s">
        <v>28</v>
      </c>
      <c r="M1186" s="7" t="s">
        <v>41</v>
      </c>
      <c r="N1186" s="26">
        <f t="shared" si="126"/>
        <v>-1</v>
      </c>
      <c r="O1186" s="42">
        <f t="shared" si="127"/>
        <v>45175</v>
      </c>
      <c r="P1186" s="5" t="str">
        <f t="shared" si="128"/>
        <v>Wednesday</v>
      </c>
      <c r="Q1186" s="5">
        <f t="shared" si="129"/>
        <v>8</v>
      </c>
      <c r="R1186" s="28">
        <f t="shared" si="130"/>
        <v>0.78431372549019607</v>
      </c>
      <c r="S1186" s="29">
        <f t="shared" si="131"/>
        <v>78.431372549019613</v>
      </c>
      <c r="T1186" s="5" t="str">
        <f>IF(Delivery_Data3[[#This Row],[Delays (min)]]&gt;0,"No","Yes")</f>
        <v>No</v>
      </c>
      <c r="W1186" s="41">
        <f t="shared" si="132"/>
        <v>45175</v>
      </c>
      <c r="X1186" s="5">
        <v>80</v>
      </c>
    </row>
    <row r="1187" spans="1:24" ht="15.75" customHeight="1" x14ac:dyDescent="0.3">
      <c r="A1187" s="4">
        <v>2186</v>
      </c>
      <c r="B1187" s="5" t="s">
        <v>1290</v>
      </c>
      <c r="C1187" s="6">
        <v>45174.42291666667</v>
      </c>
      <c r="D1187" s="5" t="s">
        <v>14</v>
      </c>
      <c r="E1187" s="5" t="s">
        <v>162</v>
      </c>
      <c r="F1187" s="5" t="s">
        <v>38</v>
      </c>
      <c r="G1187" s="5" t="s">
        <v>56</v>
      </c>
      <c r="H1187" s="5">
        <v>105</v>
      </c>
      <c r="I1187" s="5">
        <v>14</v>
      </c>
      <c r="J1187" s="5" t="s">
        <v>26</v>
      </c>
      <c r="K1187" s="5" t="s">
        <v>45</v>
      </c>
      <c r="L1187" s="5" t="s">
        <v>20</v>
      </c>
      <c r="M1187" s="7" t="s">
        <v>41</v>
      </c>
      <c r="N1187" s="26">
        <f t="shared" si="126"/>
        <v>1</v>
      </c>
      <c r="O1187" s="42">
        <f t="shared" si="127"/>
        <v>45174</v>
      </c>
      <c r="P1187" s="5" t="str">
        <f t="shared" si="128"/>
        <v>Tuesday</v>
      </c>
      <c r="Q1187" s="5">
        <f t="shared" si="129"/>
        <v>10</v>
      </c>
      <c r="R1187" s="28">
        <f t="shared" si="130"/>
        <v>0.88235294117647056</v>
      </c>
      <c r="S1187" s="29">
        <f t="shared" si="131"/>
        <v>88.235294117647058</v>
      </c>
      <c r="T1187" s="5" t="str">
        <f>IF(Delivery_Data3[[#This Row],[Delays (min)]]&gt;0,"No","Yes")</f>
        <v>No</v>
      </c>
      <c r="W1187" s="41">
        <f t="shared" si="132"/>
        <v>45174</v>
      </c>
      <c r="X1187" s="5">
        <v>105</v>
      </c>
    </row>
    <row r="1188" spans="1:24" ht="15.75" customHeight="1" x14ac:dyDescent="0.3">
      <c r="A1188" s="4">
        <v>2187</v>
      </c>
      <c r="B1188" s="5" t="s">
        <v>1291</v>
      </c>
      <c r="C1188" s="6">
        <v>45175.37777777778</v>
      </c>
      <c r="D1188" s="5" t="s">
        <v>43</v>
      </c>
      <c r="E1188" s="5" t="s">
        <v>111</v>
      </c>
      <c r="F1188" s="5" t="s">
        <v>38</v>
      </c>
      <c r="G1188" s="5" t="s">
        <v>31</v>
      </c>
      <c r="H1188" s="5">
        <v>134</v>
      </c>
      <c r="I1188" s="5">
        <v>28</v>
      </c>
      <c r="J1188" s="5" t="s">
        <v>18</v>
      </c>
      <c r="K1188" s="5" t="s">
        <v>35</v>
      </c>
      <c r="L1188" s="5" t="s">
        <v>28</v>
      </c>
      <c r="M1188" s="7" t="s">
        <v>41</v>
      </c>
      <c r="N1188" s="26">
        <f t="shared" si="126"/>
        <v>0</v>
      </c>
      <c r="O1188" s="42">
        <f t="shared" si="127"/>
        <v>45175</v>
      </c>
      <c r="P1188" s="5" t="str">
        <f t="shared" si="128"/>
        <v>Wednesday</v>
      </c>
      <c r="Q1188" s="5">
        <f t="shared" si="129"/>
        <v>9</v>
      </c>
      <c r="R1188" s="28">
        <f t="shared" si="130"/>
        <v>0.8271604938271605</v>
      </c>
      <c r="S1188" s="29">
        <f t="shared" si="131"/>
        <v>82.716049382716051</v>
      </c>
      <c r="T1188" s="5" t="str">
        <f>IF(Delivery_Data3[[#This Row],[Delays (min)]]&gt;0,"No","Yes")</f>
        <v>No</v>
      </c>
      <c r="W1188" s="41">
        <f t="shared" si="132"/>
        <v>45175</v>
      </c>
      <c r="X1188" s="5">
        <v>134</v>
      </c>
    </row>
    <row r="1189" spans="1:24" ht="15.75" customHeight="1" x14ac:dyDescent="0.3">
      <c r="A1189" s="4">
        <v>2188</v>
      </c>
      <c r="B1189" s="5" t="s">
        <v>1292</v>
      </c>
      <c r="C1189" s="6">
        <v>45170.592361111114</v>
      </c>
      <c r="D1189" s="5" t="s">
        <v>14</v>
      </c>
      <c r="E1189" s="5" t="s">
        <v>281</v>
      </c>
      <c r="F1189" s="5" t="s">
        <v>38</v>
      </c>
      <c r="G1189" s="5" t="s">
        <v>17</v>
      </c>
      <c r="H1189" s="5">
        <v>126</v>
      </c>
      <c r="I1189" s="5">
        <v>29</v>
      </c>
      <c r="J1189" s="5" t="s">
        <v>18</v>
      </c>
      <c r="K1189" s="5" t="s">
        <v>35</v>
      </c>
      <c r="L1189" s="5" t="s">
        <v>20</v>
      </c>
      <c r="M1189" s="7" t="s">
        <v>41</v>
      </c>
      <c r="N1189" s="26">
        <f t="shared" si="126"/>
        <v>0</v>
      </c>
      <c r="O1189" s="42">
        <f t="shared" si="127"/>
        <v>45170</v>
      </c>
      <c r="P1189" s="5" t="str">
        <f t="shared" si="128"/>
        <v>Friday</v>
      </c>
      <c r="Q1189" s="5">
        <f t="shared" si="129"/>
        <v>14</v>
      </c>
      <c r="R1189" s="28">
        <f t="shared" si="130"/>
        <v>0.81290322580645158</v>
      </c>
      <c r="S1189" s="29">
        <f t="shared" si="131"/>
        <v>81.290322580645153</v>
      </c>
      <c r="T1189" s="5" t="str">
        <f>IF(Delivery_Data3[[#This Row],[Delays (min)]]&gt;0,"No","Yes")</f>
        <v>No</v>
      </c>
      <c r="W1189" s="41">
        <f t="shared" si="132"/>
        <v>45170</v>
      </c>
      <c r="X1189" s="5">
        <v>126</v>
      </c>
    </row>
    <row r="1190" spans="1:24" ht="15.75" customHeight="1" x14ac:dyDescent="0.3">
      <c r="A1190" s="4">
        <v>2189</v>
      </c>
      <c r="B1190" s="5" t="s">
        <v>1293</v>
      </c>
      <c r="C1190" s="6">
        <v>45175.442361111112</v>
      </c>
      <c r="D1190" s="5" t="s">
        <v>14</v>
      </c>
      <c r="E1190" s="5" t="s">
        <v>44</v>
      </c>
      <c r="F1190" s="5" t="s">
        <v>16</v>
      </c>
      <c r="G1190" s="5" t="s">
        <v>17</v>
      </c>
      <c r="H1190" s="5">
        <v>98</v>
      </c>
      <c r="I1190" s="5">
        <v>10</v>
      </c>
      <c r="J1190" s="5" t="s">
        <v>26</v>
      </c>
      <c r="K1190" s="5" t="s">
        <v>27</v>
      </c>
      <c r="L1190" s="5" t="s">
        <v>20</v>
      </c>
      <c r="M1190" s="7" t="s">
        <v>46</v>
      </c>
      <c r="N1190" s="26">
        <f t="shared" si="126"/>
        <v>1</v>
      </c>
      <c r="O1190" s="42">
        <f t="shared" si="127"/>
        <v>45175</v>
      </c>
      <c r="P1190" s="5" t="str">
        <f t="shared" si="128"/>
        <v>Wednesday</v>
      </c>
      <c r="Q1190" s="5">
        <f t="shared" si="129"/>
        <v>10</v>
      </c>
      <c r="R1190" s="28">
        <f t="shared" si="130"/>
        <v>0.90740740740740744</v>
      </c>
      <c r="S1190" s="29">
        <f t="shared" si="131"/>
        <v>90.740740740740748</v>
      </c>
      <c r="T1190" s="5" t="str">
        <f>IF(Delivery_Data3[[#This Row],[Delays (min)]]&gt;0,"No","Yes")</f>
        <v>No</v>
      </c>
      <c r="W1190" s="41">
        <f t="shared" si="132"/>
        <v>45175</v>
      </c>
      <c r="X1190" s="5">
        <v>98</v>
      </c>
    </row>
    <row r="1191" spans="1:24" ht="15.75" customHeight="1" x14ac:dyDescent="0.3">
      <c r="A1191" s="4">
        <v>2190</v>
      </c>
      <c r="B1191" s="5" t="s">
        <v>1166</v>
      </c>
      <c r="C1191" s="6">
        <v>45176.574999999997</v>
      </c>
      <c r="D1191" s="5" t="s">
        <v>43</v>
      </c>
      <c r="E1191" s="5" t="s">
        <v>122</v>
      </c>
      <c r="F1191" s="5" t="s">
        <v>24</v>
      </c>
      <c r="G1191" s="5" t="s">
        <v>56</v>
      </c>
      <c r="H1191" s="5">
        <v>166</v>
      </c>
      <c r="I1191" s="5">
        <v>17</v>
      </c>
      <c r="J1191" s="5" t="s">
        <v>32</v>
      </c>
      <c r="K1191" s="5" t="s">
        <v>45</v>
      </c>
      <c r="L1191" s="5" t="s">
        <v>20</v>
      </c>
      <c r="M1191" s="7" t="s">
        <v>46</v>
      </c>
      <c r="N1191" s="26">
        <f t="shared" si="126"/>
        <v>-1</v>
      </c>
      <c r="O1191" s="42">
        <f t="shared" si="127"/>
        <v>45176</v>
      </c>
      <c r="P1191" s="5" t="str">
        <f t="shared" si="128"/>
        <v>Thursday</v>
      </c>
      <c r="Q1191" s="5">
        <f t="shared" si="129"/>
        <v>13</v>
      </c>
      <c r="R1191" s="28">
        <f t="shared" si="130"/>
        <v>0.90710382513661203</v>
      </c>
      <c r="S1191" s="29">
        <f t="shared" si="131"/>
        <v>90.710382513661202</v>
      </c>
      <c r="T1191" s="5" t="str">
        <f>IF(Delivery_Data3[[#This Row],[Delays (min)]]&gt;0,"No","Yes")</f>
        <v>No</v>
      </c>
      <c r="W1191" s="41">
        <f t="shared" si="132"/>
        <v>45176</v>
      </c>
      <c r="X1191" s="5">
        <v>166</v>
      </c>
    </row>
    <row r="1192" spans="1:24" ht="15.75" customHeight="1" x14ac:dyDescent="0.3">
      <c r="A1192" s="4">
        <v>2191</v>
      </c>
      <c r="B1192" s="5" t="s">
        <v>1294</v>
      </c>
      <c r="C1192" s="6">
        <v>45173.477083333331</v>
      </c>
      <c r="D1192" s="5" t="s">
        <v>43</v>
      </c>
      <c r="E1192" s="5" t="s">
        <v>87</v>
      </c>
      <c r="F1192" s="5" t="s">
        <v>24</v>
      </c>
      <c r="G1192" s="5" t="s">
        <v>25</v>
      </c>
      <c r="H1192" s="5">
        <v>162</v>
      </c>
      <c r="I1192" s="5">
        <v>0</v>
      </c>
      <c r="J1192" s="5" t="s">
        <v>26</v>
      </c>
      <c r="K1192" s="5" t="s">
        <v>35</v>
      </c>
      <c r="L1192" s="5" t="s">
        <v>28</v>
      </c>
      <c r="M1192" s="7" t="s">
        <v>21</v>
      </c>
      <c r="N1192" s="26">
        <f t="shared" si="126"/>
        <v>1</v>
      </c>
      <c r="O1192" s="42">
        <f t="shared" si="127"/>
        <v>45173</v>
      </c>
      <c r="P1192" s="5" t="str">
        <f t="shared" si="128"/>
        <v>Monday</v>
      </c>
      <c r="Q1192" s="5">
        <f t="shared" si="129"/>
        <v>11</v>
      </c>
      <c r="R1192" s="28">
        <f t="shared" si="130"/>
        <v>1</v>
      </c>
      <c r="S1192" s="29">
        <f t="shared" si="131"/>
        <v>100</v>
      </c>
      <c r="T1192" s="5" t="str">
        <f>IF(Delivery_Data3[[#This Row],[Delays (min)]]&gt;0,"No","Yes")</f>
        <v>Yes</v>
      </c>
      <c r="W1192" s="41">
        <f t="shared" si="132"/>
        <v>45173</v>
      </c>
      <c r="X1192" s="5">
        <v>162</v>
      </c>
    </row>
    <row r="1193" spans="1:24" ht="15.75" customHeight="1" x14ac:dyDescent="0.3">
      <c r="A1193" s="4">
        <v>2192</v>
      </c>
      <c r="B1193" s="5" t="s">
        <v>1295</v>
      </c>
      <c r="C1193" s="6">
        <v>45172.654166666667</v>
      </c>
      <c r="D1193" s="5" t="s">
        <v>43</v>
      </c>
      <c r="E1193" s="5" t="s">
        <v>58</v>
      </c>
      <c r="F1193" s="5" t="s">
        <v>16</v>
      </c>
      <c r="G1193" s="5" t="s">
        <v>31</v>
      </c>
      <c r="H1193" s="5">
        <v>174</v>
      </c>
      <c r="I1193" s="5">
        <v>22</v>
      </c>
      <c r="J1193" s="5" t="s">
        <v>26</v>
      </c>
      <c r="K1193" s="5" t="s">
        <v>27</v>
      </c>
      <c r="L1193" s="5" t="s">
        <v>20</v>
      </c>
      <c r="M1193" s="7" t="s">
        <v>46</v>
      </c>
      <c r="N1193" s="26">
        <f t="shared" si="126"/>
        <v>1</v>
      </c>
      <c r="O1193" s="42">
        <f t="shared" si="127"/>
        <v>45172</v>
      </c>
      <c r="P1193" s="5" t="str">
        <f t="shared" si="128"/>
        <v>Sunday</v>
      </c>
      <c r="Q1193" s="5">
        <f t="shared" si="129"/>
        <v>15</v>
      </c>
      <c r="R1193" s="28">
        <f t="shared" si="130"/>
        <v>0.88775510204081631</v>
      </c>
      <c r="S1193" s="29">
        <f t="shared" si="131"/>
        <v>88.775510204081627</v>
      </c>
      <c r="T1193" s="5" t="str">
        <f>IF(Delivery_Data3[[#This Row],[Delays (min)]]&gt;0,"No","Yes")</f>
        <v>No</v>
      </c>
      <c r="W1193" s="41">
        <f t="shared" si="132"/>
        <v>45172</v>
      </c>
      <c r="X1193" s="5">
        <v>174</v>
      </c>
    </row>
    <row r="1194" spans="1:24" ht="15.75" customHeight="1" x14ac:dyDescent="0.3">
      <c r="A1194" s="4">
        <v>2193</v>
      </c>
      <c r="B1194" s="5" t="s">
        <v>1296</v>
      </c>
      <c r="C1194" s="6">
        <v>45174.59097222222</v>
      </c>
      <c r="D1194" s="5" t="s">
        <v>43</v>
      </c>
      <c r="E1194" s="5" t="s">
        <v>301</v>
      </c>
      <c r="F1194" s="5" t="s">
        <v>16</v>
      </c>
      <c r="G1194" s="5" t="s">
        <v>31</v>
      </c>
      <c r="H1194" s="5">
        <v>155</v>
      </c>
      <c r="I1194" s="5">
        <v>1</v>
      </c>
      <c r="J1194" s="5" t="s">
        <v>18</v>
      </c>
      <c r="K1194" s="5" t="s">
        <v>19</v>
      </c>
      <c r="L1194" s="5" t="s">
        <v>20</v>
      </c>
      <c r="M1194" s="7" t="s">
        <v>46</v>
      </c>
      <c r="N1194" s="26">
        <f t="shared" si="126"/>
        <v>0</v>
      </c>
      <c r="O1194" s="42">
        <f t="shared" si="127"/>
        <v>45174</v>
      </c>
      <c r="P1194" s="5" t="str">
        <f t="shared" si="128"/>
        <v>Tuesday</v>
      </c>
      <c r="Q1194" s="5">
        <f t="shared" si="129"/>
        <v>14</v>
      </c>
      <c r="R1194" s="28">
        <f t="shared" si="130"/>
        <v>0.99358974358974361</v>
      </c>
      <c r="S1194" s="29">
        <f t="shared" si="131"/>
        <v>99.358974358974365</v>
      </c>
      <c r="T1194" s="5" t="str">
        <f>IF(Delivery_Data3[[#This Row],[Delays (min)]]&gt;0,"No","Yes")</f>
        <v>No</v>
      </c>
      <c r="W1194" s="41">
        <f t="shared" si="132"/>
        <v>45174</v>
      </c>
      <c r="X1194" s="5">
        <v>155</v>
      </c>
    </row>
    <row r="1195" spans="1:24" ht="15.75" customHeight="1" x14ac:dyDescent="0.3">
      <c r="A1195" s="4">
        <v>2194</v>
      </c>
      <c r="B1195" s="5" t="s">
        <v>1297</v>
      </c>
      <c r="C1195" s="6">
        <v>45176.418055555558</v>
      </c>
      <c r="D1195" s="5" t="s">
        <v>43</v>
      </c>
      <c r="E1195" s="5" t="s">
        <v>277</v>
      </c>
      <c r="F1195" s="5" t="s">
        <v>16</v>
      </c>
      <c r="G1195" s="5" t="s">
        <v>31</v>
      </c>
      <c r="H1195" s="5">
        <v>138</v>
      </c>
      <c r="I1195" s="5">
        <v>20</v>
      </c>
      <c r="J1195" s="5" t="s">
        <v>26</v>
      </c>
      <c r="K1195" s="5" t="s">
        <v>27</v>
      </c>
      <c r="L1195" s="5" t="s">
        <v>28</v>
      </c>
      <c r="M1195" s="7" t="s">
        <v>46</v>
      </c>
      <c r="N1195" s="26">
        <f t="shared" si="126"/>
        <v>1</v>
      </c>
      <c r="O1195" s="42">
        <f t="shared" si="127"/>
        <v>45176</v>
      </c>
      <c r="P1195" s="5" t="str">
        <f t="shared" si="128"/>
        <v>Thursday</v>
      </c>
      <c r="Q1195" s="5">
        <f t="shared" si="129"/>
        <v>10</v>
      </c>
      <c r="R1195" s="28">
        <f t="shared" si="130"/>
        <v>0.87341772151898733</v>
      </c>
      <c r="S1195" s="29">
        <f t="shared" si="131"/>
        <v>87.341772151898738</v>
      </c>
      <c r="T1195" s="5" t="str">
        <f>IF(Delivery_Data3[[#This Row],[Delays (min)]]&gt;0,"No","Yes")</f>
        <v>No</v>
      </c>
      <c r="W1195" s="41">
        <f t="shared" si="132"/>
        <v>45176</v>
      </c>
      <c r="X1195" s="5">
        <v>138</v>
      </c>
    </row>
    <row r="1196" spans="1:24" ht="15.75" customHeight="1" x14ac:dyDescent="0.3">
      <c r="A1196" s="4">
        <v>2195</v>
      </c>
      <c r="B1196" s="5" t="s">
        <v>1298</v>
      </c>
      <c r="C1196" s="6">
        <v>45175.586111111108</v>
      </c>
      <c r="D1196" s="5" t="s">
        <v>14</v>
      </c>
      <c r="E1196" s="5" t="s">
        <v>234</v>
      </c>
      <c r="F1196" s="5" t="s">
        <v>24</v>
      </c>
      <c r="G1196" s="5" t="s">
        <v>25</v>
      </c>
      <c r="H1196" s="5">
        <v>135</v>
      </c>
      <c r="I1196" s="5">
        <v>12</v>
      </c>
      <c r="J1196" s="5" t="s">
        <v>32</v>
      </c>
      <c r="K1196" s="5" t="s">
        <v>45</v>
      </c>
      <c r="L1196" s="5" t="s">
        <v>28</v>
      </c>
      <c r="M1196" s="7" t="s">
        <v>21</v>
      </c>
      <c r="N1196" s="26">
        <f t="shared" si="126"/>
        <v>-1</v>
      </c>
      <c r="O1196" s="42">
        <f t="shared" si="127"/>
        <v>45175</v>
      </c>
      <c r="P1196" s="5" t="str">
        <f t="shared" si="128"/>
        <v>Wednesday</v>
      </c>
      <c r="Q1196" s="5">
        <f t="shared" si="129"/>
        <v>14</v>
      </c>
      <c r="R1196" s="28">
        <f t="shared" si="130"/>
        <v>0.91836734693877553</v>
      </c>
      <c r="S1196" s="29">
        <f t="shared" si="131"/>
        <v>91.83673469387756</v>
      </c>
      <c r="T1196" s="5" t="str">
        <f>IF(Delivery_Data3[[#This Row],[Delays (min)]]&gt;0,"No","Yes")</f>
        <v>No</v>
      </c>
      <c r="W1196" s="41">
        <f t="shared" si="132"/>
        <v>45175</v>
      </c>
      <c r="X1196" s="5">
        <v>135</v>
      </c>
    </row>
    <row r="1197" spans="1:24" ht="15.75" customHeight="1" x14ac:dyDescent="0.3">
      <c r="A1197" s="4">
        <v>2196</v>
      </c>
      <c r="B1197" s="5" t="s">
        <v>1299</v>
      </c>
      <c r="C1197" s="6">
        <v>45170.527083333334</v>
      </c>
      <c r="D1197" s="5" t="s">
        <v>43</v>
      </c>
      <c r="E1197" s="5" t="s">
        <v>132</v>
      </c>
      <c r="F1197" s="5" t="s">
        <v>16</v>
      </c>
      <c r="G1197" s="5" t="s">
        <v>31</v>
      </c>
      <c r="H1197" s="5">
        <v>183</v>
      </c>
      <c r="I1197" s="5">
        <v>2</v>
      </c>
      <c r="J1197" s="5" t="s">
        <v>26</v>
      </c>
      <c r="K1197" s="5" t="s">
        <v>49</v>
      </c>
      <c r="L1197" s="5" t="s">
        <v>20</v>
      </c>
      <c r="M1197" s="7" t="s">
        <v>46</v>
      </c>
      <c r="N1197" s="26">
        <f t="shared" si="126"/>
        <v>1</v>
      </c>
      <c r="O1197" s="42">
        <f t="shared" si="127"/>
        <v>45170</v>
      </c>
      <c r="P1197" s="5" t="str">
        <f t="shared" si="128"/>
        <v>Friday</v>
      </c>
      <c r="Q1197" s="5">
        <f t="shared" si="129"/>
        <v>12</v>
      </c>
      <c r="R1197" s="28">
        <f t="shared" si="130"/>
        <v>0.98918918918918919</v>
      </c>
      <c r="S1197" s="29">
        <f t="shared" si="131"/>
        <v>98.918918918918919</v>
      </c>
      <c r="T1197" s="5" t="str">
        <f>IF(Delivery_Data3[[#This Row],[Delays (min)]]&gt;0,"No","Yes")</f>
        <v>No</v>
      </c>
      <c r="W1197" s="41">
        <f t="shared" si="132"/>
        <v>45170</v>
      </c>
      <c r="X1197" s="5">
        <v>183</v>
      </c>
    </row>
    <row r="1198" spans="1:24" ht="15.75" customHeight="1" x14ac:dyDescent="0.3">
      <c r="A1198" s="4">
        <v>2197</v>
      </c>
      <c r="B1198" s="5" t="s">
        <v>1300</v>
      </c>
      <c r="C1198" s="6">
        <v>45171.681250000001</v>
      </c>
      <c r="D1198" s="5" t="s">
        <v>43</v>
      </c>
      <c r="E1198" s="5" t="s">
        <v>149</v>
      </c>
      <c r="F1198" s="5" t="s">
        <v>24</v>
      </c>
      <c r="G1198" s="5" t="s">
        <v>17</v>
      </c>
      <c r="H1198" s="5">
        <v>189</v>
      </c>
      <c r="I1198" s="5">
        <v>22</v>
      </c>
      <c r="J1198" s="5" t="s">
        <v>18</v>
      </c>
      <c r="K1198" s="5" t="s">
        <v>35</v>
      </c>
      <c r="L1198" s="5" t="s">
        <v>40</v>
      </c>
      <c r="M1198" s="7" t="s">
        <v>46</v>
      </c>
      <c r="N1198" s="26">
        <f t="shared" si="126"/>
        <v>0</v>
      </c>
      <c r="O1198" s="42">
        <f t="shared" si="127"/>
        <v>45171</v>
      </c>
      <c r="P1198" s="5" t="str">
        <f t="shared" si="128"/>
        <v>Saturday</v>
      </c>
      <c r="Q1198" s="5">
        <f t="shared" si="129"/>
        <v>16</v>
      </c>
      <c r="R1198" s="28">
        <f t="shared" si="130"/>
        <v>0.89573459715639814</v>
      </c>
      <c r="S1198" s="29">
        <f t="shared" si="131"/>
        <v>89.573459715639814</v>
      </c>
      <c r="T1198" s="5" t="str">
        <f>IF(Delivery_Data3[[#This Row],[Delays (min)]]&gt;0,"No","Yes")</f>
        <v>No</v>
      </c>
      <c r="W1198" s="41">
        <f t="shared" si="132"/>
        <v>45171</v>
      </c>
      <c r="X1198" s="5">
        <v>189</v>
      </c>
    </row>
    <row r="1199" spans="1:24" ht="15.75" customHeight="1" x14ac:dyDescent="0.3">
      <c r="A1199" s="4">
        <v>2198</v>
      </c>
      <c r="B1199" s="5" t="s">
        <v>1301</v>
      </c>
      <c r="C1199" s="6">
        <v>45171.467361111114</v>
      </c>
      <c r="D1199" s="5" t="s">
        <v>14</v>
      </c>
      <c r="E1199" s="5" t="s">
        <v>245</v>
      </c>
      <c r="F1199" s="5" t="s">
        <v>16</v>
      </c>
      <c r="G1199" s="5" t="s">
        <v>17</v>
      </c>
      <c r="H1199" s="5">
        <v>225</v>
      </c>
      <c r="I1199" s="5">
        <v>11</v>
      </c>
      <c r="J1199" s="5" t="s">
        <v>26</v>
      </c>
      <c r="K1199" s="5" t="s">
        <v>19</v>
      </c>
      <c r="L1199" s="5" t="s">
        <v>28</v>
      </c>
      <c r="M1199" s="7" t="s">
        <v>41</v>
      </c>
      <c r="N1199" s="26">
        <f t="shared" si="126"/>
        <v>1</v>
      </c>
      <c r="O1199" s="42">
        <f t="shared" si="127"/>
        <v>45171</v>
      </c>
      <c r="P1199" s="5" t="str">
        <f t="shared" si="128"/>
        <v>Saturday</v>
      </c>
      <c r="Q1199" s="5">
        <f t="shared" si="129"/>
        <v>11</v>
      </c>
      <c r="R1199" s="28">
        <f t="shared" si="130"/>
        <v>0.95338983050847459</v>
      </c>
      <c r="S1199" s="29">
        <f t="shared" si="131"/>
        <v>95.33898305084746</v>
      </c>
      <c r="T1199" s="5" t="str">
        <f>IF(Delivery_Data3[[#This Row],[Delays (min)]]&gt;0,"No","Yes")</f>
        <v>No</v>
      </c>
      <c r="W1199" s="41">
        <f t="shared" si="132"/>
        <v>45171</v>
      </c>
      <c r="X1199" s="5">
        <v>225</v>
      </c>
    </row>
    <row r="1200" spans="1:24" ht="15.75" customHeight="1" x14ac:dyDescent="0.3">
      <c r="A1200" s="4">
        <v>2199</v>
      </c>
      <c r="B1200" s="5" t="s">
        <v>1302</v>
      </c>
      <c r="C1200" s="6">
        <v>45170.486805555556</v>
      </c>
      <c r="D1200" s="5" t="s">
        <v>43</v>
      </c>
      <c r="E1200" s="5" t="s">
        <v>288</v>
      </c>
      <c r="F1200" s="5" t="s">
        <v>38</v>
      </c>
      <c r="G1200" s="5" t="s">
        <v>31</v>
      </c>
      <c r="H1200" s="5">
        <v>68</v>
      </c>
      <c r="I1200" s="5">
        <v>4</v>
      </c>
      <c r="J1200" s="5" t="s">
        <v>26</v>
      </c>
      <c r="K1200" s="5" t="s">
        <v>19</v>
      </c>
      <c r="L1200" s="5" t="s">
        <v>40</v>
      </c>
      <c r="M1200" s="7" t="s">
        <v>41</v>
      </c>
      <c r="N1200" s="26">
        <f t="shared" si="126"/>
        <v>1</v>
      </c>
      <c r="O1200" s="42">
        <f t="shared" si="127"/>
        <v>45170</v>
      </c>
      <c r="P1200" s="5" t="str">
        <f t="shared" si="128"/>
        <v>Friday</v>
      </c>
      <c r="Q1200" s="5">
        <f t="shared" si="129"/>
        <v>11</v>
      </c>
      <c r="R1200" s="28">
        <f t="shared" si="130"/>
        <v>0.94444444444444442</v>
      </c>
      <c r="S1200" s="29">
        <f t="shared" si="131"/>
        <v>94.444444444444443</v>
      </c>
      <c r="T1200" s="5" t="str">
        <f>IF(Delivery_Data3[[#This Row],[Delays (min)]]&gt;0,"No","Yes")</f>
        <v>No</v>
      </c>
      <c r="W1200" s="41">
        <f t="shared" si="132"/>
        <v>45170</v>
      </c>
      <c r="X1200" s="5">
        <v>68</v>
      </c>
    </row>
    <row r="1201" spans="1:24" ht="15.75" customHeight="1" x14ac:dyDescent="0.3">
      <c r="A1201" s="4">
        <v>2200</v>
      </c>
      <c r="B1201" s="5" t="s">
        <v>1303</v>
      </c>
      <c r="C1201" s="6">
        <v>45173.345138888886</v>
      </c>
      <c r="D1201" s="5" t="s">
        <v>14</v>
      </c>
      <c r="E1201" s="5" t="s">
        <v>234</v>
      </c>
      <c r="F1201" s="5" t="s">
        <v>16</v>
      </c>
      <c r="G1201" s="5" t="s">
        <v>56</v>
      </c>
      <c r="H1201" s="5">
        <v>163</v>
      </c>
      <c r="I1201" s="5">
        <v>9</v>
      </c>
      <c r="J1201" s="5" t="s">
        <v>26</v>
      </c>
      <c r="K1201" s="5" t="s">
        <v>27</v>
      </c>
      <c r="L1201" s="5" t="s">
        <v>40</v>
      </c>
      <c r="M1201" s="7" t="s">
        <v>46</v>
      </c>
      <c r="N1201" s="26">
        <f t="shared" si="126"/>
        <v>1</v>
      </c>
      <c r="O1201" s="42">
        <f t="shared" si="127"/>
        <v>45173</v>
      </c>
      <c r="P1201" s="5" t="str">
        <f t="shared" si="128"/>
        <v>Monday</v>
      </c>
      <c r="Q1201" s="5">
        <f t="shared" si="129"/>
        <v>8</v>
      </c>
      <c r="R1201" s="28">
        <f t="shared" si="130"/>
        <v>0.94767441860465118</v>
      </c>
      <c r="S1201" s="29">
        <f t="shared" si="131"/>
        <v>94.767441860465112</v>
      </c>
      <c r="T1201" s="5" t="str">
        <f>IF(Delivery_Data3[[#This Row],[Delays (min)]]&gt;0,"No","Yes")</f>
        <v>No</v>
      </c>
      <c r="W1201" s="41">
        <f t="shared" si="132"/>
        <v>45173</v>
      </c>
      <c r="X1201" s="5">
        <v>163</v>
      </c>
    </row>
    <row r="1202" spans="1:24" ht="15.75" customHeight="1" x14ac:dyDescent="0.3">
      <c r="A1202" s="4">
        <v>2201</v>
      </c>
      <c r="B1202" s="5" t="s">
        <v>1304</v>
      </c>
      <c r="C1202" s="6">
        <v>45171.419444444444</v>
      </c>
      <c r="D1202" s="5" t="s">
        <v>43</v>
      </c>
      <c r="E1202" s="5" t="s">
        <v>441</v>
      </c>
      <c r="F1202" s="5" t="s">
        <v>38</v>
      </c>
      <c r="G1202" s="5" t="s">
        <v>56</v>
      </c>
      <c r="H1202" s="5">
        <v>234</v>
      </c>
      <c r="I1202" s="5">
        <v>3</v>
      </c>
      <c r="J1202" s="5" t="s">
        <v>18</v>
      </c>
      <c r="K1202" s="5" t="s">
        <v>35</v>
      </c>
      <c r="L1202" s="5" t="s">
        <v>20</v>
      </c>
      <c r="M1202" s="7" t="s">
        <v>46</v>
      </c>
      <c r="N1202" s="26">
        <f t="shared" si="126"/>
        <v>0</v>
      </c>
      <c r="O1202" s="42">
        <f t="shared" si="127"/>
        <v>45171</v>
      </c>
      <c r="P1202" s="5" t="str">
        <f t="shared" si="128"/>
        <v>Saturday</v>
      </c>
      <c r="Q1202" s="5">
        <f t="shared" si="129"/>
        <v>10</v>
      </c>
      <c r="R1202" s="28">
        <f t="shared" si="130"/>
        <v>0.98734177215189878</v>
      </c>
      <c r="S1202" s="29">
        <f t="shared" si="131"/>
        <v>98.734177215189874</v>
      </c>
      <c r="T1202" s="5" t="str">
        <f>IF(Delivery_Data3[[#This Row],[Delays (min)]]&gt;0,"No","Yes")</f>
        <v>No</v>
      </c>
      <c r="W1202" s="41">
        <f t="shared" si="132"/>
        <v>45171</v>
      </c>
      <c r="X1202" s="5">
        <v>234</v>
      </c>
    </row>
    <row r="1203" spans="1:24" ht="15.75" customHeight="1" x14ac:dyDescent="0.3">
      <c r="A1203" s="4">
        <v>2202</v>
      </c>
      <c r="B1203" s="5" t="s">
        <v>1305</v>
      </c>
      <c r="C1203" s="6">
        <v>45172.45416666667</v>
      </c>
      <c r="D1203" s="5" t="s">
        <v>43</v>
      </c>
      <c r="E1203" s="5" t="s">
        <v>267</v>
      </c>
      <c r="F1203" s="5" t="s">
        <v>24</v>
      </c>
      <c r="G1203" s="5" t="s">
        <v>39</v>
      </c>
      <c r="H1203" s="5">
        <v>160</v>
      </c>
      <c r="I1203" s="5">
        <v>27</v>
      </c>
      <c r="J1203" s="5" t="s">
        <v>32</v>
      </c>
      <c r="K1203" s="5" t="s">
        <v>27</v>
      </c>
      <c r="L1203" s="5" t="s">
        <v>28</v>
      </c>
      <c r="M1203" s="7" t="s">
        <v>21</v>
      </c>
      <c r="N1203" s="26">
        <f t="shared" si="126"/>
        <v>-1</v>
      </c>
      <c r="O1203" s="42">
        <f t="shared" si="127"/>
        <v>45172</v>
      </c>
      <c r="P1203" s="5" t="str">
        <f t="shared" si="128"/>
        <v>Sunday</v>
      </c>
      <c r="Q1203" s="5">
        <f t="shared" si="129"/>
        <v>10</v>
      </c>
      <c r="R1203" s="28">
        <f t="shared" si="130"/>
        <v>0.85561497326203206</v>
      </c>
      <c r="S1203" s="29">
        <f t="shared" si="131"/>
        <v>85.561497326203209</v>
      </c>
      <c r="T1203" s="5" t="str">
        <f>IF(Delivery_Data3[[#This Row],[Delays (min)]]&gt;0,"No","Yes")</f>
        <v>No</v>
      </c>
      <c r="W1203" s="41">
        <f t="shared" si="132"/>
        <v>45172</v>
      </c>
      <c r="X1203" s="5">
        <v>160</v>
      </c>
    </row>
    <row r="1204" spans="1:24" ht="15.75" customHeight="1" x14ac:dyDescent="0.3">
      <c r="A1204" s="4">
        <v>2203</v>
      </c>
      <c r="B1204" s="5" t="s">
        <v>1306</v>
      </c>
      <c r="C1204" s="6">
        <v>45172.411805555559</v>
      </c>
      <c r="D1204" s="5" t="s">
        <v>14</v>
      </c>
      <c r="E1204" s="5" t="s">
        <v>93</v>
      </c>
      <c r="F1204" s="5" t="s">
        <v>16</v>
      </c>
      <c r="G1204" s="5" t="s">
        <v>31</v>
      </c>
      <c r="H1204" s="5">
        <v>105</v>
      </c>
      <c r="I1204" s="5">
        <v>21</v>
      </c>
      <c r="J1204" s="5" t="s">
        <v>32</v>
      </c>
      <c r="K1204" s="5" t="s">
        <v>27</v>
      </c>
      <c r="L1204" s="5" t="s">
        <v>40</v>
      </c>
      <c r="M1204" s="7" t="s">
        <v>46</v>
      </c>
      <c r="N1204" s="26">
        <f t="shared" si="126"/>
        <v>-1</v>
      </c>
      <c r="O1204" s="42">
        <f t="shared" si="127"/>
        <v>45172</v>
      </c>
      <c r="P1204" s="5" t="str">
        <f t="shared" si="128"/>
        <v>Sunday</v>
      </c>
      <c r="Q1204" s="5">
        <f t="shared" si="129"/>
        <v>9</v>
      </c>
      <c r="R1204" s="28">
        <f t="shared" si="130"/>
        <v>0.83333333333333337</v>
      </c>
      <c r="S1204" s="29">
        <f t="shared" si="131"/>
        <v>83.333333333333343</v>
      </c>
      <c r="T1204" s="5" t="str">
        <f>IF(Delivery_Data3[[#This Row],[Delays (min)]]&gt;0,"No","Yes")</f>
        <v>No</v>
      </c>
      <c r="W1204" s="41">
        <f t="shared" si="132"/>
        <v>45172</v>
      </c>
      <c r="X1204" s="5">
        <v>105</v>
      </c>
    </row>
    <row r="1205" spans="1:24" ht="15.75" customHeight="1" x14ac:dyDescent="0.3">
      <c r="A1205" s="4">
        <v>2204</v>
      </c>
      <c r="B1205" s="5" t="s">
        <v>1307</v>
      </c>
      <c r="C1205" s="6">
        <v>45174.390972222223</v>
      </c>
      <c r="D1205" s="5" t="s">
        <v>43</v>
      </c>
      <c r="E1205" s="5" t="s">
        <v>197</v>
      </c>
      <c r="F1205" s="5" t="s">
        <v>38</v>
      </c>
      <c r="G1205" s="5" t="s">
        <v>17</v>
      </c>
      <c r="H1205" s="5">
        <v>165</v>
      </c>
      <c r="I1205" s="5">
        <v>2</v>
      </c>
      <c r="J1205" s="5" t="s">
        <v>18</v>
      </c>
      <c r="K1205" s="5" t="s">
        <v>35</v>
      </c>
      <c r="L1205" s="5" t="s">
        <v>20</v>
      </c>
      <c r="M1205" s="7" t="s">
        <v>41</v>
      </c>
      <c r="N1205" s="26">
        <f t="shared" si="126"/>
        <v>0</v>
      </c>
      <c r="O1205" s="42">
        <f t="shared" si="127"/>
        <v>45174</v>
      </c>
      <c r="P1205" s="5" t="str">
        <f t="shared" si="128"/>
        <v>Tuesday</v>
      </c>
      <c r="Q1205" s="5">
        <f t="shared" si="129"/>
        <v>9</v>
      </c>
      <c r="R1205" s="28">
        <f t="shared" si="130"/>
        <v>0.9880239520958084</v>
      </c>
      <c r="S1205" s="29">
        <f t="shared" si="131"/>
        <v>98.802395209580837</v>
      </c>
      <c r="T1205" s="5" t="str">
        <f>IF(Delivery_Data3[[#This Row],[Delays (min)]]&gt;0,"No","Yes")</f>
        <v>No</v>
      </c>
      <c r="W1205" s="41">
        <f t="shared" si="132"/>
        <v>45174</v>
      </c>
      <c r="X1205" s="5">
        <v>165</v>
      </c>
    </row>
    <row r="1206" spans="1:24" ht="15.75" customHeight="1" x14ac:dyDescent="0.3">
      <c r="A1206" s="4">
        <v>2205</v>
      </c>
      <c r="B1206" s="5" t="s">
        <v>1308</v>
      </c>
      <c r="C1206" s="6">
        <v>45171.695833333331</v>
      </c>
      <c r="D1206" s="5" t="s">
        <v>43</v>
      </c>
      <c r="E1206" s="5" t="s">
        <v>85</v>
      </c>
      <c r="F1206" s="5" t="s">
        <v>38</v>
      </c>
      <c r="G1206" s="5" t="s">
        <v>17</v>
      </c>
      <c r="H1206" s="5">
        <v>192</v>
      </c>
      <c r="I1206" s="5">
        <v>13</v>
      </c>
      <c r="J1206" s="5" t="s">
        <v>26</v>
      </c>
      <c r="K1206" s="5" t="s">
        <v>45</v>
      </c>
      <c r="L1206" s="5" t="s">
        <v>28</v>
      </c>
      <c r="M1206" s="7" t="s">
        <v>46</v>
      </c>
      <c r="N1206" s="26">
        <f t="shared" si="126"/>
        <v>1</v>
      </c>
      <c r="O1206" s="42">
        <f t="shared" si="127"/>
        <v>45171</v>
      </c>
      <c r="P1206" s="5" t="str">
        <f t="shared" si="128"/>
        <v>Saturday</v>
      </c>
      <c r="Q1206" s="5">
        <f t="shared" si="129"/>
        <v>16</v>
      </c>
      <c r="R1206" s="28">
        <f t="shared" si="130"/>
        <v>0.93658536585365859</v>
      </c>
      <c r="S1206" s="29">
        <f t="shared" si="131"/>
        <v>93.658536585365866</v>
      </c>
      <c r="T1206" s="5" t="str">
        <f>IF(Delivery_Data3[[#This Row],[Delays (min)]]&gt;0,"No","Yes")</f>
        <v>No</v>
      </c>
      <c r="W1206" s="41">
        <f t="shared" si="132"/>
        <v>45171</v>
      </c>
      <c r="X1206" s="5">
        <v>192</v>
      </c>
    </row>
    <row r="1207" spans="1:24" ht="15.75" customHeight="1" x14ac:dyDescent="0.3">
      <c r="A1207" s="4">
        <v>2206</v>
      </c>
      <c r="B1207" s="5" t="s">
        <v>1309</v>
      </c>
      <c r="C1207" s="6">
        <v>45172.56527777778</v>
      </c>
      <c r="D1207" s="5" t="s">
        <v>43</v>
      </c>
      <c r="E1207" s="5" t="s">
        <v>132</v>
      </c>
      <c r="F1207" s="5" t="s">
        <v>16</v>
      </c>
      <c r="G1207" s="5" t="s">
        <v>17</v>
      </c>
      <c r="H1207" s="5">
        <v>94</v>
      </c>
      <c r="I1207" s="5">
        <v>24</v>
      </c>
      <c r="J1207" s="5" t="s">
        <v>32</v>
      </c>
      <c r="K1207" s="5" t="s">
        <v>27</v>
      </c>
      <c r="L1207" s="5" t="s">
        <v>40</v>
      </c>
      <c r="M1207" s="7" t="s">
        <v>46</v>
      </c>
      <c r="N1207" s="26">
        <f t="shared" si="126"/>
        <v>-1</v>
      </c>
      <c r="O1207" s="42">
        <f t="shared" si="127"/>
        <v>45172</v>
      </c>
      <c r="P1207" s="5" t="str">
        <f t="shared" si="128"/>
        <v>Sunday</v>
      </c>
      <c r="Q1207" s="5">
        <f t="shared" si="129"/>
        <v>13</v>
      </c>
      <c r="R1207" s="28">
        <f t="shared" si="130"/>
        <v>0.79661016949152541</v>
      </c>
      <c r="S1207" s="29">
        <f t="shared" si="131"/>
        <v>79.66101694915254</v>
      </c>
      <c r="T1207" s="5" t="str">
        <f>IF(Delivery_Data3[[#This Row],[Delays (min)]]&gt;0,"No","Yes")</f>
        <v>No</v>
      </c>
      <c r="W1207" s="41">
        <f t="shared" si="132"/>
        <v>45172</v>
      </c>
      <c r="X1207" s="5">
        <v>94</v>
      </c>
    </row>
    <row r="1208" spans="1:24" ht="15.75" customHeight="1" x14ac:dyDescent="0.3">
      <c r="A1208" s="4">
        <v>2207</v>
      </c>
      <c r="B1208" s="5" t="s">
        <v>1310</v>
      </c>
      <c r="C1208" s="6">
        <v>45176.606944444444</v>
      </c>
      <c r="D1208" s="5" t="s">
        <v>43</v>
      </c>
      <c r="E1208" s="5" t="s">
        <v>311</v>
      </c>
      <c r="F1208" s="5" t="s">
        <v>16</v>
      </c>
      <c r="G1208" s="5" t="s">
        <v>56</v>
      </c>
      <c r="H1208" s="5">
        <v>90</v>
      </c>
      <c r="I1208" s="5">
        <v>20</v>
      </c>
      <c r="J1208" s="5" t="s">
        <v>32</v>
      </c>
      <c r="K1208" s="5" t="s">
        <v>49</v>
      </c>
      <c r="L1208" s="5" t="s">
        <v>20</v>
      </c>
      <c r="M1208" s="7" t="s">
        <v>21</v>
      </c>
      <c r="N1208" s="26">
        <f t="shared" si="126"/>
        <v>-1</v>
      </c>
      <c r="O1208" s="42">
        <f t="shared" si="127"/>
        <v>45176</v>
      </c>
      <c r="P1208" s="5" t="str">
        <f t="shared" si="128"/>
        <v>Thursday</v>
      </c>
      <c r="Q1208" s="5">
        <f t="shared" si="129"/>
        <v>14</v>
      </c>
      <c r="R1208" s="28">
        <f t="shared" si="130"/>
        <v>0.81818181818181823</v>
      </c>
      <c r="S1208" s="29">
        <f t="shared" si="131"/>
        <v>81.818181818181827</v>
      </c>
      <c r="T1208" s="5" t="str">
        <f>IF(Delivery_Data3[[#This Row],[Delays (min)]]&gt;0,"No","Yes")</f>
        <v>No</v>
      </c>
      <c r="W1208" s="41">
        <f t="shared" si="132"/>
        <v>45176</v>
      </c>
      <c r="X1208" s="5">
        <v>90</v>
      </c>
    </row>
    <row r="1209" spans="1:24" ht="15.75" customHeight="1" x14ac:dyDescent="0.3">
      <c r="A1209" s="4">
        <v>2208</v>
      </c>
      <c r="B1209" s="5" t="s">
        <v>1311</v>
      </c>
      <c r="C1209" s="6">
        <v>45176.688194444447</v>
      </c>
      <c r="D1209" s="5" t="s">
        <v>14</v>
      </c>
      <c r="E1209" s="5" t="s">
        <v>51</v>
      </c>
      <c r="F1209" s="5" t="s">
        <v>38</v>
      </c>
      <c r="G1209" s="5" t="s">
        <v>17</v>
      </c>
      <c r="H1209" s="5">
        <v>219</v>
      </c>
      <c r="I1209" s="5">
        <v>17</v>
      </c>
      <c r="J1209" s="5" t="s">
        <v>26</v>
      </c>
      <c r="K1209" s="5" t="s">
        <v>27</v>
      </c>
      <c r="L1209" s="5" t="s">
        <v>28</v>
      </c>
      <c r="M1209" s="7" t="s">
        <v>21</v>
      </c>
      <c r="N1209" s="26">
        <f t="shared" si="126"/>
        <v>1</v>
      </c>
      <c r="O1209" s="42">
        <f t="shared" si="127"/>
        <v>45176</v>
      </c>
      <c r="P1209" s="5" t="str">
        <f t="shared" si="128"/>
        <v>Thursday</v>
      </c>
      <c r="Q1209" s="5">
        <f t="shared" si="129"/>
        <v>16</v>
      </c>
      <c r="R1209" s="28">
        <f t="shared" si="130"/>
        <v>0.92796610169491522</v>
      </c>
      <c r="S1209" s="29">
        <f t="shared" si="131"/>
        <v>92.796610169491515</v>
      </c>
      <c r="T1209" s="5" t="str">
        <f>IF(Delivery_Data3[[#This Row],[Delays (min)]]&gt;0,"No","Yes")</f>
        <v>No</v>
      </c>
      <c r="W1209" s="41">
        <f t="shared" si="132"/>
        <v>45176</v>
      </c>
      <c r="X1209" s="5">
        <v>219</v>
      </c>
    </row>
    <row r="1210" spans="1:24" ht="15.75" customHeight="1" x14ac:dyDescent="0.3">
      <c r="A1210" s="4">
        <v>2209</v>
      </c>
      <c r="B1210" s="5" t="s">
        <v>1312</v>
      </c>
      <c r="C1210" s="6">
        <v>45170.539583333331</v>
      </c>
      <c r="D1210" s="5" t="s">
        <v>14</v>
      </c>
      <c r="E1210" s="5" t="s">
        <v>73</v>
      </c>
      <c r="F1210" s="5" t="s">
        <v>38</v>
      </c>
      <c r="G1210" s="5" t="s">
        <v>17</v>
      </c>
      <c r="H1210" s="5">
        <v>176</v>
      </c>
      <c r="I1210" s="5">
        <v>2</v>
      </c>
      <c r="J1210" s="5" t="s">
        <v>32</v>
      </c>
      <c r="K1210" s="5" t="s">
        <v>19</v>
      </c>
      <c r="L1210" s="5" t="s">
        <v>20</v>
      </c>
      <c r="M1210" s="7" t="s">
        <v>41</v>
      </c>
      <c r="N1210" s="26">
        <f t="shared" si="126"/>
        <v>-1</v>
      </c>
      <c r="O1210" s="42">
        <f t="shared" si="127"/>
        <v>45170</v>
      </c>
      <c r="P1210" s="5" t="str">
        <f t="shared" si="128"/>
        <v>Friday</v>
      </c>
      <c r="Q1210" s="5">
        <f t="shared" si="129"/>
        <v>12</v>
      </c>
      <c r="R1210" s="28">
        <f t="shared" si="130"/>
        <v>0.9887640449438202</v>
      </c>
      <c r="S1210" s="29">
        <f t="shared" si="131"/>
        <v>98.876404494382015</v>
      </c>
      <c r="T1210" s="5" t="str">
        <f>IF(Delivery_Data3[[#This Row],[Delays (min)]]&gt;0,"No","Yes")</f>
        <v>No</v>
      </c>
      <c r="W1210" s="41">
        <f t="shared" si="132"/>
        <v>45170</v>
      </c>
      <c r="X1210" s="5">
        <v>176</v>
      </c>
    </row>
    <row r="1211" spans="1:24" ht="15.75" customHeight="1" x14ac:dyDescent="0.3">
      <c r="A1211" s="4">
        <v>2210</v>
      </c>
      <c r="B1211" s="5" t="s">
        <v>1313</v>
      </c>
      <c r="C1211" s="6">
        <v>45171.408333333333</v>
      </c>
      <c r="D1211" s="5" t="s">
        <v>43</v>
      </c>
      <c r="E1211" s="5" t="s">
        <v>120</v>
      </c>
      <c r="F1211" s="5" t="s">
        <v>24</v>
      </c>
      <c r="G1211" s="5" t="s">
        <v>17</v>
      </c>
      <c r="H1211" s="5">
        <v>210</v>
      </c>
      <c r="I1211" s="5">
        <v>16</v>
      </c>
      <c r="J1211" s="5" t="s">
        <v>26</v>
      </c>
      <c r="K1211" s="5" t="s">
        <v>45</v>
      </c>
      <c r="L1211" s="5" t="s">
        <v>28</v>
      </c>
      <c r="M1211" s="7" t="s">
        <v>41</v>
      </c>
      <c r="N1211" s="26">
        <f t="shared" si="126"/>
        <v>1</v>
      </c>
      <c r="O1211" s="42">
        <f t="shared" si="127"/>
        <v>45171</v>
      </c>
      <c r="P1211" s="5" t="str">
        <f t="shared" si="128"/>
        <v>Saturday</v>
      </c>
      <c r="Q1211" s="5">
        <f t="shared" si="129"/>
        <v>9</v>
      </c>
      <c r="R1211" s="28">
        <f t="shared" si="130"/>
        <v>0.92920353982300885</v>
      </c>
      <c r="S1211" s="29">
        <f t="shared" si="131"/>
        <v>92.920353982300881</v>
      </c>
      <c r="T1211" s="5" t="str">
        <f>IF(Delivery_Data3[[#This Row],[Delays (min)]]&gt;0,"No","Yes")</f>
        <v>No</v>
      </c>
      <c r="W1211" s="41">
        <f t="shared" si="132"/>
        <v>45171</v>
      </c>
      <c r="X1211" s="5">
        <v>210</v>
      </c>
    </row>
    <row r="1212" spans="1:24" ht="15.75" customHeight="1" x14ac:dyDescent="0.3">
      <c r="A1212" s="4">
        <v>2211</v>
      </c>
      <c r="B1212" s="5" t="s">
        <v>1314</v>
      </c>
      <c r="C1212" s="6">
        <v>45174.680555555555</v>
      </c>
      <c r="D1212" s="5" t="s">
        <v>14</v>
      </c>
      <c r="E1212" s="5" t="s">
        <v>64</v>
      </c>
      <c r="F1212" s="5" t="s">
        <v>16</v>
      </c>
      <c r="G1212" s="5" t="s">
        <v>56</v>
      </c>
      <c r="H1212" s="5">
        <v>64</v>
      </c>
      <c r="I1212" s="5">
        <v>0</v>
      </c>
      <c r="J1212" s="5" t="s">
        <v>26</v>
      </c>
      <c r="K1212" s="5" t="s">
        <v>45</v>
      </c>
      <c r="L1212" s="5" t="s">
        <v>20</v>
      </c>
      <c r="M1212" s="7" t="s">
        <v>21</v>
      </c>
      <c r="N1212" s="26">
        <f t="shared" si="126"/>
        <v>1</v>
      </c>
      <c r="O1212" s="42">
        <f t="shared" si="127"/>
        <v>45174</v>
      </c>
      <c r="P1212" s="5" t="str">
        <f t="shared" si="128"/>
        <v>Tuesday</v>
      </c>
      <c r="Q1212" s="5">
        <f t="shared" si="129"/>
        <v>16</v>
      </c>
      <c r="R1212" s="28">
        <f t="shared" si="130"/>
        <v>1</v>
      </c>
      <c r="S1212" s="29">
        <f t="shared" si="131"/>
        <v>100</v>
      </c>
      <c r="T1212" s="5" t="str">
        <f>IF(Delivery_Data3[[#This Row],[Delays (min)]]&gt;0,"No","Yes")</f>
        <v>Yes</v>
      </c>
      <c r="W1212" s="41">
        <f t="shared" si="132"/>
        <v>45174</v>
      </c>
      <c r="X1212" s="5">
        <v>64</v>
      </c>
    </row>
    <row r="1213" spans="1:24" ht="15.75" customHeight="1" x14ac:dyDescent="0.3">
      <c r="A1213" s="4">
        <v>2212</v>
      </c>
      <c r="B1213" s="5" t="s">
        <v>1315</v>
      </c>
      <c r="C1213" s="6">
        <v>45170.69027777778</v>
      </c>
      <c r="D1213" s="5" t="s">
        <v>43</v>
      </c>
      <c r="E1213" s="5" t="s">
        <v>118</v>
      </c>
      <c r="F1213" s="5" t="s">
        <v>24</v>
      </c>
      <c r="G1213" s="5" t="s">
        <v>56</v>
      </c>
      <c r="H1213" s="5">
        <v>218</v>
      </c>
      <c r="I1213" s="5">
        <v>16</v>
      </c>
      <c r="J1213" s="5" t="s">
        <v>26</v>
      </c>
      <c r="K1213" s="5" t="s">
        <v>27</v>
      </c>
      <c r="L1213" s="5" t="s">
        <v>20</v>
      </c>
      <c r="M1213" s="7" t="s">
        <v>21</v>
      </c>
      <c r="N1213" s="26">
        <f t="shared" si="126"/>
        <v>1</v>
      </c>
      <c r="O1213" s="42">
        <f t="shared" si="127"/>
        <v>45170</v>
      </c>
      <c r="P1213" s="5" t="str">
        <f t="shared" si="128"/>
        <v>Friday</v>
      </c>
      <c r="Q1213" s="5">
        <f t="shared" si="129"/>
        <v>16</v>
      </c>
      <c r="R1213" s="28">
        <f t="shared" si="130"/>
        <v>0.93162393162393164</v>
      </c>
      <c r="S1213" s="29">
        <f t="shared" si="131"/>
        <v>93.162393162393158</v>
      </c>
      <c r="T1213" s="5" t="str">
        <f>IF(Delivery_Data3[[#This Row],[Delays (min)]]&gt;0,"No","Yes")</f>
        <v>No</v>
      </c>
      <c r="W1213" s="41">
        <f t="shared" si="132"/>
        <v>45170</v>
      </c>
      <c r="X1213" s="5">
        <v>218</v>
      </c>
    </row>
    <row r="1214" spans="1:24" ht="15.75" customHeight="1" x14ac:dyDescent="0.3">
      <c r="A1214" s="4">
        <v>2213</v>
      </c>
      <c r="B1214" s="5" t="s">
        <v>1316</v>
      </c>
      <c r="C1214" s="6">
        <v>45174.59652777778</v>
      </c>
      <c r="D1214" s="5" t="s">
        <v>14</v>
      </c>
      <c r="E1214" s="5" t="s">
        <v>48</v>
      </c>
      <c r="F1214" s="5" t="s">
        <v>38</v>
      </c>
      <c r="G1214" s="5" t="s">
        <v>39</v>
      </c>
      <c r="H1214" s="5">
        <v>198</v>
      </c>
      <c r="I1214" s="5">
        <v>23</v>
      </c>
      <c r="J1214" s="5" t="s">
        <v>26</v>
      </c>
      <c r="K1214" s="5" t="s">
        <v>35</v>
      </c>
      <c r="L1214" s="5" t="s">
        <v>28</v>
      </c>
      <c r="M1214" s="7" t="s">
        <v>21</v>
      </c>
      <c r="N1214" s="26">
        <f t="shared" si="126"/>
        <v>1</v>
      </c>
      <c r="O1214" s="42">
        <f t="shared" si="127"/>
        <v>45174</v>
      </c>
      <c r="P1214" s="5" t="str">
        <f t="shared" si="128"/>
        <v>Tuesday</v>
      </c>
      <c r="Q1214" s="5">
        <f t="shared" si="129"/>
        <v>14</v>
      </c>
      <c r="R1214" s="28">
        <f t="shared" si="130"/>
        <v>0.89592760180995479</v>
      </c>
      <c r="S1214" s="29">
        <f t="shared" si="131"/>
        <v>89.592760180995484</v>
      </c>
      <c r="T1214" s="5" t="str">
        <f>IF(Delivery_Data3[[#This Row],[Delays (min)]]&gt;0,"No","Yes")</f>
        <v>No</v>
      </c>
      <c r="W1214" s="41">
        <f t="shared" si="132"/>
        <v>45174</v>
      </c>
      <c r="X1214" s="5">
        <v>198</v>
      </c>
    </row>
    <row r="1215" spans="1:24" ht="15.75" customHeight="1" x14ac:dyDescent="0.3">
      <c r="A1215" s="4">
        <v>2214</v>
      </c>
      <c r="B1215" s="5" t="s">
        <v>1317</v>
      </c>
      <c r="C1215" s="6">
        <v>45170.453472222223</v>
      </c>
      <c r="D1215" s="5" t="s">
        <v>43</v>
      </c>
      <c r="E1215" s="5" t="s">
        <v>126</v>
      </c>
      <c r="F1215" s="5" t="s">
        <v>24</v>
      </c>
      <c r="G1215" s="5" t="s">
        <v>17</v>
      </c>
      <c r="H1215" s="5">
        <v>76</v>
      </c>
      <c r="I1215" s="5">
        <v>19</v>
      </c>
      <c r="J1215" s="5" t="s">
        <v>32</v>
      </c>
      <c r="K1215" s="5" t="s">
        <v>27</v>
      </c>
      <c r="L1215" s="5" t="s">
        <v>40</v>
      </c>
      <c r="M1215" s="7" t="s">
        <v>21</v>
      </c>
      <c r="N1215" s="26">
        <f t="shared" si="126"/>
        <v>-1</v>
      </c>
      <c r="O1215" s="42">
        <f t="shared" si="127"/>
        <v>45170</v>
      </c>
      <c r="P1215" s="5" t="str">
        <f t="shared" si="128"/>
        <v>Friday</v>
      </c>
      <c r="Q1215" s="5">
        <f t="shared" si="129"/>
        <v>10</v>
      </c>
      <c r="R1215" s="28">
        <f t="shared" si="130"/>
        <v>0.8</v>
      </c>
      <c r="S1215" s="29">
        <f t="shared" si="131"/>
        <v>80</v>
      </c>
      <c r="T1215" s="5" t="str">
        <f>IF(Delivery_Data3[[#This Row],[Delays (min)]]&gt;0,"No","Yes")</f>
        <v>No</v>
      </c>
      <c r="W1215" s="41">
        <f t="shared" si="132"/>
        <v>45170</v>
      </c>
      <c r="X1215" s="5">
        <v>76</v>
      </c>
    </row>
    <row r="1216" spans="1:24" ht="15.75" customHeight="1" x14ac:dyDescent="0.3">
      <c r="A1216" s="4">
        <v>2215</v>
      </c>
      <c r="B1216" s="5" t="s">
        <v>1318</v>
      </c>
      <c r="C1216" s="6">
        <v>45176.368055555555</v>
      </c>
      <c r="D1216" s="5" t="s">
        <v>43</v>
      </c>
      <c r="E1216" s="5" t="s">
        <v>130</v>
      </c>
      <c r="F1216" s="5" t="s">
        <v>24</v>
      </c>
      <c r="G1216" s="5" t="s">
        <v>31</v>
      </c>
      <c r="H1216" s="5">
        <v>148</v>
      </c>
      <c r="I1216" s="5">
        <v>20</v>
      </c>
      <c r="J1216" s="5" t="s">
        <v>32</v>
      </c>
      <c r="K1216" s="5" t="s">
        <v>45</v>
      </c>
      <c r="L1216" s="5" t="s">
        <v>40</v>
      </c>
      <c r="M1216" s="7" t="s">
        <v>41</v>
      </c>
      <c r="N1216" s="26">
        <f t="shared" si="126"/>
        <v>-1</v>
      </c>
      <c r="O1216" s="42">
        <f t="shared" si="127"/>
        <v>45176</v>
      </c>
      <c r="P1216" s="5" t="str">
        <f t="shared" si="128"/>
        <v>Thursday</v>
      </c>
      <c r="Q1216" s="5">
        <f t="shared" si="129"/>
        <v>8</v>
      </c>
      <c r="R1216" s="28">
        <f t="shared" si="130"/>
        <v>0.88095238095238093</v>
      </c>
      <c r="S1216" s="29">
        <f t="shared" si="131"/>
        <v>88.095238095238088</v>
      </c>
      <c r="T1216" s="5" t="str">
        <f>IF(Delivery_Data3[[#This Row],[Delays (min)]]&gt;0,"No","Yes")</f>
        <v>No</v>
      </c>
      <c r="W1216" s="41">
        <f t="shared" si="132"/>
        <v>45176</v>
      </c>
      <c r="X1216" s="5">
        <v>148</v>
      </c>
    </row>
    <row r="1217" spans="1:24" ht="15.75" customHeight="1" x14ac:dyDescent="0.3">
      <c r="A1217" s="4">
        <v>2216</v>
      </c>
      <c r="B1217" s="5" t="s">
        <v>1319</v>
      </c>
      <c r="C1217" s="6">
        <v>45177.441666666666</v>
      </c>
      <c r="D1217" s="5" t="s">
        <v>43</v>
      </c>
      <c r="E1217" s="5" t="s">
        <v>306</v>
      </c>
      <c r="F1217" s="5" t="s">
        <v>38</v>
      </c>
      <c r="G1217" s="5" t="s">
        <v>31</v>
      </c>
      <c r="H1217" s="5">
        <v>161</v>
      </c>
      <c r="I1217" s="5">
        <v>3</v>
      </c>
      <c r="J1217" s="5" t="s">
        <v>26</v>
      </c>
      <c r="K1217" s="5" t="s">
        <v>45</v>
      </c>
      <c r="L1217" s="5" t="s">
        <v>40</v>
      </c>
      <c r="M1217" s="7" t="s">
        <v>41</v>
      </c>
      <c r="N1217" s="26">
        <f t="shared" si="126"/>
        <v>1</v>
      </c>
      <c r="O1217" s="42">
        <f t="shared" si="127"/>
        <v>45177</v>
      </c>
      <c r="P1217" s="5" t="str">
        <f t="shared" si="128"/>
        <v>Friday</v>
      </c>
      <c r="Q1217" s="5">
        <f t="shared" si="129"/>
        <v>10</v>
      </c>
      <c r="R1217" s="28">
        <f t="shared" si="130"/>
        <v>0.98170731707317072</v>
      </c>
      <c r="S1217" s="29">
        <f t="shared" si="131"/>
        <v>98.170731707317074</v>
      </c>
      <c r="T1217" s="5" t="str">
        <f>IF(Delivery_Data3[[#This Row],[Delays (min)]]&gt;0,"No","Yes")</f>
        <v>No</v>
      </c>
      <c r="W1217" s="41">
        <f t="shared" si="132"/>
        <v>45177</v>
      </c>
      <c r="X1217" s="5">
        <v>161</v>
      </c>
    </row>
    <row r="1218" spans="1:24" ht="15.75" customHeight="1" x14ac:dyDescent="0.3">
      <c r="A1218" s="4">
        <v>2217</v>
      </c>
      <c r="B1218" s="5" t="s">
        <v>1320</v>
      </c>
      <c r="C1218" s="6">
        <v>45177.652777777781</v>
      </c>
      <c r="D1218" s="5" t="s">
        <v>43</v>
      </c>
      <c r="E1218" s="5" t="s">
        <v>301</v>
      </c>
      <c r="F1218" s="5" t="s">
        <v>38</v>
      </c>
      <c r="G1218" s="5" t="s">
        <v>17</v>
      </c>
      <c r="H1218" s="5">
        <v>121</v>
      </c>
      <c r="I1218" s="5">
        <v>10</v>
      </c>
      <c r="J1218" s="5" t="s">
        <v>26</v>
      </c>
      <c r="K1218" s="5" t="s">
        <v>49</v>
      </c>
      <c r="L1218" s="5" t="s">
        <v>28</v>
      </c>
      <c r="M1218" s="7" t="s">
        <v>21</v>
      </c>
      <c r="N1218" s="26">
        <f t="shared" ref="N1218:N1281" si="133">IF(J1218="Positive",1,IF(J1218="Neutral",0,IF(J1218="Negative",-1,"")))</f>
        <v>1</v>
      </c>
      <c r="O1218" s="42">
        <f t="shared" ref="O1218:O1281" si="134">INT(C1218)</f>
        <v>45177</v>
      </c>
      <c r="P1218" s="5" t="str">
        <f t="shared" ref="P1218:P1281" si="135">TEXT(C1218,"dddd")</f>
        <v>Friday</v>
      </c>
      <c r="Q1218" s="5">
        <f t="shared" ref="Q1218:Q1281" si="136">HOUR(C1218)</f>
        <v>15</v>
      </c>
      <c r="R1218" s="28">
        <f t="shared" ref="R1218:R1281" si="137">H1218/(H1218+I1218)</f>
        <v>0.92366412213740456</v>
      </c>
      <c r="S1218" s="29">
        <f t="shared" si="131"/>
        <v>92.36641221374046</v>
      </c>
      <c r="T1218" s="5" t="str">
        <f>IF(Delivery_Data3[[#This Row],[Delays (min)]]&gt;0,"No","Yes")</f>
        <v>No</v>
      </c>
      <c r="W1218" s="41">
        <f t="shared" si="132"/>
        <v>45177</v>
      </c>
      <c r="X1218" s="5">
        <v>121</v>
      </c>
    </row>
    <row r="1219" spans="1:24" ht="15.75" customHeight="1" x14ac:dyDescent="0.3">
      <c r="A1219" s="4">
        <v>2218</v>
      </c>
      <c r="B1219" s="5" t="s">
        <v>1321</v>
      </c>
      <c r="C1219" s="6">
        <v>45175.495138888888</v>
      </c>
      <c r="D1219" s="5" t="s">
        <v>14</v>
      </c>
      <c r="E1219" s="5" t="s">
        <v>30</v>
      </c>
      <c r="F1219" s="5" t="s">
        <v>38</v>
      </c>
      <c r="G1219" s="5" t="s">
        <v>17</v>
      </c>
      <c r="H1219" s="5">
        <v>145</v>
      </c>
      <c r="I1219" s="5">
        <v>9</v>
      </c>
      <c r="J1219" s="5" t="s">
        <v>32</v>
      </c>
      <c r="K1219" s="5" t="s">
        <v>35</v>
      </c>
      <c r="L1219" s="5" t="s">
        <v>40</v>
      </c>
      <c r="M1219" s="7" t="s">
        <v>41</v>
      </c>
      <c r="N1219" s="26">
        <f t="shared" si="133"/>
        <v>-1</v>
      </c>
      <c r="O1219" s="42">
        <f t="shared" si="134"/>
        <v>45175</v>
      </c>
      <c r="P1219" s="5" t="str">
        <f t="shared" si="135"/>
        <v>Wednesday</v>
      </c>
      <c r="Q1219" s="5">
        <f t="shared" si="136"/>
        <v>11</v>
      </c>
      <c r="R1219" s="28">
        <f t="shared" si="137"/>
        <v>0.94155844155844159</v>
      </c>
      <c r="S1219" s="29">
        <f t="shared" ref="S1219:S1282" si="138">IF(H1219+I1219=0,0,(H1219/(H1219+I1219))*100) + (IFERROR(--J1219,0)*10)</f>
        <v>94.155844155844164</v>
      </c>
      <c r="T1219" s="5" t="str">
        <f>IF(Delivery_Data3[[#This Row],[Delays (min)]]&gt;0,"No","Yes")</f>
        <v>No</v>
      </c>
      <c r="W1219" s="41">
        <f t="shared" ref="W1219:W1282" si="139">INT(C1219)</f>
        <v>45175</v>
      </c>
      <c r="X1219" s="5">
        <v>145</v>
      </c>
    </row>
    <row r="1220" spans="1:24" ht="15.75" customHeight="1" x14ac:dyDescent="0.3">
      <c r="A1220" s="4">
        <v>2219</v>
      </c>
      <c r="B1220" s="5" t="s">
        <v>1322</v>
      </c>
      <c r="C1220" s="6">
        <v>45176.680555555555</v>
      </c>
      <c r="D1220" s="5" t="s">
        <v>14</v>
      </c>
      <c r="E1220" s="5" t="s">
        <v>115</v>
      </c>
      <c r="F1220" s="5" t="s">
        <v>38</v>
      </c>
      <c r="G1220" s="5" t="s">
        <v>31</v>
      </c>
      <c r="H1220" s="5">
        <v>220</v>
      </c>
      <c r="I1220" s="5">
        <v>22</v>
      </c>
      <c r="J1220" s="5" t="s">
        <v>18</v>
      </c>
      <c r="K1220" s="5" t="s">
        <v>35</v>
      </c>
      <c r="L1220" s="5" t="s">
        <v>20</v>
      </c>
      <c r="M1220" s="7" t="s">
        <v>46</v>
      </c>
      <c r="N1220" s="26">
        <f t="shared" si="133"/>
        <v>0</v>
      </c>
      <c r="O1220" s="42">
        <f t="shared" si="134"/>
        <v>45176</v>
      </c>
      <c r="P1220" s="5" t="str">
        <f t="shared" si="135"/>
        <v>Thursday</v>
      </c>
      <c r="Q1220" s="5">
        <f t="shared" si="136"/>
        <v>16</v>
      </c>
      <c r="R1220" s="28">
        <f t="shared" si="137"/>
        <v>0.90909090909090906</v>
      </c>
      <c r="S1220" s="29">
        <f t="shared" si="138"/>
        <v>90.909090909090907</v>
      </c>
      <c r="T1220" s="5" t="str">
        <f>IF(Delivery_Data3[[#This Row],[Delays (min)]]&gt;0,"No","Yes")</f>
        <v>No</v>
      </c>
      <c r="W1220" s="41">
        <f t="shared" si="139"/>
        <v>45176</v>
      </c>
      <c r="X1220" s="5">
        <v>220</v>
      </c>
    </row>
    <row r="1221" spans="1:24" ht="15.75" customHeight="1" x14ac:dyDescent="0.3">
      <c r="A1221" s="4">
        <v>2220</v>
      </c>
      <c r="B1221" s="5" t="s">
        <v>1323</v>
      </c>
      <c r="C1221" s="6">
        <v>45176.595833333333</v>
      </c>
      <c r="D1221" s="5" t="s">
        <v>14</v>
      </c>
      <c r="E1221" s="5" t="s">
        <v>306</v>
      </c>
      <c r="F1221" s="5" t="s">
        <v>38</v>
      </c>
      <c r="G1221" s="5" t="s">
        <v>31</v>
      </c>
      <c r="H1221" s="5">
        <v>219</v>
      </c>
      <c r="I1221" s="5">
        <v>21</v>
      </c>
      <c r="J1221" s="5" t="s">
        <v>26</v>
      </c>
      <c r="K1221" s="5" t="s">
        <v>35</v>
      </c>
      <c r="L1221" s="5" t="s">
        <v>20</v>
      </c>
      <c r="M1221" s="7" t="s">
        <v>41</v>
      </c>
      <c r="N1221" s="26">
        <f t="shared" si="133"/>
        <v>1</v>
      </c>
      <c r="O1221" s="42">
        <f t="shared" si="134"/>
        <v>45176</v>
      </c>
      <c r="P1221" s="5" t="str">
        <f t="shared" si="135"/>
        <v>Thursday</v>
      </c>
      <c r="Q1221" s="5">
        <f t="shared" si="136"/>
        <v>14</v>
      </c>
      <c r="R1221" s="28">
        <f t="shared" si="137"/>
        <v>0.91249999999999998</v>
      </c>
      <c r="S1221" s="29">
        <f t="shared" si="138"/>
        <v>91.25</v>
      </c>
      <c r="T1221" s="5" t="str">
        <f>IF(Delivery_Data3[[#This Row],[Delays (min)]]&gt;0,"No","Yes")</f>
        <v>No</v>
      </c>
      <c r="W1221" s="41">
        <f t="shared" si="139"/>
        <v>45176</v>
      </c>
      <c r="X1221" s="5">
        <v>219</v>
      </c>
    </row>
    <row r="1222" spans="1:24" ht="15.75" customHeight="1" x14ac:dyDescent="0.3">
      <c r="A1222" s="4">
        <v>2221</v>
      </c>
      <c r="B1222" s="5" t="s">
        <v>1324</v>
      </c>
      <c r="C1222" s="6">
        <v>45171.53402777778</v>
      </c>
      <c r="D1222" s="5" t="s">
        <v>43</v>
      </c>
      <c r="E1222" s="5" t="s">
        <v>160</v>
      </c>
      <c r="F1222" s="5" t="s">
        <v>24</v>
      </c>
      <c r="G1222" s="5" t="s">
        <v>31</v>
      </c>
      <c r="H1222" s="5">
        <v>186</v>
      </c>
      <c r="I1222" s="5">
        <v>17</v>
      </c>
      <c r="J1222" s="5" t="s">
        <v>32</v>
      </c>
      <c r="K1222" s="5" t="s">
        <v>35</v>
      </c>
      <c r="L1222" s="5" t="s">
        <v>40</v>
      </c>
      <c r="M1222" s="7" t="s">
        <v>41</v>
      </c>
      <c r="N1222" s="26">
        <f t="shared" si="133"/>
        <v>-1</v>
      </c>
      <c r="O1222" s="42">
        <f t="shared" si="134"/>
        <v>45171</v>
      </c>
      <c r="P1222" s="5" t="str">
        <f t="shared" si="135"/>
        <v>Saturday</v>
      </c>
      <c r="Q1222" s="5">
        <f t="shared" si="136"/>
        <v>12</v>
      </c>
      <c r="R1222" s="28">
        <f t="shared" si="137"/>
        <v>0.91625615763546797</v>
      </c>
      <c r="S1222" s="29">
        <f t="shared" si="138"/>
        <v>91.62561576354679</v>
      </c>
      <c r="T1222" s="5" t="str">
        <f>IF(Delivery_Data3[[#This Row],[Delays (min)]]&gt;0,"No","Yes")</f>
        <v>No</v>
      </c>
      <c r="W1222" s="41">
        <f t="shared" si="139"/>
        <v>45171</v>
      </c>
      <c r="X1222" s="5">
        <v>186</v>
      </c>
    </row>
    <row r="1223" spans="1:24" ht="15.75" customHeight="1" x14ac:dyDescent="0.3">
      <c r="A1223" s="4">
        <v>2222</v>
      </c>
      <c r="B1223" s="5" t="s">
        <v>1325</v>
      </c>
      <c r="C1223" s="6">
        <v>45172.615277777775</v>
      </c>
      <c r="D1223" s="5" t="s">
        <v>43</v>
      </c>
      <c r="E1223" s="5" t="s">
        <v>85</v>
      </c>
      <c r="F1223" s="5" t="s">
        <v>38</v>
      </c>
      <c r="G1223" s="5" t="s">
        <v>17</v>
      </c>
      <c r="H1223" s="5">
        <v>229</v>
      </c>
      <c r="I1223" s="5">
        <v>18</v>
      </c>
      <c r="J1223" s="5" t="s">
        <v>18</v>
      </c>
      <c r="K1223" s="5" t="s">
        <v>35</v>
      </c>
      <c r="L1223" s="5" t="s">
        <v>40</v>
      </c>
      <c r="M1223" s="7" t="s">
        <v>21</v>
      </c>
      <c r="N1223" s="26">
        <f t="shared" si="133"/>
        <v>0</v>
      </c>
      <c r="O1223" s="42">
        <f t="shared" si="134"/>
        <v>45172</v>
      </c>
      <c r="P1223" s="5" t="str">
        <f t="shared" si="135"/>
        <v>Sunday</v>
      </c>
      <c r="Q1223" s="5">
        <f t="shared" si="136"/>
        <v>14</v>
      </c>
      <c r="R1223" s="28">
        <f t="shared" si="137"/>
        <v>0.92712550607287447</v>
      </c>
      <c r="S1223" s="29">
        <f t="shared" si="138"/>
        <v>92.712550607287454</v>
      </c>
      <c r="T1223" s="5" t="str">
        <f>IF(Delivery_Data3[[#This Row],[Delays (min)]]&gt;0,"No","Yes")</f>
        <v>No</v>
      </c>
      <c r="W1223" s="41">
        <f t="shared" si="139"/>
        <v>45172</v>
      </c>
      <c r="X1223" s="5">
        <v>229</v>
      </c>
    </row>
    <row r="1224" spans="1:24" ht="15.75" customHeight="1" x14ac:dyDescent="0.3">
      <c r="A1224" s="4">
        <v>2223</v>
      </c>
      <c r="B1224" s="5" t="s">
        <v>1326</v>
      </c>
      <c r="C1224" s="6">
        <v>45172.470833333333</v>
      </c>
      <c r="D1224" s="5" t="s">
        <v>14</v>
      </c>
      <c r="E1224" s="5" t="s">
        <v>240</v>
      </c>
      <c r="F1224" s="5" t="s">
        <v>38</v>
      </c>
      <c r="G1224" s="5" t="s">
        <v>56</v>
      </c>
      <c r="H1224" s="5">
        <v>123</v>
      </c>
      <c r="I1224" s="5">
        <v>19</v>
      </c>
      <c r="J1224" s="5" t="s">
        <v>26</v>
      </c>
      <c r="K1224" s="5" t="s">
        <v>49</v>
      </c>
      <c r="L1224" s="5" t="s">
        <v>40</v>
      </c>
      <c r="M1224" s="7" t="s">
        <v>41</v>
      </c>
      <c r="N1224" s="26">
        <f t="shared" si="133"/>
        <v>1</v>
      </c>
      <c r="O1224" s="42">
        <f t="shared" si="134"/>
        <v>45172</v>
      </c>
      <c r="P1224" s="5" t="str">
        <f t="shared" si="135"/>
        <v>Sunday</v>
      </c>
      <c r="Q1224" s="5">
        <f t="shared" si="136"/>
        <v>11</v>
      </c>
      <c r="R1224" s="28">
        <f t="shared" si="137"/>
        <v>0.86619718309859151</v>
      </c>
      <c r="S1224" s="29">
        <f t="shared" si="138"/>
        <v>86.619718309859152</v>
      </c>
      <c r="T1224" s="5" t="str">
        <f>IF(Delivery_Data3[[#This Row],[Delays (min)]]&gt;0,"No","Yes")</f>
        <v>No</v>
      </c>
      <c r="W1224" s="41">
        <f t="shared" si="139"/>
        <v>45172</v>
      </c>
      <c r="X1224" s="5">
        <v>123</v>
      </c>
    </row>
    <row r="1225" spans="1:24" ht="15.75" customHeight="1" x14ac:dyDescent="0.3">
      <c r="A1225" s="4">
        <v>2224</v>
      </c>
      <c r="B1225" s="5" t="s">
        <v>1327</v>
      </c>
      <c r="C1225" s="6">
        <v>45172.402083333334</v>
      </c>
      <c r="D1225" s="5" t="s">
        <v>14</v>
      </c>
      <c r="E1225" s="5" t="s">
        <v>187</v>
      </c>
      <c r="F1225" s="5" t="s">
        <v>38</v>
      </c>
      <c r="G1225" s="5" t="s">
        <v>39</v>
      </c>
      <c r="H1225" s="5">
        <v>176</v>
      </c>
      <c r="I1225" s="5">
        <v>12</v>
      </c>
      <c r="J1225" s="5" t="s">
        <v>26</v>
      </c>
      <c r="K1225" s="5" t="s">
        <v>45</v>
      </c>
      <c r="L1225" s="5" t="s">
        <v>40</v>
      </c>
      <c r="M1225" s="7" t="s">
        <v>21</v>
      </c>
      <c r="N1225" s="26">
        <f t="shared" si="133"/>
        <v>1</v>
      </c>
      <c r="O1225" s="42">
        <f t="shared" si="134"/>
        <v>45172</v>
      </c>
      <c r="P1225" s="5" t="str">
        <f t="shared" si="135"/>
        <v>Sunday</v>
      </c>
      <c r="Q1225" s="5">
        <f t="shared" si="136"/>
        <v>9</v>
      </c>
      <c r="R1225" s="28">
        <f t="shared" si="137"/>
        <v>0.93617021276595747</v>
      </c>
      <c r="S1225" s="29">
        <f t="shared" si="138"/>
        <v>93.61702127659575</v>
      </c>
      <c r="T1225" s="5" t="str">
        <f>IF(Delivery_Data3[[#This Row],[Delays (min)]]&gt;0,"No","Yes")</f>
        <v>No</v>
      </c>
      <c r="W1225" s="41">
        <f t="shared" si="139"/>
        <v>45172</v>
      </c>
      <c r="X1225" s="5">
        <v>176</v>
      </c>
    </row>
    <row r="1226" spans="1:24" ht="15.75" customHeight="1" x14ac:dyDescent="0.3">
      <c r="A1226" s="4">
        <v>2225</v>
      </c>
      <c r="B1226" s="5" t="s">
        <v>1328</v>
      </c>
      <c r="C1226" s="6">
        <v>45172.618750000001</v>
      </c>
      <c r="D1226" s="5" t="s">
        <v>14</v>
      </c>
      <c r="E1226" s="5" t="s">
        <v>120</v>
      </c>
      <c r="F1226" s="5" t="s">
        <v>24</v>
      </c>
      <c r="G1226" s="5" t="s">
        <v>31</v>
      </c>
      <c r="H1226" s="5">
        <v>141</v>
      </c>
      <c r="I1226" s="5">
        <v>29</v>
      </c>
      <c r="J1226" s="5" t="s">
        <v>32</v>
      </c>
      <c r="K1226" s="5" t="s">
        <v>35</v>
      </c>
      <c r="L1226" s="5" t="s">
        <v>20</v>
      </c>
      <c r="M1226" s="7" t="s">
        <v>46</v>
      </c>
      <c r="N1226" s="26">
        <f t="shared" si="133"/>
        <v>-1</v>
      </c>
      <c r="O1226" s="42">
        <f t="shared" si="134"/>
        <v>45172</v>
      </c>
      <c r="P1226" s="5" t="str">
        <f t="shared" si="135"/>
        <v>Sunday</v>
      </c>
      <c r="Q1226" s="5">
        <f t="shared" si="136"/>
        <v>14</v>
      </c>
      <c r="R1226" s="28">
        <f t="shared" si="137"/>
        <v>0.8294117647058824</v>
      </c>
      <c r="S1226" s="29">
        <f t="shared" si="138"/>
        <v>82.941176470588246</v>
      </c>
      <c r="T1226" s="5" t="str">
        <f>IF(Delivery_Data3[[#This Row],[Delays (min)]]&gt;0,"No","Yes")</f>
        <v>No</v>
      </c>
      <c r="W1226" s="41">
        <f t="shared" si="139"/>
        <v>45172</v>
      </c>
      <c r="X1226" s="5">
        <v>141</v>
      </c>
    </row>
    <row r="1227" spans="1:24" ht="15.75" customHeight="1" x14ac:dyDescent="0.3">
      <c r="A1227" s="4">
        <v>2226</v>
      </c>
      <c r="B1227" s="5" t="s">
        <v>1329</v>
      </c>
      <c r="C1227" s="6">
        <v>45173.419444444444</v>
      </c>
      <c r="D1227" s="5" t="s">
        <v>14</v>
      </c>
      <c r="E1227" s="5" t="s">
        <v>200</v>
      </c>
      <c r="F1227" s="5" t="s">
        <v>24</v>
      </c>
      <c r="G1227" s="5" t="s">
        <v>25</v>
      </c>
      <c r="H1227" s="5">
        <v>170</v>
      </c>
      <c r="I1227" s="5">
        <v>23</v>
      </c>
      <c r="J1227" s="5" t="s">
        <v>18</v>
      </c>
      <c r="K1227" s="5" t="s">
        <v>49</v>
      </c>
      <c r="L1227" s="5" t="s">
        <v>28</v>
      </c>
      <c r="M1227" s="7" t="s">
        <v>21</v>
      </c>
      <c r="N1227" s="26">
        <f t="shared" si="133"/>
        <v>0</v>
      </c>
      <c r="O1227" s="42">
        <f t="shared" si="134"/>
        <v>45173</v>
      </c>
      <c r="P1227" s="5" t="str">
        <f t="shared" si="135"/>
        <v>Monday</v>
      </c>
      <c r="Q1227" s="5">
        <f t="shared" si="136"/>
        <v>10</v>
      </c>
      <c r="R1227" s="28">
        <f t="shared" si="137"/>
        <v>0.88082901554404147</v>
      </c>
      <c r="S1227" s="29">
        <f t="shared" si="138"/>
        <v>88.082901554404145</v>
      </c>
      <c r="T1227" s="5" t="str">
        <f>IF(Delivery_Data3[[#This Row],[Delays (min)]]&gt;0,"No","Yes")</f>
        <v>No</v>
      </c>
      <c r="W1227" s="41">
        <f t="shared" si="139"/>
        <v>45173</v>
      </c>
      <c r="X1227" s="5">
        <v>170</v>
      </c>
    </row>
    <row r="1228" spans="1:24" ht="15.75" customHeight="1" x14ac:dyDescent="0.3">
      <c r="A1228" s="4">
        <v>2227</v>
      </c>
      <c r="B1228" s="5" t="s">
        <v>230</v>
      </c>
      <c r="C1228" s="6">
        <v>45174.417361111111</v>
      </c>
      <c r="D1228" s="5" t="s">
        <v>14</v>
      </c>
      <c r="E1228" s="5" t="s">
        <v>53</v>
      </c>
      <c r="F1228" s="5" t="s">
        <v>16</v>
      </c>
      <c r="G1228" s="5" t="s">
        <v>39</v>
      </c>
      <c r="H1228" s="5">
        <v>94</v>
      </c>
      <c r="I1228" s="5">
        <v>19</v>
      </c>
      <c r="J1228" s="5" t="s">
        <v>32</v>
      </c>
      <c r="K1228" s="5" t="s">
        <v>49</v>
      </c>
      <c r="L1228" s="5" t="s">
        <v>20</v>
      </c>
      <c r="M1228" s="7" t="s">
        <v>21</v>
      </c>
      <c r="N1228" s="26">
        <f t="shared" si="133"/>
        <v>-1</v>
      </c>
      <c r="O1228" s="42">
        <f t="shared" si="134"/>
        <v>45174</v>
      </c>
      <c r="P1228" s="5" t="str">
        <f t="shared" si="135"/>
        <v>Tuesday</v>
      </c>
      <c r="Q1228" s="5">
        <f t="shared" si="136"/>
        <v>10</v>
      </c>
      <c r="R1228" s="28">
        <f t="shared" si="137"/>
        <v>0.83185840707964598</v>
      </c>
      <c r="S1228" s="29">
        <f t="shared" si="138"/>
        <v>83.185840707964601</v>
      </c>
      <c r="T1228" s="5" t="str">
        <f>IF(Delivery_Data3[[#This Row],[Delays (min)]]&gt;0,"No","Yes")</f>
        <v>No</v>
      </c>
      <c r="W1228" s="41">
        <f t="shared" si="139"/>
        <v>45174</v>
      </c>
      <c r="X1228" s="5">
        <v>94</v>
      </c>
    </row>
    <row r="1229" spans="1:24" ht="15.75" customHeight="1" x14ac:dyDescent="0.3">
      <c r="A1229" s="4">
        <v>2228</v>
      </c>
      <c r="B1229" s="5" t="s">
        <v>1330</v>
      </c>
      <c r="C1229" s="6">
        <v>45174.376388888886</v>
      </c>
      <c r="D1229" s="5" t="s">
        <v>43</v>
      </c>
      <c r="E1229" s="5" t="s">
        <v>234</v>
      </c>
      <c r="F1229" s="5" t="s">
        <v>16</v>
      </c>
      <c r="G1229" s="5" t="s">
        <v>25</v>
      </c>
      <c r="H1229" s="5">
        <v>145</v>
      </c>
      <c r="I1229" s="5">
        <v>5</v>
      </c>
      <c r="J1229" s="5" t="s">
        <v>32</v>
      </c>
      <c r="K1229" s="5" t="s">
        <v>45</v>
      </c>
      <c r="L1229" s="5" t="s">
        <v>40</v>
      </c>
      <c r="M1229" s="7" t="s">
        <v>41</v>
      </c>
      <c r="N1229" s="26">
        <f t="shared" si="133"/>
        <v>-1</v>
      </c>
      <c r="O1229" s="42">
        <f t="shared" si="134"/>
        <v>45174</v>
      </c>
      <c r="P1229" s="5" t="str">
        <f t="shared" si="135"/>
        <v>Tuesday</v>
      </c>
      <c r="Q1229" s="5">
        <f t="shared" si="136"/>
        <v>9</v>
      </c>
      <c r="R1229" s="28">
        <f t="shared" si="137"/>
        <v>0.96666666666666667</v>
      </c>
      <c r="S1229" s="29">
        <f t="shared" si="138"/>
        <v>96.666666666666671</v>
      </c>
      <c r="T1229" s="5" t="str">
        <f>IF(Delivery_Data3[[#This Row],[Delays (min)]]&gt;0,"No","Yes")</f>
        <v>No</v>
      </c>
      <c r="W1229" s="41">
        <f t="shared" si="139"/>
        <v>45174</v>
      </c>
      <c r="X1229" s="5">
        <v>145</v>
      </c>
    </row>
    <row r="1230" spans="1:24" ht="15.75" customHeight="1" x14ac:dyDescent="0.3">
      <c r="A1230" s="4">
        <v>2229</v>
      </c>
      <c r="B1230" s="5" t="s">
        <v>717</v>
      </c>
      <c r="C1230" s="6">
        <v>45174.443749999999</v>
      </c>
      <c r="D1230" s="5" t="s">
        <v>43</v>
      </c>
      <c r="E1230" s="5" t="s">
        <v>267</v>
      </c>
      <c r="F1230" s="5" t="s">
        <v>24</v>
      </c>
      <c r="G1230" s="5" t="s">
        <v>56</v>
      </c>
      <c r="H1230" s="5">
        <v>71</v>
      </c>
      <c r="I1230" s="5">
        <v>5</v>
      </c>
      <c r="J1230" s="5" t="s">
        <v>18</v>
      </c>
      <c r="K1230" s="5" t="s">
        <v>45</v>
      </c>
      <c r="L1230" s="5" t="s">
        <v>28</v>
      </c>
      <c r="M1230" s="7" t="s">
        <v>41</v>
      </c>
      <c r="N1230" s="26">
        <f t="shared" si="133"/>
        <v>0</v>
      </c>
      <c r="O1230" s="42">
        <f t="shared" si="134"/>
        <v>45174</v>
      </c>
      <c r="P1230" s="5" t="str">
        <f t="shared" si="135"/>
        <v>Tuesday</v>
      </c>
      <c r="Q1230" s="5">
        <f t="shared" si="136"/>
        <v>10</v>
      </c>
      <c r="R1230" s="28">
        <f t="shared" si="137"/>
        <v>0.93421052631578949</v>
      </c>
      <c r="S1230" s="29">
        <f t="shared" si="138"/>
        <v>93.421052631578945</v>
      </c>
      <c r="T1230" s="5" t="str">
        <f>IF(Delivery_Data3[[#This Row],[Delays (min)]]&gt;0,"No","Yes")</f>
        <v>No</v>
      </c>
      <c r="W1230" s="41">
        <f t="shared" si="139"/>
        <v>45174</v>
      </c>
      <c r="X1230" s="5">
        <v>71</v>
      </c>
    </row>
    <row r="1231" spans="1:24" ht="15.75" customHeight="1" x14ac:dyDescent="0.3">
      <c r="A1231" s="4">
        <v>2230</v>
      </c>
      <c r="B1231" s="5" t="s">
        <v>1331</v>
      </c>
      <c r="C1231" s="6">
        <v>45171.675694444442</v>
      </c>
      <c r="D1231" s="5" t="s">
        <v>14</v>
      </c>
      <c r="E1231" s="5" t="s">
        <v>15</v>
      </c>
      <c r="F1231" s="5" t="s">
        <v>16</v>
      </c>
      <c r="G1231" s="5" t="s">
        <v>39</v>
      </c>
      <c r="H1231" s="5">
        <v>84</v>
      </c>
      <c r="I1231" s="5">
        <v>0</v>
      </c>
      <c r="J1231" s="5" t="s">
        <v>26</v>
      </c>
      <c r="K1231" s="5" t="s">
        <v>35</v>
      </c>
      <c r="L1231" s="5" t="s">
        <v>28</v>
      </c>
      <c r="M1231" s="7" t="s">
        <v>21</v>
      </c>
      <c r="N1231" s="26">
        <f t="shared" si="133"/>
        <v>1</v>
      </c>
      <c r="O1231" s="42">
        <f t="shared" si="134"/>
        <v>45171</v>
      </c>
      <c r="P1231" s="5" t="str">
        <f t="shared" si="135"/>
        <v>Saturday</v>
      </c>
      <c r="Q1231" s="5">
        <f t="shared" si="136"/>
        <v>16</v>
      </c>
      <c r="R1231" s="28">
        <f t="shared" si="137"/>
        <v>1</v>
      </c>
      <c r="S1231" s="29">
        <f t="shared" si="138"/>
        <v>100</v>
      </c>
      <c r="T1231" s="5" t="str">
        <f>IF(Delivery_Data3[[#This Row],[Delays (min)]]&gt;0,"No","Yes")</f>
        <v>Yes</v>
      </c>
      <c r="W1231" s="41">
        <f t="shared" si="139"/>
        <v>45171</v>
      </c>
      <c r="X1231" s="5">
        <v>84</v>
      </c>
    </row>
    <row r="1232" spans="1:24" ht="15.75" customHeight="1" x14ac:dyDescent="0.3">
      <c r="A1232" s="4">
        <v>2231</v>
      </c>
      <c r="B1232" s="5" t="s">
        <v>1332</v>
      </c>
      <c r="C1232" s="6">
        <v>45177.531944444447</v>
      </c>
      <c r="D1232" s="5" t="s">
        <v>43</v>
      </c>
      <c r="E1232" s="5" t="s">
        <v>109</v>
      </c>
      <c r="F1232" s="5" t="s">
        <v>38</v>
      </c>
      <c r="G1232" s="5" t="s">
        <v>17</v>
      </c>
      <c r="H1232" s="5">
        <v>75</v>
      </c>
      <c r="I1232" s="5">
        <v>24</v>
      </c>
      <c r="J1232" s="5" t="s">
        <v>18</v>
      </c>
      <c r="K1232" s="5" t="s">
        <v>49</v>
      </c>
      <c r="L1232" s="5" t="s">
        <v>20</v>
      </c>
      <c r="M1232" s="7" t="s">
        <v>21</v>
      </c>
      <c r="N1232" s="26">
        <f t="shared" si="133"/>
        <v>0</v>
      </c>
      <c r="O1232" s="42">
        <f t="shared" si="134"/>
        <v>45177</v>
      </c>
      <c r="P1232" s="5" t="str">
        <f t="shared" si="135"/>
        <v>Friday</v>
      </c>
      <c r="Q1232" s="5">
        <f t="shared" si="136"/>
        <v>12</v>
      </c>
      <c r="R1232" s="28">
        <f t="shared" si="137"/>
        <v>0.75757575757575757</v>
      </c>
      <c r="S1232" s="29">
        <f t="shared" si="138"/>
        <v>75.757575757575751</v>
      </c>
      <c r="T1232" s="5" t="str">
        <f>IF(Delivery_Data3[[#This Row],[Delays (min)]]&gt;0,"No","Yes")</f>
        <v>No</v>
      </c>
      <c r="W1232" s="41">
        <f t="shared" si="139"/>
        <v>45177</v>
      </c>
      <c r="X1232" s="5">
        <v>75</v>
      </c>
    </row>
    <row r="1233" spans="1:24" ht="15.75" customHeight="1" x14ac:dyDescent="0.3">
      <c r="A1233" s="4">
        <v>2232</v>
      </c>
      <c r="B1233" s="5" t="s">
        <v>1333</v>
      </c>
      <c r="C1233" s="6">
        <v>45171.706944444442</v>
      </c>
      <c r="D1233" s="5" t="s">
        <v>14</v>
      </c>
      <c r="E1233" s="5" t="s">
        <v>306</v>
      </c>
      <c r="F1233" s="5" t="s">
        <v>38</v>
      </c>
      <c r="G1233" s="5" t="s">
        <v>56</v>
      </c>
      <c r="H1233" s="5">
        <v>140</v>
      </c>
      <c r="I1233" s="5">
        <v>22</v>
      </c>
      <c r="J1233" s="5" t="s">
        <v>26</v>
      </c>
      <c r="K1233" s="5" t="s">
        <v>35</v>
      </c>
      <c r="L1233" s="5" t="s">
        <v>40</v>
      </c>
      <c r="M1233" s="7" t="s">
        <v>41</v>
      </c>
      <c r="N1233" s="26">
        <f t="shared" si="133"/>
        <v>1</v>
      </c>
      <c r="O1233" s="42">
        <f t="shared" si="134"/>
        <v>45171</v>
      </c>
      <c r="P1233" s="5" t="str">
        <f t="shared" si="135"/>
        <v>Saturday</v>
      </c>
      <c r="Q1233" s="5">
        <f t="shared" si="136"/>
        <v>16</v>
      </c>
      <c r="R1233" s="28">
        <f t="shared" si="137"/>
        <v>0.86419753086419748</v>
      </c>
      <c r="S1233" s="29">
        <f t="shared" si="138"/>
        <v>86.419753086419746</v>
      </c>
      <c r="T1233" s="5" t="str">
        <f>IF(Delivery_Data3[[#This Row],[Delays (min)]]&gt;0,"No","Yes")</f>
        <v>No</v>
      </c>
      <c r="W1233" s="41">
        <f t="shared" si="139"/>
        <v>45171</v>
      </c>
      <c r="X1233" s="5">
        <v>140</v>
      </c>
    </row>
    <row r="1234" spans="1:24" ht="15.75" customHeight="1" x14ac:dyDescent="0.3">
      <c r="A1234" s="4">
        <v>2233</v>
      </c>
      <c r="B1234" s="5" t="s">
        <v>1334</v>
      </c>
      <c r="C1234" s="6">
        <v>45177.395833333336</v>
      </c>
      <c r="D1234" s="5" t="s">
        <v>14</v>
      </c>
      <c r="E1234" s="5" t="s">
        <v>120</v>
      </c>
      <c r="F1234" s="5" t="s">
        <v>38</v>
      </c>
      <c r="G1234" s="5" t="s">
        <v>25</v>
      </c>
      <c r="H1234" s="5">
        <v>82</v>
      </c>
      <c r="I1234" s="5">
        <v>4</v>
      </c>
      <c r="J1234" s="5" t="s">
        <v>26</v>
      </c>
      <c r="K1234" s="5" t="s">
        <v>45</v>
      </c>
      <c r="L1234" s="5" t="s">
        <v>20</v>
      </c>
      <c r="M1234" s="7" t="s">
        <v>21</v>
      </c>
      <c r="N1234" s="26">
        <f t="shared" si="133"/>
        <v>1</v>
      </c>
      <c r="O1234" s="42">
        <f t="shared" si="134"/>
        <v>45177</v>
      </c>
      <c r="P1234" s="5" t="str">
        <f t="shared" si="135"/>
        <v>Friday</v>
      </c>
      <c r="Q1234" s="5">
        <f t="shared" si="136"/>
        <v>9</v>
      </c>
      <c r="R1234" s="28">
        <f t="shared" si="137"/>
        <v>0.95348837209302328</v>
      </c>
      <c r="S1234" s="29">
        <f t="shared" si="138"/>
        <v>95.348837209302332</v>
      </c>
      <c r="T1234" s="5" t="str">
        <f>IF(Delivery_Data3[[#This Row],[Delays (min)]]&gt;0,"No","Yes")</f>
        <v>No</v>
      </c>
      <c r="W1234" s="41">
        <f t="shared" si="139"/>
        <v>45177</v>
      </c>
      <c r="X1234" s="5">
        <v>82</v>
      </c>
    </row>
    <row r="1235" spans="1:24" ht="15.75" customHeight="1" x14ac:dyDescent="0.3">
      <c r="A1235" s="4">
        <v>2234</v>
      </c>
      <c r="B1235" s="5" t="s">
        <v>1335</v>
      </c>
      <c r="C1235" s="6">
        <v>45176.452777777777</v>
      </c>
      <c r="D1235" s="5" t="s">
        <v>43</v>
      </c>
      <c r="E1235" s="5" t="s">
        <v>261</v>
      </c>
      <c r="F1235" s="5" t="s">
        <v>16</v>
      </c>
      <c r="G1235" s="5" t="s">
        <v>17</v>
      </c>
      <c r="H1235" s="5">
        <v>195</v>
      </c>
      <c r="I1235" s="5">
        <v>10</v>
      </c>
      <c r="J1235" s="5" t="s">
        <v>18</v>
      </c>
      <c r="K1235" s="5" t="s">
        <v>27</v>
      </c>
      <c r="L1235" s="5" t="s">
        <v>20</v>
      </c>
      <c r="M1235" s="7" t="s">
        <v>46</v>
      </c>
      <c r="N1235" s="26">
        <f t="shared" si="133"/>
        <v>0</v>
      </c>
      <c r="O1235" s="42">
        <f t="shared" si="134"/>
        <v>45176</v>
      </c>
      <c r="P1235" s="5" t="str">
        <f t="shared" si="135"/>
        <v>Thursday</v>
      </c>
      <c r="Q1235" s="5">
        <f t="shared" si="136"/>
        <v>10</v>
      </c>
      <c r="R1235" s="28">
        <f t="shared" si="137"/>
        <v>0.95121951219512191</v>
      </c>
      <c r="S1235" s="29">
        <f t="shared" si="138"/>
        <v>95.121951219512198</v>
      </c>
      <c r="T1235" s="5" t="str">
        <f>IF(Delivery_Data3[[#This Row],[Delays (min)]]&gt;0,"No","Yes")</f>
        <v>No</v>
      </c>
      <c r="W1235" s="41">
        <f t="shared" si="139"/>
        <v>45176</v>
      </c>
      <c r="X1235" s="5">
        <v>195</v>
      </c>
    </row>
    <row r="1236" spans="1:24" ht="15.75" customHeight="1" x14ac:dyDescent="0.3">
      <c r="A1236" s="4">
        <v>2235</v>
      </c>
      <c r="B1236" s="5" t="s">
        <v>1336</v>
      </c>
      <c r="C1236" s="6">
        <v>45171.525000000001</v>
      </c>
      <c r="D1236" s="5" t="s">
        <v>43</v>
      </c>
      <c r="E1236" s="5" t="s">
        <v>169</v>
      </c>
      <c r="F1236" s="5" t="s">
        <v>24</v>
      </c>
      <c r="G1236" s="5" t="s">
        <v>39</v>
      </c>
      <c r="H1236" s="5">
        <v>93</v>
      </c>
      <c r="I1236" s="5">
        <v>28</v>
      </c>
      <c r="J1236" s="5" t="s">
        <v>18</v>
      </c>
      <c r="K1236" s="5" t="s">
        <v>45</v>
      </c>
      <c r="L1236" s="5" t="s">
        <v>20</v>
      </c>
      <c r="M1236" s="7" t="s">
        <v>41</v>
      </c>
      <c r="N1236" s="26">
        <f t="shared" si="133"/>
        <v>0</v>
      </c>
      <c r="O1236" s="42">
        <f t="shared" si="134"/>
        <v>45171</v>
      </c>
      <c r="P1236" s="5" t="str">
        <f t="shared" si="135"/>
        <v>Saturday</v>
      </c>
      <c r="Q1236" s="5">
        <f t="shared" si="136"/>
        <v>12</v>
      </c>
      <c r="R1236" s="28">
        <f t="shared" si="137"/>
        <v>0.76859504132231404</v>
      </c>
      <c r="S1236" s="29">
        <f t="shared" si="138"/>
        <v>76.859504132231407</v>
      </c>
      <c r="T1236" s="5" t="str">
        <f>IF(Delivery_Data3[[#This Row],[Delays (min)]]&gt;0,"No","Yes")</f>
        <v>No</v>
      </c>
      <c r="W1236" s="41">
        <f t="shared" si="139"/>
        <v>45171</v>
      </c>
      <c r="X1236" s="5">
        <v>93</v>
      </c>
    </row>
    <row r="1237" spans="1:24" ht="15.75" customHeight="1" x14ac:dyDescent="0.3">
      <c r="A1237" s="4">
        <v>2236</v>
      </c>
      <c r="B1237" s="5" t="s">
        <v>1337</v>
      </c>
      <c r="C1237" s="6">
        <v>45173.438888888886</v>
      </c>
      <c r="D1237" s="5" t="s">
        <v>43</v>
      </c>
      <c r="E1237" s="5" t="s">
        <v>240</v>
      </c>
      <c r="F1237" s="5" t="s">
        <v>38</v>
      </c>
      <c r="G1237" s="5" t="s">
        <v>17</v>
      </c>
      <c r="H1237" s="5">
        <v>156</v>
      </c>
      <c r="I1237" s="5">
        <v>13</v>
      </c>
      <c r="J1237" s="5" t="s">
        <v>26</v>
      </c>
      <c r="K1237" s="5" t="s">
        <v>27</v>
      </c>
      <c r="L1237" s="5" t="s">
        <v>28</v>
      </c>
      <c r="M1237" s="7" t="s">
        <v>46</v>
      </c>
      <c r="N1237" s="26">
        <f t="shared" si="133"/>
        <v>1</v>
      </c>
      <c r="O1237" s="42">
        <f t="shared" si="134"/>
        <v>45173</v>
      </c>
      <c r="P1237" s="5" t="str">
        <f t="shared" si="135"/>
        <v>Monday</v>
      </c>
      <c r="Q1237" s="5">
        <f t="shared" si="136"/>
        <v>10</v>
      </c>
      <c r="R1237" s="28">
        <f t="shared" si="137"/>
        <v>0.92307692307692313</v>
      </c>
      <c r="S1237" s="29">
        <f t="shared" si="138"/>
        <v>92.307692307692307</v>
      </c>
      <c r="T1237" s="5" t="str">
        <f>IF(Delivery_Data3[[#This Row],[Delays (min)]]&gt;0,"No","Yes")</f>
        <v>No</v>
      </c>
      <c r="W1237" s="41">
        <f t="shared" si="139"/>
        <v>45173</v>
      </c>
      <c r="X1237" s="5">
        <v>156</v>
      </c>
    </row>
    <row r="1238" spans="1:24" ht="15.75" customHeight="1" x14ac:dyDescent="0.3">
      <c r="A1238" s="4">
        <v>2237</v>
      </c>
      <c r="B1238" s="5" t="s">
        <v>1338</v>
      </c>
      <c r="C1238" s="6">
        <v>45170.407638888886</v>
      </c>
      <c r="D1238" s="5" t="s">
        <v>14</v>
      </c>
      <c r="E1238" s="5" t="s">
        <v>263</v>
      </c>
      <c r="F1238" s="5" t="s">
        <v>16</v>
      </c>
      <c r="G1238" s="5" t="s">
        <v>56</v>
      </c>
      <c r="H1238" s="5">
        <v>123</v>
      </c>
      <c r="I1238" s="5">
        <v>13</v>
      </c>
      <c r="J1238" s="5" t="s">
        <v>18</v>
      </c>
      <c r="K1238" s="5" t="s">
        <v>45</v>
      </c>
      <c r="L1238" s="5" t="s">
        <v>20</v>
      </c>
      <c r="M1238" s="7" t="s">
        <v>46</v>
      </c>
      <c r="N1238" s="26">
        <f t="shared" si="133"/>
        <v>0</v>
      </c>
      <c r="O1238" s="42">
        <f t="shared" si="134"/>
        <v>45170</v>
      </c>
      <c r="P1238" s="5" t="str">
        <f t="shared" si="135"/>
        <v>Friday</v>
      </c>
      <c r="Q1238" s="5">
        <f t="shared" si="136"/>
        <v>9</v>
      </c>
      <c r="R1238" s="28">
        <f t="shared" si="137"/>
        <v>0.90441176470588236</v>
      </c>
      <c r="S1238" s="29">
        <f t="shared" si="138"/>
        <v>90.441176470588232</v>
      </c>
      <c r="T1238" s="5" t="str">
        <f>IF(Delivery_Data3[[#This Row],[Delays (min)]]&gt;0,"No","Yes")</f>
        <v>No</v>
      </c>
      <c r="W1238" s="41">
        <f t="shared" si="139"/>
        <v>45170</v>
      </c>
      <c r="X1238" s="5">
        <v>123</v>
      </c>
    </row>
    <row r="1239" spans="1:24" ht="15.75" customHeight="1" x14ac:dyDescent="0.3">
      <c r="A1239" s="4">
        <v>2238</v>
      </c>
      <c r="B1239" s="5" t="s">
        <v>1339</v>
      </c>
      <c r="C1239" s="6">
        <v>45176.343055555553</v>
      </c>
      <c r="D1239" s="5" t="s">
        <v>14</v>
      </c>
      <c r="E1239" s="5" t="s">
        <v>80</v>
      </c>
      <c r="F1239" s="5" t="s">
        <v>16</v>
      </c>
      <c r="G1239" s="5" t="s">
        <v>25</v>
      </c>
      <c r="H1239" s="5">
        <v>217</v>
      </c>
      <c r="I1239" s="5">
        <v>1</v>
      </c>
      <c r="J1239" s="5" t="s">
        <v>18</v>
      </c>
      <c r="K1239" s="5" t="s">
        <v>49</v>
      </c>
      <c r="L1239" s="5" t="s">
        <v>20</v>
      </c>
      <c r="M1239" s="7" t="s">
        <v>46</v>
      </c>
      <c r="N1239" s="26">
        <f t="shared" si="133"/>
        <v>0</v>
      </c>
      <c r="O1239" s="42">
        <f t="shared" si="134"/>
        <v>45176</v>
      </c>
      <c r="P1239" s="5" t="str">
        <f t="shared" si="135"/>
        <v>Thursday</v>
      </c>
      <c r="Q1239" s="5">
        <f t="shared" si="136"/>
        <v>8</v>
      </c>
      <c r="R1239" s="28">
        <f t="shared" si="137"/>
        <v>0.99541284403669728</v>
      </c>
      <c r="S1239" s="29">
        <f t="shared" si="138"/>
        <v>99.541284403669721</v>
      </c>
      <c r="T1239" s="5" t="str">
        <f>IF(Delivery_Data3[[#This Row],[Delays (min)]]&gt;0,"No","Yes")</f>
        <v>No</v>
      </c>
      <c r="W1239" s="41">
        <f t="shared" si="139"/>
        <v>45176</v>
      </c>
      <c r="X1239" s="5">
        <v>217</v>
      </c>
    </row>
    <row r="1240" spans="1:24" ht="15.75" customHeight="1" x14ac:dyDescent="0.3">
      <c r="A1240" s="4">
        <v>2239</v>
      </c>
      <c r="B1240" s="5" t="s">
        <v>1340</v>
      </c>
      <c r="C1240" s="6">
        <v>45170.601388888892</v>
      </c>
      <c r="D1240" s="5" t="s">
        <v>14</v>
      </c>
      <c r="E1240" s="5" t="s">
        <v>80</v>
      </c>
      <c r="F1240" s="5" t="s">
        <v>24</v>
      </c>
      <c r="G1240" s="5" t="s">
        <v>39</v>
      </c>
      <c r="H1240" s="5">
        <v>110</v>
      </c>
      <c r="I1240" s="5">
        <v>7</v>
      </c>
      <c r="J1240" s="5" t="s">
        <v>32</v>
      </c>
      <c r="K1240" s="5" t="s">
        <v>27</v>
      </c>
      <c r="L1240" s="5" t="s">
        <v>28</v>
      </c>
      <c r="M1240" s="7" t="s">
        <v>46</v>
      </c>
      <c r="N1240" s="26">
        <f t="shared" si="133"/>
        <v>-1</v>
      </c>
      <c r="O1240" s="42">
        <f t="shared" si="134"/>
        <v>45170</v>
      </c>
      <c r="P1240" s="5" t="str">
        <f t="shared" si="135"/>
        <v>Friday</v>
      </c>
      <c r="Q1240" s="5">
        <f t="shared" si="136"/>
        <v>14</v>
      </c>
      <c r="R1240" s="28">
        <f t="shared" si="137"/>
        <v>0.94017094017094016</v>
      </c>
      <c r="S1240" s="29">
        <f t="shared" si="138"/>
        <v>94.01709401709401</v>
      </c>
      <c r="T1240" s="5" t="str">
        <f>IF(Delivery_Data3[[#This Row],[Delays (min)]]&gt;0,"No","Yes")</f>
        <v>No</v>
      </c>
      <c r="W1240" s="41">
        <f t="shared" si="139"/>
        <v>45170</v>
      </c>
      <c r="X1240" s="5">
        <v>110</v>
      </c>
    </row>
    <row r="1241" spans="1:24" ht="15.75" customHeight="1" x14ac:dyDescent="0.3">
      <c r="A1241" s="4">
        <v>2240</v>
      </c>
      <c r="B1241" s="5" t="s">
        <v>1341</v>
      </c>
      <c r="C1241" s="6">
        <v>45170.447916666664</v>
      </c>
      <c r="D1241" s="5" t="s">
        <v>14</v>
      </c>
      <c r="E1241" s="5" t="s">
        <v>267</v>
      </c>
      <c r="F1241" s="5" t="s">
        <v>16</v>
      </c>
      <c r="G1241" s="5" t="s">
        <v>56</v>
      </c>
      <c r="H1241" s="5">
        <v>169</v>
      </c>
      <c r="I1241" s="5">
        <v>8</v>
      </c>
      <c r="J1241" s="5" t="s">
        <v>32</v>
      </c>
      <c r="K1241" s="5" t="s">
        <v>49</v>
      </c>
      <c r="L1241" s="5" t="s">
        <v>40</v>
      </c>
      <c r="M1241" s="7" t="s">
        <v>46</v>
      </c>
      <c r="N1241" s="26">
        <f t="shared" si="133"/>
        <v>-1</v>
      </c>
      <c r="O1241" s="42">
        <f t="shared" si="134"/>
        <v>45170</v>
      </c>
      <c r="P1241" s="5" t="str">
        <f t="shared" si="135"/>
        <v>Friday</v>
      </c>
      <c r="Q1241" s="5">
        <f t="shared" si="136"/>
        <v>10</v>
      </c>
      <c r="R1241" s="28">
        <f t="shared" si="137"/>
        <v>0.95480225988700562</v>
      </c>
      <c r="S1241" s="29">
        <f t="shared" si="138"/>
        <v>95.480225988700568</v>
      </c>
      <c r="T1241" s="5" t="str">
        <f>IF(Delivery_Data3[[#This Row],[Delays (min)]]&gt;0,"No","Yes")</f>
        <v>No</v>
      </c>
      <c r="W1241" s="41">
        <f t="shared" si="139"/>
        <v>45170</v>
      </c>
      <c r="X1241" s="5">
        <v>169</v>
      </c>
    </row>
    <row r="1242" spans="1:24" ht="15.75" customHeight="1" x14ac:dyDescent="0.3">
      <c r="A1242" s="4">
        <v>2241</v>
      </c>
      <c r="B1242" s="5" t="s">
        <v>1342</v>
      </c>
      <c r="C1242" s="6">
        <v>45175.333333333336</v>
      </c>
      <c r="D1242" s="5" t="s">
        <v>43</v>
      </c>
      <c r="E1242" s="5" t="s">
        <v>76</v>
      </c>
      <c r="F1242" s="5" t="s">
        <v>16</v>
      </c>
      <c r="G1242" s="5" t="s">
        <v>17</v>
      </c>
      <c r="H1242" s="5">
        <v>161</v>
      </c>
      <c r="I1242" s="5">
        <v>7</v>
      </c>
      <c r="J1242" s="5" t="s">
        <v>18</v>
      </c>
      <c r="K1242" s="5" t="s">
        <v>45</v>
      </c>
      <c r="L1242" s="5" t="s">
        <v>40</v>
      </c>
      <c r="M1242" s="7" t="s">
        <v>21</v>
      </c>
      <c r="N1242" s="26">
        <f t="shared" si="133"/>
        <v>0</v>
      </c>
      <c r="O1242" s="42">
        <f t="shared" si="134"/>
        <v>45175</v>
      </c>
      <c r="P1242" s="5" t="str">
        <f t="shared" si="135"/>
        <v>Wednesday</v>
      </c>
      <c r="Q1242" s="5">
        <f t="shared" si="136"/>
        <v>8</v>
      </c>
      <c r="R1242" s="28">
        <f t="shared" si="137"/>
        <v>0.95833333333333337</v>
      </c>
      <c r="S1242" s="29">
        <f t="shared" si="138"/>
        <v>95.833333333333343</v>
      </c>
      <c r="T1242" s="5" t="str">
        <f>IF(Delivery_Data3[[#This Row],[Delays (min)]]&gt;0,"No","Yes")</f>
        <v>No</v>
      </c>
      <c r="W1242" s="41">
        <f t="shared" si="139"/>
        <v>45175</v>
      </c>
      <c r="X1242" s="5">
        <v>161</v>
      </c>
    </row>
    <row r="1243" spans="1:24" ht="15.75" customHeight="1" x14ac:dyDescent="0.3">
      <c r="A1243" s="4">
        <v>2242</v>
      </c>
      <c r="B1243" s="5" t="s">
        <v>1343</v>
      </c>
      <c r="C1243" s="6">
        <v>45172.490972222222</v>
      </c>
      <c r="D1243" s="5" t="s">
        <v>14</v>
      </c>
      <c r="E1243" s="5" t="s">
        <v>410</v>
      </c>
      <c r="F1243" s="5" t="s">
        <v>24</v>
      </c>
      <c r="G1243" s="5" t="s">
        <v>17</v>
      </c>
      <c r="H1243" s="5">
        <v>175</v>
      </c>
      <c r="I1243" s="5">
        <v>5</v>
      </c>
      <c r="J1243" s="5" t="s">
        <v>32</v>
      </c>
      <c r="K1243" s="5" t="s">
        <v>49</v>
      </c>
      <c r="L1243" s="5" t="s">
        <v>20</v>
      </c>
      <c r="M1243" s="7" t="s">
        <v>21</v>
      </c>
      <c r="N1243" s="26">
        <f t="shared" si="133"/>
        <v>-1</v>
      </c>
      <c r="O1243" s="42">
        <f t="shared" si="134"/>
        <v>45172</v>
      </c>
      <c r="P1243" s="5" t="str">
        <f t="shared" si="135"/>
        <v>Sunday</v>
      </c>
      <c r="Q1243" s="5">
        <f t="shared" si="136"/>
        <v>11</v>
      </c>
      <c r="R1243" s="28">
        <f t="shared" si="137"/>
        <v>0.97222222222222221</v>
      </c>
      <c r="S1243" s="29">
        <f t="shared" si="138"/>
        <v>97.222222222222214</v>
      </c>
      <c r="T1243" s="5" t="str">
        <f>IF(Delivery_Data3[[#This Row],[Delays (min)]]&gt;0,"No","Yes")</f>
        <v>No</v>
      </c>
      <c r="W1243" s="41">
        <f t="shared" si="139"/>
        <v>45172</v>
      </c>
      <c r="X1243" s="5">
        <v>175</v>
      </c>
    </row>
    <row r="1244" spans="1:24" ht="15.75" customHeight="1" x14ac:dyDescent="0.3">
      <c r="A1244" s="4">
        <v>2243</v>
      </c>
      <c r="B1244" s="5" t="s">
        <v>1344</v>
      </c>
      <c r="C1244" s="6">
        <v>45173.681250000001</v>
      </c>
      <c r="D1244" s="5" t="s">
        <v>14</v>
      </c>
      <c r="E1244" s="5" t="s">
        <v>89</v>
      </c>
      <c r="F1244" s="5" t="s">
        <v>38</v>
      </c>
      <c r="G1244" s="5" t="s">
        <v>56</v>
      </c>
      <c r="H1244" s="5">
        <v>131</v>
      </c>
      <c r="I1244" s="5">
        <v>26</v>
      </c>
      <c r="J1244" s="5" t="s">
        <v>18</v>
      </c>
      <c r="K1244" s="5" t="s">
        <v>49</v>
      </c>
      <c r="L1244" s="5" t="s">
        <v>20</v>
      </c>
      <c r="M1244" s="7" t="s">
        <v>46</v>
      </c>
      <c r="N1244" s="26">
        <f t="shared" si="133"/>
        <v>0</v>
      </c>
      <c r="O1244" s="42">
        <f t="shared" si="134"/>
        <v>45173</v>
      </c>
      <c r="P1244" s="5" t="str">
        <f t="shared" si="135"/>
        <v>Monday</v>
      </c>
      <c r="Q1244" s="5">
        <f t="shared" si="136"/>
        <v>16</v>
      </c>
      <c r="R1244" s="28">
        <f t="shared" si="137"/>
        <v>0.83439490445859876</v>
      </c>
      <c r="S1244" s="29">
        <f t="shared" si="138"/>
        <v>83.439490445859875</v>
      </c>
      <c r="T1244" s="5" t="str">
        <f>IF(Delivery_Data3[[#This Row],[Delays (min)]]&gt;0,"No","Yes")</f>
        <v>No</v>
      </c>
      <c r="W1244" s="41">
        <f t="shared" si="139"/>
        <v>45173</v>
      </c>
      <c r="X1244" s="5">
        <v>131</v>
      </c>
    </row>
    <row r="1245" spans="1:24" ht="15.75" customHeight="1" x14ac:dyDescent="0.3">
      <c r="A1245" s="4">
        <v>2244</v>
      </c>
      <c r="B1245" s="5" t="s">
        <v>1345</v>
      </c>
      <c r="C1245" s="6">
        <v>45173.684027777781</v>
      </c>
      <c r="D1245" s="5" t="s">
        <v>14</v>
      </c>
      <c r="E1245" s="5" t="s">
        <v>182</v>
      </c>
      <c r="F1245" s="5" t="s">
        <v>16</v>
      </c>
      <c r="G1245" s="5" t="s">
        <v>17</v>
      </c>
      <c r="H1245" s="5">
        <v>193</v>
      </c>
      <c r="I1245" s="5">
        <v>24</v>
      </c>
      <c r="J1245" s="5" t="s">
        <v>18</v>
      </c>
      <c r="K1245" s="5" t="s">
        <v>35</v>
      </c>
      <c r="L1245" s="5" t="s">
        <v>20</v>
      </c>
      <c r="M1245" s="7" t="s">
        <v>21</v>
      </c>
      <c r="N1245" s="26">
        <f t="shared" si="133"/>
        <v>0</v>
      </c>
      <c r="O1245" s="42">
        <f t="shared" si="134"/>
        <v>45173</v>
      </c>
      <c r="P1245" s="5" t="str">
        <f t="shared" si="135"/>
        <v>Monday</v>
      </c>
      <c r="Q1245" s="5">
        <f t="shared" si="136"/>
        <v>16</v>
      </c>
      <c r="R1245" s="28">
        <f t="shared" si="137"/>
        <v>0.88940092165898621</v>
      </c>
      <c r="S1245" s="29">
        <f t="shared" si="138"/>
        <v>88.940092165898619</v>
      </c>
      <c r="T1245" s="5" t="str">
        <f>IF(Delivery_Data3[[#This Row],[Delays (min)]]&gt;0,"No","Yes")</f>
        <v>No</v>
      </c>
      <c r="W1245" s="41">
        <f t="shared" si="139"/>
        <v>45173</v>
      </c>
      <c r="X1245" s="5">
        <v>193</v>
      </c>
    </row>
    <row r="1246" spans="1:24" ht="15.75" customHeight="1" x14ac:dyDescent="0.3">
      <c r="A1246" s="4">
        <v>2245</v>
      </c>
      <c r="B1246" s="5" t="s">
        <v>1346</v>
      </c>
      <c r="C1246" s="6">
        <v>45175.375</v>
      </c>
      <c r="D1246" s="5" t="s">
        <v>43</v>
      </c>
      <c r="E1246" s="5" t="s">
        <v>115</v>
      </c>
      <c r="F1246" s="5" t="s">
        <v>38</v>
      </c>
      <c r="G1246" s="5" t="s">
        <v>25</v>
      </c>
      <c r="H1246" s="5">
        <v>171</v>
      </c>
      <c r="I1246" s="5">
        <v>23</v>
      </c>
      <c r="J1246" s="5" t="s">
        <v>18</v>
      </c>
      <c r="K1246" s="5" t="s">
        <v>27</v>
      </c>
      <c r="L1246" s="5" t="s">
        <v>20</v>
      </c>
      <c r="M1246" s="7" t="s">
        <v>46</v>
      </c>
      <c r="N1246" s="26">
        <f t="shared" si="133"/>
        <v>0</v>
      </c>
      <c r="O1246" s="42">
        <f t="shared" si="134"/>
        <v>45175</v>
      </c>
      <c r="P1246" s="5" t="str">
        <f t="shared" si="135"/>
        <v>Wednesday</v>
      </c>
      <c r="Q1246" s="5">
        <f t="shared" si="136"/>
        <v>9</v>
      </c>
      <c r="R1246" s="28">
        <f t="shared" si="137"/>
        <v>0.88144329896907214</v>
      </c>
      <c r="S1246" s="29">
        <f t="shared" si="138"/>
        <v>88.144329896907209</v>
      </c>
      <c r="T1246" s="5" t="str">
        <f>IF(Delivery_Data3[[#This Row],[Delays (min)]]&gt;0,"No","Yes")</f>
        <v>No</v>
      </c>
      <c r="W1246" s="41">
        <f t="shared" si="139"/>
        <v>45175</v>
      </c>
      <c r="X1246" s="5">
        <v>171</v>
      </c>
    </row>
    <row r="1247" spans="1:24" ht="15.75" customHeight="1" x14ac:dyDescent="0.3">
      <c r="A1247" s="4">
        <v>2246</v>
      </c>
      <c r="B1247" s="5" t="s">
        <v>1347</v>
      </c>
      <c r="C1247" s="6">
        <v>45172.347222222219</v>
      </c>
      <c r="D1247" s="5" t="s">
        <v>43</v>
      </c>
      <c r="E1247" s="5" t="s">
        <v>62</v>
      </c>
      <c r="F1247" s="5" t="s">
        <v>24</v>
      </c>
      <c r="G1247" s="5" t="s">
        <v>56</v>
      </c>
      <c r="H1247" s="5">
        <v>223</v>
      </c>
      <c r="I1247" s="5">
        <v>27</v>
      </c>
      <c r="J1247" s="5" t="s">
        <v>26</v>
      </c>
      <c r="K1247" s="5" t="s">
        <v>19</v>
      </c>
      <c r="L1247" s="5" t="s">
        <v>20</v>
      </c>
      <c r="M1247" s="7" t="s">
        <v>46</v>
      </c>
      <c r="N1247" s="26">
        <f t="shared" si="133"/>
        <v>1</v>
      </c>
      <c r="O1247" s="42">
        <f t="shared" si="134"/>
        <v>45172</v>
      </c>
      <c r="P1247" s="5" t="str">
        <f t="shared" si="135"/>
        <v>Sunday</v>
      </c>
      <c r="Q1247" s="5">
        <f t="shared" si="136"/>
        <v>8</v>
      </c>
      <c r="R1247" s="28">
        <f t="shared" si="137"/>
        <v>0.89200000000000002</v>
      </c>
      <c r="S1247" s="29">
        <f t="shared" si="138"/>
        <v>89.2</v>
      </c>
      <c r="T1247" s="5" t="str">
        <f>IF(Delivery_Data3[[#This Row],[Delays (min)]]&gt;0,"No","Yes")</f>
        <v>No</v>
      </c>
      <c r="W1247" s="41">
        <f t="shared" si="139"/>
        <v>45172</v>
      </c>
      <c r="X1247" s="5">
        <v>223</v>
      </c>
    </row>
    <row r="1248" spans="1:24" ht="15.75" customHeight="1" x14ac:dyDescent="0.3">
      <c r="A1248" s="4">
        <v>2247</v>
      </c>
      <c r="B1248" s="5" t="s">
        <v>807</v>
      </c>
      <c r="C1248" s="6">
        <v>45173.510416666664</v>
      </c>
      <c r="D1248" s="5" t="s">
        <v>43</v>
      </c>
      <c r="E1248" s="5" t="s">
        <v>171</v>
      </c>
      <c r="F1248" s="5" t="s">
        <v>16</v>
      </c>
      <c r="G1248" s="5" t="s">
        <v>56</v>
      </c>
      <c r="H1248" s="5">
        <v>224</v>
      </c>
      <c r="I1248" s="5">
        <v>12</v>
      </c>
      <c r="J1248" s="5" t="s">
        <v>18</v>
      </c>
      <c r="K1248" s="5" t="s">
        <v>27</v>
      </c>
      <c r="L1248" s="5" t="s">
        <v>40</v>
      </c>
      <c r="M1248" s="7" t="s">
        <v>21</v>
      </c>
      <c r="N1248" s="26">
        <f t="shared" si="133"/>
        <v>0</v>
      </c>
      <c r="O1248" s="42">
        <f t="shared" si="134"/>
        <v>45173</v>
      </c>
      <c r="P1248" s="5" t="str">
        <f t="shared" si="135"/>
        <v>Monday</v>
      </c>
      <c r="Q1248" s="5">
        <f t="shared" si="136"/>
        <v>12</v>
      </c>
      <c r="R1248" s="28">
        <f t="shared" si="137"/>
        <v>0.94915254237288138</v>
      </c>
      <c r="S1248" s="29">
        <f t="shared" si="138"/>
        <v>94.915254237288138</v>
      </c>
      <c r="T1248" s="5" t="str">
        <f>IF(Delivery_Data3[[#This Row],[Delays (min)]]&gt;0,"No","Yes")</f>
        <v>No</v>
      </c>
      <c r="W1248" s="41">
        <f t="shared" si="139"/>
        <v>45173</v>
      </c>
      <c r="X1248" s="5">
        <v>224</v>
      </c>
    </row>
    <row r="1249" spans="1:24" ht="15.75" customHeight="1" x14ac:dyDescent="0.3">
      <c r="A1249" s="4">
        <v>2248</v>
      </c>
      <c r="B1249" s="5" t="s">
        <v>1348</v>
      </c>
      <c r="C1249" s="6">
        <v>45170.697916666664</v>
      </c>
      <c r="D1249" s="5" t="s">
        <v>14</v>
      </c>
      <c r="E1249" s="5" t="s">
        <v>441</v>
      </c>
      <c r="F1249" s="5" t="s">
        <v>38</v>
      </c>
      <c r="G1249" s="5" t="s">
        <v>31</v>
      </c>
      <c r="H1249" s="5">
        <v>121</v>
      </c>
      <c r="I1249" s="5">
        <v>16</v>
      </c>
      <c r="J1249" s="5" t="s">
        <v>32</v>
      </c>
      <c r="K1249" s="5" t="s">
        <v>19</v>
      </c>
      <c r="L1249" s="5" t="s">
        <v>28</v>
      </c>
      <c r="M1249" s="7" t="s">
        <v>21</v>
      </c>
      <c r="N1249" s="26">
        <f t="shared" si="133"/>
        <v>-1</v>
      </c>
      <c r="O1249" s="42">
        <f t="shared" si="134"/>
        <v>45170</v>
      </c>
      <c r="P1249" s="5" t="str">
        <f t="shared" si="135"/>
        <v>Friday</v>
      </c>
      <c r="Q1249" s="5">
        <f t="shared" si="136"/>
        <v>16</v>
      </c>
      <c r="R1249" s="28">
        <f t="shared" si="137"/>
        <v>0.88321167883211682</v>
      </c>
      <c r="S1249" s="29">
        <f t="shared" si="138"/>
        <v>88.321167883211686</v>
      </c>
      <c r="T1249" s="5" t="str">
        <f>IF(Delivery_Data3[[#This Row],[Delays (min)]]&gt;0,"No","Yes")</f>
        <v>No</v>
      </c>
      <c r="W1249" s="41">
        <f t="shared" si="139"/>
        <v>45170</v>
      </c>
      <c r="X1249" s="5">
        <v>121</v>
      </c>
    </row>
    <row r="1250" spans="1:24" ht="15.75" customHeight="1" x14ac:dyDescent="0.3">
      <c r="A1250" s="4">
        <v>2249</v>
      </c>
      <c r="B1250" s="5" t="s">
        <v>1349</v>
      </c>
      <c r="C1250" s="6">
        <v>45172.565972222219</v>
      </c>
      <c r="D1250" s="5" t="s">
        <v>14</v>
      </c>
      <c r="E1250" s="5" t="s">
        <v>91</v>
      </c>
      <c r="F1250" s="5" t="s">
        <v>38</v>
      </c>
      <c r="G1250" s="5" t="s">
        <v>25</v>
      </c>
      <c r="H1250" s="5">
        <v>154</v>
      </c>
      <c r="I1250" s="5">
        <v>12</v>
      </c>
      <c r="J1250" s="5" t="s">
        <v>26</v>
      </c>
      <c r="K1250" s="5" t="s">
        <v>35</v>
      </c>
      <c r="L1250" s="5" t="s">
        <v>40</v>
      </c>
      <c r="M1250" s="7" t="s">
        <v>41</v>
      </c>
      <c r="N1250" s="26">
        <f t="shared" si="133"/>
        <v>1</v>
      </c>
      <c r="O1250" s="42">
        <f t="shared" si="134"/>
        <v>45172</v>
      </c>
      <c r="P1250" s="5" t="str">
        <f t="shared" si="135"/>
        <v>Sunday</v>
      </c>
      <c r="Q1250" s="5">
        <f t="shared" si="136"/>
        <v>13</v>
      </c>
      <c r="R1250" s="28">
        <f t="shared" si="137"/>
        <v>0.92771084337349397</v>
      </c>
      <c r="S1250" s="29">
        <f t="shared" si="138"/>
        <v>92.771084337349393</v>
      </c>
      <c r="T1250" s="5" t="str">
        <f>IF(Delivery_Data3[[#This Row],[Delays (min)]]&gt;0,"No","Yes")</f>
        <v>No</v>
      </c>
      <c r="W1250" s="41">
        <f t="shared" si="139"/>
        <v>45172</v>
      </c>
      <c r="X1250" s="5">
        <v>154</v>
      </c>
    </row>
    <row r="1251" spans="1:24" ht="15.75" customHeight="1" x14ac:dyDescent="0.3">
      <c r="A1251" s="4">
        <v>2250</v>
      </c>
      <c r="B1251" s="5" t="s">
        <v>1350</v>
      </c>
      <c r="C1251" s="6">
        <v>45172.620138888888</v>
      </c>
      <c r="D1251" s="5" t="s">
        <v>14</v>
      </c>
      <c r="E1251" s="5" t="s">
        <v>220</v>
      </c>
      <c r="F1251" s="5" t="s">
        <v>24</v>
      </c>
      <c r="G1251" s="5" t="s">
        <v>25</v>
      </c>
      <c r="H1251" s="5">
        <v>157</v>
      </c>
      <c r="I1251" s="5">
        <v>2</v>
      </c>
      <c r="J1251" s="5" t="s">
        <v>18</v>
      </c>
      <c r="K1251" s="5" t="s">
        <v>35</v>
      </c>
      <c r="L1251" s="5" t="s">
        <v>40</v>
      </c>
      <c r="M1251" s="7" t="s">
        <v>41</v>
      </c>
      <c r="N1251" s="26">
        <f t="shared" si="133"/>
        <v>0</v>
      </c>
      <c r="O1251" s="42">
        <f t="shared" si="134"/>
        <v>45172</v>
      </c>
      <c r="P1251" s="5" t="str">
        <f t="shared" si="135"/>
        <v>Sunday</v>
      </c>
      <c r="Q1251" s="5">
        <f t="shared" si="136"/>
        <v>14</v>
      </c>
      <c r="R1251" s="28">
        <f t="shared" si="137"/>
        <v>0.98742138364779874</v>
      </c>
      <c r="S1251" s="29">
        <f t="shared" si="138"/>
        <v>98.742138364779876</v>
      </c>
      <c r="T1251" s="5" t="str">
        <f>IF(Delivery_Data3[[#This Row],[Delays (min)]]&gt;0,"No","Yes")</f>
        <v>No</v>
      </c>
      <c r="W1251" s="41">
        <f t="shared" si="139"/>
        <v>45172</v>
      </c>
      <c r="X1251" s="5">
        <v>157</v>
      </c>
    </row>
    <row r="1252" spans="1:24" ht="15.75" customHeight="1" x14ac:dyDescent="0.3">
      <c r="A1252" s="4">
        <v>2251</v>
      </c>
      <c r="B1252" s="5" t="s">
        <v>1351</v>
      </c>
      <c r="C1252" s="6">
        <v>45177.335416666669</v>
      </c>
      <c r="D1252" s="5" t="s">
        <v>43</v>
      </c>
      <c r="E1252" s="5" t="s">
        <v>135</v>
      </c>
      <c r="F1252" s="5" t="s">
        <v>16</v>
      </c>
      <c r="G1252" s="5" t="s">
        <v>25</v>
      </c>
      <c r="H1252" s="5">
        <v>123</v>
      </c>
      <c r="I1252" s="5">
        <v>4</v>
      </c>
      <c r="J1252" s="5" t="s">
        <v>26</v>
      </c>
      <c r="K1252" s="5" t="s">
        <v>27</v>
      </c>
      <c r="L1252" s="5" t="s">
        <v>28</v>
      </c>
      <c r="M1252" s="7" t="s">
        <v>21</v>
      </c>
      <c r="N1252" s="26">
        <f t="shared" si="133"/>
        <v>1</v>
      </c>
      <c r="O1252" s="42">
        <f t="shared" si="134"/>
        <v>45177</v>
      </c>
      <c r="P1252" s="5" t="str">
        <f t="shared" si="135"/>
        <v>Friday</v>
      </c>
      <c r="Q1252" s="5">
        <f t="shared" si="136"/>
        <v>8</v>
      </c>
      <c r="R1252" s="28">
        <f t="shared" si="137"/>
        <v>0.96850393700787396</v>
      </c>
      <c r="S1252" s="29">
        <f t="shared" si="138"/>
        <v>96.850393700787393</v>
      </c>
      <c r="T1252" s="5" t="str">
        <f>IF(Delivery_Data3[[#This Row],[Delays (min)]]&gt;0,"No","Yes")</f>
        <v>No</v>
      </c>
      <c r="W1252" s="41">
        <f t="shared" si="139"/>
        <v>45177</v>
      </c>
      <c r="X1252" s="5">
        <v>123</v>
      </c>
    </row>
    <row r="1253" spans="1:24" ht="15.75" customHeight="1" x14ac:dyDescent="0.3">
      <c r="A1253" s="4">
        <v>2252</v>
      </c>
      <c r="B1253" s="5" t="s">
        <v>1352</v>
      </c>
      <c r="C1253" s="6">
        <v>45176.606944444444</v>
      </c>
      <c r="D1253" s="5" t="s">
        <v>43</v>
      </c>
      <c r="E1253" s="5" t="s">
        <v>468</v>
      </c>
      <c r="F1253" s="5" t="s">
        <v>16</v>
      </c>
      <c r="G1253" s="5" t="s">
        <v>25</v>
      </c>
      <c r="H1253" s="5">
        <v>158</v>
      </c>
      <c r="I1253" s="5">
        <v>1</v>
      </c>
      <c r="J1253" s="5" t="s">
        <v>26</v>
      </c>
      <c r="K1253" s="5" t="s">
        <v>27</v>
      </c>
      <c r="L1253" s="5" t="s">
        <v>20</v>
      </c>
      <c r="M1253" s="7" t="s">
        <v>21</v>
      </c>
      <c r="N1253" s="26">
        <f t="shared" si="133"/>
        <v>1</v>
      </c>
      <c r="O1253" s="42">
        <f t="shared" si="134"/>
        <v>45176</v>
      </c>
      <c r="P1253" s="5" t="str">
        <f t="shared" si="135"/>
        <v>Thursday</v>
      </c>
      <c r="Q1253" s="5">
        <f t="shared" si="136"/>
        <v>14</v>
      </c>
      <c r="R1253" s="28">
        <f t="shared" si="137"/>
        <v>0.99371069182389937</v>
      </c>
      <c r="S1253" s="29">
        <f t="shared" si="138"/>
        <v>99.371069182389931</v>
      </c>
      <c r="T1253" s="5" t="str">
        <f>IF(Delivery_Data3[[#This Row],[Delays (min)]]&gt;0,"No","Yes")</f>
        <v>No</v>
      </c>
      <c r="W1253" s="41">
        <f t="shared" si="139"/>
        <v>45176</v>
      </c>
      <c r="X1253" s="5">
        <v>158</v>
      </c>
    </row>
    <row r="1254" spans="1:24" ht="15.75" customHeight="1" x14ac:dyDescent="0.3">
      <c r="A1254" s="4">
        <v>2253</v>
      </c>
      <c r="B1254" s="5" t="s">
        <v>1353</v>
      </c>
      <c r="C1254" s="6">
        <v>45177.452777777777</v>
      </c>
      <c r="D1254" s="5" t="s">
        <v>14</v>
      </c>
      <c r="E1254" s="5" t="s">
        <v>95</v>
      </c>
      <c r="F1254" s="5" t="s">
        <v>24</v>
      </c>
      <c r="G1254" s="5" t="s">
        <v>39</v>
      </c>
      <c r="H1254" s="5">
        <v>216</v>
      </c>
      <c r="I1254" s="5">
        <v>24</v>
      </c>
      <c r="J1254" s="5" t="s">
        <v>32</v>
      </c>
      <c r="K1254" s="5" t="s">
        <v>19</v>
      </c>
      <c r="L1254" s="5" t="s">
        <v>40</v>
      </c>
      <c r="M1254" s="7" t="s">
        <v>46</v>
      </c>
      <c r="N1254" s="26">
        <f t="shared" si="133"/>
        <v>-1</v>
      </c>
      <c r="O1254" s="42">
        <f t="shared" si="134"/>
        <v>45177</v>
      </c>
      <c r="P1254" s="5" t="str">
        <f t="shared" si="135"/>
        <v>Friday</v>
      </c>
      <c r="Q1254" s="5">
        <f t="shared" si="136"/>
        <v>10</v>
      </c>
      <c r="R1254" s="28">
        <f t="shared" si="137"/>
        <v>0.9</v>
      </c>
      <c r="S1254" s="29">
        <f t="shared" si="138"/>
        <v>90</v>
      </c>
      <c r="T1254" s="5" t="str">
        <f>IF(Delivery_Data3[[#This Row],[Delays (min)]]&gt;0,"No","Yes")</f>
        <v>No</v>
      </c>
      <c r="W1254" s="41">
        <f t="shared" si="139"/>
        <v>45177</v>
      </c>
      <c r="X1254" s="5">
        <v>216</v>
      </c>
    </row>
    <row r="1255" spans="1:24" ht="15.75" customHeight="1" x14ac:dyDescent="0.3">
      <c r="A1255" s="4">
        <v>2254</v>
      </c>
      <c r="B1255" s="5" t="s">
        <v>1354</v>
      </c>
      <c r="C1255" s="6">
        <v>45173.624305555553</v>
      </c>
      <c r="D1255" s="5" t="s">
        <v>14</v>
      </c>
      <c r="E1255" s="5" t="s">
        <v>333</v>
      </c>
      <c r="F1255" s="5" t="s">
        <v>16</v>
      </c>
      <c r="G1255" s="5" t="s">
        <v>39</v>
      </c>
      <c r="H1255" s="5">
        <v>75</v>
      </c>
      <c r="I1255" s="5">
        <v>8</v>
      </c>
      <c r="J1255" s="5" t="s">
        <v>32</v>
      </c>
      <c r="K1255" s="5" t="s">
        <v>27</v>
      </c>
      <c r="L1255" s="5" t="s">
        <v>40</v>
      </c>
      <c r="M1255" s="7" t="s">
        <v>46</v>
      </c>
      <c r="N1255" s="26">
        <f t="shared" si="133"/>
        <v>-1</v>
      </c>
      <c r="O1255" s="42">
        <f t="shared" si="134"/>
        <v>45173</v>
      </c>
      <c r="P1255" s="5" t="str">
        <f t="shared" si="135"/>
        <v>Monday</v>
      </c>
      <c r="Q1255" s="5">
        <f t="shared" si="136"/>
        <v>14</v>
      </c>
      <c r="R1255" s="28">
        <f t="shared" si="137"/>
        <v>0.90361445783132532</v>
      </c>
      <c r="S1255" s="29">
        <f t="shared" si="138"/>
        <v>90.361445783132538</v>
      </c>
      <c r="T1255" s="5" t="str">
        <f>IF(Delivery_Data3[[#This Row],[Delays (min)]]&gt;0,"No","Yes")</f>
        <v>No</v>
      </c>
      <c r="W1255" s="41">
        <f t="shared" si="139"/>
        <v>45173</v>
      </c>
      <c r="X1255" s="5">
        <v>75</v>
      </c>
    </row>
    <row r="1256" spans="1:24" ht="15.75" customHeight="1" x14ac:dyDescent="0.3">
      <c r="A1256" s="4">
        <v>2255</v>
      </c>
      <c r="B1256" s="5" t="s">
        <v>1355</v>
      </c>
      <c r="C1256" s="6">
        <v>45173.46597222222</v>
      </c>
      <c r="D1256" s="5" t="s">
        <v>14</v>
      </c>
      <c r="E1256" s="5" t="s">
        <v>370</v>
      </c>
      <c r="F1256" s="5" t="s">
        <v>38</v>
      </c>
      <c r="G1256" s="5" t="s">
        <v>25</v>
      </c>
      <c r="H1256" s="5">
        <v>166</v>
      </c>
      <c r="I1256" s="5">
        <v>29</v>
      </c>
      <c r="J1256" s="5" t="s">
        <v>18</v>
      </c>
      <c r="K1256" s="5" t="s">
        <v>49</v>
      </c>
      <c r="L1256" s="5" t="s">
        <v>28</v>
      </c>
      <c r="M1256" s="7" t="s">
        <v>21</v>
      </c>
      <c r="N1256" s="26">
        <f t="shared" si="133"/>
        <v>0</v>
      </c>
      <c r="O1256" s="42">
        <f t="shared" si="134"/>
        <v>45173</v>
      </c>
      <c r="P1256" s="5" t="str">
        <f t="shared" si="135"/>
        <v>Monday</v>
      </c>
      <c r="Q1256" s="5">
        <f t="shared" si="136"/>
        <v>11</v>
      </c>
      <c r="R1256" s="28">
        <f t="shared" si="137"/>
        <v>0.85128205128205126</v>
      </c>
      <c r="S1256" s="29">
        <f t="shared" si="138"/>
        <v>85.128205128205124</v>
      </c>
      <c r="T1256" s="5" t="str">
        <f>IF(Delivery_Data3[[#This Row],[Delays (min)]]&gt;0,"No","Yes")</f>
        <v>No</v>
      </c>
      <c r="W1256" s="41">
        <f t="shared" si="139"/>
        <v>45173</v>
      </c>
      <c r="X1256" s="5">
        <v>166</v>
      </c>
    </row>
    <row r="1257" spans="1:24" ht="15.75" customHeight="1" x14ac:dyDescent="0.3">
      <c r="A1257" s="4">
        <v>2256</v>
      </c>
      <c r="B1257" s="5" t="s">
        <v>1356</v>
      </c>
      <c r="C1257" s="6">
        <v>45176.693749999999</v>
      </c>
      <c r="D1257" s="5" t="s">
        <v>43</v>
      </c>
      <c r="E1257" s="5" t="s">
        <v>154</v>
      </c>
      <c r="F1257" s="5" t="s">
        <v>16</v>
      </c>
      <c r="G1257" s="5" t="s">
        <v>31</v>
      </c>
      <c r="H1257" s="5">
        <v>96</v>
      </c>
      <c r="I1257" s="5">
        <v>27</v>
      </c>
      <c r="J1257" s="5" t="s">
        <v>32</v>
      </c>
      <c r="K1257" s="5" t="s">
        <v>49</v>
      </c>
      <c r="L1257" s="5" t="s">
        <v>28</v>
      </c>
      <c r="M1257" s="7" t="s">
        <v>46</v>
      </c>
      <c r="N1257" s="26">
        <f t="shared" si="133"/>
        <v>-1</v>
      </c>
      <c r="O1257" s="42">
        <f t="shared" si="134"/>
        <v>45176</v>
      </c>
      <c r="P1257" s="5" t="str">
        <f t="shared" si="135"/>
        <v>Thursday</v>
      </c>
      <c r="Q1257" s="5">
        <f t="shared" si="136"/>
        <v>16</v>
      </c>
      <c r="R1257" s="28">
        <f t="shared" si="137"/>
        <v>0.78048780487804881</v>
      </c>
      <c r="S1257" s="29">
        <f t="shared" si="138"/>
        <v>78.048780487804876</v>
      </c>
      <c r="T1257" s="5" t="str">
        <f>IF(Delivery_Data3[[#This Row],[Delays (min)]]&gt;0,"No","Yes")</f>
        <v>No</v>
      </c>
      <c r="W1257" s="41">
        <f t="shared" si="139"/>
        <v>45176</v>
      </c>
      <c r="X1257" s="5">
        <v>96</v>
      </c>
    </row>
    <row r="1258" spans="1:24" ht="15.75" customHeight="1" x14ac:dyDescent="0.3">
      <c r="A1258" s="4">
        <v>2257</v>
      </c>
      <c r="B1258" s="5" t="s">
        <v>1357</v>
      </c>
      <c r="C1258" s="6">
        <v>45177.467361111114</v>
      </c>
      <c r="D1258" s="5" t="s">
        <v>14</v>
      </c>
      <c r="E1258" s="5" t="s">
        <v>55</v>
      </c>
      <c r="F1258" s="5" t="s">
        <v>38</v>
      </c>
      <c r="G1258" s="5" t="s">
        <v>31</v>
      </c>
      <c r="H1258" s="5">
        <v>181</v>
      </c>
      <c r="I1258" s="5">
        <v>8</v>
      </c>
      <c r="J1258" s="5" t="s">
        <v>18</v>
      </c>
      <c r="K1258" s="5" t="s">
        <v>35</v>
      </c>
      <c r="L1258" s="5" t="s">
        <v>20</v>
      </c>
      <c r="M1258" s="7" t="s">
        <v>41</v>
      </c>
      <c r="N1258" s="26">
        <f t="shared" si="133"/>
        <v>0</v>
      </c>
      <c r="O1258" s="42">
        <f t="shared" si="134"/>
        <v>45177</v>
      </c>
      <c r="P1258" s="5" t="str">
        <f t="shared" si="135"/>
        <v>Friday</v>
      </c>
      <c r="Q1258" s="5">
        <f t="shared" si="136"/>
        <v>11</v>
      </c>
      <c r="R1258" s="28">
        <f t="shared" si="137"/>
        <v>0.95767195767195767</v>
      </c>
      <c r="S1258" s="29">
        <f t="shared" si="138"/>
        <v>95.767195767195773</v>
      </c>
      <c r="T1258" s="5" t="str">
        <f>IF(Delivery_Data3[[#This Row],[Delays (min)]]&gt;0,"No","Yes")</f>
        <v>No</v>
      </c>
      <c r="W1258" s="41">
        <f t="shared" si="139"/>
        <v>45177</v>
      </c>
      <c r="X1258" s="5">
        <v>181</v>
      </c>
    </row>
    <row r="1259" spans="1:24" ht="15.75" customHeight="1" x14ac:dyDescent="0.3">
      <c r="A1259" s="4">
        <v>2258</v>
      </c>
      <c r="B1259" s="5" t="s">
        <v>1358</v>
      </c>
      <c r="C1259" s="6">
        <v>45171.622916666667</v>
      </c>
      <c r="D1259" s="5" t="s">
        <v>43</v>
      </c>
      <c r="E1259" s="5" t="s">
        <v>106</v>
      </c>
      <c r="F1259" s="5" t="s">
        <v>38</v>
      </c>
      <c r="G1259" s="5" t="s">
        <v>56</v>
      </c>
      <c r="H1259" s="5">
        <v>67</v>
      </c>
      <c r="I1259" s="5">
        <v>29</v>
      </c>
      <c r="J1259" s="5" t="s">
        <v>18</v>
      </c>
      <c r="K1259" s="5" t="s">
        <v>19</v>
      </c>
      <c r="L1259" s="5" t="s">
        <v>28</v>
      </c>
      <c r="M1259" s="7" t="s">
        <v>41</v>
      </c>
      <c r="N1259" s="26">
        <f t="shared" si="133"/>
        <v>0</v>
      </c>
      <c r="O1259" s="42">
        <f t="shared" si="134"/>
        <v>45171</v>
      </c>
      <c r="P1259" s="5" t="str">
        <f t="shared" si="135"/>
        <v>Saturday</v>
      </c>
      <c r="Q1259" s="5">
        <f t="shared" si="136"/>
        <v>14</v>
      </c>
      <c r="R1259" s="28">
        <f t="shared" si="137"/>
        <v>0.69791666666666663</v>
      </c>
      <c r="S1259" s="29">
        <f t="shared" si="138"/>
        <v>69.791666666666657</v>
      </c>
      <c r="T1259" s="5" t="str">
        <f>IF(Delivery_Data3[[#This Row],[Delays (min)]]&gt;0,"No","Yes")</f>
        <v>No</v>
      </c>
      <c r="W1259" s="41">
        <f t="shared" si="139"/>
        <v>45171</v>
      </c>
      <c r="X1259" s="5">
        <v>67</v>
      </c>
    </row>
    <row r="1260" spans="1:24" ht="15.75" customHeight="1" x14ac:dyDescent="0.3">
      <c r="A1260" s="4">
        <v>2259</v>
      </c>
      <c r="B1260" s="5" t="s">
        <v>1359</v>
      </c>
      <c r="C1260" s="6">
        <v>45171.681250000001</v>
      </c>
      <c r="D1260" s="5" t="s">
        <v>14</v>
      </c>
      <c r="E1260" s="5" t="s">
        <v>135</v>
      </c>
      <c r="F1260" s="5" t="s">
        <v>24</v>
      </c>
      <c r="G1260" s="5" t="s">
        <v>17</v>
      </c>
      <c r="H1260" s="5">
        <v>98</v>
      </c>
      <c r="I1260" s="5">
        <v>3</v>
      </c>
      <c r="J1260" s="5" t="s">
        <v>26</v>
      </c>
      <c r="K1260" s="5" t="s">
        <v>49</v>
      </c>
      <c r="L1260" s="5" t="s">
        <v>40</v>
      </c>
      <c r="M1260" s="7" t="s">
        <v>41</v>
      </c>
      <c r="N1260" s="26">
        <f t="shared" si="133"/>
        <v>1</v>
      </c>
      <c r="O1260" s="42">
        <f t="shared" si="134"/>
        <v>45171</v>
      </c>
      <c r="P1260" s="5" t="str">
        <f t="shared" si="135"/>
        <v>Saturday</v>
      </c>
      <c r="Q1260" s="5">
        <f t="shared" si="136"/>
        <v>16</v>
      </c>
      <c r="R1260" s="28">
        <f t="shared" si="137"/>
        <v>0.97029702970297027</v>
      </c>
      <c r="S1260" s="29">
        <f t="shared" si="138"/>
        <v>97.029702970297024</v>
      </c>
      <c r="T1260" s="5" t="str">
        <f>IF(Delivery_Data3[[#This Row],[Delays (min)]]&gt;0,"No","Yes")</f>
        <v>No</v>
      </c>
      <c r="W1260" s="41">
        <f t="shared" si="139"/>
        <v>45171</v>
      </c>
      <c r="X1260" s="5">
        <v>98</v>
      </c>
    </row>
    <row r="1261" spans="1:24" ht="15.75" customHeight="1" x14ac:dyDescent="0.3">
      <c r="A1261" s="4">
        <v>2260</v>
      </c>
      <c r="B1261" s="5" t="s">
        <v>1360</v>
      </c>
      <c r="C1261" s="6">
        <v>45176.706944444442</v>
      </c>
      <c r="D1261" s="5" t="s">
        <v>14</v>
      </c>
      <c r="E1261" s="5" t="s">
        <v>240</v>
      </c>
      <c r="F1261" s="5" t="s">
        <v>38</v>
      </c>
      <c r="G1261" s="5" t="s">
        <v>25</v>
      </c>
      <c r="H1261" s="5">
        <v>66</v>
      </c>
      <c r="I1261" s="5">
        <v>8</v>
      </c>
      <c r="J1261" s="5" t="s">
        <v>26</v>
      </c>
      <c r="K1261" s="5" t="s">
        <v>49</v>
      </c>
      <c r="L1261" s="5" t="s">
        <v>40</v>
      </c>
      <c r="M1261" s="7" t="s">
        <v>21</v>
      </c>
      <c r="N1261" s="26">
        <f t="shared" si="133"/>
        <v>1</v>
      </c>
      <c r="O1261" s="42">
        <f t="shared" si="134"/>
        <v>45176</v>
      </c>
      <c r="P1261" s="5" t="str">
        <f t="shared" si="135"/>
        <v>Thursday</v>
      </c>
      <c r="Q1261" s="5">
        <f t="shared" si="136"/>
        <v>16</v>
      </c>
      <c r="R1261" s="28">
        <f t="shared" si="137"/>
        <v>0.89189189189189189</v>
      </c>
      <c r="S1261" s="29">
        <f t="shared" si="138"/>
        <v>89.189189189189193</v>
      </c>
      <c r="T1261" s="5" t="str">
        <f>IF(Delivery_Data3[[#This Row],[Delays (min)]]&gt;0,"No","Yes")</f>
        <v>No</v>
      </c>
      <c r="W1261" s="41">
        <f t="shared" si="139"/>
        <v>45176</v>
      </c>
      <c r="X1261" s="5">
        <v>66</v>
      </c>
    </row>
    <row r="1262" spans="1:24" ht="15.75" customHeight="1" x14ac:dyDescent="0.3">
      <c r="A1262" s="4">
        <v>2261</v>
      </c>
      <c r="B1262" s="5" t="s">
        <v>1361</v>
      </c>
      <c r="C1262" s="6">
        <v>45177.434027777781</v>
      </c>
      <c r="D1262" s="5" t="s">
        <v>43</v>
      </c>
      <c r="E1262" s="5" t="s">
        <v>83</v>
      </c>
      <c r="F1262" s="5" t="s">
        <v>16</v>
      </c>
      <c r="G1262" s="5" t="s">
        <v>39</v>
      </c>
      <c r="H1262" s="5">
        <v>96</v>
      </c>
      <c r="I1262" s="5">
        <v>21</v>
      </c>
      <c r="J1262" s="5" t="s">
        <v>18</v>
      </c>
      <c r="K1262" s="5" t="s">
        <v>45</v>
      </c>
      <c r="L1262" s="5" t="s">
        <v>28</v>
      </c>
      <c r="M1262" s="7" t="s">
        <v>21</v>
      </c>
      <c r="N1262" s="26">
        <f t="shared" si="133"/>
        <v>0</v>
      </c>
      <c r="O1262" s="42">
        <f t="shared" si="134"/>
        <v>45177</v>
      </c>
      <c r="P1262" s="5" t="str">
        <f t="shared" si="135"/>
        <v>Friday</v>
      </c>
      <c r="Q1262" s="5">
        <f t="shared" si="136"/>
        <v>10</v>
      </c>
      <c r="R1262" s="28">
        <f t="shared" si="137"/>
        <v>0.82051282051282048</v>
      </c>
      <c r="S1262" s="29">
        <f t="shared" si="138"/>
        <v>82.051282051282044</v>
      </c>
      <c r="T1262" s="5" t="str">
        <f>IF(Delivery_Data3[[#This Row],[Delays (min)]]&gt;0,"No","Yes")</f>
        <v>No</v>
      </c>
      <c r="W1262" s="41">
        <f t="shared" si="139"/>
        <v>45177</v>
      </c>
      <c r="X1262" s="5">
        <v>96</v>
      </c>
    </row>
    <row r="1263" spans="1:24" ht="15.75" customHeight="1" x14ac:dyDescent="0.3">
      <c r="A1263" s="4">
        <v>2262</v>
      </c>
      <c r="B1263" s="5" t="s">
        <v>1362</v>
      </c>
      <c r="C1263" s="6">
        <v>45176.385416666664</v>
      </c>
      <c r="D1263" s="5" t="s">
        <v>43</v>
      </c>
      <c r="E1263" s="5" t="s">
        <v>58</v>
      </c>
      <c r="F1263" s="5" t="s">
        <v>38</v>
      </c>
      <c r="G1263" s="5" t="s">
        <v>56</v>
      </c>
      <c r="H1263" s="5">
        <v>162</v>
      </c>
      <c r="I1263" s="5">
        <v>2</v>
      </c>
      <c r="J1263" s="5" t="s">
        <v>26</v>
      </c>
      <c r="K1263" s="5" t="s">
        <v>27</v>
      </c>
      <c r="L1263" s="5" t="s">
        <v>40</v>
      </c>
      <c r="M1263" s="7" t="s">
        <v>41</v>
      </c>
      <c r="N1263" s="26">
        <f t="shared" si="133"/>
        <v>1</v>
      </c>
      <c r="O1263" s="42">
        <f t="shared" si="134"/>
        <v>45176</v>
      </c>
      <c r="P1263" s="5" t="str">
        <f t="shared" si="135"/>
        <v>Thursday</v>
      </c>
      <c r="Q1263" s="5">
        <f t="shared" si="136"/>
        <v>9</v>
      </c>
      <c r="R1263" s="28">
        <f t="shared" si="137"/>
        <v>0.98780487804878048</v>
      </c>
      <c r="S1263" s="29">
        <f t="shared" si="138"/>
        <v>98.780487804878049</v>
      </c>
      <c r="T1263" s="5" t="str">
        <f>IF(Delivery_Data3[[#This Row],[Delays (min)]]&gt;0,"No","Yes")</f>
        <v>No</v>
      </c>
      <c r="W1263" s="41">
        <f t="shared" si="139"/>
        <v>45176</v>
      </c>
      <c r="X1263" s="5">
        <v>162</v>
      </c>
    </row>
    <row r="1264" spans="1:24" ht="15.75" customHeight="1" x14ac:dyDescent="0.3">
      <c r="A1264" s="4">
        <v>2263</v>
      </c>
      <c r="B1264" s="5" t="s">
        <v>1363</v>
      </c>
      <c r="C1264" s="6">
        <v>45171.679861111108</v>
      </c>
      <c r="D1264" s="5" t="s">
        <v>14</v>
      </c>
      <c r="E1264" s="5" t="s">
        <v>355</v>
      </c>
      <c r="F1264" s="5" t="s">
        <v>24</v>
      </c>
      <c r="G1264" s="5" t="s">
        <v>25</v>
      </c>
      <c r="H1264" s="5">
        <v>165</v>
      </c>
      <c r="I1264" s="5">
        <v>27</v>
      </c>
      <c r="J1264" s="5" t="s">
        <v>26</v>
      </c>
      <c r="K1264" s="5" t="s">
        <v>27</v>
      </c>
      <c r="L1264" s="5" t="s">
        <v>28</v>
      </c>
      <c r="M1264" s="7" t="s">
        <v>46</v>
      </c>
      <c r="N1264" s="26">
        <f t="shared" si="133"/>
        <v>1</v>
      </c>
      <c r="O1264" s="42">
        <f t="shared" si="134"/>
        <v>45171</v>
      </c>
      <c r="P1264" s="5" t="str">
        <f t="shared" si="135"/>
        <v>Saturday</v>
      </c>
      <c r="Q1264" s="5">
        <f t="shared" si="136"/>
        <v>16</v>
      </c>
      <c r="R1264" s="28">
        <f t="shared" si="137"/>
        <v>0.859375</v>
      </c>
      <c r="S1264" s="29">
        <f t="shared" si="138"/>
        <v>85.9375</v>
      </c>
      <c r="T1264" s="5" t="str">
        <f>IF(Delivery_Data3[[#This Row],[Delays (min)]]&gt;0,"No","Yes")</f>
        <v>No</v>
      </c>
      <c r="W1264" s="41">
        <f t="shared" si="139"/>
        <v>45171</v>
      </c>
      <c r="X1264" s="5">
        <v>165</v>
      </c>
    </row>
    <row r="1265" spans="1:24" ht="15.75" customHeight="1" x14ac:dyDescent="0.3">
      <c r="A1265" s="4">
        <v>2264</v>
      </c>
      <c r="B1265" s="5" t="s">
        <v>1364</v>
      </c>
      <c r="C1265" s="6">
        <v>45173.336111111108</v>
      </c>
      <c r="D1265" s="5" t="s">
        <v>14</v>
      </c>
      <c r="E1265" s="5" t="s">
        <v>132</v>
      </c>
      <c r="F1265" s="5" t="s">
        <v>24</v>
      </c>
      <c r="G1265" s="5" t="s">
        <v>39</v>
      </c>
      <c r="H1265" s="5">
        <v>235</v>
      </c>
      <c r="I1265" s="5">
        <v>11</v>
      </c>
      <c r="J1265" s="5" t="s">
        <v>26</v>
      </c>
      <c r="K1265" s="5" t="s">
        <v>45</v>
      </c>
      <c r="L1265" s="5" t="s">
        <v>40</v>
      </c>
      <c r="M1265" s="7" t="s">
        <v>46</v>
      </c>
      <c r="N1265" s="26">
        <f t="shared" si="133"/>
        <v>1</v>
      </c>
      <c r="O1265" s="42">
        <f t="shared" si="134"/>
        <v>45173</v>
      </c>
      <c r="P1265" s="5" t="str">
        <f t="shared" si="135"/>
        <v>Monday</v>
      </c>
      <c r="Q1265" s="5">
        <f t="shared" si="136"/>
        <v>8</v>
      </c>
      <c r="R1265" s="28">
        <f t="shared" si="137"/>
        <v>0.95528455284552849</v>
      </c>
      <c r="S1265" s="29">
        <f t="shared" si="138"/>
        <v>95.528455284552848</v>
      </c>
      <c r="T1265" s="5" t="str">
        <f>IF(Delivery_Data3[[#This Row],[Delays (min)]]&gt;0,"No","Yes")</f>
        <v>No</v>
      </c>
      <c r="W1265" s="41">
        <f t="shared" si="139"/>
        <v>45173</v>
      </c>
      <c r="X1265" s="5">
        <v>235</v>
      </c>
    </row>
    <row r="1266" spans="1:24" ht="15.75" customHeight="1" x14ac:dyDescent="0.3">
      <c r="A1266" s="4">
        <v>2265</v>
      </c>
      <c r="B1266" s="5" t="s">
        <v>1365</v>
      </c>
      <c r="C1266" s="6">
        <v>45172.445833333331</v>
      </c>
      <c r="D1266" s="5" t="s">
        <v>43</v>
      </c>
      <c r="E1266" s="5" t="s">
        <v>130</v>
      </c>
      <c r="F1266" s="5" t="s">
        <v>16</v>
      </c>
      <c r="G1266" s="5" t="s">
        <v>17</v>
      </c>
      <c r="H1266" s="5">
        <v>177</v>
      </c>
      <c r="I1266" s="5">
        <v>16</v>
      </c>
      <c r="J1266" s="5" t="s">
        <v>26</v>
      </c>
      <c r="K1266" s="5" t="s">
        <v>35</v>
      </c>
      <c r="L1266" s="5" t="s">
        <v>28</v>
      </c>
      <c r="M1266" s="7" t="s">
        <v>21</v>
      </c>
      <c r="N1266" s="26">
        <f t="shared" si="133"/>
        <v>1</v>
      </c>
      <c r="O1266" s="42">
        <f t="shared" si="134"/>
        <v>45172</v>
      </c>
      <c r="P1266" s="5" t="str">
        <f t="shared" si="135"/>
        <v>Sunday</v>
      </c>
      <c r="Q1266" s="5">
        <f t="shared" si="136"/>
        <v>10</v>
      </c>
      <c r="R1266" s="28">
        <f t="shared" si="137"/>
        <v>0.91709844559585496</v>
      </c>
      <c r="S1266" s="29">
        <f t="shared" si="138"/>
        <v>91.709844559585491</v>
      </c>
      <c r="T1266" s="5" t="str">
        <f>IF(Delivery_Data3[[#This Row],[Delays (min)]]&gt;0,"No","Yes")</f>
        <v>No</v>
      </c>
      <c r="W1266" s="41">
        <f t="shared" si="139"/>
        <v>45172</v>
      </c>
      <c r="X1266" s="5">
        <v>177</v>
      </c>
    </row>
    <row r="1267" spans="1:24" ht="15.75" customHeight="1" x14ac:dyDescent="0.3">
      <c r="A1267" s="4">
        <v>2266</v>
      </c>
      <c r="B1267" s="5" t="s">
        <v>1366</v>
      </c>
      <c r="C1267" s="6">
        <v>45173.497916666667</v>
      </c>
      <c r="D1267" s="5" t="s">
        <v>14</v>
      </c>
      <c r="E1267" s="5" t="s">
        <v>228</v>
      </c>
      <c r="F1267" s="5" t="s">
        <v>38</v>
      </c>
      <c r="G1267" s="5" t="s">
        <v>25</v>
      </c>
      <c r="H1267" s="5">
        <v>214</v>
      </c>
      <c r="I1267" s="5">
        <v>24</v>
      </c>
      <c r="J1267" s="5" t="s">
        <v>18</v>
      </c>
      <c r="K1267" s="5" t="s">
        <v>45</v>
      </c>
      <c r="L1267" s="5" t="s">
        <v>40</v>
      </c>
      <c r="M1267" s="7" t="s">
        <v>21</v>
      </c>
      <c r="N1267" s="26">
        <f t="shared" si="133"/>
        <v>0</v>
      </c>
      <c r="O1267" s="42">
        <f t="shared" si="134"/>
        <v>45173</v>
      </c>
      <c r="P1267" s="5" t="str">
        <f t="shared" si="135"/>
        <v>Monday</v>
      </c>
      <c r="Q1267" s="5">
        <f t="shared" si="136"/>
        <v>11</v>
      </c>
      <c r="R1267" s="28">
        <f t="shared" si="137"/>
        <v>0.89915966386554624</v>
      </c>
      <c r="S1267" s="29">
        <f t="shared" si="138"/>
        <v>89.915966386554629</v>
      </c>
      <c r="T1267" s="5" t="str">
        <f>IF(Delivery_Data3[[#This Row],[Delays (min)]]&gt;0,"No","Yes")</f>
        <v>No</v>
      </c>
      <c r="W1267" s="41">
        <f t="shared" si="139"/>
        <v>45173</v>
      </c>
      <c r="X1267" s="5">
        <v>214</v>
      </c>
    </row>
    <row r="1268" spans="1:24" ht="15.75" customHeight="1" x14ac:dyDescent="0.3">
      <c r="A1268" s="4">
        <v>2267</v>
      </c>
      <c r="B1268" s="5" t="s">
        <v>1367</v>
      </c>
      <c r="C1268" s="6">
        <v>45173.42083333333</v>
      </c>
      <c r="D1268" s="5" t="s">
        <v>14</v>
      </c>
      <c r="E1268" s="5" t="s">
        <v>441</v>
      </c>
      <c r="F1268" s="5" t="s">
        <v>16</v>
      </c>
      <c r="G1268" s="5" t="s">
        <v>56</v>
      </c>
      <c r="H1268" s="5">
        <v>66</v>
      </c>
      <c r="I1268" s="5">
        <v>28</v>
      </c>
      <c r="J1268" s="5" t="s">
        <v>18</v>
      </c>
      <c r="K1268" s="5" t="s">
        <v>27</v>
      </c>
      <c r="L1268" s="5" t="s">
        <v>40</v>
      </c>
      <c r="M1268" s="7" t="s">
        <v>46</v>
      </c>
      <c r="N1268" s="26">
        <f t="shared" si="133"/>
        <v>0</v>
      </c>
      <c r="O1268" s="42">
        <f t="shared" si="134"/>
        <v>45173</v>
      </c>
      <c r="P1268" s="5" t="str">
        <f t="shared" si="135"/>
        <v>Monday</v>
      </c>
      <c r="Q1268" s="5">
        <f t="shared" si="136"/>
        <v>10</v>
      </c>
      <c r="R1268" s="28">
        <f t="shared" si="137"/>
        <v>0.7021276595744681</v>
      </c>
      <c r="S1268" s="29">
        <f t="shared" si="138"/>
        <v>70.212765957446805</v>
      </c>
      <c r="T1268" s="5" t="str">
        <f>IF(Delivery_Data3[[#This Row],[Delays (min)]]&gt;0,"No","Yes")</f>
        <v>No</v>
      </c>
      <c r="W1268" s="41">
        <f t="shared" si="139"/>
        <v>45173</v>
      </c>
      <c r="X1268" s="5">
        <v>66</v>
      </c>
    </row>
    <row r="1269" spans="1:24" ht="15.75" customHeight="1" x14ac:dyDescent="0.3">
      <c r="A1269" s="4">
        <v>2268</v>
      </c>
      <c r="B1269" s="5" t="s">
        <v>1368</v>
      </c>
      <c r="C1269" s="6">
        <v>45172.581250000003</v>
      </c>
      <c r="D1269" s="5" t="s">
        <v>43</v>
      </c>
      <c r="E1269" s="5" t="s">
        <v>111</v>
      </c>
      <c r="F1269" s="5" t="s">
        <v>24</v>
      </c>
      <c r="G1269" s="5" t="s">
        <v>39</v>
      </c>
      <c r="H1269" s="5">
        <v>228</v>
      </c>
      <c r="I1269" s="5">
        <v>6</v>
      </c>
      <c r="J1269" s="5" t="s">
        <v>32</v>
      </c>
      <c r="K1269" s="5" t="s">
        <v>45</v>
      </c>
      <c r="L1269" s="5" t="s">
        <v>20</v>
      </c>
      <c r="M1269" s="7" t="s">
        <v>46</v>
      </c>
      <c r="N1269" s="26">
        <f t="shared" si="133"/>
        <v>-1</v>
      </c>
      <c r="O1269" s="42">
        <f t="shared" si="134"/>
        <v>45172</v>
      </c>
      <c r="P1269" s="5" t="str">
        <f t="shared" si="135"/>
        <v>Sunday</v>
      </c>
      <c r="Q1269" s="5">
        <f t="shared" si="136"/>
        <v>13</v>
      </c>
      <c r="R1269" s="28">
        <f t="shared" si="137"/>
        <v>0.97435897435897434</v>
      </c>
      <c r="S1269" s="29">
        <f t="shared" si="138"/>
        <v>97.435897435897431</v>
      </c>
      <c r="T1269" s="5" t="str">
        <f>IF(Delivery_Data3[[#This Row],[Delays (min)]]&gt;0,"No","Yes")</f>
        <v>No</v>
      </c>
      <c r="W1269" s="41">
        <f t="shared" si="139"/>
        <v>45172</v>
      </c>
      <c r="X1269" s="5">
        <v>228</v>
      </c>
    </row>
    <row r="1270" spans="1:24" ht="15.75" customHeight="1" x14ac:dyDescent="0.3">
      <c r="A1270" s="4">
        <v>2269</v>
      </c>
      <c r="B1270" s="5" t="s">
        <v>1369</v>
      </c>
      <c r="C1270" s="6">
        <v>45171.657638888886</v>
      </c>
      <c r="D1270" s="5" t="s">
        <v>43</v>
      </c>
      <c r="E1270" s="5" t="s">
        <v>51</v>
      </c>
      <c r="F1270" s="5" t="s">
        <v>38</v>
      </c>
      <c r="G1270" s="5" t="s">
        <v>25</v>
      </c>
      <c r="H1270" s="5">
        <v>181</v>
      </c>
      <c r="I1270" s="5">
        <v>9</v>
      </c>
      <c r="J1270" s="5" t="s">
        <v>18</v>
      </c>
      <c r="K1270" s="5" t="s">
        <v>27</v>
      </c>
      <c r="L1270" s="5" t="s">
        <v>40</v>
      </c>
      <c r="M1270" s="7" t="s">
        <v>41</v>
      </c>
      <c r="N1270" s="26">
        <f t="shared" si="133"/>
        <v>0</v>
      </c>
      <c r="O1270" s="42">
        <f t="shared" si="134"/>
        <v>45171</v>
      </c>
      <c r="P1270" s="5" t="str">
        <f t="shared" si="135"/>
        <v>Saturday</v>
      </c>
      <c r="Q1270" s="5">
        <f t="shared" si="136"/>
        <v>15</v>
      </c>
      <c r="R1270" s="28">
        <f t="shared" si="137"/>
        <v>0.95263157894736838</v>
      </c>
      <c r="S1270" s="29">
        <f t="shared" si="138"/>
        <v>95.263157894736835</v>
      </c>
      <c r="T1270" s="5" t="str">
        <f>IF(Delivery_Data3[[#This Row],[Delays (min)]]&gt;0,"No","Yes")</f>
        <v>No</v>
      </c>
      <c r="W1270" s="41">
        <f t="shared" si="139"/>
        <v>45171</v>
      </c>
      <c r="X1270" s="5">
        <v>181</v>
      </c>
    </row>
    <row r="1271" spans="1:24" ht="15.75" customHeight="1" x14ac:dyDescent="0.3">
      <c r="A1271" s="4">
        <v>2270</v>
      </c>
      <c r="B1271" s="5" t="s">
        <v>1370</v>
      </c>
      <c r="C1271" s="6">
        <v>45175.6875</v>
      </c>
      <c r="D1271" s="5" t="s">
        <v>43</v>
      </c>
      <c r="E1271" s="5" t="s">
        <v>68</v>
      </c>
      <c r="F1271" s="5" t="s">
        <v>38</v>
      </c>
      <c r="G1271" s="5" t="s">
        <v>25</v>
      </c>
      <c r="H1271" s="5">
        <v>226</v>
      </c>
      <c r="I1271" s="5">
        <v>15</v>
      </c>
      <c r="J1271" s="5" t="s">
        <v>18</v>
      </c>
      <c r="K1271" s="5" t="s">
        <v>45</v>
      </c>
      <c r="L1271" s="5" t="s">
        <v>28</v>
      </c>
      <c r="M1271" s="7" t="s">
        <v>46</v>
      </c>
      <c r="N1271" s="26">
        <f t="shared" si="133"/>
        <v>0</v>
      </c>
      <c r="O1271" s="42">
        <f t="shared" si="134"/>
        <v>45175</v>
      </c>
      <c r="P1271" s="5" t="str">
        <f t="shared" si="135"/>
        <v>Wednesday</v>
      </c>
      <c r="Q1271" s="5">
        <f t="shared" si="136"/>
        <v>16</v>
      </c>
      <c r="R1271" s="28">
        <f t="shared" si="137"/>
        <v>0.93775933609958506</v>
      </c>
      <c r="S1271" s="29">
        <f t="shared" si="138"/>
        <v>93.7759336099585</v>
      </c>
      <c r="T1271" s="5" t="str">
        <f>IF(Delivery_Data3[[#This Row],[Delays (min)]]&gt;0,"No","Yes")</f>
        <v>No</v>
      </c>
      <c r="W1271" s="41">
        <f t="shared" si="139"/>
        <v>45175</v>
      </c>
      <c r="X1271" s="5">
        <v>226</v>
      </c>
    </row>
    <row r="1272" spans="1:24" ht="15.75" customHeight="1" x14ac:dyDescent="0.3">
      <c r="A1272" s="4">
        <v>2271</v>
      </c>
      <c r="B1272" s="5" t="s">
        <v>1371</v>
      </c>
      <c r="C1272" s="6">
        <v>45177.350694444445</v>
      </c>
      <c r="D1272" s="5" t="s">
        <v>14</v>
      </c>
      <c r="E1272" s="5" t="s">
        <v>48</v>
      </c>
      <c r="F1272" s="5" t="s">
        <v>16</v>
      </c>
      <c r="G1272" s="5" t="s">
        <v>56</v>
      </c>
      <c r="H1272" s="5">
        <v>197</v>
      </c>
      <c r="I1272" s="5">
        <v>9</v>
      </c>
      <c r="J1272" s="5" t="s">
        <v>26</v>
      </c>
      <c r="K1272" s="5" t="s">
        <v>49</v>
      </c>
      <c r="L1272" s="5" t="s">
        <v>28</v>
      </c>
      <c r="M1272" s="7" t="s">
        <v>46</v>
      </c>
      <c r="N1272" s="26">
        <f t="shared" si="133"/>
        <v>1</v>
      </c>
      <c r="O1272" s="42">
        <f t="shared" si="134"/>
        <v>45177</v>
      </c>
      <c r="P1272" s="5" t="str">
        <f t="shared" si="135"/>
        <v>Friday</v>
      </c>
      <c r="Q1272" s="5">
        <f t="shared" si="136"/>
        <v>8</v>
      </c>
      <c r="R1272" s="28">
        <f t="shared" si="137"/>
        <v>0.9563106796116505</v>
      </c>
      <c r="S1272" s="29">
        <f t="shared" si="138"/>
        <v>95.631067961165044</v>
      </c>
      <c r="T1272" s="5" t="str">
        <f>IF(Delivery_Data3[[#This Row],[Delays (min)]]&gt;0,"No","Yes")</f>
        <v>No</v>
      </c>
      <c r="W1272" s="41">
        <f t="shared" si="139"/>
        <v>45177</v>
      </c>
      <c r="X1272" s="5">
        <v>197</v>
      </c>
    </row>
    <row r="1273" spans="1:24" ht="15.75" customHeight="1" x14ac:dyDescent="0.3">
      <c r="A1273" s="4">
        <v>2272</v>
      </c>
      <c r="B1273" s="5" t="s">
        <v>1372</v>
      </c>
      <c r="C1273" s="6">
        <v>45171.64166666667</v>
      </c>
      <c r="D1273" s="5" t="s">
        <v>43</v>
      </c>
      <c r="E1273" s="5" t="s">
        <v>109</v>
      </c>
      <c r="F1273" s="5" t="s">
        <v>24</v>
      </c>
      <c r="G1273" s="5" t="s">
        <v>17</v>
      </c>
      <c r="H1273" s="5">
        <v>238</v>
      </c>
      <c r="I1273" s="5">
        <v>21</v>
      </c>
      <c r="J1273" s="5" t="s">
        <v>32</v>
      </c>
      <c r="K1273" s="5" t="s">
        <v>27</v>
      </c>
      <c r="L1273" s="5" t="s">
        <v>20</v>
      </c>
      <c r="M1273" s="7" t="s">
        <v>21</v>
      </c>
      <c r="N1273" s="26">
        <f t="shared" si="133"/>
        <v>-1</v>
      </c>
      <c r="O1273" s="42">
        <f t="shared" si="134"/>
        <v>45171</v>
      </c>
      <c r="P1273" s="5" t="str">
        <f t="shared" si="135"/>
        <v>Saturday</v>
      </c>
      <c r="Q1273" s="5">
        <f t="shared" si="136"/>
        <v>15</v>
      </c>
      <c r="R1273" s="28">
        <f t="shared" si="137"/>
        <v>0.91891891891891897</v>
      </c>
      <c r="S1273" s="29">
        <f t="shared" si="138"/>
        <v>91.891891891891902</v>
      </c>
      <c r="T1273" s="5" t="str">
        <f>IF(Delivery_Data3[[#This Row],[Delays (min)]]&gt;0,"No","Yes")</f>
        <v>No</v>
      </c>
      <c r="W1273" s="41">
        <f t="shared" si="139"/>
        <v>45171</v>
      </c>
      <c r="X1273" s="5">
        <v>238</v>
      </c>
    </row>
    <row r="1274" spans="1:24" ht="15.75" customHeight="1" x14ac:dyDescent="0.3">
      <c r="A1274" s="4">
        <v>2273</v>
      </c>
      <c r="B1274" s="5" t="s">
        <v>1373</v>
      </c>
      <c r="C1274" s="6">
        <v>45175.352083333331</v>
      </c>
      <c r="D1274" s="5" t="s">
        <v>43</v>
      </c>
      <c r="E1274" s="5" t="s">
        <v>30</v>
      </c>
      <c r="F1274" s="5" t="s">
        <v>24</v>
      </c>
      <c r="G1274" s="5" t="s">
        <v>17</v>
      </c>
      <c r="H1274" s="5">
        <v>166</v>
      </c>
      <c r="I1274" s="5">
        <v>11</v>
      </c>
      <c r="J1274" s="5" t="s">
        <v>18</v>
      </c>
      <c r="K1274" s="5" t="s">
        <v>19</v>
      </c>
      <c r="L1274" s="5" t="s">
        <v>20</v>
      </c>
      <c r="M1274" s="7" t="s">
        <v>21</v>
      </c>
      <c r="N1274" s="26">
        <f t="shared" si="133"/>
        <v>0</v>
      </c>
      <c r="O1274" s="42">
        <f t="shared" si="134"/>
        <v>45175</v>
      </c>
      <c r="P1274" s="5" t="str">
        <f t="shared" si="135"/>
        <v>Wednesday</v>
      </c>
      <c r="Q1274" s="5">
        <f t="shared" si="136"/>
        <v>8</v>
      </c>
      <c r="R1274" s="28">
        <f t="shared" si="137"/>
        <v>0.93785310734463279</v>
      </c>
      <c r="S1274" s="29">
        <f t="shared" si="138"/>
        <v>93.78531073446328</v>
      </c>
      <c r="T1274" s="5" t="str">
        <f>IF(Delivery_Data3[[#This Row],[Delays (min)]]&gt;0,"No","Yes")</f>
        <v>No</v>
      </c>
      <c r="W1274" s="41">
        <f t="shared" si="139"/>
        <v>45175</v>
      </c>
      <c r="X1274" s="5">
        <v>166</v>
      </c>
    </row>
    <row r="1275" spans="1:24" ht="15.75" customHeight="1" x14ac:dyDescent="0.3">
      <c r="A1275" s="4">
        <v>2274</v>
      </c>
      <c r="B1275" s="5" t="s">
        <v>1374</v>
      </c>
      <c r="C1275" s="6">
        <v>45171.416666666664</v>
      </c>
      <c r="D1275" s="5" t="s">
        <v>43</v>
      </c>
      <c r="E1275" s="5" t="s">
        <v>277</v>
      </c>
      <c r="F1275" s="5" t="s">
        <v>38</v>
      </c>
      <c r="G1275" s="5" t="s">
        <v>31</v>
      </c>
      <c r="H1275" s="5">
        <v>168</v>
      </c>
      <c r="I1275" s="5">
        <v>29</v>
      </c>
      <c r="J1275" s="5" t="s">
        <v>32</v>
      </c>
      <c r="K1275" s="5" t="s">
        <v>49</v>
      </c>
      <c r="L1275" s="5" t="s">
        <v>40</v>
      </c>
      <c r="M1275" s="7" t="s">
        <v>41</v>
      </c>
      <c r="N1275" s="26">
        <f t="shared" si="133"/>
        <v>-1</v>
      </c>
      <c r="O1275" s="42">
        <f t="shared" si="134"/>
        <v>45171</v>
      </c>
      <c r="P1275" s="5" t="str">
        <f t="shared" si="135"/>
        <v>Saturday</v>
      </c>
      <c r="Q1275" s="5">
        <f t="shared" si="136"/>
        <v>10</v>
      </c>
      <c r="R1275" s="28">
        <f t="shared" si="137"/>
        <v>0.85279187817258884</v>
      </c>
      <c r="S1275" s="29">
        <f t="shared" si="138"/>
        <v>85.279187817258887</v>
      </c>
      <c r="T1275" s="5" t="str">
        <f>IF(Delivery_Data3[[#This Row],[Delays (min)]]&gt;0,"No","Yes")</f>
        <v>No</v>
      </c>
      <c r="W1275" s="41">
        <f t="shared" si="139"/>
        <v>45171</v>
      </c>
      <c r="X1275" s="5">
        <v>168</v>
      </c>
    </row>
    <row r="1276" spans="1:24" ht="15.75" customHeight="1" x14ac:dyDescent="0.3">
      <c r="A1276" s="4">
        <v>2275</v>
      </c>
      <c r="B1276" s="5" t="s">
        <v>1375</v>
      </c>
      <c r="C1276" s="6">
        <v>45171.510416666664</v>
      </c>
      <c r="D1276" s="5" t="s">
        <v>14</v>
      </c>
      <c r="E1276" s="5" t="s">
        <v>130</v>
      </c>
      <c r="F1276" s="5" t="s">
        <v>16</v>
      </c>
      <c r="G1276" s="5" t="s">
        <v>39</v>
      </c>
      <c r="H1276" s="5">
        <v>178</v>
      </c>
      <c r="I1276" s="5">
        <v>29</v>
      </c>
      <c r="J1276" s="5" t="s">
        <v>26</v>
      </c>
      <c r="K1276" s="5" t="s">
        <v>49</v>
      </c>
      <c r="L1276" s="5" t="s">
        <v>40</v>
      </c>
      <c r="M1276" s="7" t="s">
        <v>21</v>
      </c>
      <c r="N1276" s="26">
        <f t="shared" si="133"/>
        <v>1</v>
      </c>
      <c r="O1276" s="42">
        <f t="shared" si="134"/>
        <v>45171</v>
      </c>
      <c r="P1276" s="5" t="str">
        <f t="shared" si="135"/>
        <v>Saturday</v>
      </c>
      <c r="Q1276" s="5">
        <f t="shared" si="136"/>
        <v>12</v>
      </c>
      <c r="R1276" s="28">
        <f t="shared" si="137"/>
        <v>0.85990338164251212</v>
      </c>
      <c r="S1276" s="29">
        <f t="shared" si="138"/>
        <v>85.990338164251213</v>
      </c>
      <c r="T1276" s="5" t="str">
        <f>IF(Delivery_Data3[[#This Row],[Delays (min)]]&gt;0,"No","Yes")</f>
        <v>No</v>
      </c>
      <c r="W1276" s="41">
        <f t="shared" si="139"/>
        <v>45171</v>
      </c>
      <c r="X1276" s="5">
        <v>178</v>
      </c>
    </row>
    <row r="1277" spans="1:24" ht="15.75" customHeight="1" x14ac:dyDescent="0.3">
      <c r="A1277" s="4">
        <v>2276</v>
      </c>
      <c r="B1277" s="5" t="s">
        <v>1376</v>
      </c>
      <c r="C1277" s="6">
        <v>45177.436805555553</v>
      </c>
      <c r="D1277" s="5" t="s">
        <v>43</v>
      </c>
      <c r="E1277" s="5" t="s">
        <v>91</v>
      </c>
      <c r="F1277" s="5" t="s">
        <v>38</v>
      </c>
      <c r="G1277" s="5" t="s">
        <v>56</v>
      </c>
      <c r="H1277" s="5">
        <v>97</v>
      </c>
      <c r="I1277" s="5">
        <v>22</v>
      </c>
      <c r="J1277" s="5" t="s">
        <v>32</v>
      </c>
      <c r="K1277" s="5" t="s">
        <v>49</v>
      </c>
      <c r="L1277" s="5" t="s">
        <v>40</v>
      </c>
      <c r="M1277" s="7" t="s">
        <v>21</v>
      </c>
      <c r="N1277" s="26">
        <f t="shared" si="133"/>
        <v>-1</v>
      </c>
      <c r="O1277" s="42">
        <f t="shared" si="134"/>
        <v>45177</v>
      </c>
      <c r="P1277" s="5" t="str">
        <f t="shared" si="135"/>
        <v>Friday</v>
      </c>
      <c r="Q1277" s="5">
        <f t="shared" si="136"/>
        <v>10</v>
      </c>
      <c r="R1277" s="28">
        <f t="shared" si="137"/>
        <v>0.81512605042016806</v>
      </c>
      <c r="S1277" s="29">
        <f t="shared" si="138"/>
        <v>81.512605042016801</v>
      </c>
      <c r="T1277" s="5" t="str">
        <f>IF(Delivery_Data3[[#This Row],[Delays (min)]]&gt;0,"No","Yes")</f>
        <v>No</v>
      </c>
      <c r="W1277" s="41">
        <f t="shared" si="139"/>
        <v>45177</v>
      </c>
      <c r="X1277" s="5">
        <v>97</v>
      </c>
    </row>
    <row r="1278" spans="1:24" ht="15.75" customHeight="1" x14ac:dyDescent="0.3">
      <c r="A1278" s="4">
        <v>2277</v>
      </c>
      <c r="B1278" s="5" t="s">
        <v>1377</v>
      </c>
      <c r="C1278" s="6">
        <v>45177.588194444441</v>
      </c>
      <c r="D1278" s="5" t="s">
        <v>43</v>
      </c>
      <c r="E1278" s="5" t="s">
        <v>220</v>
      </c>
      <c r="F1278" s="5" t="s">
        <v>38</v>
      </c>
      <c r="G1278" s="5" t="s">
        <v>17</v>
      </c>
      <c r="H1278" s="5">
        <v>184</v>
      </c>
      <c r="I1278" s="5">
        <v>22</v>
      </c>
      <c r="J1278" s="5" t="s">
        <v>32</v>
      </c>
      <c r="K1278" s="5" t="s">
        <v>27</v>
      </c>
      <c r="L1278" s="5" t="s">
        <v>28</v>
      </c>
      <c r="M1278" s="7" t="s">
        <v>46</v>
      </c>
      <c r="N1278" s="26">
        <f t="shared" si="133"/>
        <v>-1</v>
      </c>
      <c r="O1278" s="42">
        <f t="shared" si="134"/>
        <v>45177</v>
      </c>
      <c r="P1278" s="5" t="str">
        <f t="shared" si="135"/>
        <v>Friday</v>
      </c>
      <c r="Q1278" s="5">
        <f t="shared" si="136"/>
        <v>14</v>
      </c>
      <c r="R1278" s="28">
        <f t="shared" si="137"/>
        <v>0.89320388349514568</v>
      </c>
      <c r="S1278" s="29">
        <f t="shared" si="138"/>
        <v>89.320388349514573</v>
      </c>
      <c r="T1278" s="5" t="str">
        <f>IF(Delivery_Data3[[#This Row],[Delays (min)]]&gt;0,"No","Yes")</f>
        <v>No</v>
      </c>
      <c r="W1278" s="41">
        <f t="shared" si="139"/>
        <v>45177</v>
      </c>
      <c r="X1278" s="5">
        <v>184</v>
      </c>
    </row>
    <row r="1279" spans="1:24" ht="15.75" customHeight="1" x14ac:dyDescent="0.3">
      <c r="A1279" s="4">
        <v>2278</v>
      </c>
      <c r="B1279" s="5" t="s">
        <v>1378</v>
      </c>
      <c r="C1279" s="6">
        <v>45171.697222222225</v>
      </c>
      <c r="D1279" s="5" t="s">
        <v>14</v>
      </c>
      <c r="E1279" s="5" t="s">
        <v>182</v>
      </c>
      <c r="F1279" s="5" t="s">
        <v>24</v>
      </c>
      <c r="G1279" s="5" t="s">
        <v>31</v>
      </c>
      <c r="H1279" s="5">
        <v>234</v>
      </c>
      <c r="I1279" s="5">
        <v>6</v>
      </c>
      <c r="J1279" s="5" t="s">
        <v>18</v>
      </c>
      <c r="K1279" s="5" t="s">
        <v>45</v>
      </c>
      <c r="L1279" s="5" t="s">
        <v>40</v>
      </c>
      <c r="M1279" s="7" t="s">
        <v>46</v>
      </c>
      <c r="N1279" s="26">
        <f t="shared" si="133"/>
        <v>0</v>
      </c>
      <c r="O1279" s="42">
        <f t="shared" si="134"/>
        <v>45171</v>
      </c>
      <c r="P1279" s="5" t="str">
        <f t="shared" si="135"/>
        <v>Saturday</v>
      </c>
      <c r="Q1279" s="5">
        <f t="shared" si="136"/>
        <v>16</v>
      </c>
      <c r="R1279" s="28">
        <f t="shared" si="137"/>
        <v>0.97499999999999998</v>
      </c>
      <c r="S1279" s="29">
        <f t="shared" si="138"/>
        <v>97.5</v>
      </c>
      <c r="T1279" s="5" t="str">
        <f>IF(Delivery_Data3[[#This Row],[Delays (min)]]&gt;0,"No","Yes")</f>
        <v>No</v>
      </c>
      <c r="W1279" s="41">
        <f t="shared" si="139"/>
        <v>45171</v>
      </c>
      <c r="X1279" s="5">
        <v>234</v>
      </c>
    </row>
    <row r="1280" spans="1:24" ht="15.75" customHeight="1" x14ac:dyDescent="0.3">
      <c r="A1280" s="4">
        <v>2279</v>
      </c>
      <c r="B1280" s="5" t="s">
        <v>1379</v>
      </c>
      <c r="C1280" s="6">
        <v>45176.567361111112</v>
      </c>
      <c r="D1280" s="5" t="s">
        <v>43</v>
      </c>
      <c r="E1280" s="5" t="s">
        <v>154</v>
      </c>
      <c r="F1280" s="5" t="s">
        <v>16</v>
      </c>
      <c r="G1280" s="5" t="s">
        <v>56</v>
      </c>
      <c r="H1280" s="5">
        <v>233</v>
      </c>
      <c r="I1280" s="5">
        <v>3</v>
      </c>
      <c r="J1280" s="5" t="s">
        <v>18</v>
      </c>
      <c r="K1280" s="5" t="s">
        <v>45</v>
      </c>
      <c r="L1280" s="5" t="s">
        <v>40</v>
      </c>
      <c r="M1280" s="7" t="s">
        <v>41</v>
      </c>
      <c r="N1280" s="26">
        <f t="shared" si="133"/>
        <v>0</v>
      </c>
      <c r="O1280" s="42">
        <f t="shared" si="134"/>
        <v>45176</v>
      </c>
      <c r="P1280" s="5" t="str">
        <f t="shared" si="135"/>
        <v>Thursday</v>
      </c>
      <c r="Q1280" s="5">
        <f t="shared" si="136"/>
        <v>13</v>
      </c>
      <c r="R1280" s="28">
        <f t="shared" si="137"/>
        <v>0.98728813559322037</v>
      </c>
      <c r="S1280" s="29">
        <f t="shared" si="138"/>
        <v>98.728813559322035</v>
      </c>
      <c r="T1280" s="5" t="str">
        <f>IF(Delivery_Data3[[#This Row],[Delays (min)]]&gt;0,"No","Yes")</f>
        <v>No</v>
      </c>
      <c r="W1280" s="41">
        <f t="shared" si="139"/>
        <v>45176</v>
      </c>
      <c r="X1280" s="5">
        <v>233</v>
      </c>
    </row>
    <row r="1281" spans="1:24" ht="15.75" customHeight="1" x14ac:dyDescent="0.3">
      <c r="A1281" s="4">
        <v>2280</v>
      </c>
      <c r="B1281" s="5" t="s">
        <v>1380</v>
      </c>
      <c r="C1281" s="6">
        <v>45173.695138888892</v>
      </c>
      <c r="D1281" s="5" t="s">
        <v>43</v>
      </c>
      <c r="E1281" s="5" t="s">
        <v>89</v>
      </c>
      <c r="F1281" s="5" t="s">
        <v>38</v>
      </c>
      <c r="G1281" s="5" t="s">
        <v>25</v>
      </c>
      <c r="H1281" s="5">
        <v>163</v>
      </c>
      <c r="I1281" s="5">
        <v>19</v>
      </c>
      <c r="J1281" s="5" t="s">
        <v>32</v>
      </c>
      <c r="K1281" s="5" t="s">
        <v>19</v>
      </c>
      <c r="L1281" s="5" t="s">
        <v>20</v>
      </c>
      <c r="M1281" s="7" t="s">
        <v>21</v>
      </c>
      <c r="N1281" s="26">
        <f t="shared" si="133"/>
        <v>-1</v>
      </c>
      <c r="O1281" s="42">
        <f t="shared" si="134"/>
        <v>45173</v>
      </c>
      <c r="P1281" s="5" t="str">
        <f t="shared" si="135"/>
        <v>Monday</v>
      </c>
      <c r="Q1281" s="5">
        <f t="shared" si="136"/>
        <v>16</v>
      </c>
      <c r="R1281" s="28">
        <f t="shared" si="137"/>
        <v>0.89560439560439564</v>
      </c>
      <c r="S1281" s="29">
        <f t="shared" si="138"/>
        <v>89.560439560439562</v>
      </c>
      <c r="T1281" s="5" t="str">
        <f>IF(Delivery_Data3[[#This Row],[Delays (min)]]&gt;0,"No","Yes")</f>
        <v>No</v>
      </c>
      <c r="W1281" s="41">
        <f t="shared" si="139"/>
        <v>45173</v>
      </c>
      <c r="X1281" s="5">
        <v>163</v>
      </c>
    </row>
    <row r="1282" spans="1:24" ht="15.75" customHeight="1" x14ac:dyDescent="0.3">
      <c r="A1282" s="4">
        <v>2281</v>
      </c>
      <c r="B1282" s="5" t="s">
        <v>1381</v>
      </c>
      <c r="C1282" s="6">
        <v>45174.697222222225</v>
      </c>
      <c r="D1282" s="5" t="s">
        <v>43</v>
      </c>
      <c r="E1282" s="5" t="s">
        <v>103</v>
      </c>
      <c r="F1282" s="5" t="s">
        <v>24</v>
      </c>
      <c r="G1282" s="5" t="s">
        <v>17</v>
      </c>
      <c r="H1282" s="5">
        <v>159</v>
      </c>
      <c r="I1282" s="5">
        <v>24</v>
      </c>
      <c r="J1282" s="5" t="s">
        <v>32</v>
      </c>
      <c r="K1282" s="5" t="s">
        <v>27</v>
      </c>
      <c r="L1282" s="5" t="s">
        <v>20</v>
      </c>
      <c r="M1282" s="7" t="s">
        <v>41</v>
      </c>
      <c r="N1282" s="26">
        <f t="shared" ref="N1282:N1345" si="140">IF(J1282="Positive",1,IF(J1282="Neutral",0,IF(J1282="Negative",-1,"")))</f>
        <v>-1</v>
      </c>
      <c r="O1282" s="42">
        <f t="shared" ref="O1282:O1345" si="141">INT(C1282)</f>
        <v>45174</v>
      </c>
      <c r="P1282" s="5" t="str">
        <f t="shared" ref="P1282:P1345" si="142">TEXT(C1282,"dddd")</f>
        <v>Tuesday</v>
      </c>
      <c r="Q1282" s="5">
        <f t="shared" ref="Q1282:Q1345" si="143">HOUR(C1282)</f>
        <v>16</v>
      </c>
      <c r="R1282" s="28">
        <f t="shared" ref="R1282:R1345" si="144">H1282/(H1282+I1282)</f>
        <v>0.86885245901639341</v>
      </c>
      <c r="S1282" s="29">
        <f t="shared" si="138"/>
        <v>86.885245901639337</v>
      </c>
      <c r="T1282" s="5" t="str">
        <f>IF(Delivery_Data3[[#This Row],[Delays (min)]]&gt;0,"No","Yes")</f>
        <v>No</v>
      </c>
      <c r="W1282" s="41">
        <f t="shared" si="139"/>
        <v>45174</v>
      </c>
      <c r="X1282" s="5">
        <v>159</v>
      </c>
    </row>
    <row r="1283" spans="1:24" ht="15.75" customHeight="1" x14ac:dyDescent="0.3">
      <c r="A1283" s="4">
        <v>2282</v>
      </c>
      <c r="B1283" s="5" t="s">
        <v>1382</v>
      </c>
      <c r="C1283" s="6">
        <v>45177.570833333331</v>
      </c>
      <c r="D1283" s="5" t="s">
        <v>43</v>
      </c>
      <c r="E1283" s="5" t="s">
        <v>270</v>
      </c>
      <c r="F1283" s="5" t="s">
        <v>38</v>
      </c>
      <c r="G1283" s="5" t="s">
        <v>17</v>
      </c>
      <c r="H1283" s="5">
        <v>144</v>
      </c>
      <c r="I1283" s="5">
        <v>19</v>
      </c>
      <c r="J1283" s="5" t="s">
        <v>26</v>
      </c>
      <c r="K1283" s="5" t="s">
        <v>19</v>
      </c>
      <c r="L1283" s="5" t="s">
        <v>40</v>
      </c>
      <c r="M1283" s="7" t="s">
        <v>41</v>
      </c>
      <c r="N1283" s="26">
        <f t="shared" si="140"/>
        <v>1</v>
      </c>
      <c r="O1283" s="42">
        <f t="shared" si="141"/>
        <v>45177</v>
      </c>
      <c r="P1283" s="5" t="str">
        <f t="shared" si="142"/>
        <v>Friday</v>
      </c>
      <c r="Q1283" s="5">
        <f t="shared" si="143"/>
        <v>13</v>
      </c>
      <c r="R1283" s="28">
        <f t="shared" si="144"/>
        <v>0.8834355828220859</v>
      </c>
      <c r="S1283" s="29">
        <f t="shared" ref="S1283:S1346" si="145">IF(H1283+I1283=0,0,(H1283/(H1283+I1283))*100) + (IFERROR(--J1283,0)*10)</f>
        <v>88.343558282208591</v>
      </c>
      <c r="T1283" s="5" t="str">
        <f>IF(Delivery_Data3[[#This Row],[Delays (min)]]&gt;0,"No","Yes")</f>
        <v>No</v>
      </c>
      <c r="W1283" s="41">
        <f t="shared" ref="W1283:W1346" si="146">INT(C1283)</f>
        <v>45177</v>
      </c>
      <c r="X1283" s="5">
        <v>144</v>
      </c>
    </row>
    <row r="1284" spans="1:24" ht="15.75" customHeight="1" x14ac:dyDescent="0.3">
      <c r="A1284" s="4">
        <v>2283</v>
      </c>
      <c r="B1284" s="5" t="s">
        <v>1383</v>
      </c>
      <c r="C1284" s="6">
        <v>45170.449305555558</v>
      </c>
      <c r="D1284" s="5" t="s">
        <v>43</v>
      </c>
      <c r="E1284" s="5" t="s">
        <v>171</v>
      </c>
      <c r="F1284" s="5" t="s">
        <v>24</v>
      </c>
      <c r="G1284" s="5" t="s">
        <v>17</v>
      </c>
      <c r="H1284" s="5">
        <v>105</v>
      </c>
      <c r="I1284" s="5">
        <v>10</v>
      </c>
      <c r="J1284" s="5" t="s">
        <v>32</v>
      </c>
      <c r="K1284" s="5" t="s">
        <v>45</v>
      </c>
      <c r="L1284" s="5" t="s">
        <v>40</v>
      </c>
      <c r="M1284" s="7" t="s">
        <v>41</v>
      </c>
      <c r="N1284" s="26">
        <f t="shared" si="140"/>
        <v>-1</v>
      </c>
      <c r="O1284" s="42">
        <f t="shared" si="141"/>
        <v>45170</v>
      </c>
      <c r="P1284" s="5" t="str">
        <f t="shared" si="142"/>
        <v>Friday</v>
      </c>
      <c r="Q1284" s="5">
        <f t="shared" si="143"/>
        <v>10</v>
      </c>
      <c r="R1284" s="28">
        <f t="shared" si="144"/>
        <v>0.91304347826086951</v>
      </c>
      <c r="S1284" s="29">
        <f t="shared" si="145"/>
        <v>91.304347826086953</v>
      </c>
      <c r="T1284" s="5" t="str">
        <f>IF(Delivery_Data3[[#This Row],[Delays (min)]]&gt;0,"No","Yes")</f>
        <v>No</v>
      </c>
      <c r="W1284" s="41">
        <f t="shared" si="146"/>
        <v>45170</v>
      </c>
      <c r="X1284" s="5">
        <v>105</v>
      </c>
    </row>
    <row r="1285" spans="1:24" ht="15.75" customHeight="1" x14ac:dyDescent="0.3">
      <c r="A1285" s="4">
        <v>2284</v>
      </c>
      <c r="B1285" s="5" t="s">
        <v>1384</v>
      </c>
      <c r="C1285" s="6">
        <v>45176.447222222225</v>
      </c>
      <c r="D1285" s="5" t="s">
        <v>14</v>
      </c>
      <c r="E1285" s="5" t="s">
        <v>126</v>
      </c>
      <c r="F1285" s="5" t="s">
        <v>16</v>
      </c>
      <c r="G1285" s="5" t="s">
        <v>31</v>
      </c>
      <c r="H1285" s="5">
        <v>94</v>
      </c>
      <c r="I1285" s="5">
        <v>13</v>
      </c>
      <c r="J1285" s="5" t="s">
        <v>18</v>
      </c>
      <c r="K1285" s="5" t="s">
        <v>27</v>
      </c>
      <c r="L1285" s="5" t="s">
        <v>40</v>
      </c>
      <c r="M1285" s="7" t="s">
        <v>41</v>
      </c>
      <c r="N1285" s="26">
        <f t="shared" si="140"/>
        <v>0</v>
      </c>
      <c r="O1285" s="42">
        <f t="shared" si="141"/>
        <v>45176</v>
      </c>
      <c r="P1285" s="5" t="str">
        <f t="shared" si="142"/>
        <v>Thursday</v>
      </c>
      <c r="Q1285" s="5">
        <f t="shared" si="143"/>
        <v>10</v>
      </c>
      <c r="R1285" s="28">
        <f t="shared" si="144"/>
        <v>0.87850467289719625</v>
      </c>
      <c r="S1285" s="29">
        <f t="shared" si="145"/>
        <v>87.850467289719631</v>
      </c>
      <c r="T1285" s="5" t="str">
        <f>IF(Delivery_Data3[[#This Row],[Delays (min)]]&gt;0,"No","Yes")</f>
        <v>No</v>
      </c>
      <c r="W1285" s="41">
        <f t="shared" si="146"/>
        <v>45176</v>
      </c>
      <c r="X1285" s="5">
        <v>94</v>
      </c>
    </row>
    <row r="1286" spans="1:24" ht="15.75" customHeight="1" x14ac:dyDescent="0.3">
      <c r="A1286" s="4">
        <v>2285</v>
      </c>
      <c r="B1286" s="5" t="s">
        <v>1385</v>
      </c>
      <c r="C1286" s="6">
        <v>45176.599305555559</v>
      </c>
      <c r="D1286" s="5" t="s">
        <v>14</v>
      </c>
      <c r="E1286" s="5" t="s">
        <v>277</v>
      </c>
      <c r="F1286" s="5" t="s">
        <v>38</v>
      </c>
      <c r="G1286" s="5" t="s">
        <v>39</v>
      </c>
      <c r="H1286" s="5">
        <v>111</v>
      </c>
      <c r="I1286" s="5">
        <v>0</v>
      </c>
      <c r="J1286" s="5" t="s">
        <v>26</v>
      </c>
      <c r="K1286" s="5" t="s">
        <v>19</v>
      </c>
      <c r="L1286" s="5" t="s">
        <v>40</v>
      </c>
      <c r="M1286" s="7" t="s">
        <v>46</v>
      </c>
      <c r="N1286" s="26">
        <f t="shared" si="140"/>
        <v>1</v>
      </c>
      <c r="O1286" s="42">
        <f t="shared" si="141"/>
        <v>45176</v>
      </c>
      <c r="P1286" s="5" t="str">
        <f t="shared" si="142"/>
        <v>Thursday</v>
      </c>
      <c r="Q1286" s="5">
        <f t="shared" si="143"/>
        <v>14</v>
      </c>
      <c r="R1286" s="28">
        <f t="shared" si="144"/>
        <v>1</v>
      </c>
      <c r="S1286" s="29">
        <f t="shared" si="145"/>
        <v>100</v>
      </c>
      <c r="T1286" s="5" t="str">
        <f>IF(Delivery_Data3[[#This Row],[Delays (min)]]&gt;0,"No","Yes")</f>
        <v>Yes</v>
      </c>
      <c r="W1286" s="41">
        <f t="shared" si="146"/>
        <v>45176</v>
      </c>
      <c r="X1286" s="5">
        <v>111</v>
      </c>
    </row>
    <row r="1287" spans="1:24" ht="15.75" customHeight="1" x14ac:dyDescent="0.3">
      <c r="A1287" s="4">
        <v>2286</v>
      </c>
      <c r="B1287" s="5" t="s">
        <v>1386</v>
      </c>
      <c r="C1287" s="6">
        <v>45172.683333333334</v>
      </c>
      <c r="D1287" s="5" t="s">
        <v>14</v>
      </c>
      <c r="E1287" s="5" t="s">
        <v>34</v>
      </c>
      <c r="F1287" s="5" t="s">
        <v>24</v>
      </c>
      <c r="G1287" s="5" t="s">
        <v>31</v>
      </c>
      <c r="H1287" s="5">
        <v>105</v>
      </c>
      <c r="I1287" s="5">
        <v>20</v>
      </c>
      <c r="J1287" s="5" t="s">
        <v>18</v>
      </c>
      <c r="K1287" s="5" t="s">
        <v>45</v>
      </c>
      <c r="L1287" s="5" t="s">
        <v>20</v>
      </c>
      <c r="M1287" s="7" t="s">
        <v>21</v>
      </c>
      <c r="N1287" s="26">
        <f t="shared" si="140"/>
        <v>0</v>
      </c>
      <c r="O1287" s="42">
        <f t="shared" si="141"/>
        <v>45172</v>
      </c>
      <c r="P1287" s="5" t="str">
        <f t="shared" si="142"/>
        <v>Sunday</v>
      </c>
      <c r="Q1287" s="5">
        <f t="shared" si="143"/>
        <v>16</v>
      </c>
      <c r="R1287" s="28">
        <f t="shared" si="144"/>
        <v>0.84</v>
      </c>
      <c r="S1287" s="29">
        <f t="shared" si="145"/>
        <v>84</v>
      </c>
      <c r="T1287" s="5" t="str">
        <f>IF(Delivery_Data3[[#This Row],[Delays (min)]]&gt;0,"No","Yes")</f>
        <v>No</v>
      </c>
      <c r="W1287" s="41">
        <f t="shared" si="146"/>
        <v>45172</v>
      </c>
      <c r="X1287" s="5">
        <v>105</v>
      </c>
    </row>
    <row r="1288" spans="1:24" ht="15.75" customHeight="1" x14ac:dyDescent="0.3">
      <c r="A1288" s="4">
        <v>2287</v>
      </c>
      <c r="B1288" s="5" t="s">
        <v>1387</v>
      </c>
      <c r="C1288" s="6">
        <v>45171.566666666666</v>
      </c>
      <c r="D1288" s="5" t="s">
        <v>14</v>
      </c>
      <c r="E1288" s="5" t="s">
        <v>64</v>
      </c>
      <c r="F1288" s="5" t="s">
        <v>24</v>
      </c>
      <c r="G1288" s="5" t="s">
        <v>39</v>
      </c>
      <c r="H1288" s="5">
        <v>77</v>
      </c>
      <c r="I1288" s="5">
        <v>22</v>
      </c>
      <c r="J1288" s="5" t="s">
        <v>32</v>
      </c>
      <c r="K1288" s="5" t="s">
        <v>49</v>
      </c>
      <c r="L1288" s="5" t="s">
        <v>40</v>
      </c>
      <c r="M1288" s="7" t="s">
        <v>21</v>
      </c>
      <c r="N1288" s="26">
        <f t="shared" si="140"/>
        <v>-1</v>
      </c>
      <c r="O1288" s="42">
        <f t="shared" si="141"/>
        <v>45171</v>
      </c>
      <c r="P1288" s="5" t="str">
        <f t="shared" si="142"/>
        <v>Saturday</v>
      </c>
      <c r="Q1288" s="5">
        <f t="shared" si="143"/>
        <v>13</v>
      </c>
      <c r="R1288" s="28">
        <f t="shared" si="144"/>
        <v>0.77777777777777779</v>
      </c>
      <c r="S1288" s="29">
        <f t="shared" si="145"/>
        <v>77.777777777777786</v>
      </c>
      <c r="T1288" s="5" t="str">
        <f>IF(Delivery_Data3[[#This Row],[Delays (min)]]&gt;0,"No","Yes")</f>
        <v>No</v>
      </c>
      <c r="W1288" s="41">
        <f t="shared" si="146"/>
        <v>45171</v>
      </c>
      <c r="X1288" s="5">
        <v>77</v>
      </c>
    </row>
    <row r="1289" spans="1:24" ht="15.75" customHeight="1" x14ac:dyDescent="0.3">
      <c r="A1289" s="4">
        <v>2288</v>
      </c>
      <c r="B1289" s="5" t="s">
        <v>1388</v>
      </c>
      <c r="C1289" s="6">
        <v>45177.430555555555</v>
      </c>
      <c r="D1289" s="5" t="s">
        <v>43</v>
      </c>
      <c r="E1289" s="5" t="s">
        <v>197</v>
      </c>
      <c r="F1289" s="5" t="s">
        <v>38</v>
      </c>
      <c r="G1289" s="5" t="s">
        <v>56</v>
      </c>
      <c r="H1289" s="5">
        <v>230</v>
      </c>
      <c r="I1289" s="5">
        <v>5</v>
      </c>
      <c r="J1289" s="5" t="s">
        <v>26</v>
      </c>
      <c r="K1289" s="5" t="s">
        <v>49</v>
      </c>
      <c r="L1289" s="5" t="s">
        <v>40</v>
      </c>
      <c r="M1289" s="7" t="s">
        <v>46</v>
      </c>
      <c r="N1289" s="26">
        <f t="shared" si="140"/>
        <v>1</v>
      </c>
      <c r="O1289" s="42">
        <f t="shared" si="141"/>
        <v>45177</v>
      </c>
      <c r="P1289" s="5" t="str">
        <f t="shared" si="142"/>
        <v>Friday</v>
      </c>
      <c r="Q1289" s="5">
        <f t="shared" si="143"/>
        <v>10</v>
      </c>
      <c r="R1289" s="28">
        <f t="shared" si="144"/>
        <v>0.97872340425531912</v>
      </c>
      <c r="S1289" s="29">
        <f t="shared" si="145"/>
        <v>97.872340425531917</v>
      </c>
      <c r="T1289" s="5" t="str">
        <f>IF(Delivery_Data3[[#This Row],[Delays (min)]]&gt;0,"No","Yes")</f>
        <v>No</v>
      </c>
      <c r="W1289" s="41">
        <f t="shared" si="146"/>
        <v>45177</v>
      </c>
      <c r="X1289" s="5">
        <v>230</v>
      </c>
    </row>
    <row r="1290" spans="1:24" ht="15.75" customHeight="1" x14ac:dyDescent="0.3">
      <c r="A1290" s="4">
        <v>2289</v>
      </c>
      <c r="B1290" s="5" t="s">
        <v>1389</v>
      </c>
      <c r="C1290" s="6">
        <v>45172.47152777778</v>
      </c>
      <c r="D1290" s="5" t="s">
        <v>43</v>
      </c>
      <c r="E1290" s="5" t="s">
        <v>76</v>
      </c>
      <c r="F1290" s="5" t="s">
        <v>16</v>
      </c>
      <c r="G1290" s="5" t="s">
        <v>56</v>
      </c>
      <c r="H1290" s="5">
        <v>170</v>
      </c>
      <c r="I1290" s="5">
        <v>24</v>
      </c>
      <c r="J1290" s="5" t="s">
        <v>18</v>
      </c>
      <c r="K1290" s="5" t="s">
        <v>49</v>
      </c>
      <c r="L1290" s="5" t="s">
        <v>40</v>
      </c>
      <c r="M1290" s="7" t="s">
        <v>46</v>
      </c>
      <c r="N1290" s="26">
        <f t="shared" si="140"/>
        <v>0</v>
      </c>
      <c r="O1290" s="42">
        <f t="shared" si="141"/>
        <v>45172</v>
      </c>
      <c r="P1290" s="5" t="str">
        <f t="shared" si="142"/>
        <v>Sunday</v>
      </c>
      <c r="Q1290" s="5">
        <f t="shared" si="143"/>
        <v>11</v>
      </c>
      <c r="R1290" s="28">
        <f t="shared" si="144"/>
        <v>0.87628865979381443</v>
      </c>
      <c r="S1290" s="29">
        <f t="shared" si="145"/>
        <v>87.628865979381445</v>
      </c>
      <c r="T1290" s="5" t="str">
        <f>IF(Delivery_Data3[[#This Row],[Delays (min)]]&gt;0,"No","Yes")</f>
        <v>No</v>
      </c>
      <c r="W1290" s="41">
        <f t="shared" si="146"/>
        <v>45172</v>
      </c>
      <c r="X1290" s="5">
        <v>170</v>
      </c>
    </row>
    <row r="1291" spans="1:24" ht="15.75" customHeight="1" x14ac:dyDescent="0.3">
      <c r="A1291" s="4">
        <v>2290</v>
      </c>
      <c r="B1291" s="5" t="s">
        <v>1390</v>
      </c>
      <c r="C1291" s="6">
        <v>45173.555555555555</v>
      </c>
      <c r="D1291" s="5" t="s">
        <v>43</v>
      </c>
      <c r="E1291" s="5" t="s">
        <v>270</v>
      </c>
      <c r="F1291" s="5" t="s">
        <v>38</v>
      </c>
      <c r="G1291" s="5" t="s">
        <v>39</v>
      </c>
      <c r="H1291" s="5">
        <v>189</v>
      </c>
      <c r="I1291" s="5">
        <v>24</v>
      </c>
      <c r="J1291" s="5" t="s">
        <v>26</v>
      </c>
      <c r="K1291" s="5" t="s">
        <v>19</v>
      </c>
      <c r="L1291" s="5" t="s">
        <v>20</v>
      </c>
      <c r="M1291" s="7" t="s">
        <v>21</v>
      </c>
      <c r="N1291" s="26">
        <f t="shared" si="140"/>
        <v>1</v>
      </c>
      <c r="O1291" s="42">
        <f t="shared" si="141"/>
        <v>45173</v>
      </c>
      <c r="P1291" s="5" t="str">
        <f t="shared" si="142"/>
        <v>Monday</v>
      </c>
      <c r="Q1291" s="5">
        <f t="shared" si="143"/>
        <v>13</v>
      </c>
      <c r="R1291" s="28">
        <f t="shared" si="144"/>
        <v>0.88732394366197187</v>
      </c>
      <c r="S1291" s="29">
        <f t="shared" si="145"/>
        <v>88.732394366197184</v>
      </c>
      <c r="T1291" s="5" t="str">
        <f>IF(Delivery_Data3[[#This Row],[Delays (min)]]&gt;0,"No","Yes")</f>
        <v>No</v>
      </c>
      <c r="W1291" s="41">
        <f t="shared" si="146"/>
        <v>45173</v>
      </c>
      <c r="X1291" s="5">
        <v>189</v>
      </c>
    </row>
    <row r="1292" spans="1:24" ht="15.75" customHeight="1" x14ac:dyDescent="0.3">
      <c r="A1292" s="4">
        <v>2291</v>
      </c>
      <c r="B1292" s="5" t="s">
        <v>1391</v>
      </c>
      <c r="C1292" s="6">
        <v>45176.529166666667</v>
      </c>
      <c r="D1292" s="5" t="s">
        <v>43</v>
      </c>
      <c r="E1292" s="5" t="s">
        <v>23</v>
      </c>
      <c r="F1292" s="5" t="s">
        <v>38</v>
      </c>
      <c r="G1292" s="5" t="s">
        <v>25</v>
      </c>
      <c r="H1292" s="5">
        <v>95</v>
      </c>
      <c r="I1292" s="5">
        <v>1</v>
      </c>
      <c r="J1292" s="5" t="s">
        <v>32</v>
      </c>
      <c r="K1292" s="5" t="s">
        <v>45</v>
      </c>
      <c r="L1292" s="5" t="s">
        <v>20</v>
      </c>
      <c r="M1292" s="7" t="s">
        <v>46</v>
      </c>
      <c r="N1292" s="26">
        <f t="shared" si="140"/>
        <v>-1</v>
      </c>
      <c r="O1292" s="42">
        <f t="shared" si="141"/>
        <v>45176</v>
      </c>
      <c r="P1292" s="5" t="str">
        <f t="shared" si="142"/>
        <v>Thursday</v>
      </c>
      <c r="Q1292" s="5">
        <f t="shared" si="143"/>
        <v>12</v>
      </c>
      <c r="R1292" s="28">
        <f t="shared" si="144"/>
        <v>0.98958333333333337</v>
      </c>
      <c r="S1292" s="29">
        <f t="shared" si="145"/>
        <v>98.958333333333343</v>
      </c>
      <c r="T1292" s="5" t="str">
        <f>IF(Delivery_Data3[[#This Row],[Delays (min)]]&gt;0,"No","Yes")</f>
        <v>No</v>
      </c>
      <c r="W1292" s="41">
        <f t="shared" si="146"/>
        <v>45176</v>
      </c>
      <c r="X1292" s="5">
        <v>95</v>
      </c>
    </row>
    <row r="1293" spans="1:24" ht="15.75" customHeight="1" x14ac:dyDescent="0.3">
      <c r="A1293" s="4">
        <v>2292</v>
      </c>
      <c r="B1293" s="5" t="s">
        <v>1392</v>
      </c>
      <c r="C1293" s="6">
        <v>45177.366666666669</v>
      </c>
      <c r="D1293" s="5" t="s">
        <v>43</v>
      </c>
      <c r="E1293" s="5" t="s">
        <v>132</v>
      </c>
      <c r="F1293" s="5" t="s">
        <v>16</v>
      </c>
      <c r="G1293" s="5" t="s">
        <v>39</v>
      </c>
      <c r="H1293" s="5">
        <v>191</v>
      </c>
      <c r="I1293" s="5">
        <v>19</v>
      </c>
      <c r="J1293" s="5" t="s">
        <v>18</v>
      </c>
      <c r="K1293" s="5" t="s">
        <v>27</v>
      </c>
      <c r="L1293" s="5" t="s">
        <v>40</v>
      </c>
      <c r="M1293" s="7" t="s">
        <v>41</v>
      </c>
      <c r="N1293" s="26">
        <f t="shared" si="140"/>
        <v>0</v>
      </c>
      <c r="O1293" s="42">
        <f t="shared" si="141"/>
        <v>45177</v>
      </c>
      <c r="P1293" s="5" t="str">
        <f t="shared" si="142"/>
        <v>Friday</v>
      </c>
      <c r="Q1293" s="5">
        <f t="shared" si="143"/>
        <v>8</v>
      </c>
      <c r="R1293" s="28">
        <f t="shared" si="144"/>
        <v>0.90952380952380951</v>
      </c>
      <c r="S1293" s="29">
        <f t="shared" si="145"/>
        <v>90.952380952380949</v>
      </c>
      <c r="T1293" s="5" t="str">
        <f>IF(Delivery_Data3[[#This Row],[Delays (min)]]&gt;0,"No","Yes")</f>
        <v>No</v>
      </c>
      <c r="W1293" s="41">
        <f t="shared" si="146"/>
        <v>45177</v>
      </c>
      <c r="X1293" s="5">
        <v>191</v>
      </c>
    </row>
    <row r="1294" spans="1:24" ht="15.75" customHeight="1" x14ac:dyDescent="0.3">
      <c r="A1294" s="4">
        <v>2293</v>
      </c>
      <c r="B1294" s="5" t="s">
        <v>1393</v>
      </c>
      <c r="C1294" s="6">
        <v>45172.538888888892</v>
      </c>
      <c r="D1294" s="5" t="s">
        <v>43</v>
      </c>
      <c r="E1294" s="5" t="s">
        <v>106</v>
      </c>
      <c r="F1294" s="5" t="s">
        <v>38</v>
      </c>
      <c r="G1294" s="5" t="s">
        <v>17</v>
      </c>
      <c r="H1294" s="5">
        <v>66</v>
      </c>
      <c r="I1294" s="5">
        <v>28</v>
      </c>
      <c r="J1294" s="5" t="s">
        <v>26</v>
      </c>
      <c r="K1294" s="5" t="s">
        <v>45</v>
      </c>
      <c r="L1294" s="5" t="s">
        <v>28</v>
      </c>
      <c r="M1294" s="7" t="s">
        <v>41</v>
      </c>
      <c r="N1294" s="26">
        <f t="shared" si="140"/>
        <v>1</v>
      </c>
      <c r="O1294" s="42">
        <f t="shared" si="141"/>
        <v>45172</v>
      </c>
      <c r="P1294" s="5" t="str">
        <f t="shared" si="142"/>
        <v>Sunday</v>
      </c>
      <c r="Q1294" s="5">
        <f t="shared" si="143"/>
        <v>12</v>
      </c>
      <c r="R1294" s="28">
        <f t="shared" si="144"/>
        <v>0.7021276595744681</v>
      </c>
      <c r="S1294" s="29">
        <f t="shared" si="145"/>
        <v>70.212765957446805</v>
      </c>
      <c r="T1294" s="5" t="str">
        <f>IF(Delivery_Data3[[#This Row],[Delays (min)]]&gt;0,"No","Yes")</f>
        <v>No</v>
      </c>
      <c r="W1294" s="41">
        <f t="shared" si="146"/>
        <v>45172</v>
      </c>
      <c r="X1294" s="5">
        <v>66</v>
      </c>
    </row>
    <row r="1295" spans="1:24" ht="15.75" customHeight="1" x14ac:dyDescent="0.3">
      <c r="A1295" s="4">
        <v>2294</v>
      </c>
      <c r="B1295" s="5" t="s">
        <v>1394</v>
      </c>
      <c r="C1295" s="6">
        <v>45174.352777777778</v>
      </c>
      <c r="D1295" s="5" t="s">
        <v>43</v>
      </c>
      <c r="E1295" s="5" t="s">
        <v>87</v>
      </c>
      <c r="F1295" s="5" t="s">
        <v>38</v>
      </c>
      <c r="G1295" s="5" t="s">
        <v>56</v>
      </c>
      <c r="H1295" s="5">
        <v>187</v>
      </c>
      <c r="I1295" s="5">
        <v>17</v>
      </c>
      <c r="J1295" s="5" t="s">
        <v>32</v>
      </c>
      <c r="K1295" s="5" t="s">
        <v>49</v>
      </c>
      <c r="L1295" s="5" t="s">
        <v>20</v>
      </c>
      <c r="M1295" s="7" t="s">
        <v>46</v>
      </c>
      <c r="N1295" s="26">
        <f t="shared" si="140"/>
        <v>-1</v>
      </c>
      <c r="O1295" s="42">
        <f t="shared" si="141"/>
        <v>45174</v>
      </c>
      <c r="P1295" s="5" t="str">
        <f t="shared" si="142"/>
        <v>Tuesday</v>
      </c>
      <c r="Q1295" s="5">
        <f t="shared" si="143"/>
        <v>8</v>
      </c>
      <c r="R1295" s="28">
        <f t="shared" si="144"/>
        <v>0.91666666666666663</v>
      </c>
      <c r="S1295" s="29">
        <f t="shared" si="145"/>
        <v>91.666666666666657</v>
      </c>
      <c r="T1295" s="5" t="str">
        <f>IF(Delivery_Data3[[#This Row],[Delays (min)]]&gt;0,"No","Yes")</f>
        <v>No</v>
      </c>
      <c r="W1295" s="41">
        <f t="shared" si="146"/>
        <v>45174</v>
      </c>
      <c r="X1295" s="5">
        <v>187</v>
      </c>
    </row>
    <row r="1296" spans="1:24" ht="15.75" customHeight="1" x14ac:dyDescent="0.3">
      <c r="A1296" s="4">
        <v>2295</v>
      </c>
      <c r="B1296" s="5" t="s">
        <v>1395</v>
      </c>
      <c r="C1296" s="6">
        <v>45176.631249999999</v>
      </c>
      <c r="D1296" s="5" t="s">
        <v>43</v>
      </c>
      <c r="E1296" s="5" t="s">
        <v>370</v>
      </c>
      <c r="F1296" s="5" t="s">
        <v>16</v>
      </c>
      <c r="G1296" s="5" t="s">
        <v>25</v>
      </c>
      <c r="H1296" s="5">
        <v>160</v>
      </c>
      <c r="I1296" s="5">
        <v>28</v>
      </c>
      <c r="J1296" s="5" t="s">
        <v>26</v>
      </c>
      <c r="K1296" s="5" t="s">
        <v>27</v>
      </c>
      <c r="L1296" s="5" t="s">
        <v>40</v>
      </c>
      <c r="M1296" s="7" t="s">
        <v>21</v>
      </c>
      <c r="N1296" s="26">
        <f t="shared" si="140"/>
        <v>1</v>
      </c>
      <c r="O1296" s="42">
        <f t="shared" si="141"/>
        <v>45176</v>
      </c>
      <c r="P1296" s="5" t="str">
        <f t="shared" si="142"/>
        <v>Thursday</v>
      </c>
      <c r="Q1296" s="5">
        <f t="shared" si="143"/>
        <v>15</v>
      </c>
      <c r="R1296" s="28">
        <f t="shared" si="144"/>
        <v>0.85106382978723405</v>
      </c>
      <c r="S1296" s="29">
        <f t="shared" si="145"/>
        <v>85.106382978723403</v>
      </c>
      <c r="T1296" s="5" t="str">
        <f>IF(Delivery_Data3[[#This Row],[Delays (min)]]&gt;0,"No","Yes")</f>
        <v>No</v>
      </c>
      <c r="W1296" s="41">
        <f t="shared" si="146"/>
        <v>45176</v>
      </c>
      <c r="X1296" s="5">
        <v>160</v>
      </c>
    </row>
    <row r="1297" spans="1:24" ht="15.75" customHeight="1" x14ac:dyDescent="0.3">
      <c r="A1297" s="4">
        <v>2296</v>
      </c>
      <c r="B1297" s="5" t="s">
        <v>1396</v>
      </c>
      <c r="C1297" s="6">
        <v>45174.609027777777</v>
      </c>
      <c r="D1297" s="5" t="s">
        <v>43</v>
      </c>
      <c r="E1297" s="5" t="s">
        <v>140</v>
      </c>
      <c r="F1297" s="5" t="s">
        <v>38</v>
      </c>
      <c r="G1297" s="5" t="s">
        <v>17</v>
      </c>
      <c r="H1297" s="5">
        <v>117</v>
      </c>
      <c r="I1297" s="5">
        <v>14</v>
      </c>
      <c r="J1297" s="5" t="s">
        <v>32</v>
      </c>
      <c r="K1297" s="5" t="s">
        <v>35</v>
      </c>
      <c r="L1297" s="5" t="s">
        <v>40</v>
      </c>
      <c r="M1297" s="7" t="s">
        <v>41</v>
      </c>
      <c r="N1297" s="26">
        <f t="shared" si="140"/>
        <v>-1</v>
      </c>
      <c r="O1297" s="42">
        <f t="shared" si="141"/>
        <v>45174</v>
      </c>
      <c r="P1297" s="5" t="str">
        <f t="shared" si="142"/>
        <v>Tuesday</v>
      </c>
      <c r="Q1297" s="5">
        <f t="shared" si="143"/>
        <v>14</v>
      </c>
      <c r="R1297" s="28">
        <f t="shared" si="144"/>
        <v>0.89312977099236646</v>
      </c>
      <c r="S1297" s="29">
        <f t="shared" si="145"/>
        <v>89.312977099236647</v>
      </c>
      <c r="T1297" s="5" t="str">
        <f>IF(Delivery_Data3[[#This Row],[Delays (min)]]&gt;0,"No","Yes")</f>
        <v>No</v>
      </c>
      <c r="W1297" s="41">
        <f t="shared" si="146"/>
        <v>45174</v>
      </c>
      <c r="X1297" s="5">
        <v>117</v>
      </c>
    </row>
    <row r="1298" spans="1:24" ht="15.75" customHeight="1" x14ac:dyDescent="0.3">
      <c r="A1298" s="4">
        <v>2297</v>
      </c>
      <c r="B1298" s="5" t="s">
        <v>1397</v>
      </c>
      <c r="C1298" s="6">
        <v>45177.408333333333</v>
      </c>
      <c r="D1298" s="5" t="s">
        <v>14</v>
      </c>
      <c r="E1298" s="5" t="s">
        <v>37</v>
      </c>
      <c r="F1298" s="5" t="s">
        <v>16</v>
      </c>
      <c r="G1298" s="5" t="s">
        <v>56</v>
      </c>
      <c r="H1298" s="5">
        <v>132</v>
      </c>
      <c r="I1298" s="5">
        <v>3</v>
      </c>
      <c r="J1298" s="5" t="s">
        <v>18</v>
      </c>
      <c r="K1298" s="5" t="s">
        <v>35</v>
      </c>
      <c r="L1298" s="5" t="s">
        <v>20</v>
      </c>
      <c r="M1298" s="7" t="s">
        <v>21</v>
      </c>
      <c r="N1298" s="26">
        <f t="shared" si="140"/>
        <v>0</v>
      </c>
      <c r="O1298" s="42">
        <f t="shared" si="141"/>
        <v>45177</v>
      </c>
      <c r="P1298" s="5" t="str">
        <f t="shared" si="142"/>
        <v>Friday</v>
      </c>
      <c r="Q1298" s="5">
        <f t="shared" si="143"/>
        <v>9</v>
      </c>
      <c r="R1298" s="28">
        <f t="shared" si="144"/>
        <v>0.97777777777777775</v>
      </c>
      <c r="S1298" s="29">
        <f t="shared" si="145"/>
        <v>97.777777777777771</v>
      </c>
      <c r="T1298" s="5" t="str">
        <f>IF(Delivery_Data3[[#This Row],[Delays (min)]]&gt;0,"No","Yes")</f>
        <v>No</v>
      </c>
      <c r="W1298" s="41">
        <f t="shared" si="146"/>
        <v>45177</v>
      </c>
      <c r="X1298" s="5">
        <v>132</v>
      </c>
    </row>
    <row r="1299" spans="1:24" ht="15.75" customHeight="1" x14ac:dyDescent="0.3">
      <c r="A1299" s="4">
        <v>2298</v>
      </c>
      <c r="B1299" s="5" t="s">
        <v>1398</v>
      </c>
      <c r="C1299" s="6">
        <v>45170.604861111111</v>
      </c>
      <c r="D1299" s="5" t="s">
        <v>43</v>
      </c>
      <c r="E1299" s="5" t="s">
        <v>83</v>
      </c>
      <c r="F1299" s="5" t="s">
        <v>38</v>
      </c>
      <c r="G1299" s="5" t="s">
        <v>56</v>
      </c>
      <c r="H1299" s="5">
        <v>94</v>
      </c>
      <c r="I1299" s="5">
        <v>6</v>
      </c>
      <c r="J1299" s="5" t="s">
        <v>26</v>
      </c>
      <c r="K1299" s="5" t="s">
        <v>35</v>
      </c>
      <c r="L1299" s="5" t="s">
        <v>20</v>
      </c>
      <c r="M1299" s="7" t="s">
        <v>46</v>
      </c>
      <c r="N1299" s="26">
        <f t="shared" si="140"/>
        <v>1</v>
      </c>
      <c r="O1299" s="42">
        <f t="shared" si="141"/>
        <v>45170</v>
      </c>
      <c r="P1299" s="5" t="str">
        <f t="shared" si="142"/>
        <v>Friday</v>
      </c>
      <c r="Q1299" s="5">
        <f t="shared" si="143"/>
        <v>14</v>
      </c>
      <c r="R1299" s="28">
        <f t="shared" si="144"/>
        <v>0.94</v>
      </c>
      <c r="S1299" s="29">
        <f t="shared" si="145"/>
        <v>94</v>
      </c>
      <c r="T1299" s="5" t="str">
        <f>IF(Delivery_Data3[[#This Row],[Delays (min)]]&gt;0,"No","Yes")</f>
        <v>No</v>
      </c>
      <c r="W1299" s="41">
        <f t="shared" si="146"/>
        <v>45170</v>
      </c>
      <c r="X1299" s="5">
        <v>94</v>
      </c>
    </row>
    <row r="1300" spans="1:24" ht="15.75" customHeight="1" x14ac:dyDescent="0.3">
      <c r="A1300" s="4">
        <v>2299</v>
      </c>
      <c r="B1300" s="5" t="s">
        <v>1399</v>
      </c>
      <c r="C1300" s="6">
        <v>45177.666666666664</v>
      </c>
      <c r="D1300" s="5" t="s">
        <v>43</v>
      </c>
      <c r="E1300" s="5" t="s">
        <v>132</v>
      </c>
      <c r="F1300" s="5" t="s">
        <v>38</v>
      </c>
      <c r="G1300" s="5" t="s">
        <v>39</v>
      </c>
      <c r="H1300" s="5">
        <v>153</v>
      </c>
      <c r="I1300" s="5">
        <v>6</v>
      </c>
      <c r="J1300" s="5" t="s">
        <v>18</v>
      </c>
      <c r="K1300" s="5" t="s">
        <v>35</v>
      </c>
      <c r="L1300" s="5" t="s">
        <v>28</v>
      </c>
      <c r="M1300" s="7" t="s">
        <v>41</v>
      </c>
      <c r="N1300" s="26">
        <f t="shared" si="140"/>
        <v>0</v>
      </c>
      <c r="O1300" s="42">
        <f t="shared" si="141"/>
        <v>45177</v>
      </c>
      <c r="P1300" s="5" t="str">
        <f t="shared" si="142"/>
        <v>Friday</v>
      </c>
      <c r="Q1300" s="5">
        <f t="shared" si="143"/>
        <v>16</v>
      </c>
      <c r="R1300" s="28">
        <f t="shared" si="144"/>
        <v>0.96226415094339623</v>
      </c>
      <c r="S1300" s="29">
        <f t="shared" si="145"/>
        <v>96.226415094339629</v>
      </c>
      <c r="T1300" s="5" t="str">
        <f>IF(Delivery_Data3[[#This Row],[Delays (min)]]&gt;0,"No","Yes")</f>
        <v>No</v>
      </c>
      <c r="W1300" s="41">
        <f t="shared" si="146"/>
        <v>45177</v>
      </c>
      <c r="X1300" s="5">
        <v>153</v>
      </c>
    </row>
    <row r="1301" spans="1:24" ht="15.75" customHeight="1" x14ac:dyDescent="0.3">
      <c r="A1301" s="4">
        <v>2300</v>
      </c>
      <c r="B1301" s="5" t="s">
        <v>1400</v>
      </c>
      <c r="C1301" s="6">
        <v>45177.529861111114</v>
      </c>
      <c r="D1301" s="5" t="s">
        <v>14</v>
      </c>
      <c r="E1301" s="5" t="s">
        <v>166</v>
      </c>
      <c r="F1301" s="5" t="s">
        <v>24</v>
      </c>
      <c r="G1301" s="5" t="s">
        <v>56</v>
      </c>
      <c r="H1301" s="5">
        <v>104</v>
      </c>
      <c r="I1301" s="5">
        <v>12</v>
      </c>
      <c r="J1301" s="5" t="s">
        <v>32</v>
      </c>
      <c r="K1301" s="5" t="s">
        <v>35</v>
      </c>
      <c r="L1301" s="5" t="s">
        <v>20</v>
      </c>
      <c r="M1301" s="7" t="s">
        <v>41</v>
      </c>
      <c r="N1301" s="26">
        <f t="shared" si="140"/>
        <v>-1</v>
      </c>
      <c r="O1301" s="42">
        <f t="shared" si="141"/>
        <v>45177</v>
      </c>
      <c r="P1301" s="5" t="str">
        <f t="shared" si="142"/>
        <v>Friday</v>
      </c>
      <c r="Q1301" s="5">
        <f t="shared" si="143"/>
        <v>12</v>
      </c>
      <c r="R1301" s="28">
        <f t="shared" si="144"/>
        <v>0.89655172413793105</v>
      </c>
      <c r="S1301" s="29">
        <f t="shared" si="145"/>
        <v>89.65517241379311</v>
      </c>
      <c r="T1301" s="5" t="str">
        <f>IF(Delivery_Data3[[#This Row],[Delays (min)]]&gt;0,"No","Yes")</f>
        <v>No</v>
      </c>
      <c r="W1301" s="41">
        <f t="shared" si="146"/>
        <v>45177</v>
      </c>
      <c r="X1301" s="5">
        <v>104</v>
      </c>
    </row>
    <row r="1302" spans="1:24" ht="15.75" customHeight="1" x14ac:dyDescent="0.3">
      <c r="A1302" s="4">
        <v>2301</v>
      </c>
      <c r="B1302" s="5" t="s">
        <v>1401</v>
      </c>
      <c r="C1302" s="6">
        <v>45175.524305555555</v>
      </c>
      <c r="D1302" s="5" t="s">
        <v>14</v>
      </c>
      <c r="E1302" s="5" t="s">
        <v>162</v>
      </c>
      <c r="F1302" s="5" t="s">
        <v>16</v>
      </c>
      <c r="G1302" s="5" t="s">
        <v>25</v>
      </c>
      <c r="H1302" s="5">
        <v>144</v>
      </c>
      <c r="I1302" s="5">
        <v>23</v>
      </c>
      <c r="J1302" s="5" t="s">
        <v>18</v>
      </c>
      <c r="K1302" s="5" t="s">
        <v>49</v>
      </c>
      <c r="L1302" s="5" t="s">
        <v>20</v>
      </c>
      <c r="M1302" s="7" t="s">
        <v>21</v>
      </c>
      <c r="N1302" s="26">
        <f t="shared" si="140"/>
        <v>0</v>
      </c>
      <c r="O1302" s="42">
        <f t="shared" si="141"/>
        <v>45175</v>
      </c>
      <c r="P1302" s="5" t="str">
        <f t="shared" si="142"/>
        <v>Wednesday</v>
      </c>
      <c r="Q1302" s="5">
        <f t="shared" si="143"/>
        <v>12</v>
      </c>
      <c r="R1302" s="28">
        <f t="shared" si="144"/>
        <v>0.86227544910179643</v>
      </c>
      <c r="S1302" s="29">
        <f t="shared" si="145"/>
        <v>86.227544910179645</v>
      </c>
      <c r="T1302" s="5" t="str">
        <f>IF(Delivery_Data3[[#This Row],[Delays (min)]]&gt;0,"No","Yes")</f>
        <v>No</v>
      </c>
      <c r="W1302" s="41">
        <f t="shared" si="146"/>
        <v>45175</v>
      </c>
      <c r="X1302" s="5">
        <v>144</v>
      </c>
    </row>
    <row r="1303" spans="1:24" ht="15.75" customHeight="1" x14ac:dyDescent="0.3">
      <c r="A1303" s="4">
        <v>2302</v>
      </c>
      <c r="B1303" s="5" t="s">
        <v>1402</v>
      </c>
      <c r="C1303" s="6">
        <v>45174.517361111109</v>
      </c>
      <c r="D1303" s="5" t="s">
        <v>43</v>
      </c>
      <c r="E1303" s="5" t="s">
        <v>111</v>
      </c>
      <c r="F1303" s="5" t="s">
        <v>16</v>
      </c>
      <c r="G1303" s="5" t="s">
        <v>17</v>
      </c>
      <c r="H1303" s="5">
        <v>230</v>
      </c>
      <c r="I1303" s="5">
        <v>25</v>
      </c>
      <c r="J1303" s="5" t="s">
        <v>18</v>
      </c>
      <c r="K1303" s="5" t="s">
        <v>45</v>
      </c>
      <c r="L1303" s="5" t="s">
        <v>40</v>
      </c>
      <c r="M1303" s="7" t="s">
        <v>41</v>
      </c>
      <c r="N1303" s="26">
        <f t="shared" si="140"/>
        <v>0</v>
      </c>
      <c r="O1303" s="42">
        <f t="shared" si="141"/>
        <v>45174</v>
      </c>
      <c r="P1303" s="5" t="str">
        <f t="shared" si="142"/>
        <v>Tuesday</v>
      </c>
      <c r="Q1303" s="5">
        <f t="shared" si="143"/>
        <v>12</v>
      </c>
      <c r="R1303" s="28">
        <f t="shared" si="144"/>
        <v>0.90196078431372551</v>
      </c>
      <c r="S1303" s="29">
        <f t="shared" si="145"/>
        <v>90.196078431372555</v>
      </c>
      <c r="T1303" s="5" t="str">
        <f>IF(Delivery_Data3[[#This Row],[Delays (min)]]&gt;0,"No","Yes")</f>
        <v>No</v>
      </c>
      <c r="W1303" s="41">
        <f t="shared" si="146"/>
        <v>45174</v>
      </c>
      <c r="X1303" s="5">
        <v>230</v>
      </c>
    </row>
    <row r="1304" spans="1:24" ht="15.75" customHeight="1" x14ac:dyDescent="0.3">
      <c r="A1304" s="4">
        <v>2303</v>
      </c>
      <c r="B1304" s="5" t="s">
        <v>1403</v>
      </c>
      <c r="C1304" s="6">
        <v>45173.397222222222</v>
      </c>
      <c r="D1304" s="5" t="s">
        <v>43</v>
      </c>
      <c r="E1304" s="5" t="s">
        <v>135</v>
      </c>
      <c r="F1304" s="5" t="s">
        <v>24</v>
      </c>
      <c r="G1304" s="5" t="s">
        <v>31</v>
      </c>
      <c r="H1304" s="5">
        <v>239</v>
      </c>
      <c r="I1304" s="5">
        <v>18</v>
      </c>
      <c r="J1304" s="5" t="s">
        <v>26</v>
      </c>
      <c r="K1304" s="5" t="s">
        <v>49</v>
      </c>
      <c r="L1304" s="5" t="s">
        <v>40</v>
      </c>
      <c r="M1304" s="7" t="s">
        <v>41</v>
      </c>
      <c r="N1304" s="26">
        <f t="shared" si="140"/>
        <v>1</v>
      </c>
      <c r="O1304" s="42">
        <f t="shared" si="141"/>
        <v>45173</v>
      </c>
      <c r="P1304" s="5" t="str">
        <f t="shared" si="142"/>
        <v>Monday</v>
      </c>
      <c r="Q1304" s="5">
        <f t="shared" si="143"/>
        <v>9</v>
      </c>
      <c r="R1304" s="28">
        <f t="shared" si="144"/>
        <v>0.92996108949416345</v>
      </c>
      <c r="S1304" s="29">
        <f t="shared" si="145"/>
        <v>92.996108949416339</v>
      </c>
      <c r="T1304" s="5" t="str">
        <f>IF(Delivery_Data3[[#This Row],[Delays (min)]]&gt;0,"No","Yes")</f>
        <v>No</v>
      </c>
      <c r="W1304" s="41">
        <f t="shared" si="146"/>
        <v>45173</v>
      </c>
      <c r="X1304" s="5">
        <v>239</v>
      </c>
    </row>
    <row r="1305" spans="1:24" ht="15.75" customHeight="1" x14ac:dyDescent="0.3">
      <c r="A1305" s="4">
        <v>2304</v>
      </c>
      <c r="B1305" s="5" t="s">
        <v>1404</v>
      </c>
      <c r="C1305" s="6">
        <v>45174.70416666667</v>
      </c>
      <c r="D1305" s="5" t="s">
        <v>43</v>
      </c>
      <c r="E1305" s="5" t="s">
        <v>285</v>
      </c>
      <c r="F1305" s="5" t="s">
        <v>24</v>
      </c>
      <c r="G1305" s="5" t="s">
        <v>31</v>
      </c>
      <c r="H1305" s="5">
        <v>149</v>
      </c>
      <c r="I1305" s="5">
        <v>0</v>
      </c>
      <c r="J1305" s="5" t="s">
        <v>32</v>
      </c>
      <c r="K1305" s="5" t="s">
        <v>27</v>
      </c>
      <c r="L1305" s="5" t="s">
        <v>20</v>
      </c>
      <c r="M1305" s="7" t="s">
        <v>46</v>
      </c>
      <c r="N1305" s="26">
        <f t="shared" si="140"/>
        <v>-1</v>
      </c>
      <c r="O1305" s="42">
        <f t="shared" si="141"/>
        <v>45174</v>
      </c>
      <c r="P1305" s="5" t="str">
        <f t="shared" si="142"/>
        <v>Tuesday</v>
      </c>
      <c r="Q1305" s="5">
        <f t="shared" si="143"/>
        <v>16</v>
      </c>
      <c r="R1305" s="28">
        <f t="shared" si="144"/>
        <v>1</v>
      </c>
      <c r="S1305" s="29">
        <f t="shared" si="145"/>
        <v>100</v>
      </c>
      <c r="T1305" s="5" t="str">
        <f>IF(Delivery_Data3[[#This Row],[Delays (min)]]&gt;0,"No","Yes")</f>
        <v>Yes</v>
      </c>
      <c r="W1305" s="41">
        <f t="shared" si="146"/>
        <v>45174</v>
      </c>
      <c r="X1305" s="5">
        <v>149</v>
      </c>
    </row>
    <row r="1306" spans="1:24" ht="15.75" customHeight="1" x14ac:dyDescent="0.3">
      <c r="A1306" s="4">
        <v>2305</v>
      </c>
      <c r="B1306" s="5" t="s">
        <v>1405</v>
      </c>
      <c r="C1306" s="6">
        <v>45177.393055555556</v>
      </c>
      <c r="D1306" s="5" t="s">
        <v>14</v>
      </c>
      <c r="E1306" s="5" t="s">
        <v>113</v>
      </c>
      <c r="F1306" s="5" t="s">
        <v>38</v>
      </c>
      <c r="G1306" s="5" t="s">
        <v>31</v>
      </c>
      <c r="H1306" s="5">
        <v>152</v>
      </c>
      <c r="I1306" s="5">
        <v>5</v>
      </c>
      <c r="J1306" s="5" t="s">
        <v>26</v>
      </c>
      <c r="K1306" s="5" t="s">
        <v>35</v>
      </c>
      <c r="L1306" s="5" t="s">
        <v>20</v>
      </c>
      <c r="M1306" s="7" t="s">
        <v>21</v>
      </c>
      <c r="N1306" s="26">
        <f t="shared" si="140"/>
        <v>1</v>
      </c>
      <c r="O1306" s="42">
        <f t="shared" si="141"/>
        <v>45177</v>
      </c>
      <c r="P1306" s="5" t="str">
        <f t="shared" si="142"/>
        <v>Friday</v>
      </c>
      <c r="Q1306" s="5">
        <f t="shared" si="143"/>
        <v>9</v>
      </c>
      <c r="R1306" s="28">
        <f t="shared" si="144"/>
        <v>0.96815286624203822</v>
      </c>
      <c r="S1306" s="29">
        <f t="shared" si="145"/>
        <v>96.815286624203821</v>
      </c>
      <c r="T1306" s="5" t="str">
        <f>IF(Delivery_Data3[[#This Row],[Delays (min)]]&gt;0,"No","Yes")</f>
        <v>No</v>
      </c>
      <c r="W1306" s="41">
        <f t="shared" si="146"/>
        <v>45177</v>
      </c>
      <c r="X1306" s="5">
        <v>152</v>
      </c>
    </row>
    <row r="1307" spans="1:24" ht="15.75" customHeight="1" x14ac:dyDescent="0.3">
      <c r="A1307" s="4">
        <v>2306</v>
      </c>
      <c r="B1307" s="5" t="s">
        <v>1406</v>
      </c>
      <c r="C1307" s="6">
        <v>45177.470833333333</v>
      </c>
      <c r="D1307" s="5" t="s">
        <v>14</v>
      </c>
      <c r="E1307" s="5" t="s">
        <v>83</v>
      </c>
      <c r="F1307" s="5" t="s">
        <v>38</v>
      </c>
      <c r="G1307" s="5" t="s">
        <v>17</v>
      </c>
      <c r="H1307" s="5">
        <v>173</v>
      </c>
      <c r="I1307" s="5">
        <v>17</v>
      </c>
      <c r="J1307" s="5" t="s">
        <v>18</v>
      </c>
      <c r="K1307" s="5" t="s">
        <v>27</v>
      </c>
      <c r="L1307" s="5" t="s">
        <v>28</v>
      </c>
      <c r="M1307" s="7" t="s">
        <v>21</v>
      </c>
      <c r="N1307" s="26">
        <f t="shared" si="140"/>
        <v>0</v>
      </c>
      <c r="O1307" s="42">
        <f t="shared" si="141"/>
        <v>45177</v>
      </c>
      <c r="P1307" s="5" t="str">
        <f t="shared" si="142"/>
        <v>Friday</v>
      </c>
      <c r="Q1307" s="5">
        <f t="shared" si="143"/>
        <v>11</v>
      </c>
      <c r="R1307" s="28">
        <f t="shared" si="144"/>
        <v>0.91052631578947374</v>
      </c>
      <c r="S1307" s="29">
        <f t="shared" si="145"/>
        <v>91.05263157894737</v>
      </c>
      <c r="T1307" s="5" t="str">
        <f>IF(Delivery_Data3[[#This Row],[Delays (min)]]&gt;0,"No","Yes")</f>
        <v>No</v>
      </c>
      <c r="W1307" s="41">
        <f t="shared" si="146"/>
        <v>45177</v>
      </c>
      <c r="X1307" s="5">
        <v>173</v>
      </c>
    </row>
    <row r="1308" spans="1:24" ht="15.75" customHeight="1" x14ac:dyDescent="0.3">
      <c r="A1308" s="4">
        <v>2307</v>
      </c>
      <c r="B1308" s="5" t="s">
        <v>1407</v>
      </c>
      <c r="C1308" s="6">
        <v>45175.694444444445</v>
      </c>
      <c r="D1308" s="5" t="s">
        <v>43</v>
      </c>
      <c r="E1308" s="5" t="s">
        <v>53</v>
      </c>
      <c r="F1308" s="5" t="s">
        <v>38</v>
      </c>
      <c r="G1308" s="5" t="s">
        <v>25</v>
      </c>
      <c r="H1308" s="5">
        <v>113</v>
      </c>
      <c r="I1308" s="5">
        <v>5</v>
      </c>
      <c r="J1308" s="5" t="s">
        <v>32</v>
      </c>
      <c r="K1308" s="5" t="s">
        <v>27</v>
      </c>
      <c r="L1308" s="5" t="s">
        <v>40</v>
      </c>
      <c r="M1308" s="7" t="s">
        <v>21</v>
      </c>
      <c r="N1308" s="26">
        <f t="shared" si="140"/>
        <v>-1</v>
      </c>
      <c r="O1308" s="42">
        <f t="shared" si="141"/>
        <v>45175</v>
      </c>
      <c r="P1308" s="5" t="str">
        <f t="shared" si="142"/>
        <v>Wednesday</v>
      </c>
      <c r="Q1308" s="5">
        <f t="shared" si="143"/>
        <v>16</v>
      </c>
      <c r="R1308" s="28">
        <f t="shared" si="144"/>
        <v>0.9576271186440678</v>
      </c>
      <c r="S1308" s="29">
        <f t="shared" si="145"/>
        <v>95.762711864406782</v>
      </c>
      <c r="T1308" s="5" t="str">
        <f>IF(Delivery_Data3[[#This Row],[Delays (min)]]&gt;0,"No","Yes")</f>
        <v>No</v>
      </c>
      <c r="W1308" s="41">
        <f t="shared" si="146"/>
        <v>45175</v>
      </c>
      <c r="X1308" s="5">
        <v>113</v>
      </c>
    </row>
    <row r="1309" spans="1:24" ht="15.75" customHeight="1" x14ac:dyDescent="0.3">
      <c r="A1309" s="4">
        <v>2308</v>
      </c>
      <c r="B1309" s="5" t="s">
        <v>1408</v>
      </c>
      <c r="C1309" s="6">
        <v>45171.475694444445</v>
      </c>
      <c r="D1309" s="5" t="s">
        <v>43</v>
      </c>
      <c r="E1309" s="5" t="s">
        <v>261</v>
      </c>
      <c r="F1309" s="5" t="s">
        <v>38</v>
      </c>
      <c r="G1309" s="5" t="s">
        <v>17</v>
      </c>
      <c r="H1309" s="5">
        <v>132</v>
      </c>
      <c r="I1309" s="5">
        <v>2</v>
      </c>
      <c r="J1309" s="5" t="s">
        <v>26</v>
      </c>
      <c r="K1309" s="5" t="s">
        <v>49</v>
      </c>
      <c r="L1309" s="5" t="s">
        <v>28</v>
      </c>
      <c r="M1309" s="7" t="s">
        <v>21</v>
      </c>
      <c r="N1309" s="26">
        <f t="shared" si="140"/>
        <v>1</v>
      </c>
      <c r="O1309" s="42">
        <f t="shared" si="141"/>
        <v>45171</v>
      </c>
      <c r="P1309" s="5" t="str">
        <f t="shared" si="142"/>
        <v>Saturday</v>
      </c>
      <c r="Q1309" s="5">
        <f t="shared" si="143"/>
        <v>11</v>
      </c>
      <c r="R1309" s="28">
        <f t="shared" si="144"/>
        <v>0.9850746268656716</v>
      </c>
      <c r="S1309" s="29">
        <f t="shared" si="145"/>
        <v>98.507462686567166</v>
      </c>
      <c r="T1309" s="5" t="str">
        <f>IF(Delivery_Data3[[#This Row],[Delays (min)]]&gt;0,"No","Yes")</f>
        <v>No</v>
      </c>
      <c r="W1309" s="41">
        <f t="shared" si="146"/>
        <v>45171</v>
      </c>
      <c r="X1309" s="5">
        <v>132</v>
      </c>
    </row>
    <row r="1310" spans="1:24" ht="15.75" customHeight="1" x14ac:dyDescent="0.3">
      <c r="A1310" s="4">
        <v>2309</v>
      </c>
      <c r="B1310" s="5" t="s">
        <v>1409</v>
      </c>
      <c r="C1310" s="6">
        <v>45170.595833333333</v>
      </c>
      <c r="D1310" s="5" t="s">
        <v>14</v>
      </c>
      <c r="E1310" s="5" t="s">
        <v>245</v>
      </c>
      <c r="F1310" s="5" t="s">
        <v>24</v>
      </c>
      <c r="G1310" s="5" t="s">
        <v>39</v>
      </c>
      <c r="H1310" s="5">
        <v>225</v>
      </c>
      <c r="I1310" s="5">
        <v>9</v>
      </c>
      <c r="J1310" s="5" t="s">
        <v>18</v>
      </c>
      <c r="K1310" s="5" t="s">
        <v>19</v>
      </c>
      <c r="L1310" s="5" t="s">
        <v>40</v>
      </c>
      <c r="M1310" s="7" t="s">
        <v>46</v>
      </c>
      <c r="N1310" s="26">
        <f t="shared" si="140"/>
        <v>0</v>
      </c>
      <c r="O1310" s="42">
        <f t="shared" si="141"/>
        <v>45170</v>
      </c>
      <c r="P1310" s="5" t="str">
        <f t="shared" si="142"/>
        <v>Friday</v>
      </c>
      <c r="Q1310" s="5">
        <f t="shared" si="143"/>
        <v>14</v>
      </c>
      <c r="R1310" s="28">
        <f t="shared" si="144"/>
        <v>0.96153846153846156</v>
      </c>
      <c r="S1310" s="29">
        <f t="shared" si="145"/>
        <v>96.15384615384616</v>
      </c>
      <c r="T1310" s="5" t="str">
        <f>IF(Delivery_Data3[[#This Row],[Delays (min)]]&gt;0,"No","Yes")</f>
        <v>No</v>
      </c>
      <c r="W1310" s="41">
        <f t="shared" si="146"/>
        <v>45170</v>
      </c>
      <c r="X1310" s="5">
        <v>225</v>
      </c>
    </row>
    <row r="1311" spans="1:24" ht="15.75" customHeight="1" x14ac:dyDescent="0.3">
      <c r="A1311" s="4">
        <v>2310</v>
      </c>
      <c r="B1311" s="5" t="s">
        <v>1410</v>
      </c>
      <c r="C1311" s="6">
        <v>45175.512499999997</v>
      </c>
      <c r="D1311" s="5" t="s">
        <v>43</v>
      </c>
      <c r="E1311" s="5" t="s">
        <v>441</v>
      </c>
      <c r="F1311" s="5" t="s">
        <v>16</v>
      </c>
      <c r="G1311" s="5" t="s">
        <v>17</v>
      </c>
      <c r="H1311" s="5">
        <v>232</v>
      </c>
      <c r="I1311" s="5">
        <v>0</v>
      </c>
      <c r="J1311" s="5" t="s">
        <v>26</v>
      </c>
      <c r="K1311" s="5" t="s">
        <v>49</v>
      </c>
      <c r="L1311" s="5" t="s">
        <v>40</v>
      </c>
      <c r="M1311" s="7" t="s">
        <v>46</v>
      </c>
      <c r="N1311" s="26">
        <f t="shared" si="140"/>
        <v>1</v>
      </c>
      <c r="O1311" s="42">
        <f t="shared" si="141"/>
        <v>45175</v>
      </c>
      <c r="P1311" s="5" t="str">
        <f t="shared" si="142"/>
        <v>Wednesday</v>
      </c>
      <c r="Q1311" s="5">
        <f t="shared" si="143"/>
        <v>12</v>
      </c>
      <c r="R1311" s="28">
        <f t="shared" si="144"/>
        <v>1</v>
      </c>
      <c r="S1311" s="29">
        <f t="shared" si="145"/>
        <v>100</v>
      </c>
      <c r="T1311" s="5" t="str">
        <f>IF(Delivery_Data3[[#This Row],[Delays (min)]]&gt;0,"No","Yes")</f>
        <v>Yes</v>
      </c>
      <c r="W1311" s="41">
        <f t="shared" si="146"/>
        <v>45175</v>
      </c>
      <c r="X1311" s="5">
        <v>232</v>
      </c>
    </row>
    <row r="1312" spans="1:24" ht="15.75" customHeight="1" x14ac:dyDescent="0.3">
      <c r="A1312" s="4">
        <v>2311</v>
      </c>
      <c r="B1312" s="5" t="s">
        <v>1411</v>
      </c>
      <c r="C1312" s="6">
        <v>45172.368055555555</v>
      </c>
      <c r="D1312" s="5" t="s">
        <v>43</v>
      </c>
      <c r="E1312" s="5" t="s">
        <v>200</v>
      </c>
      <c r="F1312" s="5" t="s">
        <v>16</v>
      </c>
      <c r="G1312" s="5" t="s">
        <v>17</v>
      </c>
      <c r="H1312" s="5">
        <v>61</v>
      </c>
      <c r="I1312" s="5">
        <v>4</v>
      </c>
      <c r="J1312" s="5" t="s">
        <v>32</v>
      </c>
      <c r="K1312" s="5" t="s">
        <v>45</v>
      </c>
      <c r="L1312" s="5" t="s">
        <v>20</v>
      </c>
      <c r="M1312" s="7" t="s">
        <v>41</v>
      </c>
      <c r="N1312" s="26">
        <f t="shared" si="140"/>
        <v>-1</v>
      </c>
      <c r="O1312" s="42">
        <f t="shared" si="141"/>
        <v>45172</v>
      </c>
      <c r="P1312" s="5" t="str">
        <f t="shared" si="142"/>
        <v>Sunday</v>
      </c>
      <c r="Q1312" s="5">
        <f t="shared" si="143"/>
        <v>8</v>
      </c>
      <c r="R1312" s="28">
        <f t="shared" si="144"/>
        <v>0.93846153846153846</v>
      </c>
      <c r="S1312" s="29">
        <f t="shared" si="145"/>
        <v>93.84615384615384</v>
      </c>
      <c r="T1312" s="5" t="str">
        <f>IF(Delivery_Data3[[#This Row],[Delays (min)]]&gt;0,"No","Yes")</f>
        <v>No</v>
      </c>
      <c r="W1312" s="41">
        <f t="shared" si="146"/>
        <v>45172</v>
      </c>
      <c r="X1312" s="5">
        <v>61</v>
      </c>
    </row>
    <row r="1313" spans="1:24" ht="15.75" customHeight="1" x14ac:dyDescent="0.3">
      <c r="A1313" s="4">
        <v>2312</v>
      </c>
      <c r="B1313" s="5" t="s">
        <v>1412</v>
      </c>
      <c r="C1313" s="6">
        <v>45176.70208333333</v>
      </c>
      <c r="D1313" s="5" t="s">
        <v>14</v>
      </c>
      <c r="E1313" s="5" t="s">
        <v>288</v>
      </c>
      <c r="F1313" s="5" t="s">
        <v>16</v>
      </c>
      <c r="G1313" s="5" t="s">
        <v>31</v>
      </c>
      <c r="H1313" s="5">
        <v>130</v>
      </c>
      <c r="I1313" s="5">
        <v>28</v>
      </c>
      <c r="J1313" s="5" t="s">
        <v>26</v>
      </c>
      <c r="K1313" s="5" t="s">
        <v>19</v>
      </c>
      <c r="L1313" s="5" t="s">
        <v>20</v>
      </c>
      <c r="M1313" s="7" t="s">
        <v>41</v>
      </c>
      <c r="N1313" s="26">
        <f t="shared" si="140"/>
        <v>1</v>
      </c>
      <c r="O1313" s="42">
        <f t="shared" si="141"/>
        <v>45176</v>
      </c>
      <c r="P1313" s="5" t="str">
        <f t="shared" si="142"/>
        <v>Thursday</v>
      </c>
      <c r="Q1313" s="5">
        <f t="shared" si="143"/>
        <v>16</v>
      </c>
      <c r="R1313" s="28">
        <f t="shared" si="144"/>
        <v>0.82278481012658233</v>
      </c>
      <c r="S1313" s="29">
        <f t="shared" si="145"/>
        <v>82.278481012658233</v>
      </c>
      <c r="T1313" s="5" t="str">
        <f>IF(Delivery_Data3[[#This Row],[Delays (min)]]&gt;0,"No","Yes")</f>
        <v>No</v>
      </c>
      <c r="W1313" s="41">
        <f t="shared" si="146"/>
        <v>45176</v>
      </c>
      <c r="X1313" s="5">
        <v>130</v>
      </c>
    </row>
    <row r="1314" spans="1:24" ht="15.75" customHeight="1" x14ac:dyDescent="0.3">
      <c r="A1314" s="4">
        <v>2313</v>
      </c>
      <c r="B1314" s="5" t="s">
        <v>1413</v>
      </c>
      <c r="C1314" s="6">
        <v>45172.347222222219</v>
      </c>
      <c r="D1314" s="5" t="s">
        <v>14</v>
      </c>
      <c r="E1314" s="5" t="s">
        <v>234</v>
      </c>
      <c r="F1314" s="5" t="s">
        <v>24</v>
      </c>
      <c r="G1314" s="5" t="s">
        <v>56</v>
      </c>
      <c r="H1314" s="5">
        <v>95</v>
      </c>
      <c r="I1314" s="5">
        <v>4</v>
      </c>
      <c r="J1314" s="5" t="s">
        <v>32</v>
      </c>
      <c r="K1314" s="5" t="s">
        <v>27</v>
      </c>
      <c r="L1314" s="5" t="s">
        <v>20</v>
      </c>
      <c r="M1314" s="7" t="s">
        <v>21</v>
      </c>
      <c r="N1314" s="26">
        <f t="shared" si="140"/>
        <v>-1</v>
      </c>
      <c r="O1314" s="42">
        <f t="shared" si="141"/>
        <v>45172</v>
      </c>
      <c r="P1314" s="5" t="str">
        <f t="shared" si="142"/>
        <v>Sunday</v>
      </c>
      <c r="Q1314" s="5">
        <f t="shared" si="143"/>
        <v>8</v>
      </c>
      <c r="R1314" s="28">
        <f t="shared" si="144"/>
        <v>0.95959595959595956</v>
      </c>
      <c r="S1314" s="29">
        <f t="shared" si="145"/>
        <v>95.959595959595958</v>
      </c>
      <c r="T1314" s="5" t="str">
        <f>IF(Delivery_Data3[[#This Row],[Delays (min)]]&gt;0,"No","Yes")</f>
        <v>No</v>
      </c>
      <c r="W1314" s="41">
        <f t="shared" si="146"/>
        <v>45172</v>
      </c>
      <c r="X1314" s="5">
        <v>95</v>
      </c>
    </row>
    <row r="1315" spans="1:24" ht="15.75" customHeight="1" x14ac:dyDescent="0.3">
      <c r="A1315" s="4">
        <v>2314</v>
      </c>
      <c r="B1315" s="5" t="s">
        <v>1414</v>
      </c>
      <c r="C1315" s="6">
        <v>45170.411805555559</v>
      </c>
      <c r="D1315" s="5" t="s">
        <v>43</v>
      </c>
      <c r="E1315" s="5" t="s">
        <v>240</v>
      </c>
      <c r="F1315" s="5" t="s">
        <v>16</v>
      </c>
      <c r="G1315" s="5" t="s">
        <v>17</v>
      </c>
      <c r="H1315" s="5">
        <v>132</v>
      </c>
      <c r="I1315" s="5">
        <v>28</v>
      </c>
      <c r="J1315" s="5" t="s">
        <v>26</v>
      </c>
      <c r="K1315" s="5" t="s">
        <v>45</v>
      </c>
      <c r="L1315" s="5" t="s">
        <v>28</v>
      </c>
      <c r="M1315" s="7" t="s">
        <v>41</v>
      </c>
      <c r="N1315" s="26">
        <f t="shared" si="140"/>
        <v>1</v>
      </c>
      <c r="O1315" s="42">
        <f t="shared" si="141"/>
        <v>45170</v>
      </c>
      <c r="P1315" s="5" t="str">
        <f t="shared" si="142"/>
        <v>Friday</v>
      </c>
      <c r="Q1315" s="5">
        <f t="shared" si="143"/>
        <v>9</v>
      </c>
      <c r="R1315" s="28">
        <f t="shared" si="144"/>
        <v>0.82499999999999996</v>
      </c>
      <c r="S1315" s="29">
        <f t="shared" si="145"/>
        <v>82.5</v>
      </c>
      <c r="T1315" s="5" t="str">
        <f>IF(Delivery_Data3[[#This Row],[Delays (min)]]&gt;0,"No","Yes")</f>
        <v>No</v>
      </c>
      <c r="W1315" s="41">
        <f t="shared" si="146"/>
        <v>45170</v>
      </c>
      <c r="X1315" s="5">
        <v>132</v>
      </c>
    </row>
    <row r="1316" spans="1:24" ht="15.75" customHeight="1" x14ac:dyDescent="0.3">
      <c r="A1316" s="4">
        <v>2315</v>
      </c>
      <c r="B1316" s="5" t="s">
        <v>1415</v>
      </c>
      <c r="C1316" s="6">
        <v>45172.434027777781</v>
      </c>
      <c r="D1316" s="5" t="s">
        <v>43</v>
      </c>
      <c r="E1316" s="5" t="s">
        <v>91</v>
      </c>
      <c r="F1316" s="5" t="s">
        <v>24</v>
      </c>
      <c r="G1316" s="5" t="s">
        <v>17</v>
      </c>
      <c r="H1316" s="5">
        <v>170</v>
      </c>
      <c r="I1316" s="5">
        <v>12</v>
      </c>
      <c r="J1316" s="5" t="s">
        <v>32</v>
      </c>
      <c r="K1316" s="5" t="s">
        <v>49</v>
      </c>
      <c r="L1316" s="5" t="s">
        <v>40</v>
      </c>
      <c r="M1316" s="7" t="s">
        <v>41</v>
      </c>
      <c r="N1316" s="26">
        <f t="shared" si="140"/>
        <v>-1</v>
      </c>
      <c r="O1316" s="42">
        <f t="shared" si="141"/>
        <v>45172</v>
      </c>
      <c r="P1316" s="5" t="str">
        <f t="shared" si="142"/>
        <v>Sunday</v>
      </c>
      <c r="Q1316" s="5">
        <f t="shared" si="143"/>
        <v>10</v>
      </c>
      <c r="R1316" s="28">
        <f t="shared" si="144"/>
        <v>0.93406593406593408</v>
      </c>
      <c r="S1316" s="29">
        <f t="shared" si="145"/>
        <v>93.406593406593402</v>
      </c>
      <c r="T1316" s="5" t="str">
        <f>IF(Delivery_Data3[[#This Row],[Delays (min)]]&gt;0,"No","Yes")</f>
        <v>No</v>
      </c>
      <c r="W1316" s="41">
        <f t="shared" si="146"/>
        <v>45172</v>
      </c>
      <c r="X1316" s="5">
        <v>170</v>
      </c>
    </row>
    <row r="1317" spans="1:24" ht="15.75" customHeight="1" x14ac:dyDescent="0.3">
      <c r="A1317" s="4">
        <v>2316</v>
      </c>
      <c r="B1317" s="5" t="s">
        <v>1416</v>
      </c>
      <c r="C1317" s="6">
        <v>45176.626388888886</v>
      </c>
      <c r="D1317" s="5" t="s">
        <v>43</v>
      </c>
      <c r="E1317" s="5" t="s">
        <v>64</v>
      </c>
      <c r="F1317" s="5" t="s">
        <v>16</v>
      </c>
      <c r="G1317" s="5" t="s">
        <v>25</v>
      </c>
      <c r="H1317" s="5">
        <v>99</v>
      </c>
      <c r="I1317" s="5">
        <v>17</v>
      </c>
      <c r="J1317" s="5" t="s">
        <v>32</v>
      </c>
      <c r="K1317" s="5" t="s">
        <v>19</v>
      </c>
      <c r="L1317" s="5" t="s">
        <v>20</v>
      </c>
      <c r="M1317" s="7" t="s">
        <v>46</v>
      </c>
      <c r="N1317" s="26">
        <f t="shared" si="140"/>
        <v>-1</v>
      </c>
      <c r="O1317" s="42">
        <f t="shared" si="141"/>
        <v>45176</v>
      </c>
      <c r="P1317" s="5" t="str">
        <f t="shared" si="142"/>
        <v>Thursday</v>
      </c>
      <c r="Q1317" s="5">
        <f t="shared" si="143"/>
        <v>15</v>
      </c>
      <c r="R1317" s="28">
        <f t="shared" si="144"/>
        <v>0.85344827586206895</v>
      </c>
      <c r="S1317" s="29">
        <f t="shared" si="145"/>
        <v>85.34482758620689</v>
      </c>
      <c r="T1317" s="5" t="str">
        <f>IF(Delivery_Data3[[#This Row],[Delays (min)]]&gt;0,"No","Yes")</f>
        <v>No</v>
      </c>
      <c r="W1317" s="41">
        <f t="shared" si="146"/>
        <v>45176</v>
      </c>
      <c r="X1317" s="5">
        <v>99</v>
      </c>
    </row>
    <row r="1318" spans="1:24" ht="15.75" customHeight="1" x14ac:dyDescent="0.3">
      <c r="A1318" s="4">
        <v>2317</v>
      </c>
      <c r="B1318" s="5" t="s">
        <v>1417</v>
      </c>
      <c r="C1318" s="6">
        <v>45170.595833333333</v>
      </c>
      <c r="D1318" s="5" t="s">
        <v>43</v>
      </c>
      <c r="E1318" s="5" t="s">
        <v>179</v>
      </c>
      <c r="F1318" s="5" t="s">
        <v>16</v>
      </c>
      <c r="G1318" s="5" t="s">
        <v>39</v>
      </c>
      <c r="H1318" s="5">
        <v>67</v>
      </c>
      <c r="I1318" s="5">
        <v>26</v>
      </c>
      <c r="J1318" s="5" t="s">
        <v>18</v>
      </c>
      <c r="K1318" s="5" t="s">
        <v>45</v>
      </c>
      <c r="L1318" s="5" t="s">
        <v>20</v>
      </c>
      <c r="M1318" s="7" t="s">
        <v>21</v>
      </c>
      <c r="N1318" s="26">
        <f t="shared" si="140"/>
        <v>0</v>
      </c>
      <c r="O1318" s="42">
        <f t="shared" si="141"/>
        <v>45170</v>
      </c>
      <c r="P1318" s="5" t="str">
        <f t="shared" si="142"/>
        <v>Friday</v>
      </c>
      <c r="Q1318" s="5">
        <f t="shared" si="143"/>
        <v>14</v>
      </c>
      <c r="R1318" s="28">
        <f t="shared" si="144"/>
        <v>0.72043010752688175</v>
      </c>
      <c r="S1318" s="29">
        <f t="shared" si="145"/>
        <v>72.043010752688176</v>
      </c>
      <c r="T1318" s="5" t="str">
        <f>IF(Delivery_Data3[[#This Row],[Delays (min)]]&gt;0,"No","Yes")</f>
        <v>No</v>
      </c>
      <c r="W1318" s="41">
        <f t="shared" si="146"/>
        <v>45170</v>
      </c>
      <c r="X1318" s="5">
        <v>67</v>
      </c>
    </row>
    <row r="1319" spans="1:24" ht="15.75" customHeight="1" x14ac:dyDescent="0.3">
      <c r="A1319" s="4">
        <v>2318</v>
      </c>
      <c r="B1319" s="5" t="s">
        <v>1418</v>
      </c>
      <c r="C1319" s="6">
        <v>45172.370138888888</v>
      </c>
      <c r="D1319" s="5" t="s">
        <v>14</v>
      </c>
      <c r="E1319" s="5" t="s">
        <v>288</v>
      </c>
      <c r="F1319" s="5" t="s">
        <v>24</v>
      </c>
      <c r="G1319" s="5" t="s">
        <v>31</v>
      </c>
      <c r="H1319" s="5">
        <v>94</v>
      </c>
      <c r="I1319" s="5">
        <v>18</v>
      </c>
      <c r="J1319" s="5" t="s">
        <v>32</v>
      </c>
      <c r="K1319" s="5" t="s">
        <v>49</v>
      </c>
      <c r="L1319" s="5" t="s">
        <v>40</v>
      </c>
      <c r="M1319" s="7" t="s">
        <v>41</v>
      </c>
      <c r="N1319" s="26">
        <f t="shared" si="140"/>
        <v>-1</v>
      </c>
      <c r="O1319" s="42">
        <f t="shared" si="141"/>
        <v>45172</v>
      </c>
      <c r="P1319" s="5" t="str">
        <f t="shared" si="142"/>
        <v>Sunday</v>
      </c>
      <c r="Q1319" s="5">
        <f t="shared" si="143"/>
        <v>8</v>
      </c>
      <c r="R1319" s="28">
        <f t="shared" si="144"/>
        <v>0.8392857142857143</v>
      </c>
      <c r="S1319" s="29">
        <f t="shared" si="145"/>
        <v>83.928571428571431</v>
      </c>
      <c r="T1319" s="5" t="str">
        <f>IF(Delivery_Data3[[#This Row],[Delays (min)]]&gt;0,"No","Yes")</f>
        <v>No</v>
      </c>
      <c r="W1319" s="41">
        <f t="shared" si="146"/>
        <v>45172</v>
      </c>
      <c r="X1319" s="5">
        <v>94</v>
      </c>
    </row>
    <row r="1320" spans="1:24" ht="15.75" customHeight="1" x14ac:dyDescent="0.3">
      <c r="A1320" s="4">
        <v>2319</v>
      </c>
      <c r="B1320" s="5" t="s">
        <v>1419</v>
      </c>
      <c r="C1320" s="6">
        <v>45174.523611111108</v>
      </c>
      <c r="D1320" s="5" t="s">
        <v>14</v>
      </c>
      <c r="E1320" s="5" t="s">
        <v>62</v>
      </c>
      <c r="F1320" s="5" t="s">
        <v>24</v>
      </c>
      <c r="G1320" s="5" t="s">
        <v>17</v>
      </c>
      <c r="H1320" s="5">
        <v>71</v>
      </c>
      <c r="I1320" s="5">
        <v>1</v>
      </c>
      <c r="J1320" s="5" t="s">
        <v>18</v>
      </c>
      <c r="K1320" s="5" t="s">
        <v>35</v>
      </c>
      <c r="L1320" s="5" t="s">
        <v>40</v>
      </c>
      <c r="M1320" s="7" t="s">
        <v>21</v>
      </c>
      <c r="N1320" s="26">
        <f t="shared" si="140"/>
        <v>0</v>
      </c>
      <c r="O1320" s="42">
        <f t="shared" si="141"/>
        <v>45174</v>
      </c>
      <c r="P1320" s="5" t="str">
        <f t="shared" si="142"/>
        <v>Tuesday</v>
      </c>
      <c r="Q1320" s="5">
        <f t="shared" si="143"/>
        <v>12</v>
      </c>
      <c r="R1320" s="28">
        <f t="shared" si="144"/>
        <v>0.98611111111111116</v>
      </c>
      <c r="S1320" s="29">
        <f t="shared" si="145"/>
        <v>98.611111111111114</v>
      </c>
      <c r="T1320" s="5" t="str">
        <f>IF(Delivery_Data3[[#This Row],[Delays (min)]]&gt;0,"No","Yes")</f>
        <v>No</v>
      </c>
      <c r="W1320" s="41">
        <f t="shared" si="146"/>
        <v>45174</v>
      </c>
      <c r="X1320" s="5">
        <v>71</v>
      </c>
    </row>
    <row r="1321" spans="1:24" ht="15.75" customHeight="1" x14ac:dyDescent="0.3">
      <c r="A1321" s="4">
        <v>2320</v>
      </c>
      <c r="B1321" s="5" t="s">
        <v>1420</v>
      </c>
      <c r="C1321" s="6">
        <v>45171.564583333333</v>
      </c>
      <c r="D1321" s="5" t="s">
        <v>43</v>
      </c>
      <c r="E1321" s="5" t="s">
        <v>162</v>
      </c>
      <c r="F1321" s="5" t="s">
        <v>16</v>
      </c>
      <c r="G1321" s="5" t="s">
        <v>56</v>
      </c>
      <c r="H1321" s="5">
        <v>73</v>
      </c>
      <c r="I1321" s="5">
        <v>21</v>
      </c>
      <c r="J1321" s="5" t="s">
        <v>18</v>
      </c>
      <c r="K1321" s="5" t="s">
        <v>19</v>
      </c>
      <c r="L1321" s="5" t="s">
        <v>28</v>
      </c>
      <c r="M1321" s="7" t="s">
        <v>46</v>
      </c>
      <c r="N1321" s="26">
        <f t="shared" si="140"/>
        <v>0</v>
      </c>
      <c r="O1321" s="42">
        <f t="shared" si="141"/>
        <v>45171</v>
      </c>
      <c r="P1321" s="5" t="str">
        <f t="shared" si="142"/>
        <v>Saturday</v>
      </c>
      <c r="Q1321" s="5">
        <f t="shared" si="143"/>
        <v>13</v>
      </c>
      <c r="R1321" s="28">
        <f t="shared" si="144"/>
        <v>0.77659574468085102</v>
      </c>
      <c r="S1321" s="29">
        <f t="shared" si="145"/>
        <v>77.659574468085097</v>
      </c>
      <c r="T1321" s="5" t="str">
        <f>IF(Delivery_Data3[[#This Row],[Delays (min)]]&gt;0,"No","Yes")</f>
        <v>No</v>
      </c>
      <c r="W1321" s="41">
        <f t="shared" si="146"/>
        <v>45171</v>
      </c>
      <c r="X1321" s="5">
        <v>73</v>
      </c>
    </row>
    <row r="1322" spans="1:24" ht="15.75" customHeight="1" x14ac:dyDescent="0.3">
      <c r="A1322" s="4">
        <v>2321</v>
      </c>
      <c r="B1322" s="5" t="s">
        <v>1421</v>
      </c>
      <c r="C1322" s="6">
        <v>45173.458333333336</v>
      </c>
      <c r="D1322" s="5" t="s">
        <v>43</v>
      </c>
      <c r="E1322" s="5" t="s">
        <v>120</v>
      </c>
      <c r="F1322" s="5" t="s">
        <v>24</v>
      </c>
      <c r="G1322" s="5" t="s">
        <v>25</v>
      </c>
      <c r="H1322" s="5">
        <v>191</v>
      </c>
      <c r="I1322" s="5">
        <v>26</v>
      </c>
      <c r="J1322" s="5" t="s">
        <v>32</v>
      </c>
      <c r="K1322" s="5" t="s">
        <v>35</v>
      </c>
      <c r="L1322" s="5" t="s">
        <v>40</v>
      </c>
      <c r="M1322" s="7" t="s">
        <v>41</v>
      </c>
      <c r="N1322" s="26">
        <f t="shared" si="140"/>
        <v>-1</v>
      </c>
      <c r="O1322" s="42">
        <f t="shared" si="141"/>
        <v>45173</v>
      </c>
      <c r="P1322" s="5" t="str">
        <f t="shared" si="142"/>
        <v>Monday</v>
      </c>
      <c r="Q1322" s="5">
        <f t="shared" si="143"/>
        <v>11</v>
      </c>
      <c r="R1322" s="28">
        <f t="shared" si="144"/>
        <v>0.88018433179723499</v>
      </c>
      <c r="S1322" s="29">
        <f t="shared" si="145"/>
        <v>88.018433179723502</v>
      </c>
      <c r="T1322" s="5" t="str">
        <f>IF(Delivery_Data3[[#This Row],[Delays (min)]]&gt;0,"No","Yes")</f>
        <v>No</v>
      </c>
      <c r="W1322" s="41">
        <f t="shared" si="146"/>
        <v>45173</v>
      </c>
      <c r="X1322" s="5">
        <v>191</v>
      </c>
    </row>
    <row r="1323" spans="1:24" ht="15.75" customHeight="1" x14ac:dyDescent="0.3">
      <c r="A1323" s="4">
        <v>2322</v>
      </c>
      <c r="B1323" s="5" t="s">
        <v>1422</v>
      </c>
      <c r="C1323" s="6">
        <v>45177.347916666666</v>
      </c>
      <c r="D1323" s="5" t="s">
        <v>43</v>
      </c>
      <c r="E1323" s="5" t="s">
        <v>204</v>
      </c>
      <c r="F1323" s="5" t="s">
        <v>24</v>
      </c>
      <c r="G1323" s="5" t="s">
        <v>25</v>
      </c>
      <c r="H1323" s="5">
        <v>192</v>
      </c>
      <c r="I1323" s="5">
        <v>2</v>
      </c>
      <c r="J1323" s="5" t="s">
        <v>18</v>
      </c>
      <c r="K1323" s="5" t="s">
        <v>49</v>
      </c>
      <c r="L1323" s="5" t="s">
        <v>20</v>
      </c>
      <c r="M1323" s="7" t="s">
        <v>41</v>
      </c>
      <c r="N1323" s="26">
        <f t="shared" si="140"/>
        <v>0</v>
      </c>
      <c r="O1323" s="42">
        <f t="shared" si="141"/>
        <v>45177</v>
      </c>
      <c r="P1323" s="5" t="str">
        <f t="shared" si="142"/>
        <v>Friday</v>
      </c>
      <c r="Q1323" s="5">
        <f t="shared" si="143"/>
        <v>8</v>
      </c>
      <c r="R1323" s="28">
        <f t="shared" si="144"/>
        <v>0.98969072164948457</v>
      </c>
      <c r="S1323" s="29">
        <f t="shared" si="145"/>
        <v>98.969072164948457</v>
      </c>
      <c r="T1323" s="5" t="str">
        <f>IF(Delivery_Data3[[#This Row],[Delays (min)]]&gt;0,"No","Yes")</f>
        <v>No</v>
      </c>
      <c r="W1323" s="41">
        <f t="shared" si="146"/>
        <v>45177</v>
      </c>
      <c r="X1323" s="5">
        <v>192</v>
      </c>
    </row>
    <row r="1324" spans="1:24" ht="15.75" customHeight="1" x14ac:dyDescent="0.3">
      <c r="A1324" s="4">
        <v>2323</v>
      </c>
      <c r="B1324" s="5" t="s">
        <v>1423</v>
      </c>
      <c r="C1324" s="6">
        <v>45173.529166666667</v>
      </c>
      <c r="D1324" s="5" t="s">
        <v>43</v>
      </c>
      <c r="E1324" s="5" t="s">
        <v>101</v>
      </c>
      <c r="F1324" s="5" t="s">
        <v>38</v>
      </c>
      <c r="G1324" s="5" t="s">
        <v>31</v>
      </c>
      <c r="H1324" s="5">
        <v>65</v>
      </c>
      <c r="I1324" s="5">
        <v>23</v>
      </c>
      <c r="J1324" s="5" t="s">
        <v>26</v>
      </c>
      <c r="K1324" s="5" t="s">
        <v>19</v>
      </c>
      <c r="L1324" s="5" t="s">
        <v>28</v>
      </c>
      <c r="M1324" s="7" t="s">
        <v>21</v>
      </c>
      <c r="N1324" s="26">
        <f t="shared" si="140"/>
        <v>1</v>
      </c>
      <c r="O1324" s="42">
        <f t="shared" si="141"/>
        <v>45173</v>
      </c>
      <c r="P1324" s="5" t="str">
        <f t="shared" si="142"/>
        <v>Monday</v>
      </c>
      <c r="Q1324" s="5">
        <f t="shared" si="143"/>
        <v>12</v>
      </c>
      <c r="R1324" s="28">
        <f t="shared" si="144"/>
        <v>0.73863636363636365</v>
      </c>
      <c r="S1324" s="29">
        <f t="shared" si="145"/>
        <v>73.86363636363636</v>
      </c>
      <c r="T1324" s="5" t="str">
        <f>IF(Delivery_Data3[[#This Row],[Delays (min)]]&gt;0,"No","Yes")</f>
        <v>No</v>
      </c>
      <c r="W1324" s="41">
        <f t="shared" si="146"/>
        <v>45173</v>
      </c>
      <c r="X1324" s="5">
        <v>65</v>
      </c>
    </row>
    <row r="1325" spans="1:24" ht="15.75" customHeight="1" x14ac:dyDescent="0.3">
      <c r="A1325" s="4">
        <v>2324</v>
      </c>
      <c r="B1325" s="5" t="s">
        <v>1424</v>
      </c>
      <c r="C1325" s="6">
        <v>45171.636111111111</v>
      </c>
      <c r="D1325" s="5" t="s">
        <v>43</v>
      </c>
      <c r="E1325" s="5" t="s">
        <v>162</v>
      </c>
      <c r="F1325" s="5" t="s">
        <v>38</v>
      </c>
      <c r="G1325" s="5" t="s">
        <v>39</v>
      </c>
      <c r="H1325" s="5">
        <v>160</v>
      </c>
      <c r="I1325" s="5">
        <v>7</v>
      </c>
      <c r="J1325" s="5" t="s">
        <v>26</v>
      </c>
      <c r="K1325" s="5" t="s">
        <v>45</v>
      </c>
      <c r="L1325" s="5" t="s">
        <v>20</v>
      </c>
      <c r="M1325" s="7" t="s">
        <v>21</v>
      </c>
      <c r="N1325" s="26">
        <f t="shared" si="140"/>
        <v>1</v>
      </c>
      <c r="O1325" s="42">
        <f t="shared" si="141"/>
        <v>45171</v>
      </c>
      <c r="P1325" s="5" t="str">
        <f t="shared" si="142"/>
        <v>Saturday</v>
      </c>
      <c r="Q1325" s="5">
        <f t="shared" si="143"/>
        <v>15</v>
      </c>
      <c r="R1325" s="28">
        <f t="shared" si="144"/>
        <v>0.95808383233532934</v>
      </c>
      <c r="S1325" s="29">
        <f t="shared" si="145"/>
        <v>95.808383233532936</v>
      </c>
      <c r="T1325" s="5" t="str">
        <f>IF(Delivery_Data3[[#This Row],[Delays (min)]]&gt;0,"No","Yes")</f>
        <v>No</v>
      </c>
      <c r="W1325" s="41">
        <f t="shared" si="146"/>
        <v>45171</v>
      </c>
      <c r="X1325" s="5">
        <v>160</v>
      </c>
    </row>
    <row r="1326" spans="1:24" ht="15.75" customHeight="1" x14ac:dyDescent="0.3">
      <c r="A1326" s="4">
        <v>2325</v>
      </c>
      <c r="B1326" s="5" t="s">
        <v>1425</v>
      </c>
      <c r="C1326" s="6">
        <v>45176.681944444441</v>
      </c>
      <c r="D1326" s="5" t="s">
        <v>43</v>
      </c>
      <c r="E1326" s="5" t="s">
        <v>249</v>
      </c>
      <c r="F1326" s="5" t="s">
        <v>38</v>
      </c>
      <c r="G1326" s="5" t="s">
        <v>56</v>
      </c>
      <c r="H1326" s="5">
        <v>144</v>
      </c>
      <c r="I1326" s="5">
        <v>16</v>
      </c>
      <c r="J1326" s="5" t="s">
        <v>26</v>
      </c>
      <c r="K1326" s="5" t="s">
        <v>35</v>
      </c>
      <c r="L1326" s="5" t="s">
        <v>40</v>
      </c>
      <c r="M1326" s="7" t="s">
        <v>21</v>
      </c>
      <c r="N1326" s="26">
        <f t="shared" si="140"/>
        <v>1</v>
      </c>
      <c r="O1326" s="42">
        <f t="shared" si="141"/>
        <v>45176</v>
      </c>
      <c r="P1326" s="5" t="str">
        <f t="shared" si="142"/>
        <v>Thursday</v>
      </c>
      <c r="Q1326" s="5">
        <f t="shared" si="143"/>
        <v>16</v>
      </c>
      <c r="R1326" s="28">
        <f t="shared" si="144"/>
        <v>0.9</v>
      </c>
      <c r="S1326" s="29">
        <f t="shared" si="145"/>
        <v>90</v>
      </c>
      <c r="T1326" s="5" t="str">
        <f>IF(Delivery_Data3[[#This Row],[Delays (min)]]&gt;0,"No","Yes")</f>
        <v>No</v>
      </c>
      <c r="W1326" s="41">
        <f t="shared" si="146"/>
        <v>45176</v>
      </c>
      <c r="X1326" s="5">
        <v>144</v>
      </c>
    </row>
    <row r="1327" spans="1:24" ht="15.75" customHeight="1" x14ac:dyDescent="0.3">
      <c r="A1327" s="4">
        <v>2326</v>
      </c>
      <c r="B1327" s="5" t="s">
        <v>1426</v>
      </c>
      <c r="C1327" s="6">
        <v>45172.458333333336</v>
      </c>
      <c r="D1327" s="5" t="s">
        <v>43</v>
      </c>
      <c r="E1327" s="5" t="s">
        <v>234</v>
      </c>
      <c r="F1327" s="5" t="s">
        <v>16</v>
      </c>
      <c r="G1327" s="5" t="s">
        <v>25</v>
      </c>
      <c r="H1327" s="5">
        <v>230</v>
      </c>
      <c r="I1327" s="5">
        <v>26</v>
      </c>
      <c r="J1327" s="5" t="s">
        <v>26</v>
      </c>
      <c r="K1327" s="5" t="s">
        <v>35</v>
      </c>
      <c r="L1327" s="5" t="s">
        <v>28</v>
      </c>
      <c r="M1327" s="7" t="s">
        <v>46</v>
      </c>
      <c r="N1327" s="26">
        <f t="shared" si="140"/>
        <v>1</v>
      </c>
      <c r="O1327" s="42">
        <f t="shared" si="141"/>
        <v>45172</v>
      </c>
      <c r="P1327" s="5" t="str">
        <f t="shared" si="142"/>
        <v>Sunday</v>
      </c>
      <c r="Q1327" s="5">
        <f t="shared" si="143"/>
        <v>11</v>
      </c>
      <c r="R1327" s="28">
        <f t="shared" si="144"/>
        <v>0.8984375</v>
      </c>
      <c r="S1327" s="29">
        <f t="shared" si="145"/>
        <v>89.84375</v>
      </c>
      <c r="T1327" s="5" t="str">
        <f>IF(Delivery_Data3[[#This Row],[Delays (min)]]&gt;0,"No","Yes")</f>
        <v>No</v>
      </c>
      <c r="W1327" s="41">
        <f t="shared" si="146"/>
        <v>45172</v>
      </c>
      <c r="X1327" s="5">
        <v>230</v>
      </c>
    </row>
    <row r="1328" spans="1:24" ht="15.75" customHeight="1" x14ac:dyDescent="0.3">
      <c r="A1328" s="4">
        <v>2327</v>
      </c>
      <c r="B1328" s="5" t="s">
        <v>1427</v>
      </c>
      <c r="C1328" s="6">
        <v>45175.659722222219</v>
      </c>
      <c r="D1328" s="5" t="s">
        <v>14</v>
      </c>
      <c r="E1328" s="5" t="s">
        <v>468</v>
      </c>
      <c r="F1328" s="5" t="s">
        <v>38</v>
      </c>
      <c r="G1328" s="5" t="s">
        <v>31</v>
      </c>
      <c r="H1328" s="5">
        <v>102</v>
      </c>
      <c r="I1328" s="5">
        <v>21</v>
      </c>
      <c r="J1328" s="5" t="s">
        <v>18</v>
      </c>
      <c r="K1328" s="5" t="s">
        <v>49</v>
      </c>
      <c r="L1328" s="5" t="s">
        <v>20</v>
      </c>
      <c r="M1328" s="7" t="s">
        <v>41</v>
      </c>
      <c r="N1328" s="26">
        <f t="shared" si="140"/>
        <v>0</v>
      </c>
      <c r="O1328" s="42">
        <f t="shared" si="141"/>
        <v>45175</v>
      </c>
      <c r="P1328" s="5" t="str">
        <f t="shared" si="142"/>
        <v>Wednesday</v>
      </c>
      <c r="Q1328" s="5">
        <f t="shared" si="143"/>
        <v>15</v>
      </c>
      <c r="R1328" s="28">
        <f t="shared" si="144"/>
        <v>0.82926829268292679</v>
      </c>
      <c r="S1328" s="29">
        <f t="shared" si="145"/>
        <v>82.926829268292678</v>
      </c>
      <c r="T1328" s="5" t="str">
        <f>IF(Delivery_Data3[[#This Row],[Delays (min)]]&gt;0,"No","Yes")</f>
        <v>No</v>
      </c>
      <c r="W1328" s="41">
        <f t="shared" si="146"/>
        <v>45175</v>
      </c>
      <c r="X1328" s="5">
        <v>102</v>
      </c>
    </row>
    <row r="1329" spans="1:24" ht="15.75" customHeight="1" x14ac:dyDescent="0.3">
      <c r="A1329" s="4">
        <v>2328</v>
      </c>
      <c r="B1329" s="5" t="s">
        <v>1428</v>
      </c>
      <c r="C1329" s="6">
        <v>45170.335416666669</v>
      </c>
      <c r="D1329" s="5" t="s">
        <v>14</v>
      </c>
      <c r="E1329" s="5" t="s">
        <v>468</v>
      </c>
      <c r="F1329" s="5" t="s">
        <v>16</v>
      </c>
      <c r="G1329" s="5" t="s">
        <v>17</v>
      </c>
      <c r="H1329" s="5">
        <v>103</v>
      </c>
      <c r="I1329" s="5">
        <v>6</v>
      </c>
      <c r="J1329" s="5" t="s">
        <v>32</v>
      </c>
      <c r="K1329" s="5" t="s">
        <v>19</v>
      </c>
      <c r="L1329" s="5" t="s">
        <v>20</v>
      </c>
      <c r="M1329" s="7" t="s">
        <v>21</v>
      </c>
      <c r="N1329" s="26">
        <f t="shared" si="140"/>
        <v>-1</v>
      </c>
      <c r="O1329" s="42">
        <f t="shared" si="141"/>
        <v>45170</v>
      </c>
      <c r="P1329" s="5" t="str">
        <f t="shared" si="142"/>
        <v>Friday</v>
      </c>
      <c r="Q1329" s="5">
        <f t="shared" si="143"/>
        <v>8</v>
      </c>
      <c r="R1329" s="28">
        <f t="shared" si="144"/>
        <v>0.94495412844036697</v>
      </c>
      <c r="S1329" s="29">
        <f t="shared" si="145"/>
        <v>94.495412844036693</v>
      </c>
      <c r="T1329" s="5" t="str">
        <f>IF(Delivery_Data3[[#This Row],[Delays (min)]]&gt;0,"No","Yes")</f>
        <v>No</v>
      </c>
      <c r="W1329" s="41">
        <f t="shared" si="146"/>
        <v>45170</v>
      </c>
      <c r="X1329" s="5">
        <v>103</v>
      </c>
    </row>
    <row r="1330" spans="1:24" ht="15.75" customHeight="1" x14ac:dyDescent="0.3">
      <c r="A1330" s="4">
        <v>2329</v>
      </c>
      <c r="B1330" s="5" t="s">
        <v>1429</v>
      </c>
      <c r="C1330" s="6">
        <v>45175.459722222222</v>
      </c>
      <c r="D1330" s="5" t="s">
        <v>14</v>
      </c>
      <c r="E1330" s="5" t="s">
        <v>58</v>
      </c>
      <c r="F1330" s="5" t="s">
        <v>16</v>
      </c>
      <c r="G1330" s="5" t="s">
        <v>31</v>
      </c>
      <c r="H1330" s="5">
        <v>127</v>
      </c>
      <c r="I1330" s="5">
        <v>17</v>
      </c>
      <c r="J1330" s="5" t="s">
        <v>26</v>
      </c>
      <c r="K1330" s="5" t="s">
        <v>49</v>
      </c>
      <c r="L1330" s="5" t="s">
        <v>40</v>
      </c>
      <c r="M1330" s="7" t="s">
        <v>46</v>
      </c>
      <c r="N1330" s="26">
        <f t="shared" si="140"/>
        <v>1</v>
      </c>
      <c r="O1330" s="42">
        <f t="shared" si="141"/>
        <v>45175</v>
      </c>
      <c r="P1330" s="5" t="str">
        <f t="shared" si="142"/>
        <v>Wednesday</v>
      </c>
      <c r="Q1330" s="5">
        <f t="shared" si="143"/>
        <v>11</v>
      </c>
      <c r="R1330" s="28">
        <f t="shared" si="144"/>
        <v>0.88194444444444442</v>
      </c>
      <c r="S1330" s="29">
        <f t="shared" si="145"/>
        <v>88.194444444444443</v>
      </c>
      <c r="T1330" s="5" t="str">
        <f>IF(Delivery_Data3[[#This Row],[Delays (min)]]&gt;0,"No","Yes")</f>
        <v>No</v>
      </c>
      <c r="W1330" s="41">
        <f t="shared" si="146"/>
        <v>45175</v>
      </c>
      <c r="X1330" s="5">
        <v>127</v>
      </c>
    </row>
    <row r="1331" spans="1:24" ht="15.75" customHeight="1" x14ac:dyDescent="0.3">
      <c r="A1331" s="4">
        <v>2330</v>
      </c>
      <c r="B1331" s="5" t="s">
        <v>1430</v>
      </c>
      <c r="C1331" s="6">
        <v>45176.616666666669</v>
      </c>
      <c r="D1331" s="5" t="s">
        <v>43</v>
      </c>
      <c r="E1331" s="5" t="s">
        <v>95</v>
      </c>
      <c r="F1331" s="5" t="s">
        <v>24</v>
      </c>
      <c r="G1331" s="5" t="s">
        <v>31</v>
      </c>
      <c r="H1331" s="5">
        <v>108</v>
      </c>
      <c r="I1331" s="5">
        <v>0</v>
      </c>
      <c r="J1331" s="5" t="s">
        <v>26</v>
      </c>
      <c r="K1331" s="5" t="s">
        <v>19</v>
      </c>
      <c r="L1331" s="5" t="s">
        <v>28</v>
      </c>
      <c r="M1331" s="7" t="s">
        <v>46</v>
      </c>
      <c r="N1331" s="26">
        <f t="shared" si="140"/>
        <v>1</v>
      </c>
      <c r="O1331" s="42">
        <f t="shared" si="141"/>
        <v>45176</v>
      </c>
      <c r="P1331" s="5" t="str">
        <f t="shared" si="142"/>
        <v>Thursday</v>
      </c>
      <c r="Q1331" s="5">
        <f t="shared" si="143"/>
        <v>14</v>
      </c>
      <c r="R1331" s="28">
        <f t="shared" si="144"/>
        <v>1</v>
      </c>
      <c r="S1331" s="29">
        <f t="shared" si="145"/>
        <v>100</v>
      </c>
      <c r="T1331" s="5" t="str">
        <f>IF(Delivery_Data3[[#This Row],[Delays (min)]]&gt;0,"No","Yes")</f>
        <v>Yes</v>
      </c>
      <c r="W1331" s="41">
        <f t="shared" si="146"/>
        <v>45176</v>
      </c>
      <c r="X1331" s="5">
        <v>108</v>
      </c>
    </row>
    <row r="1332" spans="1:24" ht="15.75" customHeight="1" x14ac:dyDescent="0.3">
      <c r="A1332" s="4">
        <v>2331</v>
      </c>
      <c r="B1332" s="5" t="s">
        <v>1431</v>
      </c>
      <c r="C1332" s="6">
        <v>45175.400694444441</v>
      </c>
      <c r="D1332" s="5" t="s">
        <v>14</v>
      </c>
      <c r="E1332" s="5" t="s">
        <v>169</v>
      </c>
      <c r="F1332" s="5" t="s">
        <v>38</v>
      </c>
      <c r="G1332" s="5" t="s">
        <v>25</v>
      </c>
      <c r="H1332" s="5">
        <v>112</v>
      </c>
      <c r="I1332" s="5">
        <v>17</v>
      </c>
      <c r="J1332" s="5" t="s">
        <v>18</v>
      </c>
      <c r="K1332" s="5" t="s">
        <v>27</v>
      </c>
      <c r="L1332" s="5" t="s">
        <v>40</v>
      </c>
      <c r="M1332" s="7" t="s">
        <v>46</v>
      </c>
      <c r="N1332" s="26">
        <f t="shared" si="140"/>
        <v>0</v>
      </c>
      <c r="O1332" s="42">
        <f t="shared" si="141"/>
        <v>45175</v>
      </c>
      <c r="P1332" s="5" t="str">
        <f t="shared" si="142"/>
        <v>Wednesday</v>
      </c>
      <c r="Q1332" s="5">
        <f t="shared" si="143"/>
        <v>9</v>
      </c>
      <c r="R1332" s="28">
        <f t="shared" si="144"/>
        <v>0.86821705426356588</v>
      </c>
      <c r="S1332" s="29">
        <f t="shared" si="145"/>
        <v>86.821705426356587</v>
      </c>
      <c r="T1332" s="5" t="str">
        <f>IF(Delivery_Data3[[#This Row],[Delays (min)]]&gt;0,"No","Yes")</f>
        <v>No</v>
      </c>
      <c r="W1332" s="41">
        <f t="shared" si="146"/>
        <v>45175</v>
      </c>
      <c r="X1332" s="5">
        <v>112</v>
      </c>
    </row>
    <row r="1333" spans="1:24" ht="15.75" customHeight="1" x14ac:dyDescent="0.3">
      <c r="A1333" s="4">
        <v>2332</v>
      </c>
      <c r="B1333" s="5" t="s">
        <v>1432</v>
      </c>
      <c r="C1333" s="6">
        <v>45175.459027777775</v>
      </c>
      <c r="D1333" s="5" t="s">
        <v>14</v>
      </c>
      <c r="E1333" s="5" t="s">
        <v>115</v>
      </c>
      <c r="F1333" s="5" t="s">
        <v>16</v>
      </c>
      <c r="G1333" s="5" t="s">
        <v>17</v>
      </c>
      <c r="H1333" s="5">
        <v>213</v>
      </c>
      <c r="I1333" s="5">
        <v>18</v>
      </c>
      <c r="J1333" s="5" t="s">
        <v>18</v>
      </c>
      <c r="K1333" s="5" t="s">
        <v>35</v>
      </c>
      <c r="L1333" s="5" t="s">
        <v>20</v>
      </c>
      <c r="M1333" s="7" t="s">
        <v>41</v>
      </c>
      <c r="N1333" s="26">
        <f t="shared" si="140"/>
        <v>0</v>
      </c>
      <c r="O1333" s="42">
        <f t="shared" si="141"/>
        <v>45175</v>
      </c>
      <c r="P1333" s="5" t="str">
        <f t="shared" si="142"/>
        <v>Wednesday</v>
      </c>
      <c r="Q1333" s="5">
        <f t="shared" si="143"/>
        <v>11</v>
      </c>
      <c r="R1333" s="28">
        <f t="shared" si="144"/>
        <v>0.92207792207792205</v>
      </c>
      <c r="S1333" s="29">
        <f t="shared" si="145"/>
        <v>92.20779220779221</v>
      </c>
      <c r="T1333" s="5" t="str">
        <f>IF(Delivery_Data3[[#This Row],[Delays (min)]]&gt;0,"No","Yes")</f>
        <v>No</v>
      </c>
      <c r="W1333" s="41">
        <f t="shared" si="146"/>
        <v>45175</v>
      </c>
      <c r="X1333" s="5">
        <v>213</v>
      </c>
    </row>
    <row r="1334" spans="1:24" ht="15.75" customHeight="1" x14ac:dyDescent="0.3">
      <c r="A1334" s="4">
        <v>2333</v>
      </c>
      <c r="B1334" s="5" t="s">
        <v>1433</v>
      </c>
      <c r="C1334" s="6">
        <v>45171.595833333333</v>
      </c>
      <c r="D1334" s="5" t="s">
        <v>43</v>
      </c>
      <c r="E1334" s="5" t="s">
        <v>200</v>
      </c>
      <c r="F1334" s="5" t="s">
        <v>16</v>
      </c>
      <c r="G1334" s="5" t="s">
        <v>31</v>
      </c>
      <c r="H1334" s="5">
        <v>160</v>
      </c>
      <c r="I1334" s="5">
        <v>11</v>
      </c>
      <c r="J1334" s="5" t="s">
        <v>26</v>
      </c>
      <c r="K1334" s="5" t="s">
        <v>19</v>
      </c>
      <c r="L1334" s="5" t="s">
        <v>40</v>
      </c>
      <c r="M1334" s="7" t="s">
        <v>21</v>
      </c>
      <c r="N1334" s="26">
        <f t="shared" si="140"/>
        <v>1</v>
      </c>
      <c r="O1334" s="42">
        <f t="shared" si="141"/>
        <v>45171</v>
      </c>
      <c r="P1334" s="5" t="str">
        <f t="shared" si="142"/>
        <v>Saturday</v>
      </c>
      <c r="Q1334" s="5">
        <f t="shared" si="143"/>
        <v>14</v>
      </c>
      <c r="R1334" s="28">
        <f t="shared" si="144"/>
        <v>0.93567251461988299</v>
      </c>
      <c r="S1334" s="29">
        <f t="shared" si="145"/>
        <v>93.567251461988292</v>
      </c>
      <c r="T1334" s="5" t="str">
        <f>IF(Delivery_Data3[[#This Row],[Delays (min)]]&gt;0,"No","Yes")</f>
        <v>No</v>
      </c>
      <c r="W1334" s="41">
        <f t="shared" si="146"/>
        <v>45171</v>
      </c>
      <c r="X1334" s="5">
        <v>160</v>
      </c>
    </row>
    <row r="1335" spans="1:24" ht="15.75" customHeight="1" x14ac:dyDescent="0.3">
      <c r="A1335" s="4">
        <v>2334</v>
      </c>
      <c r="B1335" s="5" t="s">
        <v>1434</v>
      </c>
      <c r="C1335" s="6">
        <v>45173.677777777775</v>
      </c>
      <c r="D1335" s="5" t="s">
        <v>43</v>
      </c>
      <c r="E1335" s="5" t="s">
        <v>202</v>
      </c>
      <c r="F1335" s="5" t="s">
        <v>38</v>
      </c>
      <c r="G1335" s="5" t="s">
        <v>17</v>
      </c>
      <c r="H1335" s="5">
        <v>73</v>
      </c>
      <c r="I1335" s="5">
        <v>11</v>
      </c>
      <c r="J1335" s="5" t="s">
        <v>32</v>
      </c>
      <c r="K1335" s="5" t="s">
        <v>45</v>
      </c>
      <c r="L1335" s="5" t="s">
        <v>28</v>
      </c>
      <c r="M1335" s="7" t="s">
        <v>46</v>
      </c>
      <c r="N1335" s="26">
        <f t="shared" si="140"/>
        <v>-1</v>
      </c>
      <c r="O1335" s="42">
        <f t="shared" si="141"/>
        <v>45173</v>
      </c>
      <c r="P1335" s="5" t="str">
        <f t="shared" si="142"/>
        <v>Monday</v>
      </c>
      <c r="Q1335" s="5">
        <f t="shared" si="143"/>
        <v>16</v>
      </c>
      <c r="R1335" s="28">
        <f t="shared" si="144"/>
        <v>0.86904761904761907</v>
      </c>
      <c r="S1335" s="29">
        <f t="shared" si="145"/>
        <v>86.904761904761912</v>
      </c>
      <c r="T1335" s="5" t="str">
        <f>IF(Delivery_Data3[[#This Row],[Delays (min)]]&gt;0,"No","Yes")</f>
        <v>No</v>
      </c>
      <c r="W1335" s="41">
        <f t="shared" si="146"/>
        <v>45173</v>
      </c>
      <c r="X1335" s="5">
        <v>73</v>
      </c>
    </row>
    <row r="1336" spans="1:24" ht="15.75" customHeight="1" x14ac:dyDescent="0.3">
      <c r="A1336" s="4">
        <v>2335</v>
      </c>
      <c r="B1336" s="5" t="s">
        <v>1435</v>
      </c>
      <c r="C1336" s="6">
        <v>45174.648611111108</v>
      </c>
      <c r="D1336" s="5" t="s">
        <v>14</v>
      </c>
      <c r="E1336" s="5" t="s">
        <v>177</v>
      </c>
      <c r="F1336" s="5" t="s">
        <v>38</v>
      </c>
      <c r="G1336" s="5" t="s">
        <v>39</v>
      </c>
      <c r="H1336" s="5">
        <v>74</v>
      </c>
      <c r="I1336" s="5">
        <v>6</v>
      </c>
      <c r="J1336" s="5" t="s">
        <v>18</v>
      </c>
      <c r="K1336" s="5" t="s">
        <v>27</v>
      </c>
      <c r="L1336" s="5" t="s">
        <v>20</v>
      </c>
      <c r="M1336" s="7" t="s">
        <v>46</v>
      </c>
      <c r="N1336" s="26">
        <f t="shared" si="140"/>
        <v>0</v>
      </c>
      <c r="O1336" s="42">
        <f t="shared" si="141"/>
        <v>45174</v>
      </c>
      <c r="P1336" s="5" t="str">
        <f t="shared" si="142"/>
        <v>Tuesday</v>
      </c>
      <c r="Q1336" s="5">
        <f t="shared" si="143"/>
        <v>15</v>
      </c>
      <c r="R1336" s="28">
        <f t="shared" si="144"/>
        <v>0.92500000000000004</v>
      </c>
      <c r="S1336" s="29">
        <f t="shared" si="145"/>
        <v>92.5</v>
      </c>
      <c r="T1336" s="5" t="str">
        <f>IF(Delivery_Data3[[#This Row],[Delays (min)]]&gt;0,"No","Yes")</f>
        <v>No</v>
      </c>
      <c r="W1336" s="41">
        <f t="shared" si="146"/>
        <v>45174</v>
      </c>
      <c r="X1336" s="5">
        <v>74</v>
      </c>
    </row>
    <row r="1337" spans="1:24" ht="15.75" customHeight="1" x14ac:dyDescent="0.3">
      <c r="A1337" s="4">
        <v>2336</v>
      </c>
      <c r="B1337" s="5" t="s">
        <v>1436</v>
      </c>
      <c r="C1337" s="6">
        <v>45170.602777777778</v>
      </c>
      <c r="D1337" s="5" t="s">
        <v>43</v>
      </c>
      <c r="E1337" s="5" t="s">
        <v>44</v>
      </c>
      <c r="F1337" s="5" t="s">
        <v>24</v>
      </c>
      <c r="G1337" s="5" t="s">
        <v>31</v>
      </c>
      <c r="H1337" s="5">
        <v>122</v>
      </c>
      <c r="I1337" s="5">
        <v>1</v>
      </c>
      <c r="J1337" s="5" t="s">
        <v>26</v>
      </c>
      <c r="K1337" s="5" t="s">
        <v>35</v>
      </c>
      <c r="L1337" s="5" t="s">
        <v>40</v>
      </c>
      <c r="M1337" s="7" t="s">
        <v>21</v>
      </c>
      <c r="N1337" s="26">
        <f t="shared" si="140"/>
        <v>1</v>
      </c>
      <c r="O1337" s="42">
        <f t="shared" si="141"/>
        <v>45170</v>
      </c>
      <c r="P1337" s="5" t="str">
        <f t="shared" si="142"/>
        <v>Friday</v>
      </c>
      <c r="Q1337" s="5">
        <f t="shared" si="143"/>
        <v>14</v>
      </c>
      <c r="R1337" s="28">
        <f t="shared" si="144"/>
        <v>0.99186991869918695</v>
      </c>
      <c r="S1337" s="29">
        <f t="shared" si="145"/>
        <v>99.1869918699187</v>
      </c>
      <c r="T1337" s="5" t="str">
        <f>IF(Delivery_Data3[[#This Row],[Delays (min)]]&gt;0,"No","Yes")</f>
        <v>No</v>
      </c>
      <c r="W1337" s="41">
        <f t="shared" si="146"/>
        <v>45170</v>
      </c>
      <c r="X1337" s="5">
        <v>122</v>
      </c>
    </row>
    <row r="1338" spans="1:24" ht="15.75" customHeight="1" x14ac:dyDescent="0.3">
      <c r="A1338" s="4">
        <v>2337</v>
      </c>
      <c r="B1338" s="5" t="s">
        <v>1437</v>
      </c>
      <c r="C1338" s="6">
        <v>45177.7</v>
      </c>
      <c r="D1338" s="5" t="s">
        <v>14</v>
      </c>
      <c r="E1338" s="5" t="s">
        <v>109</v>
      </c>
      <c r="F1338" s="5" t="s">
        <v>16</v>
      </c>
      <c r="G1338" s="5" t="s">
        <v>56</v>
      </c>
      <c r="H1338" s="5">
        <v>78</v>
      </c>
      <c r="I1338" s="5">
        <v>23</v>
      </c>
      <c r="J1338" s="5" t="s">
        <v>18</v>
      </c>
      <c r="K1338" s="5" t="s">
        <v>27</v>
      </c>
      <c r="L1338" s="5" t="s">
        <v>40</v>
      </c>
      <c r="M1338" s="7" t="s">
        <v>21</v>
      </c>
      <c r="N1338" s="26">
        <f t="shared" si="140"/>
        <v>0</v>
      </c>
      <c r="O1338" s="42">
        <f t="shared" si="141"/>
        <v>45177</v>
      </c>
      <c r="P1338" s="5" t="str">
        <f t="shared" si="142"/>
        <v>Friday</v>
      </c>
      <c r="Q1338" s="5">
        <f t="shared" si="143"/>
        <v>16</v>
      </c>
      <c r="R1338" s="28">
        <f t="shared" si="144"/>
        <v>0.7722772277227723</v>
      </c>
      <c r="S1338" s="29">
        <f t="shared" si="145"/>
        <v>77.227722772277232</v>
      </c>
      <c r="T1338" s="5" t="str">
        <f>IF(Delivery_Data3[[#This Row],[Delays (min)]]&gt;0,"No","Yes")</f>
        <v>No</v>
      </c>
      <c r="W1338" s="41">
        <f t="shared" si="146"/>
        <v>45177</v>
      </c>
      <c r="X1338" s="5">
        <v>78</v>
      </c>
    </row>
    <row r="1339" spans="1:24" ht="15.75" customHeight="1" x14ac:dyDescent="0.3">
      <c r="A1339" s="4">
        <v>2338</v>
      </c>
      <c r="B1339" s="5" t="s">
        <v>1438</v>
      </c>
      <c r="C1339" s="6">
        <v>45171.361805555556</v>
      </c>
      <c r="D1339" s="5" t="s">
        <v>14</v>
      </c>
      <c r="E1339" s="5" t="s">
        <v>48</v>
      </c>
      <c r="F1339" s="5" t="s">
        <v>16</v>
      </c>
      <c r="G1339" s="5" t="s">
        <v>39</v>
      </c>
      <c r="H1339" s="5">
        <v>218</v>
      </c>
      <c r="I1339" s="5">
        <v>4</v>
      </c>
      <c r="J1339" s="5" t="s">
        <v>18</v>
      </c>
      <c r="K1339" s="5" t="s">
        <v>19</v>
      </c>
      <c r="L1339" s="5" t="s">
        <v>20</v>
      </c>
      <c r="M1339" s="7" t="s">
        <v>21</v>
      </c>
      <c r="N1339" s="26">
        <f t="shared" si="140"/>
        <v>0</v>
      </c>
      <c r="O1339" s="42">
        <f t="shared" si="141"/>
        <v>45171</v>
      </c>
      <c r="P1339" s="5" t="str">
        <f t="shared" si="142"/>
        <v>Saturday</v>
      </c>
      <c r="Q1339" s="5">
        <f t="shared" si="143"/>
        <v>8</v>
      </c>
      <c r="R1339" s="28">
        <f t="shared" si="144"/>
        <v>0.98198198198198194</v>
      </c>
      <c r="S1339" s="29">
        <f t="shared" si="145"/>
        <v>98.198198198198199</v>
      </c>
      <c r="T1339" s="5" t="str">
        <f>IF(Delivery_Data3[[#This Row],[Delays (min)]]&gt;0,"No","Yes")</f>
        <v>No</v>
      </c>
      <c r="W1339" s="41">
        <f t="shared" si="146"/>
        <v>45171</v>
      </c>
      <c r="X1339" s="5">
        <v>218</v>
      </c>
    </row>
    <row r="1340" spans="1:24" ht="15.75" customHeight="1" x14ac:dyDescent="0.3">
      <c r="A1340" s="4">
        <v>2339</v>
      </c>
      <c r="B1340" s="5" t="s">
        <v>1439</v>
      </c>
      <c r="C1340" s="6">
        <v>45172.6875</v>
      </c>
      <c r="D1340" s="5" t="s">
        <v>43</v>
      </c>
      <c r="E1340" s="5" t="s">
        <v>374</v>
      </c>
      <c r="F1340" s="5" t="s">
        <v>16</v>
      </c>
      <c r="G1340" s="5" t="s">
        <v>25</v>
      </c>
      <c r="H1340" s="5">
        <v>145</v>
      </c>
      <c r="I1340" s="5">
        <v>19</v>
      </c>
      <c r="J1340" s="5" t="s">
        <v>32</v>
      </c>
      <c r="K1340" s="5" t="s">
        <v>19</v>
      </c>
      <c r="L1340" s="5" t="s">
        <v>28</v>
      </c>
      <c r="M1340" s="7" t="s">
        <v>41</v>
      </c>
      <c r="N1340" s="26">
        <f t="shared" si="140"/>
        <v>-1</v>
      </c>
      <c r="O1340" s="42">
        <f t="shared" si="141"/>
        <v>45172</v>
      </c>
      <c r="P1340" s="5" t="str">
        <f t="shared" si="142"/>
        <v>Sunday</v>
      </c>
      <c r="Q1340" s="5">
        <f t="shared" si="143"/>
        <v>16</v>
      </c>
      <c r="R1340" s="28">
        <f t="shared" si="144"/>
        <v>0.88414634146341464</v>
      </c>
      <c r="S1340" s="29">
        <f t="shared" si="145"/>
        <v>88.41463414634147</v>
      </c>
      <c r="T1340" s="5" t="str">
        <f>IF(Delivery_Data3[[#This Row],[Delays (min)]]&gt;0,"No","Yes")</f>
        <v>No</v>
      </c>
      <c r="W1340" s="41">
        <f t="shared" si="146"/>
        <v>45172</v>
      </c>
      <c r="X1340" s="5">
        <v>145</v>
      </c>
    </row>
    <row r="1341" spans="1:24" ht="15.75" customHeight="1" x14ac:dyDescent="0.3">
      <c r="A1341" s="4">
        <v>2340</v>
      </c>
      <c r="B1341" s="5" t="s">
        <v>1440</v>
      </c>
      <c r="C1341" s="6">
        <v>45170.62222222222</v>
      </c>
      <c r="D1341" s="5" t="s">
        <v>14</v>
      </c>
      <c r="E1341" s="5" t="s">
        <v>128</v>
      </c>
      <c r="F1341" s="5" t="s">
        <v>16</v>
      </c>
      <c r="G1341" s="5" t="s">
        <v>39</v>
      </c>
      <c r="H1341" s="5">
        <v>191</v>
      </c>
      <c r="I1341" s="5">
        <v>18</v>
      </c>
      <c r="J1341" s="5" t="s">
        <v>26</v>
      </c>
      <c r="K1341" s="5" t="s">
        <v>45</v>
      </c>
      <c r="L1341" s="5" t="s">
        <v>40</v>
      </c>
      <c r="M1341" s="7" t="s">
        <v>21</v>
      </c>
      <c r="N1341" s="26">
        <f t="shared" si="140"/>
        <v>1</v>
      </c>
      <c r="O1341" s="42">
        <f t="shared" si="141"/>
        <v>45170</v>
      </c>
      <c r="P1341" s="5" t="str">
        <f t="shared" si="142"/>
        <v>Friday</v>
      </c>
      <c r="Q1341" s="5">
        <f t="shared" si="143"/>
        <v>14</v>
      </c>
      <c r="R1341" s="28">
        <f t="shared" si="144"/>
        <v>0.9138755980861244</v>
      </c>
      <c r="S1341" s="29">
        <f t="shared" si="145"/>
        <v>91.387559808612437</v>
      </c>
      <c r="T1341" s="5" t="str">
        <f>IF(Delivery_Data3[[#This Row],[Delays (min)]]&gt;0,"No","Yes")</f>
        <v>No</v>
      </c>
      <c r="W1341" s="41">
        <f t="shared" si="146"/>
        <v>45170</v>
      </c>
      <c r="X1341" s="5">
        <v>191</v>
      </c>
    </row>
    <row r="1342" spans="1:24" ht="15.75" customHeight="1" x14ac:dyDescent="0.3">
      <c r="A1342" s="4">
        <v>2341</v>
      </c>
      <c r="B1342" s="5" t="s">
        <v>1441</v>
      </c>
      <c r="C1342" s="6">
        <v>45173.338194444441</v>
      </c>
      <c r="D1342" s="5" t="s">
        <v>43</v>
      </c>
      <c r="E1342" s="5" t="s">
        <v>197</v>
      </c>
      <c r="F1342" s="5" t="s">
        <v>16</v>
      </c>
      <c r="G1342" s="5" t="s">
        <v>56</v>
      </c>
      <c r="H1342" s="5">
        <v>150</v>
      </c>
      <c r="I1342" s="5">
        <v>9</v>
      </c>
      <c r="J1342" s="5" t="s">
        <v>18</v>
      </c>
      <c r="K1342" s="5" t="s">
        <v>35</v>
      </c>
      <c r="L1342" s="5" t="s">
        <v>20</v>
      </c>
      <c r="M1342" s="7" t="s">
        <v>46</v>
      </c>
      <c r="N1342" s="26">
        <f t="shared" si="140"/>
        <v>0</v>
      </c>
      <c r="O1342" s="42">
        <f t="shared" si="141"/>
        <v>45173</v>
      </c>
      <c r="P1342" s="5" t="str">
        <f t="shared" si="142"/>
        <v>Monday</v>
      </c>
      <c r="Q1342" s="5">
        <f t="shared" si="143"/>
        <v>8</v>
      </c>
      <c r="R1342" s="28">
        <f t="shared" si="144"/>
        <v>0.94339622641509435</v>
      </c>
      <c r="S1342" s="29">
        <f t="shared" si="145"/>
        <v>94.339622641509436</v>
      </c>
      <c r="T1342" s="5" t="str">
        <f>IF(Delivery_Data3[[#This Row],[Delays (min)]]&gt;0,"No","Yes")</f>
        <v>No</v>
      </c>
      <c r="W1342" s="41">
        <f t="shared" si="146"/>
        <v>45173</v>
      </c>
      <c r="X1342" s="5">
        <v>150</v>
      </c>
    </row>
    <row r="1343" spans="1:24" ht="15.75" customHeight="1" x14ac:dyDescent="0.3">
      <c r="A1343" s="4">
        <v>2342</v>
      </c>
      <c r="B1343" s="5" t="s">
        <v>1442</v>
      </c>
      <c r="C1343" s="6">
        <v>45171.599305555559</v>
      </c>
      <c r="D1343" s="5" t="s">
        <v>43</v>
      </c>
      <c r="E1343" s="5" t="s">
        <v>160</v>
      </c>
      <c r="F1343" s="5" t="s">
        <v>38</v>
      </c>
      <c r="G1343" s="5" t="s">
        <v>39</v>
      </c>
      <c r="H1343" s="5">
        <v>148</v>
      </c>
      <c r="I1343" s="5">
        <v>17</v>
      </c>
      <c r="J1343" s="5" t="s">
        <v>32</v>
      </c>
      <c r="K1343" s="5" t="s">
        <v>35</v>
      </c>
      <c r="L1343" s="5" t="s">
        <v>20</v>
      </c>
      <c r="M1343" s="7" t="s">
        <v>21</v>
      </c>
      <c r="N1343" s="26">
        <f t="shared" si="140"/>
        <v>-1</v>
      </c>
      <c r="O1343" s="42">
        <f t="shared" si="141"/>
        <v>45171</v>
      </c>
      <c r="P1343" s="5" t="str">
        <f t="shared" si="142"/>
        <v>Saturday</v>
      </c>
      <c r="Q1343" s="5">
        <f t="shared" si="143"/>
        <v>14</v>
      </c>
      <c r="R1343" s="28">
        <f t="shared" si="144"/>
        <v>0.89696969696969697</v>
      </c>
      <c r="S1343" s="29">
        <f t="shared" si="145"/>
        <v>89.696969696969703</v>
      </c>
      <c r="T1343" s="5" t="str">
        <f>IF(Delivery_Data3[[#This Row],[Delays (min)]]&gt;0,"No","Yes")</f>
        <v>No</v>
      </c>
      <c r="W1343" s="41">
        <f t="shared" si="146"/>
        <v>45171</v>
      </c>
      <c r="X1343" s="5">
        <v>148</v>
      </c>
    </row>
    <row r="1344" spans="1:24" ht="15.75" customHeight="1" x14ac:dyDescent="0.3">
      <c r="A1344" s="4">
        <v>2343</v>
      </c>
      <c r="B1344" s="5" t="s">
        <v>1443</v>
      </c>
      <c r="C1344" s="6">
        <v>45174.343055555553</v>
      </c>
      <c r="D1344" s="5" t="s">
        <v>43</v>
      </c>
      <c r="E1344" s="5" t="s">
        <v>140</v>
      </c>
      <c r="F1344" s="5" t="s">
        <v>24</v>
      </c>
      <c r="G1344" s="5" t="s">
        <v>31</v>
      </c>
      <c r="H1344" s="5">
        <v>125</v>
      </c>
      <c r="I1344" s="5">
        <v>22</v>
      </c>
      <c r="J1344" s="5" t="s">
        <v>26</v>
      </c>
      <c r="K1344" s="5" t="s">
        <v>27</v>
      </c>
      <c r="L1344" s="5" t="s">
        <v>40</v>
      </c>
      <c r="M1344" s="7" t="s">
        <v>21</v>
      </c>
      <c r="N1344" s="26">
        <f t="shared" si="140"/>
        <v>1</v>
      </c>
      <c r="O1344" s="42">
        <f t="shared" si="141"/>
        <v>45174</v>
      </c>
      <c r="P1344" s="5" t="str">
        <f t="shared" si="142"/>
        <v>Tuesday</v>
      </c>
      <c r="Q1344" s="5">
        <f t="shared" si="143"/>
        <v>8</v>
      </c>
      <c r="R1344" s="28">
        <f t="shared" si="144"/>
        <v>0.85034013605442171</v>
      </c>
      <c r="S1344" s="29">
        <f t="shared" si="145"/>
        <v>85.034013605442169</v>
      </c>
      <c r="T1344" s="5" t="str">
        <f>IF(Delivery_Data3[[#This Row],[Delays (min)]]&gt;0,"No","Yes")</f>
        <v>No</v>
      </c>
      <c r="W1344" s="41">
        <f t="shared" si="146"/>
        <v>45174</v>
      </c>
      <c r="X1344" s="5">
        <v>125</v>
      </c>
    </row>
    <row r="1345" spans="1:24" ht="15.75" customHeight="1" x14ac:dyDescent="0.3">
      <c r="A1345" s="4">
        <v>2344</v>
      </c>
      <c r="B1345" s="5" t="s">
        <v>1444</v>
      </c>
      <c r="C1345" s="6">
        <v>45174.513194444444</v>
      </c>
      <c r="D1345" s="5" t="s">
        <v>14</v>
      </c>
      <c r="E1345" s="5" t="s">
        <v>115</v>
      </c>
      <c r="F1345" s="5" t="s">
        <v>24</v>
      </c>
      <c r="G1345" s="5" t="s">
        <v>39</v>
      </c>
      <c r="H1345" s="5">
        <v>144</v>
      </c>
      <c r="I1345" s="5">
        <v>7</v>
      </c>
      <c r="J1345" s="5" t="s">
        <v>18</v>
      </c>
      <c r="K1345" s="5" t="s">
        <v>45</v>
      </c>
      <c r="L1345" s="5" t="s">
        <v>28</v>
      </c>
      <c r="M1345" s="7" t="s">
        <v>46</v>
      </c>
      <c r="N1345" s="26">
        <f t="shared" si="140"/>
        <v>0</v>
      </c>
      <c r="O1345" s="42">
        <f t="shared" si="141"/>
        <v>45174</v>
      </c>
      <c r="P1345" s="5" t="str">
        <f t="shared" si="142"/>
        <v>Tuesday</v>
      </c>
      <c r="Q1345" s="5">
        <f t="shared" si="143"/>
        <v>12</v>
      </c>
      <c r="R1345" s="28">
        <f t="shared" si="144"/>
        <v>0.95364238410596025</v>
      </c>
      <c r="S1345" s="29">
        <f t="shared" si="145"/>
        <v>95.36423841059603</v>
      </c>
      <c r="T1345" s="5" t="str">
        <f>IF(Delivery_Data3[[#This Row],[Delays (min)]]&gt;0,"No","Yes")</f>
        <v>No</v>
      </c>
      <c r="W1345" s="41">
        <f t="shared" si="146"/>
        <v>45174</v>
      </c>
      <c r="X1345" s="5">
        <v>144</v>
      </c>
    </row>
    <row r="1346" spans="1:24" ht="15.75" customHeight="1" x14ac:dyDescent="0.3">
      <c r="A1346" s="4">
        <v>2345</v>
      </c>
      <c r="B1346" s="5" t="s">
        <v>1445</v>
      </c>
      <c r="C1346" s="6">
        <v>45170.443055555559</v>
      </c>
      <c r="D1346" s="5" t="s">
        <v>14</v>
      </c>
      <c r="E1346" s="5" t="s">
        <v>166</v>
      </c>
      <c r="F1346" s="5" t="s">
        <v>38</v>
      </c>
      <c r="G1346" s="5" t="s">
        <v>25</v>
      </c>
      <c r="H1346" s="5">
        <v>229</v>
      </c>
      <c r="I1346" s="5">
        <v>9</v>
      </c>
      <c r="J1346" s="5" t="s">
        <v>18</v>
      </c>
      <c r="K1346" s="5" t="s">
        <v>45</v>
      </c>
      <c r="L1346" s="5" t="s">
        <v>20</v>
      </c>
      <c r="M1346" s="7" t="s">
        <v>46</v>
      </c>
      <c r="N1346" s="26">
        <f t="shared" ref="N1346:N1409" si="147">IF(J1346="Positive",1,IF(J1346="Neutral",0,IF(J1346="Negative",-1,"")))</f>
        <v>0</v>
      </c>
      <c r="O1346" s="42">
        <f t="shared" ref="O1346:O1409" si="148">INT(C1346)</f>
        <v>45170</v>
      </c>
      <c r="P1346" s="5" t="str">
        <f t="shared" ref="P1346:P1409" si="149">TEXT(C1346,"dddd")</f>
        <v>Friday</v>
      </c>
      <c r="Q1346" s="5">
        <f t="shared" ref="Q1346:Q1409" si="150">HOUR(C1346)</f>
        <v>10</v>
      </c>
      <c r="R1346" s="28">
        <f t="shared" ref="R1346:R1409" si="151">H1346/(H1346+I1346)</f>
        <v>0.96218487394957986</v>
      </c>
      <c r="S1346" s="29">
        <f t="shared" si="145"/>
        <v>96.21848739495799</v>
      </c>
      <c r="T1346" s="5" t="str">
        <f>IF(Delivery_Data3[[#This Row],[Delays (min)]]&gt;0,"No","Yes")</f>
        <v>No</v>
      </c>
      <c r="W1346" s="41">
        <f t="shared" si="146"/>
        <v>45170</v>
      </c>
      <c r="X1346" s="5">
        <v>229</v>
      </c>
    </row>
    <row r="1347" spans="1:24" ht="15.75" customHeight="1" x14ac:dyDescent="0.3">
      <c r="A1347" s="4">
        <v>2346</v>
      </c>
      <c r="B1347" s="5" t="s">
        <v>1446</v>
      </c>
      <c r="C1347" s="6">
        <v>45174.604166666664</v>
      </c>
      <c r="D1347" s="5" t="s">
        <v>43</v>
      </c>
      <c r="E1347" s="5" t="s">
        <v>261</v>
      </c>
      <c r="F1347" s="5" t="s">
        <v>38</v>
      </c>
      <c r="G1347" s="5" t="s">
        <v>56</v>
      </c>
      <c r="H1347" s="5">
        <v>133</v>
      </c>
      <c r="I1347" s="5">
        <v>22</v>
      </c>
      <c r="J1347" s="5" t="s">
        <v>26</v>
      </c>
      <c r="K1347" s="5" t="s">
        <v>49</v>
      </c>
      <c r="L1347" s="5" t="s">
        <v>40</v>
      </c>
      <c r="M1347" s="7" t="s">
        <v>21</v>
      </c>
      <c r="N1347" s="26">
        <f t="shared" si="147"/>
        <v>1</v>
      </c>
      <c r="O1347" s="42">
        <f t="shared" si="148"/>
        <v>45174</v>
      </c>
      <c r="P1347" s="5" t="str">
        <f t="shared" si="149"/>
        <v>Tuesday</v>
      </c>
      <c r="Q1347" s="5">
        <f t="shared" si="150"/>
        <v>14</v>
      </c>
      <c r="R1347" s="28">
        <f t="shared" si="151"/>
        <v>0.85806451612903223</v>
      </c>
      <c r="S1347" s="29">
        <f t="shared" ref="S1347:S1410" si="152">IF(H1347+I1347=0,0,(H1347/(H1347+I1347))*100) + (IFERROR(--J1347,0)*10)</f>
        <v>85.806451612903217</v>
      </c>
      <c r="T1347" s="5" t="str">
        <f>IF(Delivery_Data3[[#This Row],[Delays (min)]]&gt;0,"No","Yes")</f>
        <v>No</v>
      </c>
      <c r="W1347" s="41">
        <f t="shared" ref="W1347:W1410" si="153">INT(C1347)</f>
        <v>45174</v>
      </c>
      <c r="X1347" s="5">
        <v>133</v>
      </c>
    </row>
    <row r="1348" spans="1:24" ht="15.75" customHeight="1" x14ac:dyDescent="0.3">
      <c r="A1348" s="4">
        <v>2347</v>
      </c>
      <c r="B1348" s="5" t="s">
        <v>1447</v>
      </c>
      <c r="C1348" s="6">
        <v>45176.560416666667</v>
      </c>
      <c r="D1348" s="5" t="s">
        <v>14</v>
      </c>
      <c r="E1348" s="5" t="s">
        <v>62</v>
      </c>
      <c r="F1348" s="5" t="s">
        <v>24</v>
      </c>
      <c r="G1348" s="5" t="s">
        <v>39</v>
      </c>
      <c r="H1348" s="5">
        <v>102</v>
      </c>
      <c r="I1348" s="5">
        <v>23</v>
      </c>
      <c r="J1348" s="5" t="s">
        <v>26</v>
      </c>
      <c r="K1348" s="5" t="s">
        <v>45</v>
      </c>
      <c r="L1348" s="5" t="s">
        <v>28</v>
      </c>
      <c r="M1348" s="7" t="s">
        <v>46</v>
      </c>
      <c r="N1348" s="26">
        <f t="shared" si="147"/>
        <v>1</v>
      </c>
      <c r="O1348" s="42">
        <f t="shared" si="148"/>
        <v>45176</v>
      </c>
      <c r="P1348" s="5" t="str">
        <f t="shared" si="149"/>
        <v>Thursday</v>
      </c>
      <c r="Q1348" s="5">
        <f t="shared" si="150"/>
        <v>13</v>
      </c>
      <c r="R1348" s="28">
        <f t="shared" si="151"/>
        <v>0.81599999999999995</v>
      </c>
      <c r="S1348" s="29">
        <f t="shared" si="152"/>
        <v>81.599999999999994</v>
      </c>
      <c r="T1348" s="5" t="str">
        <f>IF(Delivery_Data3[[#This Row],[Delays (min)]]&gt;0,"No","Yes")</f>
        <v>No</v>
      </c>
      <c r="W1348" s="41">
        <f t="shared" si="153"/>
        <v>45176</v>
      </c>
      <c r="X1348" s="5">
        <v>102</v>
      </c>
    </row>
    <row r="1349" spans="1:24" ht="15.75" customHeight="1" x14ac:dyDescent="0.3">
      <c r="A1349" s="4">
        <v>2348</v>
      </c>
      <c r="B1349" s="5" t="s">
        <v>1448</v>
      </c>
      <c r="C1349" s="6">
        <v>45174.548611111109</v>
      </c>
      <c r="D1349" s="5" t="s">
        <v>43</v>
      </c>
      <c r="E1349" s="5" t="s">
        <v>234</v>
      </c>
      <c r="F1349" s="5" t="s">
        <v>16</v>
      </c>
      <c r="G1349" s="5" t="s">
        <v>56</v>
      </c>
      <c r="H1349" s="5">
        <v>161</v>
      </c>
      <c r="I1349" s="5">
        <v>25</v>
      </c>
      <c r="J1349" s="5" t="s">
        <v>26</v>
      </c>
      <c r="K1349" s="5" t="s">
        <v>45</v>
      </c>
      <c r="L1349" s="5" t="s">
        <v>40</v>
      </c>
      <c r="M1349" s="7" t="s">
        <v>46</v>
      </c>
      <c r="N1349" s="26">
        <f t="shared" si="147"/>
        <v>1</v>
      </c>
      <c r="O1349" s="42">
        <f t="shared" si="148"/>
        <v>45174</v>
      </c>
      <c r="P1349" s="5" t="str">
        <f t="shared" si="149"/>
        <v>Tuesday</v>
      </c>
      <c r="Q1349" s="5">
        <f t="shared" si="150"/>
        <v>13</v>
      </c>
      <c r="R1349" s="28">
        <f t="shared" si="151"/>
        <v>0.86559139784946237</v>
      </c>
      <c r="S1349" s="29">
        <f t="shared" si="152"/>
        <v>86.55913978494624</v>
      </c>
      <c r="T1349" s="5" t="str">
        <f>IF(Delivery_Data3[[#This Row],[Delays (min)]]&gt;0,"No","Yes")</f>
        <v>No</v>
      </c>
      <c r="W1349" s="41">
        <f t="shared" si="153"/>
        <v>45174</v>
      </c>
      <c r="X1349" s="5">
        <v>161</v>
      </c>
    </row>
    <row r="1350" spans="1:24" ht="15.75" customHeight="1" x14ac:dyDescent="0.3">
      <c r="A1350" s="4">
        <v>2349</v>
      </c>
      <c r="B1350" s="5" t="s">
        <v>1449</v>
      </c>
      <c r="C1350" s="6">
        <v>45172.35</v>
      </c>
      <c r="D1350" s="5" t="s">
        <v>14</v>
      </c>
      <c r="E1350" s="5" t="s">
        <v>60</v>
      </c>
      <c r="F1350" s="5" t="s">
        <v>16</v>
      </c>
      <c r="G1350" s="5" t="s">
        <v>25</v>
      </c>
      <c r="H1350" s="5">
        <v>61</v>
      </c>
      <c r="I1350" s="5">
        <v>27</v>
      </c>
      <c r="J1350" s="5" t="s">
        <v>26</v>
      </c>
      <c r="K1350" s="5" t="s">
        <v>45</v>
      </c>
      <c r="L1350" s="5" t="s">
        <v>20</v>
      </c>
      <c r="M1350" s="7" t="s">
        <v>41</v>
      </c>
      <c r="N1350" s="26">
        <f t="shared" si="147"/>
        <v>1</v>
      </c>
      <c r="O1350" s="42">
        <f t="shared" si="148"/>
        <v>45172</v>
      </c>
      <c r="P1350" s="5" t="str">
        <f t="shared" si="149"/>
        <v>Sunday</v>
      </c>
      <c r="Q1350" s="5">
        <f t="shared" si="150"/>
        <v>8</v>
      </c>
      <c r="R1350" s="28">
        <f t="shared" si="151"/>
        <v>0.69318181818181823</v>
      </c>
      <c r="S1350" s="29">
        <f t="shared" si="152"/>
        <v>69.318181818181827</v>
      </c>
      <c r="T1350" s="5" t="str">
        <f>IF(Delivery_Data3[[#This Row],[Delays (min)]]&gt;0,"No","Yes")</f>
        <v>No</v>
      </c>
      <c r="W1350" s="41">
        <f t="shared" si="153"/>
        <v>45172</v>
      </c>
      <c r="X1350" s="5">
        <v>61</v>
      </c>
    </row>
    <row r="1351" spans="1:24" ht="15.75" customHeight="1" x14ac:dyDescent="0.3">
      <c r="A1351" s="4">
        <v>2350</v>
      </c>
      <c r="B1351" s="5" t="s">
        <v>1450</v>
      </c>
      <c r="C1351" s="6">
        <v>45175.421527777777</v>
      </c>
      <c r="D1351" s="5" t="s">
        <v>43</v>
      </c>
      <c r="E1351" s="5" t="s">
        <v>95</v>
      </c>
      <c r="F1351" s="5" t="s">
        <v>24</v>
      </c>
      <c r="G1351" s="5" t="s">
        <v>56</v>
      </c>
      <c r="H1351" s="5">
        <v>107</v>
      </c>
      <c r="I1351" s="5">
        <v>15</v>
      </c>
      <c r="J1351" s="5" t="s">
        <v>18</v>
      </c>
      <c r="K1351" s="5" t="s">
        <v>45</v>
      </c>
      <c r="L1351" s="5" t="s">
        <v>28</v>
      </c>
      <c r="M1351" s="7" t="s">
        <v>46</v>
      </c>
      <c r="N1351" s="26">
        <f t="shared" si="147"/>
        <v>0</v>
      </c>
      <c r="O1351" s="42">
        <f t="shared" si="148"/>
        <v>45175</v>
      </c>
      <c r="P1351" s="5" t="str">
        <f t="shared" si="149"/>
        <v>Wednesday</v>
      </c>
      <c r="Q1351" s="5">
        <f t="shared" si="150"/>
        <v>10</v>
      </c>
      <c r="R1351" s="28">
        <f t="shared" si="151"/>
        <v>0.87704918032786883</v>
      </c>
      <c r="S1351" s="29">
        <f t="shared" si="152"/>
        <v>87.704918032786878</v>
      </c>
      <c r="T1351" s="5" t="str">
        <f>IF(Delivery_Data3[[#This Row],[Delays (min)]]&gt;0,"No","Yes")</f>
        <v>No</v>
      </c>
      <c r="W1351" s="41">
        <f t="shared" si="153"/>
        <v>45175</v>
      </c>
      <c r="X1351" s="5">
        <v>107</v>
      </c>
    </row>
    <row r="1352" spans="1:24" ht="15.75" customHeight="1" x14ac:dyDescent="0.3">
      <c r="A1352" s="4">
        <v>2351</v>
      </c>
      <c r="B1352" s="5" t="s">
        <v>1451</v>
      </c>
      <c r="C1352" s="6">
        <v>45176.568749999999</v>
      </c>
      <c r="D1352" s="5" t="s">
        <v>14</v>
      </c>
      <c r="E1352" s="5" t="s">
        <v>220</v>
      </c>
      <c r="F1352" s="5" t="s">
        <v>24</v>
      </c>
      <c r="G1352" s="5" t="s">
        <v>31</v>
      </c>
      <c r="H1352" s="5">
        <v>207</v>
      </c>
      <c r="I1352" s="5">
        <v>28</v>
      </c>
      <c r="J1352" s="5" t="s">
        <v>18</v>
      </c>
      <c r="K1352" s="5" t="s">
        <v>49</v>
      </c>
      <c r="L1352" s="5" t="s">
        <v>40</v>
      </c>
      <c r="M1352" s="7" t="s">
        <v>21</v>
      </c>
      <c r="N1352" s="26">
        <f t="shared" si="147"/>
        <v>0</v>
      </c>
      <c r="O1352" s="42">
        <f t="shared" si="148"/>
        <v>45176</v>
      </c>
      <c r="P1352" s="5" t="str">
        <f t="shared" si="149"/>
        <v>Thursday</v>
      </c>
      <c r="Q1352" s="5">
        <f t="shared" si="150"/>
        <v>13</v>
      </c>
      <c r="R1352" s="28">
        <f t="shared" si="151"/>
        <v>0.88085106382978728</v>
      </c>
      <c r="S1352" s="29">
        <f t="shared" si="152"/>
        <v>88.085106382978722</v>
      </c>
      <c r="T1352" s="5" t="str">
        <f>IF(Delivery_Data3[[#This Row],[Delays (min)]]&gt;0,"No","Yes")</f>
        <v>No</v>
      </c>
      <c r="W1352" s="41">
        <f t="shared" si="153"/>
        <v>45176</v>
      </c>
      <c r="X1352" s="5">
        <v>207</v>
      </c>
    </row>
    <row r="1353" spans="1:24" ht="15.75" customHeight="1" x14ac:dyDescent="0.3">
      <c r="A1353" s="4">
        <v>2352</v>
      </c>
      <c r="B1353" s="5" t="s">
        <v>1452</v>
      </c>
      <c r="C1353" s="6">
        <v>45175.630555555559</v>
      </c>
      <c r="D1353" s="5" t="s">
        <v>43</v>
      </c>
      <c r="E1353" s="5" t="s">
        <v>200</v>
      </c>
      <c r="F1353" s="5" t="s">
        <v>16</v>
      </c>
      <c r="G1353" s="5" t="s">
        <v>17</v>
      </c>
      <c r="H1353" s="5">
        <v>65</v>
      </c>
      <c r="I1353" s="5">
        <v>13</v>
      </c>
      <c r="J1353" s="5" t="s">
        <v>18</v>
      </c>
      <c r="K1353" s="5" t="s">
        <v>19</v>
      </c>
      <c r="L1353" s="5" t="s">
        <v>40</v>
      </c>
      <c r="M1353" s="7" t="s">
        <v>41</v>
      </c>
      <c r="N1353" s="26">
        <f t="shared" si="147"/>
        <v>0</v>
      </c>
      <c r="O1353" s="42">
        <f t="shared" si="148"/>
        <v>45175</v>
      </c>
      <c r="P1353" s="5" t="str">
        <f t="shared" si="149"/>
        <v>Wednesday</v>
      </c>
      <c r="Q1353" s="5">
        <f t="shared" si="150"/>
        <v>15</v>
      </c>
      <c r="R1353" s="28">
        <f t="shared" si="151"/>
        <v>0.83333333333333337</v>
      </c>
      <c r="S1353" s="29">
        <f t="shared" si="152"/>
        <v>83.333333333333343</v>
      </c>
      <c r="T1353" s="5" t="str">
        <f>IF(Delivery_Data3[[#This Row],[Delays (min)]]&gt;0,"No","Yes")</f>
        <v>No</v>
      </c>
      <c r="W1353" s="41">
        <f t="shared" si="153"/>
        <v>45175</v>
      </c>
      <c r="X1353" s="5">
        <v>65</v>
      </c>
    </row>
    <row r="1354" spans="1:24" ht="15.75" customHeight="1" x14ac:dyDescent="0.3">
      <c r="A1354" s="4">
        <v>2353</v>
      </c>
      <c r="B1354" s="5" t="s">
        <v>1453</v>
      </c>
      <c r="C1354" s="6">
        <v>45172.617361111108</v>
      </c>
      <c r="D1354" s="5" t="s">
        <v>43</v>
      </c>
      <c r="E1354" s="5" t="s">
        <v>154</v>
      </c>
      <c r="F1354" s="5" t="s">
        <v>16</v>
      </c>
      <c r="G1354" s="5" t="s">
        <v>39</v>
      </c>
      <c r="H1354" s="5">
        <v>162</v>
      </c>
      <c r="I1354" s="5">
        <v>2</v>
      </c>
      <c r="J1354" s="5" t="s">
        <v>32</v>
      </c>
      <c r="K1354" s="5" t="s">
        <v>19</v>
      </c>
      <c r="L1354" s="5" t="s">
        <v>40</v>
      </c>
      <c r="M1354" s="7" t="s">
        <v>46</v>
      </c>
      <c r="N1354" s="26">
        <f t="shared" si="147"/>
        <v>-1</v>
      </c>
      <c r="O1354" s="42">
        <f t="shared" si="148"/>
        <v>45172</v>
      </c>
      <c r="P1354" s="5" t="str">
        <f t="shared" si="149"/>
        <v>Sunday</v>
      </c>
      <c r="Q1354" s="5">
        <f t="shared" si="150"/>
        <v>14</v>
      </c>
      <c r="R1354" s="28">
        <f t="shared" si="151"/>
        <v>0.98780487804878048</v>
      </c>
      <c r="S1354" s="29">
        <f t="shared" si="152"/>
        <v>98.780487804878049</v>
      </c>
      <c r="T1354" s="5" t="str">
        <f>IF(Delivery_Data3[[#This Row],[Delays (min)]]&gt;0,"No","Yes")</f>
        <v>No</v>
      </c>
      <c r="W1354" s="41">
        <f t="shared" si="153"/>
        <v>45172</v>
      </c>
      <c r="X1354" s="5">
        <v>162</v>
      </c>
    </row>
    <row r="1355" spans="1:24" ht="15.75" customHeight="1" x14ac:dyDescent="0.3">
      <c r="A1355" s="4">
        <v>2354</v>
      </c>
      <c r="B1355" s="5" t="s">
        <v>1454</v>
      </c>
      <c r="C1355" s="6">
        <v>45172.45416666667</v>
      </c>
      <c r="D1355" s="5" t="s">
        <v>14</v>
      </c>
      <c r="E1355" s="5" t="s">
        <v>126</v>
      </c>
      <c r="F1355" s="5" t="s">
        <v>16</v>
      </c>
      <c r="G1355" s="5" t="s">
        <v>31</v>
      </c>
      <c r="H1355" s="5">
        <v>99</v>
      </c>
      <c r="I1355" s="5">
        <v>7</v>
      </c>
      <c r="J1355" s="5" t="s">
        <v>32</v>
      </c>
      <c r="K1355" s="5" t="s">
        <v>19</v>
      </c>
      <c r="L1355" s="5" t="s">
        <v>20</v>
      </c>
      <c r="M1355" s="7" t="s">
        <v>41</v>
      </c>
      <c r="N1355" s="26">
        <f t="shared" si="147"/>
        <v>-1</v>
      </c>
      <c r="O1355" s="42">
        <f t="shared" si="148"/>
        <v>45172</v>
      </c>
      <c r="P1355" s="5" t="str">
        <f t="shared" si="149"/>
        <v>Sunday</v>
      </c>
      <c r="Q1355" s="5">
        <f t="shared" si="150"/>
        <v>10</v>
      </c>
      <c r="R1355" s="28">
        <f t="shared" si="151"/>
        <v>0.93396226415094341</v>
      </c>
      <c r="S1355" s="29">
        <f t="shared" si="152"/>
        <v>93.396226415094347</v>
      </c>
      <c r="T1355" s="5" t="str">
        <f>IF(Delivery_Data3[[#This Row],[Delays (min)]]&gt;0,"No","Yes")</f>
        <v>No</v>
      </c>
      <c r="W1355" s="41">
        <f t="shared" si="153"/>
        <v>45172</v>
      </c>
      <c r="X1355" s="5">
        <v>99</v>
      </c>
    </row>
    <row r="1356" spans="1:24" ht="15.75" customHeight="1" x14ac:dyDescent="0.3">
      <c r="A1356" s="4">
        <v>2355</v>
      </c>
      <c r="B1356" s="5" t="s">
        <v>1455</v>
      </c>
      <c r="C1356" s="6">
        <v>45170.401388888888</v>
      </c>
      <c r="D1356" s="5" t="s">
        <v>43</v>
      </c>
      <c r="E1356" s="5" t="s">
        <v>34</v>
      </c>
      <c r="F1356" s="5" t="s">
        <v>38</v>
      </c>
      <c r="G1356" s="5" t="s">
        <v>25</v>
      </c>
      <c r="H1356" s="5">
        <v>141</v>
      </c>
      <c r="I1356" s="5">
        <v>2</v>
      </c>
      <c r="J1356" s="5" t="s">
        <v>18</v>
      </c>
      <c r="K1356" s="5" t="s">
        <v>45</v>
      </c>
      <c r="L1356" s="5" t="s">
        <v>20</v>
      </c>
      <c r="M1356" s="7" t="s">
        <v>21</v>
      </c>
      <c r="N1356" s="26">
        <f t="shared" si="147"/>
        <v>0</v>
      </c>
      <c r="O1356" s="42">
        <f t="shared" si="148"/>
        <v>45170</v>
      </c>
      <c r="P1356" s="5" t="str">
        <f t="shared" si="149"/>
        <v>Friday</v>
      </c>
      <c r="Q1356" s="5">
        <f t="shared" si="150"/>
        <v>9</v>
      </c>
      <c r="R1356" s="28">
        <f t="shared" si="151"/>
        <v>0.98601398601398604</v>
      </c>
      <c r="S1356" s="29">
        <f t="shared" si="152"/>
        <v>98.6013986013986</v>
      </c>
      <c r="T1356" s="5" t="str">
        <f>IF(Delivery_Data3[[#This Row],[Delays (min)]]&gt;0,"No","Yes")</f>
        <v>No</v>
      </c>
      <c r="W1356" s="41">
        <f t="shared" si="153"/>
        <v>45170</v>
      </c>
      <c r="X1356" s="5">
        <v>141</v>
      </c>
    </row>
    <row r="1357" spans="1:24" ht="15.75" customHeight="1" x14ac:dyDescent="0.3">
      <c r="A1357" s="4">
        <v>2356</v>
      </c>
      <c r="B1357" s="5" t="s">
        <v>1456</v>
      </c>
      <c r="C1357" s="6">
        <v>45173.552083333336</v>
      </c>
      <c r="D1357" s="5" t="s">
        <v>14</v>
      </c>
      <c r="E1357" s="5" t="s">
        <v>48</v>
      </c>
      <c r="F1357" s="5" t="s">
        <v>16</v>
      </c>
      <c r="G1357" s="5" t="s">
        <v>25</v>
      </c>
      <c r="H1357" s="5">
        <v>180</v>
      </c>
      <c r="I1357" s="5">
        <v>11</v>
      </c>
      <c r="J1357" s="5" t="s">
        <v>32</v>
      </c>
      <c r="K1357" s="5" t="s">
        <v>27</v>
      </c>
      <c r="L1357" s="5" t="s">
        <v>40</v>
      </c>
      <c r="M1357" s="7" t="s">
        <v>21</v>
      </c>
      <c r="N1357" s="26">
        <f t="shared" si="147"/>
        <v>-1</v>
      </c>
      <c r="O1357" s="42">
        <f t="shared" si="148"/>
        <v>45173</v>
      </c>
      <c r="P1357" s="5" t="str">
        <f t="shared" si="149"/>
        <v>Monday</v>
      </c>
      <c r="Q1357" s="5">
        <f t="shared" si="150"/>
        <v>13</v>
      </c>
      <c r="R1357" s="28">
        <f t="shared" si="151"/>
        <v>0.94240837696335078</v>
      </c>
      <c r="S1357" s="29">
        <f t="shared" si="152"/>
        <v>94.240837696335078</v>
      </c>
      <c r="T1357" s="5" t="str">
        <f>IF(Delivery_Data3[[#This Row],[Delays (min)]]&gt;0,"No","Yes")</f>
        <v>No</v>
      </c>
      <c r="W1357" s="41">
        <f t="shared" si="153"/>
        <v>45173</v>
      </c>
      <c r="X1357" s="5">
        <v>180</v>
      </c>
    </row>
    <row r="1358" spans="1:24" ht="15.75" customHeight="1" x14ac:dyDescent="0.3">
      <c r="A1358" s="4">
        <v>2357</v>
      </c>
      <c r="B1358" s="5" t="s">
        <v>1457</v>
      </c>
      <c r="C1358" s="6">
        <v>45170.519444444442</v>
      </c>
      <c r="D1358" s="5" t="s">
        <v>43</v>
      </c>
      <c r="E1358" s="5" t="s">
        <v>83</v>
      </c>
      <c r="F1358" s="5" t="s">
        <v>16</v>
      </c>
      <c r="G1358" s="5" t="s">
        <v>25</v>
      </c>
      <c r="H1358" s="5">
        <v>134</v>
      </c>
      <c r="I1358" s="5">
        <v>17</v>
      </c>
      <c r="J1358" s="5" t="s">
        <v>26</v>
      </c>
      <c r="K1358" s="5" t="s">
        <v>45</v>
      </c>
      <c r="L1358" s="5" t="s">
        <v>20</v>
      </c>
      <c r="M1358" s="7" t="s">
        <v>41</v>
      </c>
      <c r="N1358" s="26">
        <f t="shared" si="147"/>
        <v>1</v>
      </c>
      <c r="O1358" s="42">
        <f t="shared" si="148"/>
        <v>45170</v>
      </c>
      <c r="P1358" s="5" t="str">
        <f t="shared" si="149"/>
        <v>Friday</v>
      </c>
      <c r="Q1358" s="5">
        <f t="shared" si="150"/>
        <v>12</v>
      </c>
      <c r="R1358" s="28">
        <f t="shared" si="151"/>
        <v>0.88741721854304634</v>
      </c>
      <c r="S1358" s="29">
        <f t="shared" si="152"/>
        <v>88.741721854304629</v>
      </c>
      <c r="T1358" s="5" t="str">
        <f>IF(Delivery_Data3[[#This Row],[Delays (min)]]&gt;0,"No","Yes")</f>
        <v>No</v>
      </c>
      <c r="W1358" s="41">
        <f t="shared" si="153"/>
        <v>45170</v>
      </c>
      <c r="X1358" s="5">
        <v>134</v>
      </c>
    </row>
    <row r="1359" spans="1:24" ht="15.75" customHeight="1" x14ac:dyDescent="0.3">
      <c r="A1359" s="4">
        <v>2358</v>
      </c>
      <c r="B1359" s="5" t="s">
        <v>1458</v>
      </c>
      <c r="C1359" s="6">
        <v>45174.521527777775</v>
      </c>
      <c r="D1359" s="5" t="s">
        <v>14</v>
      </c>
      <c r="E1359" s="5" t="s">
        <v>281</v>
      </c>
      <c r="F1359" s="5" t="s">
        <v>38</v>
      </c>
      <c r="G1359" s="5" t="s">
        <v>31</v>
      </c>
      <c r="H1359" s="5">
        <v>133</v>
      </c>
      <c r="I1359" s="5">
        <v>17</v>
      </c>
      <c r="J1359" s="5" t="s">
        <v>26</v>
      </c>
      <c r="K1359" s="5" t="s">
        <v>35</v>
      </c>
      <c r="L1359" s="5" t="s">
        <v>40</v>
      </c>
      <c r="M1359" s="7" t="s">
        <v>41</v>
      </c>
      <c r="N1359" s="26">
        <f t="shared" si="147"/>
        <v>1</v>
      </c>
      <c r="O1359" s="42">
        <f t="shared" si="148"/>
        <v>45174</v>
      </c>
      <c r="P1359" s="5" t="str">
        <f t="shared" si="149"/>
        <v>Tuesday</v>
      </c>
      <c r="Q1359" s="5">
        <f t="shared" si="150"/>
        <v>12</v>
      </c>
      <c r="R1359" s="28">
        <f t="shared" si="151"/>
        <v>0.88666666666666671</v>
      </c>
      <c r="S1359" s="29">
        <f t="shared" si="152"/>
        <v>88.666666666666671</v>
      </c>
      <c r="T1359" s="5" t="str">
        <f>IF(Delivery_Data3[[#This Row],[Delays (min)]]&gt;0,"No","Yes")</f>
        <v>No</v>
      </c>
      <c r="W1359" s="41">
        <f t="shared" si="153"/>
        <v>45174</v>
      </c>
      <c r="X1359" s="5">
        <v>133</v>
      </c>
    </row>
    <row r="1360" spans="1:24" ht="15.75" customHeight="1" x14ac:dyDescent="0.3">
      <c r="A1360" s="4">
        <v>2359</v>
      </c>
      <c r="B1360" s="5" t="s">
        <v>1459</v>
      </c>
      <c r="C1360" s="6">
        <v>45176.664583333331</v>
      </c>
      <c r="D1360" s="5" t="s">
        <v>14</v>
      </c>
      <c r="E1360" s="5" t="s">
        <v>177</v>
      </c>
      <c r="F1360" s="5" t="s">
        <v>38</v>
      </c>
      <c r="G1360" s="5" t="s">
        <v>31</v>
      </c>
      <c r="H1360" s="5">
        <v>103</v>
      </c>
      <c r="I1360" s="5">
        <v>15</v>
      </c>
      <c r="J1360" s="5" t="s">
        <v>26</v>
      </c>
      <c r="K1360" s="5" t="s">
        <v>27</v>
      </c>
      <c r="L1360" s="5" t="s">
        <v>40</v>
      </c>
      <c r="M1360" s="7" t="s">
        <v>46</v>
      </c>
      <c r="N1360" s="26">
        <f t="shared" si="147"/>
        <v>1</v>
      </c>
      <c r="O1360" s="42">
        <f t="shared" si="148"/>
        <v>45176</v>
      </c>
      <c r="P1360" s="5" t="str">
        <f t="shared" si="149"/>
        <v>Thursday</v>
      </c>
      <c r="Q1360" s="5">
        <f t="shared" si="150"/>
        <v>15</v>
      </c>
      <c r="R1360" s="28">
        <f t="shared" si="151"/>
        <v>0.8728813559322034</v>
      </c>
      <c r="S1360" s="29">
        <f t="shared" si="152"/>
        <v>87.288135593220346</v>
      </c>
      <c r="T1360" s="5" t="str">
        <f>IF(Delivery_Data3[[#This Row],[Delays (min)]]&gt;0,"No","Yes")</f>
        <v>No</v>
      </c>
      <c r="W1360" s="41">
        <f t="shared" si="153"/>
        <v>45176</v>
      </c>
      <c r="X1360" s="5">
        <v>103</v>
      </c>
    </row>
    <row r="1361" spans="1:24" ht="15.75" customHeight="1" x14ac:dyDescent="0.3">
      <c r="A1361" s="4">
        <v>2360</v>
      </c>
      <c r="B1361" s="5" t="s">
        <v>1460</v>
      </c>
      <c r="C1361" s="6">
        <v>45174.523611111108</v>
      </c>
      <c r="D1361" s="5" t="s">
        <v>43</v>
      </c>
      <c r="E1361" s="5" t="s">
        <v>101</v>
      </c>
      <c r="F1361" s="5" t="s">
        <v>24</v>
      </c>
      <c r="G1361" s="5" t="s">
        <v>31</v>
      </c>
      <c r="H1361" s="5">
        <v>209</v>
      </c>
      <c r="I1361" s="5">
        <v>19</v>
      </c>
      <c r="J1361" s="5" t="s">
        <v>32</v>
      </c>
      <c r="K1361" s="5" t="s">
        <v>27</v>
      </c>
      <c r="L1361" s="5" t="s">
        <v>20</v>
      </c>
      <c r="M1361" s="7" t="s">
        <v>41</v>
      </c>
      <c r="N1361" s="26">
        <f t="shared" si="147"/>
        <v>-1</v>
      </c>
      <c r="O1361" s="42">
        <f t="shared" si="148"/>
        <v>45174</v>
      </c>
      <c r="P1361" s="5" t="str">
        <f t="shared" si="149"/>
        <v>Tuesday</v>
      </c>
      <c r="Q1361" s="5">
        <f t="shared" si="150"/>
        <v>12</v>
      </c>
      <c r="R1361" s="28">
        <f t="shared" si="151"/>
        <v>0.91666666666666663</v>
      </c>
      <c r="S1361" s="29">
        <f t="shared" si="152"/>
        <v>91.666666666666657</v>
      </c>
      <c r="T1361" s="5" t="str">
        <f>IF(Delivery_Data3[[#This Row],[Delays (min)]]&gt;0,"No","Yes")</f>
        <v>No</v>
      </c>
      <c r="W1361" s="41">
        <f t="shared" si="153"/>
        <v>45174</v>
      </c>
      <c r="X1361" s="5">
        <v>209</v>
      </c>
    </row>
    <row r="1362" spans="1:24" ht="15.75" customHeight="1" x14ac:dyDescent="0.3">
      <c r="A1362" s="4">
        <v>2361</v>
      </c>
      <c r="B1362" s="5" t="s">
        <v>1461</v>
      </c>
      <c r="C1362" s="6">
        <v>45173.557638888888</v>
      </c>
      <c r="D1362" s="5" t="s">
        <v>14</v>
      </c>
      <c r="E1362" s="5" t="s">
        <v>285</v>
      </c>
      <c r="F1362" s="5" t="s">
        <v>16</v>
      </c>
      <c r="G1362" s="5" t="s">
        <v>56</v>
      </c>
      <c r="H1362" s="5">
        <v>168</v>
      </c>
      <c r="I1362" s="5">
        <v>12</v>
      </c>
      <c r="J1362" s="5" t="s">
        <v>18</v>
      </c>
      <c r="K1362" s="5" t="s">
        <v>49</v>
      </c>
      <c r="L1362" s="5" t="s">
        <v>28</v>
      </c>
      <c r="M1362" s="7" t="s">
        <v>46</v>
      </c>
      <c r="N1362" s="26">
        <f t="shared" si="147"/>
        <v>0</v>
      </c>
      <c r="O1362" s="42">
        <f t="shared" si="148"/>
        <v>45173</v>
      </c>
      <c r="P1362" s="5" t="str">
        <f t="shared" si="149"/>
        <v>Monday</v>
      </c>
      <c r="Q1362" s="5">
        <f t="shared" si="150"/>
        <v>13</v>
      </c>
      <c r="R1362" s="28">
        <f t="shared" si="151"/>
        <v>0.93333333333333335</v>
      </c>
      <c r="S1362" s="29">
        <f t="shared" si="152"/>
        <v>93.333333333333329</v>
      </c>
      <c r="T1362" s="5" t="str">
        <f>IF(Delivery_Data3[[#This Row],[Delays (min)]]&gt;0,"No","Yes")</f>
        <v>No</v>
      </c>
      <c r="W1362" s="41">
        <f t="shared" si="153"/>
        <v>45173</v>
      </c>
      <c r="X1362" s="5">
        <v>168</v>
      </c>
    </row>
    <row r="1363" spans="1:24" ht="15.75" customHeight="1" x14ac:dyDescent="0.3">
      <c r="A1363" s="4">
        <v>2362</v>
      </c>
      <c r="B1363" s="5" t="s">
        <v>1426</v>
      </c>
      <c r="C1363" s="6">
        <v>45172.597222222219</v>
      </c>
      <c r="D1363" s="5" t="s">
        <v>14</v>
      </c>
      <c r="E1363" s="5" t="s">
        <v>126</v>
      </c>
      <c r="F1363" s="5" t="s">
        <v>24</v>
      </c>
      <c r="G1363" s="5" t="s">
        <v>56</v>
      </c>
      <c r="H1363" s="5">
        <v>195</v>
      </c>
      <c r="I1363" s="5">
        <v>23</v>
      </c>
      <c r="J1363" s="5" t="s">
        <v>26</v>
      </c>
      <c r="K1363" s="5" t="s">
        <v>19</v>
      </c>
      <c r="L1363" s="5" t="s">
        <v>40</v>
      </c>
      <c r="M1363" s="7" t="s">
        <v>41</v>
      </c>
      <c r="N1363" s="26">
        <f t="shared" si="147"/>
        <v>1</v>
      </c>
      <c r="O1363" s="42">
        <f t="shared" si="148"/>
        <v>45172</v>
      </c>
      <c r="P1363" s="5" t="str">
        <f t="shared" si="149"/>
        <v>Sunday</v>
      </c>
      <c r="Q1363" s="5">
        <f t="shared" si="150"/>
        <v>14</v>
      </c>
      <c r="R1363" s="28">
        <f t="shared" si="151"/>
        <v>0.89449541284403666</v>
      </c>
      <c r="S1363" s="29">
        <f t="shared" si="152"/>
        <v>89.449541284403665</v>
      </c>
      <c r="T1363" s="5" t="str">
        <f>IF(Delivery_Data3[[#This Row],[Delays (min)]]&gt;0,"No","Yes")</f>
        <v>No</v>
      </c>
      <c r="W1363" s="41">
        <f t="shared" si="153"/>
        <v>45172</v>
      </c>
      <c r="X1363" s="5">
        <v>195</v>
      </c>
    </row>
    <row r="1364" spans="1:24" ht="15.75" customHeight="1" x14ac:dyDescent="0.3">
      <c r="A1364" s="4">
        <v>2363</v>
      </c>
      <c r="B1364" s="5" t="s">
        <v>1462</v>
      </c>
      <c r="C1364" s="6">
        <v>45173.412499999999</v>
      </c>
      <c r="D1364" s="5" t="s">
        <v>43</v>
      </c>
      <c r="E1364" s="5" t="s">
        <v>162</v>
      </c>
      <c r="F1364" s="5" t="s">
        <v>24</v>
      </c>
      <c r="G1364" s="5" t="s">
        <v>25</v>
      </c>
      <c r="H1364" s="5">
        <v>123</v>
      </c>
      <c r="I1364" s="5">
        <v>25</v>
      </c>
      <c r="J1364" s="5" t="s">
        <v>18</v>
      </c>
      <c r="K1364" s="5" t="s">
        <v>49</v>
      </c>
      <c r="L1364" s="5" t="s">
        <v>20</v>
      </c>
      <c r="M1364" s="7" t="s">
        <v>41</v>
      </c>
      <c r="N1364" s="26">
        <f t="shared" si="147"/>
        <v>0</v>
      </c>
      <c r="O1364" s="42">
        <f t="shared" si="148"/>
        <v>45173</v>
      </c>
      <c r="P1364" s="5" t="str">
        <f t="shared" si="149"/>
        <v>Monday</v>
      </c>
      <c r="Q1364" s="5">
        <f t="shared" si="150"/>
        <v>9</v>
      </c>
      <c r="R1364" s="28">
        <f t="shared" si="151"/>
        <v>0.83108108108108103</v>
      </c>
      <c r="S1364" s="29">
        <f t="shared" si="152"/>
        <v>83.108108108108098</v>
      </c>
      <c r="T1364" s="5" t="str">
        <f>IF(Delivery_Data3[[#This Row],[Delays (min)]]&gt;0,"No","Yes")</f>
        <v>No</v>
      </c>
      <c r="W1364" s="41">
        <f t="shared" si="153"/>
        <v>45173</v>
      </c>
      <c r="X1364" s="5">
        <v>123</v>
      </c>
    </row>
    <row r="1365" spans="1:24" ht="15.75" customHeight="1" x14ac:dyDescent="0.3">
      <c r="A1365" s="4">
        <v>2364</v>
      </c>
      <c r="B1365" s="5" t="s">
        <v>1463</v>
      </c>
      <c r="C1365" s="6">
        <v>45175.676388888889</v>
      </c>
      <c r="D1365" s="5" t="s">
        <v>43</v>
      </c>
      <c r="E1365" s="5" t="s">
        <v>164</v>
      </c>
      <c r="F1365" s="5" t="s">
        <v>16</v>
      </c>
      <c r="G1365" s="5" t="s">
        <v>31</v>
      </c>
      <c r="H1365" s="5">
        <v>202</v>
      </c>
      <c r="I1365" s="5">
        <v>6</v>
      </c>
      <c r="J1365" s="5" t="s">
        <v>32</v>
      </c>
      <c r="K1365" s="5" t="s">
        <v>49</v>
      </c>
      <c r="L1365" s="5" t="s">
        <v>40</v>
      </c>
      <c r="M1365" s="7" t="s">
        <v>21</v>
      </c>
      <c r="N1365" s="26">
        <f t="shared" si="147"/>
        <v>-1</v>
      </c>
      <c r="O1365" s="42">
        <f t="shared" si="148"/>
        <v>45175</v>
      </c>
      <c r="P1365" s="5" t="str">
        <f t="shared" si="149"/>
        <v>Wednesday</v>
      </c>
      <c r="Q1365" s="5">
        <f t="shared" si="150"/>
        <v>16</v>
      </c>
      <c r="R1365" s="28">
        <f t="shared" si="151"/>
        <v>0.97115384615384615</v>
      </c>
      <c r="S1365" s="29">
        <f t="shared" si="152"/>
        <v>97.115384615384613</v>
      </c>
      <c r="T1365" s="5" t="str">
        <f>IF(Delivery_Data3[[#This Row],[Delays (min)]]&gt;0,"No","Yes")</f>
        <v>No</v>
      </c>
      <c r="W1365" s="41">
        <f t="shared" si="153"/>
        <v>45175</v>
      </c>
      <c r="X1365" s="5">
        <v>202</v>
      </c>
    </row>
    <row r="1366" spans="1:24" ht="15.75" customHeight="1" x14ac:dyDescent="0.3">
      <c r="A1366" s="4">
        <v>2365</v>
      </c>
      <c r="B1366" s="5" t="s">
        <v>784</v>
      </c>
      <c r="C1366" s="6">
        <v>45171.354861111111</v>
      </c>
      <c r="D1366" s="5" t="s">
        <v>14</v>
      </c>
      <c r="E1366" s="5" t="s">
        <v>113</v>
      </c>
      <c r="F1366" s="5" t="s">
        <v>24</v>
      </c>
      <c r="G1366" s="5" t="s">
        <v>39</v>
      </c>
      <c r="H1366" s="5">
        <v>128</v>
      </c>
      <c r="I1366" s="5">
        <v>18</v>
      </c>
      <c r="J1366" s="5" t="s">
        <v>32</v>
      </c>
      <c r="K1366" s="5" t="s">
        <v>49</v>
      </c>
      <c r="L1366" s="5" t="s">
        <v>20</v>
      </c>
      <c r="M1366" s="7" t="s">
        <v>21</v>
      </c>
      <c r="N1366" s="26">
        <f t="shared" si="147"/>
        <v>-1</v>
      </c>
      <c r="O1366" s="42">
        <f t="shared" si="148"/>
        <v>45171</v>
      </c>
      <c r="P1366" s="5" t="str">
        <f t="shared" si="149"/>
        <v>Saturday</v>
      </c>
      <c r="Q1366" s="5">
        <f t="shared" si="150"/>
        <v>8</v>
      </c>
      <c r="R1366" s="28">
        <f t="shared" si="151"/>
        <v>0.87671232876712324</v>
      </c>
      <c r="S1366" s="29">
        <f t="shared" si="152"/>
        <v>87.671232876712324</v>
      </c>
      <c r="T1366" s="5" t="str">
        <f>IF(Delivery_Data3[[#This Row],[Delays (min)]]&gt;0,"No","Yes")</f>
        <v>No</v>
      </c>
      <c r="W1366" s="41">
        <f t="shared" si="153"/>
        <v>45171</v>
      </c>
      <c r="X1366" s="5">
        <v>128</v>
      </c>
    </row>
    <row r="1367" spans="1:24" ht="15.75" customHeight="1" x14ac:dyDescent="0.3">
      <c r="A1367" s="4">
        <v>2366</v>
      </c>
      <c r="B1367" s="5" t="s">
        <v>1464</v>
      </c>
      <c r="C1367" s="6">
        <v>45175.429166666669</v>
      </c>
      <c r="D1367" s="5" t="s">
        <v>43</v>
      </c>
      <c r="E1367" s="5" t="s">
        <v>200</v>
      </c>
      <c r="F1367" s="5" t="s">
        <v>38</v>
      </c>
      <c r="G1367" s="5" t="s">
        <v>25</v>
      </c>
      <c r="H1367" s="5">
        <v>134</v>
      </c>
      <c r="I1367" s="5">
        <v>22</v>
      </c>
      <c r="J1367" s="5" t="s">
        <v>18</v>
      </c>
      <c r="K1367" s="5" t="s">
        <v>27</v>
      </c>
      <c r="L1367" s="5" t="s">
        <v>28</v>
      </c>
      <c r="M1367" s="7" t="s">
        <v>21</v>
      </c>
      <c r="N1367" s="26">
        <f t="shared" si="147"/>
        <v>0</v>
      </c>
      <c r="O1367" s="42">
        <f t="shared" si="148"/>
        <v>45175</v>
      </c>
      <c r="P1367" s="5" t="str">
        <f t="shared" si="149"/>
        <v>Wednesday</v>
      </c>
      <c r="Q1367" s="5">
        <f t="shared" si="150"/>
        <v>10</v>
      </c>
      <c r="R1367" s="28">
        <f t="shared" si="151"/>
        <v>0.85897435897435892</v>
      </c>
      <c r="S1367" s="29">
        <f t="shared" si="152"/>
        <v>85.897435897435898</v>
      </c>
      <c r="T1367" s="5" t="str">
        <f>IF(Delivery_Data3[[#This Row],[Delays (min)]]&gt;0,"No","Yes")</f>
        <v>No</v>
      </c>
      <c r="W1367" s="41">
        <f t="shared" si="153"/>
        <v>45175</v>
      </c>
      <c r="X1367" s="5">
        <v>134</v>
      </c>
    </row>
    <row r="1368" spans="1:24" ht="15.75" customHeight="1" x14ac:dyDescent="0.3">
      <c r="A1368" s="4">
        <v>2367</v>
      </c>
      <c r="B1368" s="5" t="s">
        <v>1465</v>
      </c>
      <c r="C1368" s="6">
        <v>45171.550694444442</v>
      </c>
      <c r="D1368" s="5" t="s">
        <v>43</v>
      </c>
      <c r="E1368" s="5" t="s">
        <v>193</v>
      </c>
      <c r="F1368" s="5" t="s">
        <v>24</v>
      </c>
      <c r="G1368" s="5" t="s">
        <v>56</v>
      </c>
      <c r="H1368" s="5">
        <v>152</v>
      </c>
      <c r="I1368" s="5">
        <v>22</v>
      </c>
      <c r="J1368" s="5" t="s">
        <v>26</v>
      </c>
      <c r="K1368" s="5" t="s">
        <v>35</v>
      </c>
      <c r="L1368" s="5" t="s">
        <v>40</v>
      </c>
      <c r="M1368" s="7" t="s">
        <v>41</v>
      </c>
      <c r="N1368" s="26">
        <f t="shared" si="147"/>
        <v>1</v>
      </c>
      <c r="O1368" s="42">
        <f t="shared" si="148"/>
        <v>45171</v>
      </c>
      <c r="P1368" s="5" t="str">
        <f t="shared" si="149"/>
        <v>Saturday</v>
      </c>
      <c r="Q1368" s="5">
        <f t="shared" si="150"/>
        <v>13</v>
      </c>
      <c r="R1368" s="28">
        <f t="shared" si="151"/>
        <v>0.87356321839080464</v>
      </c>
      <c r="S1368" s="29">
        <f t="shared" si="152"/>
        <v>87.356321839080465</v>
      </c>
      <c r="T1368" s="5" t="str">
        <f>IF(Delivery_Data3[[#This Row],[Delays (min)]]&gt;0,"No","Yes")</f>
        <v>No</v>
      </c>
      <c r="W1368" s="41">
        <f t="shared" si="153"/>
        <v>45171</v>
      </c>
      <c r="X1368" s="5">
        <v>152</v>
      </c>
    </row>
    <row r="1369" spans="1:24" ht="15.75" customHeight="1" x14ac:dyDescent="0.3">
      <c r="A1369" s="4">
        <v>2368</v>
      </c>
      <c r="B1369" s="5" t="s">
        <v>1466</v>
      </c>
      <c r="C1369" s="6">
        <v>45170.447222222225</v>
      </c>
      <c r="D1369" s="5" t="s">
        <v>43</v>
      </c>
      <c r="E1369" s="5" t="s">
        <v>177</v>
      </c>
      <c r="F1369" s="5" t="s">
        <v>38</v>
      </c>
      <c r="G1369" s="5" t="s">
        <v>31</v>
      </c>
      <c r="H1369" s="5">
        <v>225</v>
      </c>
      <c r="I1369" s="5">
        <v>19</v>
      </c>
      <c r="J1369" s="5" t="s">
        <v>32</v>
      </c>
      <c r="K1369" s="5" t="s">
        <v>27</v>
      </c>
      <c r="L1369" s="5" t="s">
        <v>28</v>
      </c>
      <c r="M1369" s="7" t="s">
        <v>21</v>
      </c>
      <c r="N1369" s="26">
        <f t="shared" si="147"/>
        <v>-1</v>
      </c>
      <c r="O1369" s="42">
        <f t="shared" si="148"/>
        <v>45170</v>
      </c>
      <c r="P1369" s="5" t="str">
        <f t="shared" si="149"/>
        <v>Friday</v>
      </c>
      <c r="Q1369" s="5">
        <f t="shared" si="150"/>
        <v>10</v>
      </c>
      <c r="R1369" s="28">
        <f t="shared" si="151"/>
        <v>0.92213114754098358</v>
      </c>
      <c r="S1369" s="29">
        <f t="shared" si="152"/>
        <v>92.213114754098356</v>
      </c>
      <c r="T1369" s="5" t="str">
        <f>IF(Delivery_Data3[[#This Row],[Delays (min)]]&gt;0,"No","Yes")</f>
        <v>No</v>
      </c>
      <c r="W1369" s="41">
        <f t="shared" si="153"/>
        <v>45170</v>
      </c>
      <c r="X1369" s="5">
        <v>225</v>
      </c>
    </row>
    <row r="1370" spans="1:24" ht="15.75" customHeight="1" x14ac:dyDescent="0.3">
      <c r="A1370" s="4">
        <v>2369</v>
      </c>
      <c r="B1370" s="5" t="s">
        <v>1467</v>
      </c>
      <c r="C1370" s="6">
        <v>45173.365972222222</v>
      </c>
      <c r="D1370" s="5" t="s">
        <v>43</v>
      </c>
      <c r="E1370" s="5" t="s">
        <v>197</v>
      </c>
      <c r="F1370" s="5" t="s">
        <v>16</v>
      </c>
      <c r="G1370" s="5" t="s">
        <v>25</v>
      </c>
      <c r="H1370" s="5">
        <v>207</v>
      </c>
      <c r="I1370" s="5">
        <v>2</v>
      </c>
      <c r="J1370" s="5" t="s">
        <v>26</v>
      </c>
      <c r="K1370" s="5" t="s">
        <v>45</v>
      </c>
      <c r="L1370" s="5" t="s">
        <v>28</v>
      </c>
      <c r="M1370" s="7" t="s">
        <v>46</v>
      </c>
      <c r="N1370" s="26">
        <f t="shared" si="147"/>
        <v>1</v>
      </c>
      <c r="O1370" s="42">
        <f t="shared" si="148"/>
        <v>45173</v>
      </c>
      <c r="P1370" s="5" t="str">
        <f t="shared" si="149"/>
        <v>Monday</v>
      </c>
      <c r="Q1370" s="5">
        <f t="shared" si="150"/>
        <v>8</v>
      </c>
      <c r="R1370" s="28">
        <f t="shared" si="151"/>
        <v>0.99043062200956933</v>
      </c>
      <c r="S1370" s="29">
        <f t="shared" si="152"/>
        <v>99.043062200956939</v>
      </c>
      <c r="T1370" s="5" t="str">
        <f>IF(Delivery_Data3[[#This Row],[Delays (min)]]&gt;0,"No","Yes")</f>
        <v>No</v>
      </c>
      <c r="W1370" s="41">
        <f t="shared" si="153"/>
        <v>45173</v>
      </c>
      <c r="X1370" s="5">
        <v>207</v>
      </c>
    </row>
    <row r="1371" spans="1:24" ht="15.75" customHeight="1" x14ac:dyDescent="0.3">
      <c r="A1371" s="4">
        <v>2370</v>
      </c>
      <c r="B1371" s="5" t="s">
        <v>1468</v>
      </c>
      <c r="C1371" s="6">
        <v>45172.588888888888</v>
      </c>
      <c r="D1371" s="5" t="s">
        <v>43</v>
      </c>
      <c r="E1371" s="5" t="s">
        <v>285</v>
      </c>
      <c r="F1371" s="5" t="s">
        <v>38</v>
      </c>
      <c r="G1371" s="5" t="s">
        <v>17</v>
      </c>
      <c r="H1371" s="5">
        <v>230</v>
      </c>
      <c r="I1371" s="5">
        <v>12</v>
      </c>
      <c r="J1371" s="5" t="s">
        <v>32</v>
      </c>
      <c r="K1371" s="5" t="s">
        <v>19</v>
      </c>
      <c r="L1371" s="5" t="s">
        <v>20</v>
      </c>
      <c r="M1371" s="7" t="s">
        <v>46</v>
      </c>
      <c r="N1371" s="26">
        <f t="shared" si="147"/>
        <v>-1</v>
      </c>
      <c r="O1371" s="42">
        <f t="shared" si="148"/>
        <v>45172</v>
      </c>
      <c r="P1371" s="5" t="str">
        <f t="shared" si="149"/>
        <v>Sunday</v>
      </c>
      <c r="Q1371" s="5">
        <f t="shared" si="150"/>
        <v>14</v>
      </c>
      <c r="R1371" s="28">
        <f t="shared" si="151"/>
        <v>0.95041322314049592</v>
      </c>
      <c r="S1371" s="29">
        <f t="shared" si="152"/>
        <v>95.041322314049594</v>
      </c>
      <c r="T1371" s="5" t="str">
        <f>IF(Delivery_Data3[[#This Row],[Delays (min)]]&gt;0,"No","Yes")</f>
        <v>No</v>
      </c>
      <c r="W1371" s="41">
        <f t="shared" si="153"/>
        <v>45172</v>
      </c>
      <c r="X1371" s="5">
        <v>230</v>
      </c>
    </row>
    <row r="1372" spans="1:24" ht="15.75" customHeight="1" x14ac:dyDescent="0.3">
      <c r="A1372" s="4">
        <v>2371</v>
      </c>
      <c r="B1372" s="5" t="s">
        <v>1469</v>
      </c>
      <c r="C1372" s="6">
        <v>45171.415972222225</v>
      </c>
      <c r="D1372" s="5" t="s">
        <v>14</v>
      </c>
      <c r="E1372" s="5" t="s">
        <v>60</v>
      </c>
      <c r="F1372" s="5" t="s">
        <v>16</v>
      </c>
      <c r="G1372" s="5" t="s">
        <v>56</v>
      </c>
      <c r="H1372" s="5">
        <v>107</v>
      </c>
      <c r="I1372" s="5">
        <v>24</v>
      </c>
      <c r="J1372" s="5" t="s">
        <v>32</v>
      </c>
      <c r="K1372" s="5" t="s">
        <v>49</v>
      </c>
      <c r="L1372" s="5" t="s">
        <v>20</v>
      </c>
      <c r="M1372" s="7" t="s">
        <v>41</v>
      </c>
      <c r="N1372" s="26">
        <f t="shared" si="147"/>
        <v>-1</v>
      </c>
      <c r="O1372" s="42">
        <f t="shared" si="148"/>
        <v>45171</v>
      </c>
      <c r="P1372" s="5" t="str">
        <f t="shared" si="149"/>
        <v>Saturday</v>
      </c>
      <c r="Q1372" s="5">
        <f t="shared" si="150"/>
        <v>9</v>
      </c>
      <c r="R1372" s="28">
        <f t="shared" si="151"/>
        <v>0.81679389312977102</v>
      </c>
      <c r="S1372" s="29">
        <f t="shared" si="152"/>
        <v>81.679389312977108</v>
      </c>
      <c r="T1372" s="5" t="str">
        <f>IF(Delivery_Data3[[#This Row],[Delays (min)]]&gt;0,"No","Yes")</f>
        <v>No</v>
      </c>
      <c r="W1372" s="41">
        <f t="shared" si="153"/>
        <v>45171</v>
      </c>
      <c r="X1372" s="5">
        <v>107</v>
      </c>
    </row>
    <row r="1373" spans="1:24" ht="15.75" customHeight="1" x14ac:dyDescent="0.3">
      <c r="A1373" s="4">
        <v>2372</v>
      </c>
      <c r="B1373" s="5" t="s">
        <v>1470</v>
      </c>
      <c r="C1373" s="6">
        <v>45172.635416666664</v>
      </c>
      <c r="D1373" s="5" t="s">
        <v>43</v>
      </c>
      <c r="E1373" s="5" t="s">
        <v>441</v>
      </c>
      <c r="F1373" s="5" t="s">
        <v>16</v>
      </c>
      <c r="G1373" s="5" t="s">
        <v>25</v>
      </c>
      <c r="H1373" s="5">
        <v>210</v>
      </c>
      <c r="I1373" s="5">
        <v>21</v>
      </c>
      <c r="J1373" s="5" t="s">
        <v>26</v>
      </c>
      <c r="K1373" s="5" t="s">
        <v>45</v>
      </c>
      <c r="L1373" s="5" t="s">
        <v>20</v>
      </c>
      <c r="M1373" s="7" t="s">
        <v>21</v>
      </c>
      <c r="N1373" s="26">
        <f t="shared" si="147"/>
        <v>1</v>
      </c>
      <c r="O1373" s="42">
        <f t="shared" si="148"/>
        <v>45172</v>
      </c>
      <c r="P1373" s="5" t="str">
        <f t="shared" si="149"/>
        <v>Sunday</v>
      </c>
      <c r="Q1373" s="5">
        <f t="shared" si="150"/>
        <v>15</v>
      </c>
      <c r="R1373" s="28">
        <f t="shared" si="151"/>
        <v>0.90909090909090906</v>
      </c>
      <c r="S1373" s="29">
        <f t="shared" si="152"/>
        <v>90.909090909090907</v>
      </c>
      <c r="T1373" s="5" t="str">
        <f>IF(Delivery_Data3[[#This Row],[Delays (min)]]&gt;0,"No","Yes")</f>
        <v>No</v>
      </c>
      <c r="W1373" s="41">
        <f t="shared" si="153"/>
        <v>45172</v>
      </c>
      <c r="X1373" s="5">
        <v>210</v>
      </c>
    </row>
    <row r="1374" spans="1:24" ht="15.75" customHeight="1" x14ac:dyDescent="0.3">
      <c r="A1374" s="4">
        <v>2373</v>
      </c>
      <c r="B1374" s="5" t="s">
        <v>1471</v>
      </c>
      <c r="C1374" s="6">
        <v>45172.646527777775</v>
      </c>
      <c r="D1374" s="5" t="s">
        <v>43</v>
      </c>
      <c r="E1374" s="5" t="s">
        <v>109</v>
      </c>
      <c r="F1374" s="5" t="s">
        <v>24</v>
      </c>
      <c r="G1374" s="5" t="s">
        <v>56</v>
      </c>
      <c r="H1374" s="5">
        <v>207</v>
      </c>
      <c r="I1374" s="5">
        <v>22</v>
      </c>
      <c r="J1374" s="5" t="s">
        <v>18</v>
      </c>
      <c r="K1374" s="5" t="s">
        <v>35</v>
      </c>
      <c r="L1374" s="5" t="s">
        <v>40</v>
      </c>
      <c r="M1374" s="7" t="s">
        <v>21</v>
      </c>
      <c r="N1374" s="26">
        <f t="shared" si="147"/>
        <v>0</v>
      </c>
      <c r="O1374" s="42">
        <f t="shared" si="148"/>
        <v>45172</v>
      </c>
      <c r="P1374" s="5" t="str">
        <f t="shared" si="149"/>
        <v>Sunday</v>
      </c>
      <c r="Q1374" s="5">
        <f t="shared" si="150"/>
        <v>15</v>
      </c>
      <c r="R1374" s="28">
        <f t="shared" si="151"/>
        <v>0.90393013100436681</v>
      </c>
      <c r="S1374" s="29">
        <f t="shared" si="152"/>
        <v>90.393013100436676</v>
      </c>
      <c r="T1374" s="5" t="str">
        <f>IF(Delivery_Data3[[#This Row],[Delays (min)]]&gt;0,"No","Yes")</f>
        <v>No</v>
      </c>
      <c r="W1374" s="41">
        <f t="shared" si="153"/>
        <v>45172</v>
      </c>
      <c r="X1374" s="5">
        <v>207</v>
      </c>
    </row>
    <row r="1375" spans="1:24" ht="15.75" customHeight="1" x14ac:dyDescent="0.3">
      <c r="A1375" s="4">
        <v>2374</v>
      </c>
      <c r="B1375" s="5" t="s">
        <v>1472</v>
      </c>
      <c r="C1375" s="6">
        <v>45174.617361111108</v>
      </c>
      <c r="D1375" s="5" t="s">
        <v>43</v>
      </c>
      <c r="E1375" s="5" t="s">
        <v>374</v>
      </c>
      <c r="F1375" s="5" t="s">
        <v>16</v>
      </c>
      <c r="G1375" s="5" t="s">
        <v>39</v>
      </c>
      <c r="H1375" s="5">
        <v>167</v>
      </c>
      <c r="I1375" s="5">
        <v>7</v>
      </c>
      <c r="J1375" s="5" t="s">
        <v>18</v>
      </c>
      <c r="K1375" s="5" t="s">
        <v>45</v>
      </c>
      <c r="L1375" s="5" t="s">
        <v>28</v>
      </c>
      <c r="M1375" s="7" t="s">
        <v>41</v>
      </c>
      <c r="N1375" s="26">
        <f t="shared" si="147"/>
        <v>0</v>
      </c>
      <c r="O1375" s="42">
        <f t="shared" si="148"/>
        <v>45174</v>
      </c>
      <c r="P1375" s="5" t="str">
        <f t="shared" si="149"/>
        <v>Tuesday</v>
      </c>
      <c r="Q1375" s="5">
        <f t="shared" si="150"/>
        <v>14</v>
      </c>
      <c r="R1375" s="28">
        <f t="shared" si="151"/>
        <v>0.95977011494252873</v>
      </c>
      <c r="S1375" s="29">
        <f t="shared" si="152"/>
        <v>95.977011494252878</v>
      </c>
      <c r="T1375" s="5" t="str">
        <f>IF(Delivery_Data3[[#This Row],[Delays (min)]]&gt;0,"No","Yes")</f>
        <v>No</v>
      </c>
      <c r="W1375" s="41">
        <f t="shared" si="153"/>
        <v>45174</v>
      </c>
      <c r="X1375" s="5">
        <v>167</v>
      </c>
    </row>
    <row r="1376" spans="1:24" ht="15.75" customHeight="1" x14ac:dyDescent="0.3">
      <c r="A1376" s="4">
        <v>2375</v>
      </c>
      <c r="B1376" s="5" t="s">
        <v>1473</v>
      </c>
      <c r="C1376" s="6">
        <v>45173.695138888892</v>
      </c>
      <c r="D1376" s="5" t="s">
        <v>14</v>
      </c>
      <c r="E1376" s="5" t="s">
        <v>53</v>
      </c>
      <c r="F1376" s="5" t="s">
        <v>38</v>
      </c>
      <c r="G1376" s="5" t="s">
        <v>17</v>
      </c>
      <c r="H1376" s="5">
        <v>176</v>
      </c>
      <c r="I1376" s="5">
        <v>15</v>
      </c>
      <c r="J1376" s="5" t="s">
        <v>32</v>
      </c>
      <c r="K1376" s="5" t="s">
        <v>19</v>
      </c>
      <c r="L1376" s="5" t="s">
        <v>28</v>
      </c>
      <c r="M1376" s="7" t="s">
        <v>41</v>
      </c>
      <c r="N1376" s="26">
        <f t="shared" si="147"/>
        <v>-1</v>
      </c>
      <c r="O1376" s="42">
        <f t="shared" si="148"/>
        <v>45173</v>
      </c>
      <c r="P1376" s="5" t="str">
        <f t="shared" si="149"/>
        <v>Monday</v>
      </c>
      <c r="Q1376" s="5">
        <f t="shared" si="150"/>
        <v>16</v>
      </c>
      <c r="R1376" s="28">
        <f t="shared" si="151"/>
        <v>0.92146596858638741</v>
      </c>
      <c r="S1376" s="29">
        <f t="shared" si="152"/>
        <v>92.146596858638745</v>
      </c>
      <c r="T1376" s="5" t="str">
        <f>IF(Delivery_Data3[[#This Row],[Delays (min)]]&gt;0,"No","Yes")</f>
        <v>No</v>
      </c>
      <c r="W1376" s="41">
        <f t="shared" si="153"/>
        <v>45173</v>
      </c>
      <c r="X1376" s="5">
        <v>176</v>
      </c>
    </row>
    <row r="1377" spans="1:24" ht="15.75" customHeight="1" x14ac:dyDescent="0.3">
      <c r="A1377" s="4">
        <v>2376</v>
      </c>
      <c r="B1377" s="5" t="s">
        <v>1474</v>
      </c>
      <c r="C1377" s="6">
        <v>45175.565972222219</v>
      </c>
      <c r="D1377" s="5" t="s">
        <v>14</v>
      </c>
      <c r="E1377" s="5" t="s">
        <v>97</v>
      </c>
      <c r="F1377" s="5" t="s">
        <v>16</v>
      </c>
      <c r="G1377" s="5" t="s">
        <v>17</v>
      </c>
      <c r="H1377" s="5">
        <v>229</v>
      </c>
      <c r="I1377" s="5">
        <v>2</v>
      </c>
      <c r="J1377" s="5" t="s">
        <v>32</v>
      </c>
      <c r="K1377" s="5" t="s">
        <v>27</v>
      </c>
      <c r="L1377" s="5" t="s">
        <v>20</v>
      </c>
      <c r="M1377" s="7" t="s">
        <v>21</v>
      </c>
      <c r="N1377" s="26">
        <f t="shared" si="147"/>
        <v>-1</v>
      </c>
      <c r="O1377" s="42">
        <f t="shared" si="148"/>
        <v>45175</v>
      </c>
      <c r="P1377" s="5" t="str">
        <f t="shared" si="149"/>
        <v>Wednesday</v>
      </c>
      <c r="Q1377" s="5">
        <f t="shared" si="150"/>
        <v>13</v>
      </c>
      <c r="R1377" s="28">
        <f t="shared" si="151"/>
        <v>0.9913419913419913</v>
      </c>
      <c r="S1377" s="29">
        <f t="shared" si="152"/>
        <v>99.134199134199136</v>
      </c>
      <c r="T1377" s="5" t="str">
        <f>IF(Delivery_Data3[[#This Row],[Delays (min)]]&gt;0,"No","Yes")</f>
        <v>No</v>
      </c>
      <c r="W1377" s="41">
        <f t="shared" si="153"/>
        <v>45175</v>
      </c>
      <c r="X1377" s="5">
        <v>229</v>
      </c>
    </row>
    <row r="1378" spans="1:24" ht="15.75" customHeight="1" x14ac:dyDescent="0.3">
      <c r="A1378" s="4">
        <v>2377</v>
      </c>
      <c r="B1378" s="5" t="s">
        <v>1475</v>
      </c>
      <c r="C1378" s="6">
        <v>45175.565972222219</v>
      </c>
      <c r="D1378" s="5" t="s">
        <v>43</v>
      </c>
      <c r="E1378" s="5" t="s">
        <v>111</v>
      </c>
      <c r="F1378" s="5" t="s">
        <v>24</v>
      </c>
      <c r="G1378" s="5" t="s">
        <v>17</v>
      </c>
      <c r="H1378" s="5">
        <v>197</v>
      </c>
      <c r="I1378" s="5">
        <v>20</v>
      </c>
      <c r="J1378" s="5" t="s">
        <v>26</v>
      </c>
      <c r="K1378" s="5" t="s">
        <v>45</v>
      </c>
      <c r="L1378" s="5" t="s">
        <v>20</v>
      </c>
      <c r="M1378" s="7" t="s">
        <v>41</v>
      </c>
      <c r="N1378" s="26">
        <f t="shared" si="147"/>
        <v>1</v>
      </c>
      <c r="O1378" s="42">
        <f t="shared" si="148"/>
        <v>45175</v>
      </c>
      <c r="P1378" s="5" t="str">
        <f t="shared" si="149"/>
        <v>Wednesday</v>
      </c>
      <c r="Q1378" s="5">
        <f t="shared" si="150"/>
        <v>13</v>
      </c>
      <c r="R1378" s="28">
        <f t="shared" si="151"/>
        <v>0.90783410138248843</v>
      </c>
      <c r="S1378" s="29">
        <f t="shared" si="152"/>
        <v>90.78341013824884</v>
      </c>
      <c r="T1378" s="5" t="str">
        <f>IF(Delivery_Data3[[#This Row],[Delays (min)]]&gt;0,"No","Yes")</f>
        <v>No</v>
      </c>
      <c r="W1378" s="41">
        <f t="shared" si="153"/>
        <v>45175</v>
      </c>
      <c r="X1378" s="5">
        <v>197</v>
      </c>
    </row>
    <row r="1379" spans="1:24" ht="15.75" customHeight="1" x14ac:dyDescent="0.3">
      <c r="A1379" s="4">
        <v>2378</v>
      </c>
      <c r="B1379" s="5" t="s">
        <v>1476</v>
      </c>
      <c r="C1379" s="6">
        <v>45174.424305555556</v>
      </c>
      <c r="D1379" s="5" t="s">
        <v>14</v>
      </c>
      <c r="E1379" s="5" t="s">
        <v>200</v>
      </c>
      <c r="F1379" s="5" t="s">
        <v>16</v>
      </c>
      <c r="G1379" s="5" t="s">
        <v>25</v>
      </c>
      <c r="H1379" s="5">
        <v>237</v>
      </c>
      <c r="I1379" s="5">
        <v>9</v>
      </c>
      <c r="J1379" s="5" t="s">
        <v>32</v>
      </c>
      <c r="K1379" s="5" t="s">
        <v>45</v>
      </c>
      <c r="L1379" s="5" t="s">
        <v>40</v>
      </c>
      <c r="M1379" s="7" t="s">
        <v>21</v>
      </c>
      <c r="N1379" s="26">
        <f t="shared" si="147"/>
        <v>-1</v>
      </c>
      <c r="O1379" s="42">
        <f t="shared" si="148"/>
        <v>45174</v>
      </c>
      <c r="P1379" s="5" t="str">
        <f t="shared" si="149"/>
        <v>Tuesday</v>
      </c>
      <c r="Q1379" s="5">
        <f t="shared" si="150"/>
        <v>10</v>
      </c>
      <c r="R1379" s="28">
        <f t="shared" si="151"/>
        <v>0.96341463414634143</v>
      </c>
      <c r="S1379" s="29">
        <f t="shared" si="152"/>
        <v>96.341463414634148</v>
      </c>
      <c r="T1379" s="5" t="str">
        <f>IF(Delivery_Data3[[#This Row],[Delays (min)]]&gt;0,"No","Yes")</f>
        <v>No</v>
      </c>
      <c r="W1379" s="41">
        <f t="shared" si="153"/>
        <v>45174</v>
      </c>
      <c r="X1379" s="5">
        <v>237</v>
      </c>
    </row>
    <row r="1380" spans="1:24" ht="15.75" customHeight="1" x14ac:dyDescent="0.3">
      <c r="A1380" s="4">
        <v>2379</v>
      </c>
      <c r="B1380" s="5" t="s">
        <v>1477</v>
      </c>
      <c r="C1380" s="6">
        <v>45175.446527777778</v>
      </c>
      <c r="D1380" s="5" t="s">
        <v>14</v>
      </c>
      <c r="E1380" s="5" t="s">
        <v>120</v>
      </c>
      <c r="F1380" s="5" t="s">
        <v>38</v>
      </c>
      <c r="G1380" s="5" t="s">
        <v>17</v>
      </c>
      <c r="H1380" s="5">
        <v>227</v>
      </c>
      <c r="I1380" s="5">
        <v>25</v>
      </c>
      <c r="J1380" s="5" t="s">
        <v>32</v>
      </c>
      <c r="K1380" s="5" t="s">
        <v>35</v>
      </c>
      <c r="L1380" s="5" t="s">
        <v>20</v>
      </c>
      <c r="M1380" s="7" t="s">
        <v>21</v>
      </c>
      <c r="N1380" s="26">
        <f t="shared" si="147"/>
        <v>-1</v>
      </c>
      <c r="O1380" s="42">
        <f t="shared" si="148"/>
        <v>45175</v>
      </c>
      <c r="P1380" s="5" t="str">
        <f t="shared" si="149"/>
        <v>Wednesday</v>
      </c>
      <c r="Q1380" s="5">
        <f t="shared" si="150"/>
        <v>10</v>
      </c>
      <c r="R1380" s="28">
        <f t="shared" si="151"/>
        <v>0.90079365079365081</v>
      </c>
      <c r="S1380" s="29">
        <f t="shared" si="152"/>
        <v>90.079365079365076</v>
      </c>
      <c r="T1380" s="5" t="str">
        <f>IF(Delivery_Data3[[#This Row],[Delays (min)]]&gt;0,"No","Yes")</f>
        <v>No</v>
      </c>
      <c r="W1380" s="41">
        <f t="shared" si="153"/>
        <v>45175</v>
      </c>
      <c r="X1380" s="5">
        <v>227</v>
      </c>
    </row>
    <row r="1381" spans="1:24" ht="15.75" customHeight="1" x14ac:dyDescent="0.3">
      <c r="A1381" s="4">
        <v>2380</v>
      </c>
      <c r="B1381" s="5" t="s">
        <v>1478</v>
      </c>
      <c r="C1381" s="6">
        <v>45175.447916666664</v>
      </c>
      <c r="D1381" s="5" t="s">
        <v>43</v>
      </c>
      <c r="E1381" s="5" t="s">
        <v>37</v>
      </c>
      <c r="F1381" s="5" t="s">
        <v>24</v>
      </c>
      <c r="G1381" s="5" t="s">
        <v>56</v>
      </c>
      <c r="H1381" s="5">
        <v>117</v>
      </c>
      <c r="I1381" s="5">
        <v>2</v>
      </c>
      <c r="J1381" s="5" t="s">
        <v>32</v>
      </c>
      <c r="K1381" s="5" t="s">
        <v>35</v>
      </c>
      <c r="L1381" s="5" t="s">
        <v>40</v>
      </c>
      <c r="M1381" s="7" t="s">
        <v>21</v>
      </c>
      <c r="N1381" s="26">
        <f t="shared" si="147"/>
        <v>-1</v>
      </c>
      <c r="O1381" s="42">
        <f t="shared" si="148"/>
        <v>45175</v>
      </c>
      <c r="P1381" s="5" t="str">
        <f t="shared" si="149"/>
        <v>Wednesday</v>
      </c>
      <c r="Q1381" s="5">
        <f t="shared" si="150"/>
        <v>10</v>
      </c>
      <c r="R1381" s="28">
        <f t="shared" si="151"/>
        <v>0.98319327731092432</v>
      </c>
      <c r="S1381" s="29">
        <f t="shared" si="152"/>
        <v>98.319327731092429</v>
      </c>
      <c r="T1381" s="5" t="str">
        <f>IF(Delivery_Data3[[#This Row],[Delays (min)]]&gt;0,"No","Yes")</f>
        <v>No</v>
      </c>
      <c r="W1381" s="41">
        <f t="shared" si="153"/>
        <v>45175</v>
      </c>
      <c r="X1381" s="5">
        <v>117</v>
      </c>
    </row>
    <row r="1382" spans="1:24" ht="15.75" customHeight="1" x14ac:dyDescent="0.3">
      <c r="A1382" s="4">
        <v>2381</v>
      </c>
      <c r="B1382" s="5" t="s">
        <v>1479</v>
      </c>
      <c r="C1382" s="6">
        <v>45171.392361111109</v>
      </c>
      <c r="D1382" s="5" t="s">
        <v>14</v>
      </c>
      <c r="E1382" s="5" t="s">
        <v>93</v>
      </c>
      <c r="F1382" s="5" t="s">
        <v>38</v>
      </c>
      <c r="G1382" s="5" t="s">
        <v>17</v>
      </c>
      <c r="H1382" s="5">
        <v>145</v>
      </c>
      <c r="I1382" s="5">
        <v>11</v>
      </c>
      <c r="J1382" s="5" t="s">
        <v>18</v>
      </c>
      <c r="K1382" s="5" t="s">
        <v>19</v>
      </c>
      <c r="L1382" s="5" t="s">
        <v>28</v>
      </c>
      <c r="M1382" s="7" t="s">
        <v>41</v>
      </c>
      <c r="N1382" s="26">
        <f t="shared" si="147"/>
        <v>0</v>
      </c>
      <c r="O1382" s="42">
        <f t="shared" si="148"/>
        <v>45171</v>
      </c>
      <c r="P1382" s="5" t="str">
        <f t="shared" si="149"/>
        <v>Saturday</v>
      </c>
      <c r="Q1382" s="5">
        <f t="shared" si="150"/>
        <v>9</v>
      </c>
      <c r="R1382" s="28">
        <f t="shared" si="151"/>
        <v>0.92948717948717952</v>
      </c>
      <c r="S1382" s="29">
        <f t="shared" si="152"/>
        <v>92.948717948717956</v>
      </c>
      <c r="T1382" s="5" t="str">
        <f>IF(Delivery_Data3[[#This Row],[Delays (min)]]&gt;0,"No","Yes")</f>
        <v>No</v>
      </c>
      <c r="W1382" s="41">
        <f t="shared" si="153"/>
        <v>45171</v>
      </c>
      <c r="X1382" s="5">
        <v>145</v>
      </c>
    </row>
    <row r="1383" spans="1:24" ht="15.75" customHeight="1" x14ac:dyDescent="0.3">
      <c r="A1383" s="4">
        <v>2382</v>
      </c>
      <c r="B1383" s="5" t="s">
        <v>1480</v>
      </c>
      <c r="C1383" s="6">
        <v>45177.680555555555</v>
      </c>
      <c r="D1383" s="5" t="s">
        <v>43</v>
      </c>
      <c r="E1383" s="5" t="s">
        <v>30</v>
      </c>
      <c r="F1383" s="5" t="s">
        <v>16</v>
      </c>
      <c r="G1383" s="5" t="s">
        <v>31</v>
      </c>
      <c r="H1383" s="5">
        <v>136</v>
      </c>
      <c r="I1383" s="5">
        <v>12</v>
      </c>
      <c r="J1383" s="5" t="s">
        <v>32</v>
      </c>
      <c r="K1383" s="5" t="s">
        <v>27</v>
      </c>
      <c r="L1383" s="5" t="s">
        <v>20</v>
      </c>
      <c r="M1383" s="7" t="s">
        <v>46</v>
      </c>
      <c r="N1383" s="26">
        <f t="shared" si="147"/>
        <v>-1</v>
      </c>
      <c r="O1383" s="42">
        <f t="shared" si="148"/>
        <v>45177</v>
      </c>
      <c r="P1383" s="5" t="str">
        <f t="shared" si="149"/>
        <v>Friday</v>
      </c>
      <c r="Q1383" s="5">
        <f t="shared" si="150"/>
        <v>16</v>
      </c>
      <c r="R1383" s="28">
        <f t="shared" si="151"/>
        <v>0.91891891891891897</v>
      </c>
      <c r="S1383" s="29">
        <f t="shared" si="152"/>
        <v>91.891891891891902</v>
      </c>
      <c r="T1383" s="5" t="str">
        <f>IF(Delivery_Data3[[#This Row],[Delays (min)]]&gt;0,"No","Yes")</f>
        <v>No</v>
      </c>
      <c r="W1383" s="41">
        <f t="shared" si="153"/>
        <v>45177</v>
      </c>
      <c r="X1383" s="5">
        <v>136</v>
      </c>
    </row>
    <row r="1384" spans="1:24" ht="15.75" customHeight="1" x14ac:dyDescent="0.3">
      <c r="A1384" s="4">
        <v>2383</v>
      </c>
      <c r="B1384" s="5" t="s">
        <v>1481</v>
      </c>
      <c r="C1384" s="6">
        <v>45171.568749999999</v>
      </c>
      <c r="D1384" s="5" t="s">
        <v>14</v>
      </c>
      <c r="E1384" s="5" t="s">
        <v>162</v>
      </c>
      <c r="F1384" s="5" t="s">
        <v>24</v>
      </c>
      <c r="G1384" s="5" t="s">
        <v>56</v>
      </c>
      <c r="H1384" s="5">
        <v>228</v>
      </c>
      <c r="I1384" s="5">
        <v>20</v>
      </c>
      <c r="J1384" s="5" t="s">
        <v>26</v>
      </c>
      <c r="K1384" s="5" t="s">
        <v>45</v>
      </c>
      <c r="L1384" s="5" t="s">
        <v>28</v>
      </c>
      <c r="M1384" s="7" t="s">
        <v>46</v>
      </c>
      <c r="N1384" s="26">
        <f t="shared" si="147"/>
        <v>1</v>
      </c>
      <c r="O1384" s="42">
        <f t="shared" si="148"/>
        <v>45171</v>
      </c>
      <c r="P1384" s="5" t="str">
        <f t="shared" si="149"/>
        <v>Saturday</v>
      </c>
      <c r="Q1384" s="5">
        <f t="shared" si="150"/>
        <v>13</v>
      </c>
      <c r="R1384" s="28">
        <f t="shared" si="151"/>
        <v>0.91935483870967738</v>
      </c>
      <c r="S1384" s="29">
        <f t="shared" si="152"/>
        <v>91.935483870967744</v>
      </c>
      <c r="T1384" s="5" t="str">
        <f>IF(Delivery_Data3[[#This Row],[Delays (min)]]&gt;0,"No","Yes")</f>
        <v>No</v>
      </c>
      <c r="W1384" s="41">
        <f t="shared" si="153"/>
        <v>45171</v>
      </c>
      <c r="X1384" s="5">
        <v>228</v>
      </c>
    </row>
    <row r="1385" spans="1:24" ht="15.75" customHeight="1" x14ac:dyDescent="0.3">
      <c r="A1385" s="4">
        <v>2384</v>
      </c>
      <c r="B1385" s="5" t="s">
        <v>1482</v>
      </c>
      <c r="C1385" s="6">
        <v>45170.62777777778</v>
      </c>
      <c r="D1385" s="5" t="s">
        <v>14</v>
      </c>
      <c r="E1385" s="5" t="s">
        <v>272</v>
      </c>
      <c r="F1385" s="5" t="s">
        <v>38</v>
      </c>
      <c r="G1385" s="5" t="s">
        <v>56</v>
      </c>
      <c r="H1385" s="5">
        <v>206</v>
      </c>
      <c r="I1385" s="5">
        <v>13</v>
      </c>
      <c r="J1385" s="5" t="s">
        <v>18</v>
      </c>
      <c r="K1385" s="5" t="s">
        <v>19</v>
      </c>
      <c r="L1385" s="5" t="s">
        <v>40</v>
      </c>
      <c r="M1385" s="7" t="s">
        <v>21</v>
      </c>
      <c r="N1385" s="26">
        <f t="shared" si="147"/>
        <v>0</v>
      </c>
      <c r="O1385" s="42">
        <f t="shared" si="148"/>
        <v>45170</v>
      </c>
      <c r="P1385" s="5" t="str">
        <f t="shared" si="149"/>
        <v>Friday</v>
      </c>
      <c r="Q1385" s="5">
        <f t="shared" si="150"/>
        <v>15</v>
      </c>
      <c r="R1385" s="28">
        <f t="shared" si="151"/>
        <v>0.94063926940639264</v>
      </c>
      <c r="S1385" s="29">
        <f t="shared" si="152"/>
        <v>94.063926940639263</v>
      </c>
      <c r="T1385" s="5" t="str">
        <f>IF(Delivery_Data3[[#This Row],[Delays (min)]]&gt;0,"No","Yes")</f>
        <v>No</v>
      </c>
      <c r="W1385" s="41">
        <f t="shared" si="153"/>
        <v>45170</v>
      </c>
      <c r="X1385" s="5">
        <v>206</v>
      </c>
    </row>
    <row r="1386" spans="1:24" ht="15.75" customHeight="1" x14ac:dyDescent="0.3">
      <c r="A1386" s="4">
        <v>2385</v>
      </c>
      <c r="B1386" s="5" t="s">
        <v>1483</v>
      </c>
      <c r="C1386" s="6">
        <v>45170.581944444442</v>
      </c>
      <c r="D1386" s="5" t="s">
        <v>43</v>
      </c>
      <c r="E1386" s="5" t="s">
        <v>240</v>
      </c>
      <c r="F1386" s="5" t="s">
        <v>38</v>
      </c>
      <c r="G1386" s="5" t="s">
        <v>31</v>
      </c>
      <c r="H1386" s="5">
        <v>114</v>
      </c>
      <c r="I1386" s="5">
        <v>8</v>
      </c>
      <c r="J1386" s="5" t="s">
        <v>32</v>
      </c>
      <c r="K1386" s="5" t="s">
        <v>27</v>
      </c>
      <c r="L1386" s="5" t="s">
        <v>40</v>
      </c>
      <c r="M1386" s="7" t="s">
        <v>41</v>
      </c>
      <c r="N1386" s="26">
        <f t="shared" si="147"/>
        <v>-1</v>
      </c>
      <c r="O1386" s="42">
        <f t="shared" si="148"/>
        <v>45170</v>
      </c>
      <c r="P1386" s="5" t="str">
        <f t="shared" si="149"/>
        <v>Friday</v>
      </c>
      <c r="Q1386" s="5">
        <f t="shared" si="150"/>
        <v>13</v>
      </c>
      <c r="R1386" s="28">
        <f t="shared" si="151"/>
        <v>0.93442622950819676</v>
      </c>
      <c r="S1386" s="29">
        <f t="shared" si="152"/>
        <v>93.442622950819683</v>
      </c>
      <c r="T1386" s="5" t="str">
        <f>IF(Delivery_Data3[[#This Row],[Delays (min)]]&gt;0,"No","Yes")</f>
        <v>No</v>
      </c>
      <c r="W1386" s="41">
        <f t="shared" si="153"/>
        <v>45170</v>
      </c>
      <c r="X1386" s="5">
        <v>114</v>
      </c>
    </row>
    <row r="1387" spans="1:24" ht="15.75" customHeight="1" x14ac:dyDescent="0.3">
      <c r="A1387" s="4">
        <v>2386</v>
      </c>
      <c r="B1387" s="5" t="s">
        <v>1484</v>
      </c>
      <c r="C1387" s="6">
        <v>45170.70416666667</v>
      </c>
      <c r="D1387" s="5" t="s">
        <v>43</v>
      </c>
      <c r="E1387" s="5" t="s">
        <v>169</v>
      </c>
      <c r="F1387" s="5" t="s">
        <v>38</v>
      </c>
      <c r="G1387" s="5" t="s">
        <v>25</v>
      </c>
      <c r="H1387" s="5">
        <v>72</v>
      </c>
      <c r="I1387" s="5">
        <v>25</v>
      </c>
      <c r="J1387" s="5" t="s">
        <v>18</v>
      </c>
      <c r="K1387" s="5" t="s">
        <v>27</v>
      </c>
      <c r="L1387" s="5" t="s">
        <v>40</v>
      </c>
      <c r="M1387" s="7" t="s">
        <v>21</v>
      </c>
      <c r="N1387" s="26">
        <f t="shared" si="147"/>
        <v>0</v>
      </c>
      <c r="O1387" s="42">
        <f t="shared" si="148"/>
        <v>45170</v>
      </c>
      <c r="P1387" s="5" t="str">
        <f t="shared" si="149"/>
        <v>Friday</v>
      </c>
      <c r="Q1387" s="5">
        <f t="shared" si="150"/>
        <v>16</v>
      </c>
      <c r="R1387" s="28">
        <f t="shared" si="151"/>
        <v>0.74226804123711343</v>
      </c>
      <c r="S1387" s="29">
        <f t="shared" si="152"/>
        <v>74.226804123711347</v>
      </c>
      <c r="T1387" s="5" t="str">
        <f>IF(Delivery_Data3[[#This Row],[Delays (min)]]&gt;0,"No","Yes")</f>
        <v>No</v>
      </c>
      <c r="W1387" s="41">
        <f t="shared" si="153"/>
        <v>45170</v>
      </c>
      <c r="X1387" s="5">
        <v>72</v>
      </c>
    </row>
    <row r="1388" spans="1:24" ht="15.75" customHeight="1" x14ac:dyDescent="0.3">
      <c r="A1388" s="4">
        <v>2387</v>
      </c>
      <c r="B1388" s="5" t="s">
        <v>1485</v>
      </c>
      <c r="C1388" s="6">
        <v>45171.554861111108</v>
      </c>
      <c r="D1388" s="5" t="s">
        <v>43</v>
      </c>
      <c r="E1388" s="5" t="s">
        <v>374</v>
      </c>
      <c r="F1388" s="5" t="s">
        <v>24</v>
      </c>
      <c r="G1388" s="5" t="s">
        <v>56</v>
      </c>
      <c r="H1388" s="5">
        <v>151</v>
      </c>
      <c r="I1388" s="5">
        <v>8</v>
      </c>
      <c r="J1388" s="5" t="s">
        <v>18</v>
      </c>
      <c r="K1388" s="5" t="s">
        <v>27</v>
      </c>
      <c r="L1388" s="5" t="s">
        <v>20</v>
      </c>
      <c r="M1388" s="7" t="s">
        <v>41</v>
      </c>
      <c r="N1388" s="26">
        <f t="shared" si="147"/>
        <v>0</v>
      </c>
      <c r="O1388" s="42">
        <f t="shared" si="148"/>
        <v>45171</v>
      </c>
      <c r="P1388" s="5" t="str">
        <f t="shared" si="149"/>
        <v>Saturday</v>
      </c>
      <c r="Q1388" s="5">
        <f t="shared" si="150"/>
        <v>13</v>
      </c>
      <c r="R1388" s="28">
        <f t="shared" si="151"/>
        <v>0.94968553459119498</v>
      </c>
      <c r="S1388" s="29">
        <f t="shared" si="152"/>
        <v>94.968553459119505</v>
      </c>
      <c r="T1388" s="5" t="str">
        <f>IF(Delivery_Data3[[#This Row],[Delays (min)]]&gt;0,"No","Yes")</f>
        <v>No</v>
      </c>
      <c r="W1388" s="41">
        <f t="shared" si="153"/>
        <v>45171</v>
      </c>
      <c r="X1388" s="5">
        <v>151</v>
      </c>
    </row>
    <row r="1389" spans="1:24" ht="15.75" customHeight="1" x14ac:dyDescent="0.3">
      <c r="A1389" s="4">
        <v>2388</v>
      </c>
      <c r="B1389" s="5" t="s">
        <v>1486</v>
      </c>
      <c r="C1389" s="6">
        <v>45177.519444444442</v>
      </c>
      <c r="D1389" s="5" t="s">
        <v>14</v>
      </c>
      <c r="E1389" s="5" t="s">
        <v>64</v>
      </c>
      <c r="F1389" s="5" t="s">
        <v>38</v>
      </c>
      <c r="G1389" s="5" t="s">
        <v>39</v>
      </c>
      <c r="H1389" s="5">
        <v>201</v>
      </c>
      <c r="I1389" s="5">
        <v>15</v>
      </c>
      <c r="J1389" s="5" t="s">
        <v>18</v>
      </c>
      <c r="K1389" s="5" t="s">
        <v>19</v>
      </c>
      <c r="L1389" s="5" t="s">
        <v>28</v>
      </c>
      <c r="M1389" s="7" t="s">
        <v>21</v>
      </c>
      <c r="N1389" s="26">
        <f t="shared" si="147"/>
        <v>0</v>
      </c>
      <c r="O1389" s="42">
        <f t="shared" si="148"/>
        <v>45177</v>
      </c>
      <c r="P1389" s="5" t="str">
        <f t="shared" si="149"/>
        <v>Friday</v>
      </c>
      <c r="Q1389" s="5">
        <f t="shared" si="150"/>
        <v>12</v>
      </c>
      <c r="R1389" s="28">
        <f t="shared" si="151"/>
        <v>0.93055555555555558</v>
      </c>
      <c r="S1389" s="29">
        <f t="shared" si="152"/>
        <v>93.055555555555557</v>
      </c>
      <c r="T1389" s="5" t="str">
        <f>IF(Delivery_Data3[[#This Row],[Delays (min)]]&gt;0,"No","Yes")</f>
        <v>No</v>
      </c>
      <c r="W1389" s="41">
        <f t="shared" si="153"/>
        <v>45177</v>
      </c>
      <c r="X1389" s="5">
        <v>201</v>
      </c>
    </row>
    <row r="1390" spans="1:24" ht="15.75" customHeight="1" x14ac:dyDescent="0.3">
      <c r="A1390" s="4">
        <v>2389</v>
      </c>
      <c r="B1390" s="5" t="s">
        <v>1487</v>
      </c>
      <c r="C1390" s="6">
        <v>45177.511805555558</v>
      </c>
      <c r="D1390" s="5" t="s">
        <v>43</v>
      </c>
      <c r="E1390" s="5" t="s">
        <v>64</v>
      </c>
      <c r="F1390" s="5" t="s">
        <v>38</v>
      </c>
      <c r="G1390" s="5" t="s">
        <v>56</v>
      </c>
      <c r="H1390" s="5">
        <v>97</v>
      </c>
      <c r="I1390" s="5">
        <v>20</v>
      </c>
      <c r="J1390" s="5" t="s">
        <v>18</v>
      </c>
      <c r="K1390" s="5" t="s">
        <v>19</v>
      </c>
      <c r="L1390" s="5" t="s">
        <v>40</v>
      </c>
      <c r="M1390" s="7" t="s">
        <v>46</v>
      </c>
      <c r="N1390" s="26">
        <f t="shared" si="147"/>
        <v>0</v>
      </c>
      <c r="O1390" s="42">
        <f t="shared" si="148"/>
        <v>45177</v>
      </c>
      <c r="P1390" s="5" t="str">
        <f t="shared" si="149"/>
        <v>Friday</v>
      </c>
      <c r="Q1390" s="5">
        <f t="shared" si="150"/>
        <v>12</v>
      </c>
      <c r="R1390" s="28">
        <f t="shared" si="151"/>
        <v>0.82905982905982911</v>
      </c>
      <c r="S1390" s="29">
        <f t="shared" si="152"/>
        <v>82.90598290598291</v>
      </c>
      <c r="T1390" s="5" t="str">
        <f>IF(Delivery_Data3[[#This Row],[Delays (min)]]&gt;0,"No","Yes")</f>
        <v>No</v>
      </c>
      <c r="W1390" s="41">
        <f t="shared" si="153"/>
        <v>45177</v>
      </c>
      <c r="X1390" s="5">
        <v>97</v>
      </c>
    </row>
    <row r="1391" spans="1:24" ht="15.75" customHeight="1" x14ac:dyDescent="0.3">
      <c r="A1391" s="4">
        <v>2390</v>
      </c>
      <c r="B1391" s="5" t="s">
        <v>1488</v>
      </c>
      <c r="C1391" s="6">
        <v>45175.491666666669</v>
      </c>
      <c r="D1391" s="5" t="s">
        <v>43</v>
      </c>
      <c r="E1391" s="5" t="s">
        <v>410</v>
      </c>
      <c r="F1391" s="5" t="s">
        <v>16</v>
      </c>
      <c r="G1391" s="5" t="s">
        <v>39</v>
      </c>
      <c r="H1391" s="5">
        <v>166</v>
      </c>
      <c r="I1391" s="5">
        <v>1</v>
      </c>
      <c r="J1391" s="5" t="s">
        <v>18</v>
      </c>
      <c r="K1391" s="5" t="s">
        <v>27</v>
      </c>
      <c r="L1391" s="5" t="s">
        <v>20</v>
      </c>
      <c r="M1391" s="7" t="s">
        <v>21</v>
      </c>
      <c r="N1391" s="26">
        <f t="shared" si="147"/>
        <v>0</v>
      </c>
      <c r="O1391" s="42">
        <f t="shared" si="148"/>
        <v>45175</v>
      </c>
      <c r="P1391" s="5" t="str">
        <f t="shared" si="149"/>
        <v>Wednesday</v>
      </c>
      <c r="Q1391" s="5">
        <f t="shared" si="150"/>
        <v>11</v>
      </c>
      <c r="R1391" s="28">
        <f t="shared" si="151"/>
        <v>0.99401197604790414</v>
      </c>
      <c r="S1391" s="29">
        <f t="shared" si="152"/>
        <v>99.401197604790411</v>
      </c>
      <c r="T1391" s="5" t="str">
        <f>IF(Delivery_Data3[[#This Row],[Delays (min)]]&gt;0,"No","Yes")</f>
        <v>No</v>
      </c>
      <c r="W1391" s="41">
        <f t="shared" si="153"/>
        <v>45175</v>
      </c>
      <c r="X1391" s="5">
        <v>166</v>
      </c>
    </row>
    <row r="1392" spans="1:24" ht="15.75" customHeight="1" x14ac:dyDescent="0.3">
      <c r="A1392" s="4">
        <v>2391</v>
      </c>
      <c r="B1392" s="5" t="s">
        <v>1445</v>
      </c>
      <c r="C1392" s="6">
        <v>45172.473611111112</v>
      </c>
      <c r="D1392" s="5" t="s">
        <v>43</v>
      </c>
      <c r="E1392" s="5" t="s">
        <v>200</v>
      </c>
      <c r="F1392" s="5" t="s">
        <v>38</v>
      </c>
      <c r="G1392" s="5" t="s">
        <v>39</v>
      </c>
      <c r="H1392" s="5">
        <v>99</v>
      </c>
      <c r="I1392" s="5">
        <v>15</v>
      </c>
      <c r="J1392" s="5" t="s">
        <v>26</v>
      </c>
      <c r="K1392" s="5" t="s">
        <v>45</v>
      </c>
      <c r="L1392" s="5" t="s">
        <v>28</v>
      </c>
      <c r="M1392" s="7" t="s">
        <v>21</v>
      </c>
      <c r="N1392" s="26">
        <f t="shared" si="147"/>
        <v>1</v>
      </c>
      <c r="O1392" s="42">
        <f t="shared" si="148"/>
        <v>45172</v>
      </c>
      <c r="P1392" s="5" t="str">
        <f t="shared" si="149"/>
        <v>Sunday</v>
      </c>
      <c r="Q1392" s="5">
        <f t="shared" si="150"/>
        <v>11</v>
      </c>
      <c r="R1392" s="28">
        <f t="shared" si="151"/>
        <v>0.86842105263157898</v>
      </c>
      <c r="S1392" s="29">
        <f t="shared" si="152"/>
        <v>86.842105263157904</v>
      </c>
      <c r="T1392" s="5" t="str">
        <f>IF(Delivery_Data3[[#This Row],[Delays (min)]]&gt;0,"No","Yes")</f>
        <v>No</v>
      </c>
      <c r="W1392" s="41">
        <f t="shared" si="153"/>
        <v>45172</v>
      </c>
      <c r="X1392" s="5">
        <v>99</v>
      </c>
    </row>
    <row r="1393" spans="1:24" ht="15.75" customHeight="1" x14ac:dyDescent="0.3">
      <c r="A1393" s="4">
        <v>2392</v>
      </c>
      <c r="B1393" s="5" t="s">
        <v>1489</v>
      </c>
      <c r="C1393" s="6">
        <v>45174.519444444442</v>
      </c>
      <c r="D1393" s="5" t="s">
        <v>43</v>
      </c>
      <c r="E1393" s="5" t="s">
        <v>370</v>
      </c>
      <c r="F1393" s="5" t="s">
        <v>38</v>
      </c>
      <c r="G1393" s="5" t="s">
        <v>39</v>
      </c>
      <c r="H1393" s="5">
        <v>133</v>
      </c>
      <c r="I1393" s="5">
        <v>3</v>
      </c>
      <c r="J1393" s="5" t="s">
        <v>18</v>
      </c>
      <c r="K1393" s="5" t="s">
        <v>27</v>
      </c>
      <c r="L1393" s="5" t="s">
        <v>20</v>
      </c>
      <c r="M1393" s="7" t="s">
        <v>41</v>
      </c>
      <c r="N1393" s="26">
        <f t="shared" si="147"/>
        <v>0</v>
      </c>
      <c r="O1393" s="42">
        <f t="shared" si="148"/>
        <v>45174</v>
      </c>
      <c r="P1393" s="5" t="str">
        <f t="shared" si="149"/>
        <v>Tuesday</v>
      </c>
      <c r="Q1393" s="5">
        <f t="shared" si="150"/>
        <v>12</v>
      </c>
      <c r="R1393" s="28">
        <f t="shared" si="151"/>
        <v>0.9779411764705882</v>
      </c>
      <c r="S1393" s="29">
        <f t="shared" si="152"/>
        <v>97.794117647058826</v>
      </c>
      <c r="T1393" s="5" t="str">
        <f>IF(Delivery_Data3[[#This Row],[Delays (min)]]&gt;0,"No","Yes")</f>
        <v>No</v>
      </c>
      <c r="W1393" s="41">
        <f t="shared" si="153"/>
        <v>45174</v>
      </c>
      <c r="X1393" s="5">
        <v>133</v>
      </c>
    </row>
    <row r="1394" spans="1:24" ht="15.75" customHeight="1" x14ac:dyDescent="0.3">
      <c r="A1394" s="4">
        <v>2393</v>
      </c>
      <c r="B1394" s="5" t="s">
        <v>1490</v>
      </c>
      <c r="C1394" s="6">
        <v>45177.411805555559</v>
      </c>
      <c r="D1394" s="5" t="s">
        <v>43</v>
      </c>
      <c r="E1394" s="5" t="s">
        <v>113</v>
      </c>
      <c r="F1394" s="5" t="s">
        <v>16</v>
      </c>
      <c r="G1394" s="5" t="s">
        <v>31</v>
      </c>
      <c r="H1394" s="5">
        <v>81</v>
      </c>
      <c r="I1394" s="5">
        <v>20</v>
      </c>
      <c r="J1394" s="5" t="s">
        <v>32</v>
      </c>
      <c r="K1394" s="5" t="s">
        <v>35</v>
      </c>
      <c r="L1394" s="5" t="s">
        <v>20</v>
      </c>
      <c r="M1394" s="7" t="s">
        <v>46</v>
      </c>
      <c r="N1394" s="26">
        <f t="shared" si="147"/>
        <v>-1</v>
      </c>
      <c r="O1394" s="42">
        <f t="shared" si="148"/>
        <v>45177</v>
      </c>
      <c r="P1394" s="5" t="str">
        <f t="shared" si="149"/>
        <v>Friday</v>
      </c>
      <c r="Q1394" s="5">
        <f t="shared" si="150"/>
        <v>9</v>
      </c>
      <c r="R1394" s="28">
        <f t="shared" si="151"/>
        <v>0.80198019801980203</v>
      </c>
      <c r="S1394" s="29">
        <f t="shared" si="152"/>
        <v>80.198019801980209</v>
      </c>
      <c r="T1394" s="5" t="str">
        <f>IF(Delivery_Data3[[#This Row],[Delays (min)]]&gt;0,"No","Yes")</f>
        <v>No</v>
      </c>
      <c r="W1394" s="41">
        <f t="shared" si="153"/>
        <v>45177</v>
      </c>
      <c r="X1394" s="5">
        <v>81</v>
      </c>
    </row>
    <row r="1395" spans="1:24" ht="15.75" customHeight="1" x14ac:dyDescent="0.3">
      <c r="A1395" s="4">
        <v>2394</v>
      </c>
      <c r="B1395" s="5" t="s">
        <v>1491</v>
      </c>
      <c r="C1395" s="6">
        <v>45174.390277777777</v>
      </c>
      <c r="D1395" s="5" t="s">
        <v>14</v>
      </c>
      <c r="E1395" s="5" t="s">
        <v>48</v>
      </c>
      <c r="F1395" s="5" t="s">
        <v>24</v>
      </c>
      <c r="G1395" s="5" t="s">
        <v>39</v>
      </c>
      <c r="H1395" s="5">
        <v>119</v>
      </c>
      <c r="I1395" s="5">
        <v>3</v>
      </c>
      <c r="J1395" s="5" t="s">
        <v>26</v>
      </c>
      <c r="K1395" s="5" t="s">
        <v>19</v>
      </c>
      <c r="L1395" s="5" t="s">
        <v>40</v>
      </c>
      <c r="M1395" s="7" t="s">
        <v>21</v>
      </c>
      <c r="N1395" s="26">
        <f t="shared" si="147"/>
        <v>1</v>
      </c>
      <c r="O1395" s="42">
        <f t="shared" si="148"/>
        <v>45174</v>
      </c>
      <c r="P1395" s="5" t="str">
        <f t="shared" si="149"/>
        <v>Tuesday</v>
      </c>
      <c r="Q1395" s="5">
        <f t="shared" si="150"/>
        <v>9</v>
      </c>
      <c r="R1395" s="28">
        <f t="shared" si="151"/>
        <v>0.97540983606557374</v>
      </c>
      <c r="S1395" s="29">
        <f t="shared" si="152"/>
        <v>97.540983606557376</v>
      </c>
      <c r="T1395" s="5" t="str">
        <f>IF(Delivery_Data3[[#This Row],[Delays (min)]]&gt;0,"No","Yes")</f>
        <v>No</v>
      </c>
      <c r="W1395" s="41">
        <f t="shared" si="153"/>
        <v>45174</v>
      </c>
      <c r="X1395" s="5">
        <v>119</v>
      </c>
    </row>
    <row r="1396" spans="1:24" ht="15.75" customHeight="1" x14ac:dyDescent="0.3">
      <c r="A1396" s="4">
        <v>2395</v>
      </c>
      <c r="B1396" s="5" t="s">
        <v>1492</v>
      </c>
      <c r="C1396" s="6">
        <v>45174.633333333331</v>
      </c>
      <c r="D1396" s="5" t="s">
        <v>14</v>
      </c>
      <c r="E1396" s="5" t="s">
        <v>202</v>
      </c>
      <c r="F1396" s="5" t="s">
        <v>38</v>
      </c>
      <c r="G1396" s="5" t="s">
        <v>17</v>
      </c>
      <c r="H1396" s="5">
        <v>157</v>
      </c>
      <c r="I1396" s="5">
        <v>9</v>
      </c>
      <c r="J1396" s="5" t="s">
        <v>26</v>
      </c>
      <c r="K1396" s="5" t="s">
        <v>27</v>
      </c>
      <c r="L1396" s="5" t="s">
        <v>28</v>
      </c>
      <c r="M1396" s="7" t="s">
        <v>46</v>
      </c>
      <c r="N1396" s="26">
        <f t="shared" si="147"/>
        <v>1</v>
      </c>
      <c r="O1396" s="42">
        <f t="shared" si="148"/>
        <v>45174</v>
      </c>
      <c r="P1396" s="5" t="str">
        <f t="shared" si="149"/>
        <v>Tuesday</v>
      </c>
      <c r="Q1396" s="5">
        <f t="shared" si="150"/>
        <v>15</v>
      </c>
      <c r="R1396" s="28">
        <f t="shared" si="151"/>
        <v>0.94578313253012047</v>
      </c>
      <c r="S1396" s="29">
        <f t="shared" si="152"/>
        <v>94.578313253012041</v>
      </c>
      <c r="T1396" s="5" t="str">
        <f>IF(Delivery_Data3[[#This Row],[Delays (min)]]&gt;0,"No","Yes")</f>
        <v>No</v>
      </c>
      <c r="W1396" s="41">
        <f t="shared" si="153"/>
        <v>45174</v>
      </c>
      <c r="X1396" s="5">
        <v>157</v>
      </c>
    </row>
    <row r="1397" spans="1:24" ht="15.75" customHeight="1" x14ac:dyDescent="0.3">
      <c r="A1397" s="4">
        <v>2396</v>
      </c>
      <c r="B1397" s="5" t="s">
        <v>1493</v>
      </c>
      <c r="C1397" s="6">
        <v>45173.537499999999</v>
      </c>
      <c r="D1397" s="5" t="s">
        <v>43</v>
      </c>
      <c r="E1397" s="5" t="s">
        <v>140</v>
      </c>
      <c r="F1397" s="5" t="s">
        <v>24</v>
      </c>
      <c r="G1397" s="5" t="s">
        <v>17</v>
      </c>
      <c r="H1397" s="5">
        <v>75</v>
      </c>
      <c r="I1397" s="5">
        <v>4</v>
      </c>
      <c r="J1397" s="5" t="s">
        <v>32</v>
      </c>
      <c r="K1397" s="5" t="s">
        <v>45</v>
      </c>
      <c r="L1397" s="5" t="s">
        <v>20</v>
      </c>
      <c r="M1397" s="7" t="s">
        <v>21</v>
      </c>
      <c r="N1397" s="26">
        <f t="shared" si="147"/>
        <v>-1</v>
      </c>
      <c r="O1397" s="42">
        <f t="shared" si="148"/>
        <v>45173</v>
      </c>
      <c r="P1397" s="5" t="str">
        <f t="shared" si="149"/>
        <v>Monday</v>
      </c>
      <c r="Q1397" s="5">
        <f t="shared" si="150"/>
        <v>12</v>
      </c>
      <c r="R1397" s="28">
        <f t="shared" si="151"/>
        <v>0.94936708860759489</v>
      </c>
      <c r="S1397" s="29">
        <f t="shared" si="152"/>
        <v>94.936708860759495</v>
      </c>
      <c r="T1397" s="5" t="str">
        <f>IF(Delivery_Data3[[#This Row],[Delays (min)]]&gt;0,"No","Yes")</f>
        <v>No</v>
      </c>
      <c r="W1397" s="41">
        <f t="shared" si="153"/>
        <v>45173</v>
      </c>
      <c r="X1397" s="5">
        <v>75</v>
      </c>
    </row>
    <row r="1398" spans="1:24" ht="15.75" customHeight="1" x14ac:dyDescent="0.3">
      <c r="A1398" s="4">
        <v>2397</v>
      </c>
      <c r="B1398" s="5" t="s">
        <v>1494</v>
      </c>
      <c r="C1398" s="6">
        <v>45173.347916666666</v>
      </c>
      <c r="D1398" s="5" t="s">
        <v>14</v>
      </c>
      <c r="E1398" s="5" t="s">
        <v>48</v>
      </c>
      <c r="F1398" s="5" t="s">
        <v>16</v>
      </c>
      <c r="G1398" s="5" t="s">
        <v>25</v>
      </c>
      <c r="H1398" s="5">
        <v>101</v>
      </c>
      <c r="I1398" s="5">
        <v>5</v>
      </c>
      <c r="J1398" s="5" t="s">
        <v>32</v>
      </c>
      <c r="K1398" s="5" t="s">
        <v>35</v>
      </c>
      <c r="L1398" s="5" t="s">
        <v>20</v>
      </c>
      <c r="M1398" s="7" t="s">
        <v>46</v>
      </c>
      <c r="N1398" s="26">
        <f t="shared" si="147"/>
        <v>-1</v>
      </c>
      <c r="O1398" s="42">
        <f t="shared" si="148"/>
        <v>45173</v>
      </c>
      <c r="P1398" s="5" t="str">
        <f t="shared" si="149"/>
        <v>Monday</v>
      </c>
      <c r="Q1398" s="5">
        <f t="shared" si="150"/>
        <v>8</v>
      </c>
      <c r="R1398" s="28">
        <f t="shared" si="151"/>
        <v>0.95283018867924529</v>
      </c>
      <c r="S1398" s="29">
        <f t="shared" si="152"/>
        <v>95.283018867924525</v>
      </c>
      <c r="T1398" s="5" t="str">
        <f>IF(Delivery_Data3[[#This Row],[Delays (min)]]&gt;0,"No","Yes")</f>
        <v>No</v>
      </c>
      <c r="W1398" s="41">
        <f t="shared" si="153"/>
        <v>45173</v>
      </c>
      <c r="X1398" s="5">
        <v>101</v>
      </c>
    </row>
    <row r="1399" spans="1:24" ht="15.75" customHeight="1" x14ac:dyDescent="0.3">
      <c r="A1399" s="4">
        <v>2398</v>
      </c>
      <c r="B1399" s="5" t="s">
        <v>1495</v>
      </c>
      <c r="C1399" s="6">
        <v>45170.647222222222</v>
      </c>
      <c r="D1399" s="5" t="s">
        <v>43</v>
      </c>
      <c r="E1399" s="5" t="s">
        <v>93</v>
      </c>
      <c r="F1399" s="5" t="s">
        <v>16</v>
      </c>
      <c r="G1399" s="5" t="s">
        <v>39</v>
      </c>
      <c r="H1399" s="5">
        <v>77</v>
      </c>
      <c r="I1399" s="5">
        <v>27</v>
      </c>
      <c r="J1399" s="5" t="s">
        <v>26</v>
      </c>
      <c r="K1399" s="5" t="s">
        <v>19</v>
      </c>
      <c r="L1399" s="5" t="s">
        <v>20</v>
      </c>
      <c r="M1399" s="7" t="s">
        <v>41</v>
      </c>
      <c r="N1399" s="26">
        <f t="shared" si="147"/>
        <v>1</v>
      </c>
      <c r="O1399" s="42">
        <f t="shared" si="148"/>
        <v>45170</v>
      </c>
      <c r="P1399" s="5" t="str">
        <f t="shared" si="149"/>
        <v>Friday</v>
      </c>
      <c r="Q1399" s="5">
        <f t="shared" si="150"/>
        <v>15</v>
      </c>
      <c r="R1399" s="28">
        <f t="shared" si="151"/>
        <v>0.74038461538461542</v>
      </c>
      <c r="S1399" s="29">
        <f t="shared" si="152"/>
        <v>74.038461538461547</v>
      </c>
      <c r="T1399" s="5" t="str">
        <f>IF(Delivery_Data3[[#This Row],[Delays (min)]]&gt;0,"No","Yes")</f>
        <v>No</v>
      </c>
      <c r="W1399" s="41">
        <f t="shared" si="153"/>
        <v>45170</v>
      </c>
      <c r="X1399" s="5">
        <v>77</v>
      </c>
    </row>
    <row r="1400" spans="1:24" ht="15.75" customHeight="1" x14ac:dyDescent="0.3">
      <c r="A1400" s="4">
        <v>2399</v>
      </c>
      <c r="B1400" s="5" t="s">
        <v>1496</v>
      </c>
      <c r="C1400" s="6">
        <v>45171.466666666667</v>
      </c>
      <c r="D1400" s="5" t="s">
        <v>43</v>
      </c>
      <c r="E1400" s="5" t="s">
        <v>93</v>
      </c>
      <c r="F1400" s="5" t="s">
        <v>16</v>
      </c>
      <c r="G1400" s="5" t="s">
        <v>31</v>
      </c>
      <c r="H1400" s="5">
        <v>178</v>
      </c>
      <c r="I1400" s="5">
        <v>6</v>
      </c>
      <c r="J1400" s="5" t="s">
        <v>32</v>
      </c>
      <c r="K1400" s="5" t="s">
        <v>19</v>
      </c>
      <c r="L1400" s="5" t="s">
        <v>20</v>
      </c>
      <c r="M1400" s="7" t="s">
        <v>21</v>
      </c>
      <c r="N1400" s="26">
        <f t="shared" si="147"/>
        <v>-1</v>
      </c>
      <c r="O1400" s="42">
        <f t="shared" si="148"/>
        <v>45171</v>
      </c>
      <c r="P1400" s="5" t="str">
        <f t="shared" si="149"/>
        <v>Saturday</v>
      </c>
      <c r="Q1400" s="5">
        <f t="shared" si="150"/>
        <v>11</v>
      </c>
      <c r="R1400" s="28">
        <f t="shared" si="151"/>
        <v>0.96739130434782605</v>
      </c>
      <c r="S1400" s="29">
        <f t="shared" si="152"/>
        <v>96.739130434782609</v>
      </c>
      <c r="T1400" s="5" t="str">
        <f>IF(Delivery_Data3[[#This Row],[Delays (min)]]&gt;0,"No","Yes")</f>
        <v>No</v>
      </c>
      <c r="W1400" s="41">
        <f t="shared" si="153"/>
        <v>45171</v>
      </c>
      <c r="X1400" s="5">
        <v>178</v>
      </c>
    </row>
    <row r="1401" spans="1:24" ht="15.75" customHeight="1" x14ac:dyDescent="0.3">
      <c r="A1401" s="4">
        <v>2400</v>
      </c>
      <c r="B1401" s="5" t="s">
        <v>1497</v>
      </c>
      <c r="C1401" s="6">
        <v>45176.675694444442</v>
      </c>
      <c r="D1401" s="5" t="s">
        <v>14</v>
      </c>
      <c r="E1401" s="5" t="s">
        <v>135</v>
      </c>
      <c r="F1401" s="5" t="s">
        <v>38</v>
      </c>
      <c r="G1401" s="5" t="s">
        <v>31</v>
      </c>
      <c r="H1401" s="5">
        <v>218</v>
      </c>
      <c r="I1401" s="5">
        <v>8</v>
      </c>
      <c r="J1401" s="5" t="s">
        <v>26</v>
      </c>
      <c r="K1401" s="5" t="s">
        <v>27</v>
      </c>
      <c r="L1401" s="5" t="s">
        <v>20</v>
      </c>
      <c r="M1401" s="7" t="s">
        <v>46</v>
      </c>
      <c r="N1401" s="26">
        <f t="shared" si="147"/>
        <v>1</v>
      </c>
      <c r="O1401" s="42">
        <f t="shared" si="148"/>
        <v>45176</v>
      </c>
      <c r="P1401" s="5" t="str">
        <f t="shared" si="149"/>
        <v>Thursday</v>
      </c>
      <c r="Q1401" s="5">
        <f t="shared" si="150"/>
        <v>16</v>
      </c>
      <c r="R1401" s="28">
        <f t="shared" si="151"/>
        <v>0.96460176991150437</v>
      </c>
      <c r="S1401" s="29">
        <f t="shared" si="152"/>
        <v>96.460176991150433</v>
      </c>
      <c r="T1401" s="5" t="str">
        <f>IF(Delivery_Data3[[#This Row],[Delays (min)]]&gt;0,"No","Yes")</f>
        <v>No</v>
      </c>
      <c r="W1401" s="41">
        <f t="shared" si="153"/>
        <v>45176</v>
      </c>
      <c r="X1401" s="5">
        <v>218</v>
      </c>
    </row>
    <row r="1402" spans="1:24" ht="15.75" customHeight="1" x14ac:dyDescent="0.3">
      <c r="A1402" s="4">
        <v>2401</v>
      </c>
      <c r="B1402" s="5" t="s">
        <v>1498</v>
      </c>
      <c r="C1402" s="6">
        <v>45171.413194444445</v>
      </c>
      <c r="D1402" s="5" t="s">
        <v>43</v>
      </c>
      <c r="E1402" s="5" t="s">
        <v>85</v>
      </c>
      <c r="F1402" s="5" t="s">
        <v>38</v>
      </c>
      <c r="G1402" s="5" t="s">
        <v>25</v>
      </c>
      <c r="H1402" s="5">
        <v>124</v>
      </c>
      <c r="I1402" s="5">
        <v>27</v>
      </c>
      <c r="J1402" s="5" t="s">
        <v>32</v>
      </c>
      <c r="K1402" s="5" t="s">
        <v>49</v>
      </c>
      <c r="L1402" s="5" t="s">
        <v>20</v>
      </c>
      <c r="M1402" s="7" t="s">
        <v>21</v>
      </c>
      <c r="N1402" s="26">
        <f t="shared" si="147"/>
        <v>-1</v>
      </c>
      <c r="O1402" s="42">
        <f t="shared" si="148"/>
        <v>45171</v>
      </c>
      <c r="P1402" s="5" t="str">
        <f t="shared" si="149"/>
        <v>Saturday</v>
      </c>
      <c r="Q1402" s="5">
        <f t="shared" si="150"/>
        <v>9</v>
      </c>
      <c r="R1402" s="28">
        <f t="shared" si="151"/>
        <v>0.82119205298013243</v>
      </c>
      <c r="S1402" s="29">
        <f t="shared" si="152"/>
        <v>82.119205298013242</v>
      </c>
      <c r="T1402" s="5" t="str">
        <f>IF(Delivery_Data3[[#This Row],[Delays (min)]]&gt;0,"No","Yes")</f>
        <v>No</v>
      </c>
      <c r="W1402" s="41">
        <f t="shared" si="153"/>
        <v>45171</v>
      </c>
      <c r="X1402" s="5">
        <v>124</v>
      </c>
    </row>
    <row r="1403" spans="1:24" ht="15.75" customHeight="1" x14ac:dyDescent="0.3">
      <c r="A1403" s="4">
        <v>2402</v>
      </c>
      <c r="B1403" s="5" t="s">
        <v>1499</v>
      </c>
      <c r="C1403" s="6">
        <v>45172.46875</v>
      </c>
      <c r="D1403" s="5" t="s">
        <v>43</v>
      </c>
      <c r="E1403" s="5" t="s">
        <v>267</v>
      </c>
      <c r="F1403" s="5" t="s">
        <v>38</v>
      </c>
      <c r="G1403" s="5" t="s">
        <v>31</v>
      </c>
      <c r="H1403" s="5">
        <v>149</v>
      </c>
      <c r="I1403" s="5">
        <v>18</v>
      </c>
      <c r="J1403" s="5" t="s">
        <v>32</v>
      </c>
      <c r="K1403" s="5" t="s">
        <v>45</v>
      </c>
      <c r="L1403" s="5" t="s">
        <v>28</v>
      </c>
      <c r="M1403" s="7" t="s">
        <v>46</v>
      </c>
      <c r="N1403" s="26">
        <f t="shared" si="147"/>
        <v>-1</v>
      </c>
      <c r="O1403" s="42">
        <f t="shared" si="148"/>
        <v>45172</v>
      </c>
      <c r="P1403" s="5" t="str">
        <f t="shared" si="149"/>
        <v>Sunday</v>
      </c>
      <c r="Q1403" s="5">
        <f t="shared" si="150"/>
        <v>11</v>
      </c>
      <c r="R1403" s="28">
        <f t="shared" si="151"/>
        <v>0.89221556886227549</v>
      </c>
      <c r="S1403" s="29">
        <f t="shared" si="152"/>
        <v>89.221556886227546</v>
      </c>
      <c r="T1403" s="5" t="str">
        <f>IF(Delivery_Data3[[#This Row],[Delays (min)]]&gt;0,"No","Yes")</f>
        <v>No</v>
      </c>
      <c r="W1403" s="41">
        <f t="shared" si="153"/>
        <v>45172</v>
      </c>
      <c r="X1403" s="5">
        <v>149</v>
      </c>
    </row>
    <row r="1404" spans="1:24" ht="15.75" customHeight="1" x14ac:dyDescent="0.3">
      <c r="A1404" s="4">
        <v>2403</v>
      </c>
      <c r="B1404" s="5" t="s">
        <v>1500</v>
      </c>
      <c r="C1404" s="6">
        <v>45170.624305555553</v>
      </c>
      <c r="D1404" s="5" t="s">
        <v>14</v>
      </c>
      <c r="E1404" s="5" t="s">
        <v>76</v>
      </c>
      <c r="F1404" s="5" t="s">
        <v>38</v>
      </c>
      <c r="G1404" s="5" t="s">
        <v>17</v>
      </c>
      <c r="H1404" s="5">
        <v>130</v>
      </c>
      <c r="I1404" s="5">
        <v>6</v>
      </c>
      <c r="J1404" s="5" t="s">
        <v>18</v>
      </c>
      <c r="K1404" s="5" t="s">
        <v>27</v>
      </c>
      <c r="L1404" s="5" t="s">
        <v>28</v>
      </c>
      <c r="M1404" s="7" t="s">
        <v>41</v>
      </c>
      <c r="N1404" s="26">
        <f t="shared" si="147"/>
        <v>0</v>
      </c>
      <c r="O1404" s="42">
        <f t="shared" si="148"/>
        <v>45170</v>
      </c>
      <c r="P1404" s="5" t="str">
        <f t="shared" si="149"/>
        <v>Friday</v>
      </c>
      <c r="Q1404" s="5">
        <f t="shared" si="150"/>
        <v>14</v>
      </c>
      <c r="R1404" s="28">
        <f t="shared" si="151"/>
        <v>0.95588235294117652</v>
      </c>
      <c r="S1404" s="29">
        <f t="shared" si="152"/>
        <v>95.588235294117652</v>
      </c>
      <c r="T1404" s="5" t="str">
        <f>IF(Delivery_Data3[[#This Row],[Delays (min)]]&gt;0,"No","Yes")</f>
        <v>No</v>
      </c>
      <c r="W1404" s="41">
        <f t="shared" si="153"/>
        <v>45170</v>
      </c>
      <c r="X1404" s="5">
        <v>130</v>
      </c>
    </row>
    <row r="1405" spans="1:24" ht="15.75" customHeight="1" x14ac:dyDescent="0.3">
      <c r="A1405" s="4">
        <v>2404</v>
      </c>
      <c r="B1405" s="5" t="s">
        <v>1501</v>
      </c>
      <c r="C1405" s="6">
        <v>45172.6875</v>
      </c>
      <c r="D1405" s="5" t="s">
        <v>14</v>
      </c>
      <c r="E1405" s="5" t="s">
        <v>263</v>
      </c>
      <c r="F1405" s="5" t="s">
        <v>16</v>
      </c>
      <c r="G1405" s="5" t="s">
        <v>31</v>
      </c>
      <c r="H1405" s="5">
        <v>187</v>
      </c>
      <c r="I1405" s="5">
        <v>6</v>
      </c>
      <c r="J1405" s="5" t="s">
        <v>26</v>
      </c>
      <c r="K1405" s="5" t="s">
        <v>35</v>
      </c>
      <c r="L1405" s="5" t="s">
        <v>28</v>
      </c>
      <c r="M1405" s="7" t="s">
        <v>46</v>
      </c>
      <c r="N1405" s="26">
        <f t="shared" si="147"/>
        <v>1</v>
      </c>
      <c r="O1405" s="42">
        <f t="shared" si="148"/>
        <v>45172</v>
      </c>
      <c r="P1405" s="5" t="str">
        <f t="shared" si="149"/>
        <v>Sunday</v>
      </c>
      <c r="Q1405" s="5">
        <f t="shared" si="150"/>
        <v>16</v>
      </c>
      <c r="R1405" s="28">
        <f t="shared" si="151"/>
        <v>0.9689119170984456</v>
      </c>
      <c r="S1405" s="29">
        <f t="shared" si="152"/>
        <v>96.891191709844563</v>
      </c>
      <c r="T1405" s="5" t="str">
        <f>IF(Delivery_Data3[[#This Row],[Delays (min)]]&gt;0,"No","Yes")</f>
        <v>No</v>
      </c>
      <c r="W1405" s="41">
        <f t="shared" si="153"/>
        <v>45172</v>
      </c>
      <c r="X1405" s="5">
        <v>187</v>
      </c>
    </row>
    <row r="1406" spans="1:24" ht="15.75" customHeight="1" x14ac:dyDescent="0.3">
      <c r="A1406" s="4">
        <v>2405</v>
      </c>
      <c r="B1406" s="5" t="s">
        <v>1502</v>
      </c>
      <c r="C1406" s="6">
        <v>45175.669444444444</v>
      </c>
      <c r="D1406" s="5" t="s">
        <v>14</v>
      </c>
      <c r="E1406" s="5" t="s">
        <v>87</v>
      </c>
      <c r="F1406" s="5" t="s">
        <v>16</v>
      </c>
      <c r="G1406" s="5" t="s">
        <v>56</v>
      </c>
      <c r="H1406" s="5">
        <v>238</v>
      </c>
      <c r="I1406" s="5">
        <v>16</v>
      </c>
      <c r="J1406" s="5" t="s">
        <v>32</v>
      </c>
      <c r="K1406" s="5" t="s">
        <v>49</v>
      </c>
      <c r="L1406" s="5" t="s">
        <v>28</v>
      </c>
      <c r="M1406" s="7" t="s">
        <v>46</v>
      </c>
      <c r="N1406" s="26">
        <f t="shared" si="147"/>
        <v>-1</v>
      </c>
      <c r="O1406" s="42">
        <f t="shared" si="148"/>
        <v>45175</v>
      </c>
      <c r="P1406" s="5" t="str">
        <f t="shared" si="149"/>
        <v>Wednesday</v>
      </c>
      <c r="Q1406" s="5">
        <f t="shared" si="150"/>
        <v>16</v>
      </c>
      <c r="R1406" s="28">
        <f t="shared" si="151"/>
        <v>0.93700787401574803</v>
      </c>
      <c r="S1406" s="29">
        <f t="shared" si="152"/>
        <v>93.7007874015748</v>
      </c>
      <c r="T1406" s="5" t="str">
        <f>IF(Delivery_Data3[[#This Row],[Delays (min)]]&gt;0,"No","Yes")</f>
        <v>No</v>
      </c>
      <c r="W1406" s="41">
        <f t="shared" si="153"/>
        <v>45175</v>
      </c>
      <c r="X1406" s="5">
        <v>238</v>
      </c>
    </row>
    <row r="1407" spans="1:24" ht="15.75" customHeight="1" x14ac:dyDescent="0.3">
      <c r="A1407" s="4">
        <v>2406</v>
      </c>
      <c r="B1407" s="5" t="s">
        <v>1503</v>
      </c>
      <c r="C1407" s="6">
        <v>45177.4375</v>
      </c>
      <c r="D1407" s="5" t="s">
        <v>14</v>
      </c>
      <c r="E1407" s="5" t="s">
        <v>23</v>
      </c>
      <c r="F1407" s="5" t="s">
        <v>16</v>
      </c>
      <c r="G1407" s="5" t="s">
        <v>56</v>
      </c>
      <c r="H1407" s="5">
        <v>212</v>
      </c>
      <c r="I1407" s="5">
        <v>0</v>
      </c>
      <c r="J1407" s="5" t="s">
        <v>32</v>
      </c>
      <c r="K1407" s="5" t="s">
        <v>19</v>
      </c>
      <c r="L1407" s="5" t="s">
        <v>28</v>
      </c>
      <c r="M1407" s="7" t="s">
        <v>46</v>
      </c>
      <c r="N1407" s="26">
        <f t="shared" si="147"/>
        <v>-1</v>
      </c>
      <c r="O1407" s="42">
        <f t="shared" si="148"/>
        <v>45177</v>
      </c>
      <c r="P1407" s="5" t="str">
        <f t="shared" si="149"/>
        <v>Friday</v>
      </c>
      <c r="Q1407" s="5">
        <f t="shared" si="150"/>
        <v>10</v>
      </c>
      <c r="R1407" s="28">
        <f t="shared" si="151"/>
        <v>1</v>
      </c>
      <c r="S1407" s="29">
        <f t="shared" si="152"/>
        <v>100</v>
      </c>
      <c r="T1407" s="5" t="str">
        <f>IF(Delivery_Data3[[#This Row],[Delays (min)]]&gt;0,"No","Yes")</f>
        <v>Yes</v>
      </c>
      <c r="W1407" s="41">
        <f t="shared" si="153"/>
        <v>45177</v>
      </c>
      <c r="X1407" s="5">
        <v>212</v>
      </c>
    </row>
    <row r="1408" spans="1:24" ht="15.75" customHeight="1" x14ac:dyDescent="0.3">
      <c r="A1408" s="4">
        <v>2407</v>
      </c>
      <c r="B1408" s="5" t="s">
        <v>1504</v>
      </c>
      <c r="C1408" s="6">
        <v>45174.458333333336</v>
      </c>
      <c r="D1408" s="5" t="s">
        <v>14</v>
      </c>
      <c r="E1408" s="5" t="s">
        <v>15</v>
      </c>
      <c r="F1408" s="5" t="s">
        <v>16</v>
      </c>
      <c r="G1408" s="5" t="s">
        <v>39</v>
      </c>
      <c r="H1408" s="5">
        <v>177</v>
      </c>
      <c r="I1408" s="5">
        <v>3</v>
      </c>
      <c r="J1408" s="5" t="s">
        <v>32</v>
      </c>
      <c r="K1408" s="5" t="s">
        <v>49</v>
      </c>
      <c r="L1408" s="5" t="s">
        <v>28</v>
      </c>
      <c r="M1408" s="7" t="s">
        <v>21</v>
      </c>
      <c r="N1408" s="26">
        <f t="shared" si="147"/>
        <v>-1</v>
      </c>
      <c r="O1408" s="42">
        <f t="shared" si="148"/>
        <v>45174</v>
      </c>
      <c r="P1408" s="5" t="str">
        <f t="shared" si="149"/>
        <v>Tuesday</v>
      </c>
      <c r="Q1408" s="5">
        <f t="shared" si="150"/>
        <v>11</v>
      </c>
      <c r="R1408" s="28">
        <f t="shared" si="151"/>
        <v>0.98333333333333328</v>
      </c>
      <c r="S1408" s="29">
        <f t="shared" si="152"/>
        <v>98.333333333333329</v>
      </c>
      <c r="T1408" s="5" t="str">
        <f>IF(Delivery_Data3[[#This Row],[Delays (min)]]&gt;0,"No","Yes")</f>
        <v>No</v>
      </c>
      <c r="W1408" s="41">
        <f t="shared" si="153"/>
        <v>45174</v>
      </c>
      <c r="X1408" s="5">
        <v>177</v>
      </c>
    </row>
    <row r="1409" spans="1:24" ht="15.75" customHeight="1" x14ac:dyDescent="0.3">
      <c r="A1409" s="4">
        <v>2408</v>
      </c>
      <c r="B1409" s="5" t="s">
        <v>1505</v>
      </c>
      <c r="C1409" s="6">
        <v>45172.685416666667</v>
      </c>
      <c r="D1409" s="5" t="s">
        <v>14</v>
      </c>
      <c r="E1409" s="5" t="s">
        <v>99</v>
      </c>
      <c r="F1409" s="5" t="s">
        <v>16</v>
      </c>
      <c r="G1409" s="5" t="s">
        <v>25</v>
      </c>
      <c r="H1409" s="5">
        <v>175</v>
      </c>
      <c r="I1409" s="5">
        <v>13</v>
      </c>
      <c r="J1409" s="5" t="s">
        <v>26</v>
      </c>
      <c r="K1409" s="5" t="s">
        <v>35</v>
      </c>
      <c r="L1409" s="5" t="s">
        <v>20</v>
      </c>
      <c r="M1409" s="7" t="s">
        <v>41</v>
      </c>
      <c r="N1409" s="26">
        <f t="shared" si="147"/>
        <v>1</v>
      </c>
      <c r="O1409" s="42">
        <f t="shared" si="148"/>
        <v>45172</v>
      </c>
      <c r="P1409" s="5" t="str">
        <f t="shared" si="149"/>
        <v>Sunday</v>
      </c>
      <c r="Q1409" s="5">
        <f t="shared" si="150"/>
        <v>16</v>
      </c>
      <c r="R1409" s="28">
        <f t="shared" si="151"/>
        <v>0.93085106382978722</v>
      </c>
      <c r="S1409" s="29">
        <f t="shared" si="152"/>
        <v>93.085106382978722</v>
      </c>
      <c r="T1409" s="5" t="str">
        <f>IF(Delivery_Data3[[#This Row],[Delays (min)]]&gt;0,"No","Yes")</f>
        <v>No</v>
      </c>
      <c r="W1409" s="41">
        <f t="shared" si="153"/>
        <v>45172</v>
      </c>
      <c r="X1409" s="5">
        <v>175</v>
      </c>
    </row>
    <row r="1410" spans="1:24" ht="15.75" customHeight="1" x14ac:dyDescent="0.3">
      <c r="A1410" s="4">
        <v>2409</v>
      </c>
      <c r="B1410" s="5" t="s">
        <v>1506</v>
      </c>
      <c r="C1410" s="6">
        <v>45171.571527777778</v>
      </c>
      <c r="D1410" s="5" t="s">
        <v>43</v>
      </c>
      <c r="E1410" s="5" t="s">
        <v>333</v>
      </c>
      <c r="F1410" s="5" t="s">
        <v>16</v>
      </c>
      <c r="G1410" s="5" t="s">
        <v>25</v>
      </c>
      <c r="H1410" s="5">
        <v>195</v>
      </c>
      <c r="I1410" s="5">
        <v>21</v>
      </c>
      <c r="J1410" s="5" t="s">
        <v>26</v>
      </c>
      <c r="K1410" s="5" t="s">
        <v>35</v>
      </c>
      <c r="L1410" s="5" t="s">
        <v>28</v>
      </c>
      <c r="M1410" s="7" t="s">
        <v>21</v>
      </c>
      <c r="N1410" s="26">
        <f t="shared" ref="N1410:N1473" si="154">IF(J1410="Positive",1,IF(J1410="Neutral",0,IF(J1410="Negative",-1,"")))</f>
        <v>1</v>
      </c>
      <c r="O1410" s="42">
        <f t="shared" ref="O1410:O1473" si="155">INT(C1410)</f>
        <v>45171</v>
      </c>
      <c r="P1410" s="5" t="str">
        <f t="shared" ref="P1410:P1473" si="156">TEXT(C1410,"dddd")</f>
        <v>Saturday</v>
      </c>
      <c r="Q1410" s="5">
        <f t="shared" ref="Q1410:Q1473" si="157">HOUR(C1410)</f>
        <v>13</v>
      </c>
      <c r="R1410" s="28">
        <f t="shared" ref="R1410:R1473" si="158">H1410/(H1410+I1410)</f>
        <v>0.90277777777777779</v>
      </c>
      <c r="S1410" s="29">
        <f t="shared" si="152"/>
        <v>90.277777777777786</v>
      </c>
      <c r="T1410" s="5" t="str">
        <f>IF(Delivery_Data3[[#This Row],[Delays (min)]]&gt;0,"No","Yes")</f>
        <v>No</v>
      </c>
      <c r="W1410" s="41">
        <f t="shared" si="153"/>
        <v>45171</v>
      </c>
      <c r="X1410" s="5">
        <v>195</v>
      </c>
    </row>
    <row r="1411" spans="1:24" ht="15.75" customHeight="1" x14ac:dyDescent="0.3">
      <c r="A1411" s="4">
        <v>2410</v>
      </c>
      <c r="B1411" s="5" t="s">
        <v>1507</v>
      </c>
      <c r="C1411" s="6">
        <v>45171.549305555556</v>
      </c>
      <c r="D1411" s="5" t="s">
        <v>43</v>
      </c>
      <c r="E1411" s="5" t="s">
        <v>197</v>
      </c>
      <c r="F1411" s="5" t="s">
        <v>16</v>
      </c>
      <c r="G1411" s="5" t="s">
        <v>31</v>
      </c>
      <c r="H1411" s="5">
        <v>156</v>
      </c>
      <c r="I1411" s="5">
        <v>16</v>
      </c>
      <c r="J1411" s="5" t="s">
        <v>18</v>
      </c>
      <c r="K1411" s="5" t="s">
        <v>45</v>
      </c>
      <c r="L1411" s="5" t="s">
        <v>40</v>
      </c>
      <c r="M1411" s="7" t="s">
        <v>21</v>
      </c>
      <c r="N1411" s="26">
        <f t="shared" si="154"/>
        <v>0</v>
      </c>
      <c r="O1411" s="42">
        <f t="shared" si="155"/>
        <v>45171</v>
      </c>
      <c r="P1411" s="5" t="str">
        <f t="shared" si="156"/>
        <v>Saturday</v>
      </c>
      <c r="Q1411" s="5">
        <f t="shared" si="157"/>
        <v>13</v>
      </c>
      <c r="R1411" s="28">
        <f t="shared" si="158"/>
        <v>0.90697674418604646</v>
      </c>
      <c r="S1411" s="29">
        <f t="shared" ref="S1411:S1474" si="159">IF(H1411+I1411=0,0,(H1411/(H1411+I1411))*100) + (IFERROR(--J1411,0)*10)</f>
        <v>90.697674418604649</v>
      </c>
      <c r="T1411" s="5" t="str">
        <f>IF(Delivery_Data3[[#This Row],[Delays (min)]]&gt;0,"No","Yes")</f>
        <v>No</v>
      </c>
      <c r="W1411" s="41">
        <f t="shared" ref="W1411:W1474" si="160">INT(C1411)</f>
        <v>45171</v>
      </c>
      <c r="X1411" s="5">
        <v>156</v>
      </c>
    </row>
    <row r="1412" spans="1:24" ht="15.75" customHeight="1" x14ac:dyDescent="0.3">
      <c r="A1412" s="4">
        <v>2411</v>
      </c>
      <c r="B1412" s="5" t="s">
        <v>1508</v>
      </c>
      <c r="C1412" s="6">
        <v>45174.655555555553</v>
      </c>
      <c r="D1412" s="5" t="s">
        <v>43</v>
      </c>
      <c r="E1412" s="5" t="s">
        <v>93</v>
      </c>
      <c r="F1412" s="5" t="s">
        <v>16</v>
      </c>
      <c r="G1412" s="5" t="s">
        <v>31</v>
      </c>
      <c r="H1412" s="5">
        <v>195</v>
      </c>
      <c r="I1412" s="5">
        <v>0</v>
      </c>
      <c r="J1412" s="5" t="s">
        <v>32</v>
      </c>
      <c r="K1412" s="5" t="s">
        <v>49</v>
      </c>
      <c r="L1412" s="5" t="s">
        <v>20</v>
      </c>
      <c r="M1412" s="7" t="s">
        <v>21</v>
      </c>
      <c r="N1412" s="26">
        <f t="shared" si="154"/>
        <v>-1</v>
      </c>
      <c r="O1412" s="42">
        <f t="shared" si="155"/>
        <v>45174</v>
      </c>
      <c r="P1412" s="5" t="str">
        <f t="shared" si="156"/>
        <v>Tuesday</v>
      </c>
      <c r="Q1412" s="5">
        <f t="shared" si="157"/>
        <v>15</v>
      </c>
      <c r="R1412" s="28">
        <f t="shared" si="158"/>
        <v>1</v>
      </c>
      <c r="S1412" s="29">
        <f t="shared" si="159"/>
        <v>100</v>
      </c>
      <c r="T1412" s="5" t="str">
        <f>IF(Delivery_Data3[[#This Row],[Delays (min)]]&gt;0,"No","Yes")</f>
        <v>Yes</v>
      </c>
      <c r="W1412" s="41">
        <f t="shared" si="160"/>
        <v>45174</v>
      </c>
      <c r="X1412" s="5">
        <v>195</v>
      </c>
    </row>
    <row r="1413" spans="1:24" ht="15.75" customHeight="1" x14ac:dyDescent="0.3">
      <c r="A1413" s="4">
        <v>2412</v>
      </c>
      <c r="B1413" s="5" t="s">
        <v>1509</v>
      </c>
      <c r="C1413" s="6">
        <v>45173.597222222219</v>
      </c>
      <c r="D1413" s="5" t="s">
        <v>43</v>
      </c>
      <c r="E1413" s="5" t="s">
        <v>115</v>
      </c>
      <c r="F1413" s="5" t="s">
        <v>24</v>
      </c>
      <c r="G1413" s="5" t="s">
        <v>39</v>
      </c>
      <c r="H1413" s="5">
        <v>104</v>
      </c>
      <c r="I1413" s="5">
        <v>20</v>
      </c>
      <c r="J1413" s="5" t="s">
        <v>26</v>
      </c>
      <c r="K1413" s="5" t="s">
        <v>35</v>
      </c>
      <c r="L1413" s="5" t="s">
        <v>40</v>
      </c>
      <c r="M1413" s="7" t="s">
        <v>21</v>
      </c>
      <c r="N1413" s="26">
        <f t="shared" si="154"/>
        <v>1</v>
      </c>
      <c r="O1413" s="42">
        <f t="shared" si="155"/>
        <v>45173</v>
      </c>
      <c r="P1413" s="5" t="str">
        <f t="shared" si="156"/>
        <v>Monday</v>
      </c>
      <c r="Q1413" s="5">
        <f t="shared" si="157"/>
        <v>14</v>
      </c>
      <c r="R1413" s="28">
        <f t="shared" si="158"/>
        <v>0.83870967741935487</v>
      </c>
      <c r="S1413" s="29">
        <f t="shared" si="159"/>
        <v>83.870967741935488</v>
      </c>
      <c r="T1413" s="5" t="str">
        <f>IF(Delivery_Data3[[#This Row],[Delays (min)]]&gt;0,"No","Yes")</f>
        <v>No</v>
      </c>
      <c r="W1413" s="41">
        <f t="shared" si="160"/>
        <v>45173</v>
      </c>
      <c r="X1413" s="5">
        <v>104</v>
      </c>
    </row>
    <row r="1414" spans="1:24" ht="15.75" customHeight="1" x14ac:dyDescent="0.3">
      <c r="A1414" s="4">
        <v>2413</v>
      </c>
      <c r="B1414" s="5" t="s">
        <v>1510</v>
      </c>
      <c r="C1414" s="6">
        <v>45173.573611111111</v>
      </c>
      <c r="D1414" s="5" t="s">
        <v>43</v>
      </c>
      <c r="E1414" s="5" t="s">
        <v>441</v>
      </c>
      <c r="F1414" s="5" t="s">
        <v>24</v>
      </c>
      <c r="G1414" s="5" t="s">
        <v>25</v>
      </c>
      <c r="H1414" s="5">
        <v>68</v>
      </c>
      <c r="I1414" s="5">
        <v>16</v>
      </c>
      <c r="J1414" s="5" t="s">
        <v>32</v>
      </c>
      <c r="K1414" s="5" t="s">
        <v>49</v>
      </c>
      <c r="L1414" s="5" t="s">
        <v>20</v>
      </c>
      <c r="M1414" s="7" t="s">
        <v>21</v>
      </c>
      <c r="N1414" s="26">
        <f t="shared" si="154"/>
        <v>-1</v>
      </c>
      <c r="O1414" s="42">
        <f t="shared" si="155"/>
        <v>45173</v>
      </c>
      <c r="P1414" s="5" t="str">
        <f t="shared" si="156"/>
        <v>Monday</v>
      </c>
      <c r="Q1414" s="5">
        <f t="shared" si="157"/>
        <v>13</v>
      </c>
      <c r="R1414" s="28">
        <f t="shared" si="158"/>
        <v>0.80952380952380953</v>
      </c>
      <c r="S1414" s="29">
        <f t="shared" si="159"/>
        <v>80.952380952380949</v>
      </c>
      <c r="T1414" s="5" t="str">
        <f>IF(Delivery_Data3[[#This Row],[Delays (min)]]&gt;0,"No","Yes")</f>
        <v>No</v>
      </c>
      <c r="W1414" s="41">
        <f t="shared" si="160"/>
        <v>45173</v>
      </c>
      <c r="X1414" s="5">
        <v>68</v>
      </c>
    </row>
    <row r="1415" spans="1:24" ht="15.75" customHeight="1" x14ac:dyDescent="0.3">
      <c r="A1415" s="4">
        <v>2414</v>
      </c>
      <c r="B1415" s="5" t="s">
        <v>1511</v>
      </c>
      <c r="C1415" s="6">
        <v>45170.660416666666</v>
      </c>
      <c r="D1415" s="5" t="s">
        <v>14</v>
      </c>
      <c r="E1415" s="5" t="s">
        <v>240</v>
      </c>
      <c r="F1415" s="5" t="s">
        <v>16</v>
      </c>
      <c r="G1415" s="5" t="s">
        <v>17</v>
      </c>
      <c r="H1415" s="5">
        <v>126</v>
      </c>
      <c r="I1415" s="5">
        <v>12</v>
      </c>
      <c r="J1415" s="5" t="s">
        <v>26</v>
      </c>
      <c r="K1415" s="5" t="s">
        <v>45</v>
      </c>
      <c r="L1415" s="5" t="s">
        <v>28</v>
      </c>
      <c r="M1415" s="7" t="s">
        <v>21</v>
      </c>
      <c r="N1415" s="26">
        <f t="shared" si="154"/>
        <v>1</v>
      </c>
      <c r="O1415" s="42">
        <f t="shared" si="155"/>
        <v>45170</v>
      </c>
      <c r="P1415" s="5" t="str">
        <f t="shared" si="156"/>
        <v>Friday</v>
      </c>
      <c r="Q1415" s="5">
        <f t="shared" si="157"/>
        <v>15</v>
      </c>
      <c r="R1415" s="28">
        <f t="shared" si="158"/>
        <v>0.91304347826086951</v>
      </c>
      <c r="S1415" s="29">
        <f t="shared" si="159"/>
        <v>91.304347826086953</v>
      </c>
      <c r="T1415" s="5" t="str">
        <f>IF(Delivery_Data3[[#This Row],[Delays (min)]]&gt;0,"No","Yes")</f>
        <v>No</v>
      </c>
      <c r="W1415" s="41">
        <f t="shared" si="160"/>
        <v>45170</v>
      </c>
      <c r="X1415" s="5">
        <v>126</v>
      </c>
    </row>
    <row r="1416" spans="1:24" ht="15.75" customHeight="1" x14ac:dyDescent="0.3">
      <c r="A1416" s="4">
        <v>2415</v>
      </c>
      <c r="B1416" s="5" t="s">
        <v>1512</v>
      </c>
      <c r="C1416" s="6">
        <v>45171.397222222222</v>
      </c>
      <c r="D1416" s="5" t="s">
        <v>43</v>
      </c>
      <c r="E1416" s="5" t="s">
        <v>109</v>
      </c>
      <c r="F1416" s="5" t="s">
        <v>16</v>
      </c>
      <c r="G1416" s="5" t="s">
        <v>25</v>
      </c>
      <c r="H1416" s="5">
        <v>198</v>
      </c>
      <c r="I1416" s="5">
        <v>20</v>
      </c>
      <c r="J1416" s="5" t="s">
        <v>18</v>
      </c>
      <c r="K1416" s="5" t="s">
        <v>35</v>
      </c>
      <c r="L1416" s="5" t="s">
        <v>20</v>
      </c>
      <c r="M1416" s="7" t="s">
        <v>41</v>
      </c>
      <c r="N1416" s="26">
        <f t="shared" si="154"/>
        <v>0</v>
      </c>
      <c r="O1416" s="42">
        <f t="shared" si="155"/>
        <v>45171</v>
      </c>
      <c r="P1416" s="5" t="str">
        <f t="shared" si="156"/>
        <v>Saturday</v>
      </c>
      <c r="Q1416" s="5">
        <f t="shared" si="157"/>
        <v>9</v>
      </c>
      <c r="R1416" s="28">
        <f t="shared" si="158"/>
        <v>0.90825688073394495</v>
      </c>
      <c r="S1416" s="29">
        <f t="shared" si="159"/>
        <v>90.825688073394488</v>
      </c>
      <c r="T1416" s="5" t="str">
        <f>IF(Delivery_Data3[[#This Row],[Delays (min)]]&gt;0,"No","Yes")</f>
        <v>No</v>
      </c>
      <c r="W1416" s="41">
        <f t="shared" si="160"/>
        <v>45171</v>
      </c>
      <c r="X1416" s="5">
        <v>198</v>
      </c>
    </row>
    <row r="1417" spans="1:24" ht="15.75" customHeight="1" x14ac:dyDescent="0.3">
      <c r="A1417" s="4">
        <v>2416</v>
      </c>
      <c r="B1417" s="5" t="s">
        <v>1513</v>
      </c>
      <c r="C1417" s="6">
        <v>45177.560416666667</v>
      </c>
      <c r="D1417" s="5" t="s">
        <v>14</v>
      </c>
      <c r="E1417" s="5" t="s">
        <v>158</v>
      </c>
      <c r="F1417" s="5" t="s">
        <v>16</v>
      </c>
      <c r="G1417" s="5" t="s">
        <v>31</v>
      </c>
      <c r="H1417" s="5">
        <v>150</v>
      </c>
      <c r="I1417" s="5">
        <v>14</v>
      </c>
      <c r="J1417" s="5" t="s">
        <v>32</v>
      </c>
      <c r="K1417" s="5" t="s">
        <v>45</v>
      </c>
      <c r="L1417" s="5" t="s">
        <v>40</v>
      </c>
      <c r="M1417" s="7" t="s">
        <v>21</v>
      </c>
      <c r="N1417" s="26">
        <f t="shared" si="154"/>
        <v>-1</v>
      </c>
      <c r="O1417" s="42">
        <f t="shared" si="155"/>
        <v>45177</v>
      </c>
      <c r="P1417" s="5" t="str">
        <f t="shared" si="156"/>
        <v>Friday</v>
      </c>
      <c r="Q1417" s="5">
        <f t="shared" si="157"/>
        <v>13</v>
      </c>
      <c r="R1417" s="28">
        <f t="shared" si="158"/>
        <v>0.91463414634146345</v>
      </c>
      <c r="S1417" s="29">
        <f t="shared" si="159"/>
        <v>91.463414634146346</v>
      </c>
      <c r="T1417" s="5" t="str">
        <f>IF(Delivery_Data3[[#This Row],[Delays (min)]]&gt;0,"No","Yes")</f>
        <v>No</v>
      </c>
      <c r="W1417" s="41">
        <f t="shared" si="160"/>
        <v>45177</v>
      </c>
      <c r="X1417" s="5">
        <v>150</v>
      </c>
    </row>
    <row r="1418" spans="1:24" ht="15.75" customHeight="1" x14ac:dyDescent="0.3">
      <c r="A1418" s="4">
        <v>2417</v>
      </c>
      <c r="B1418" s="5" t="s">
        <v>1514</v>
      </c>
      <c r="C1418" s="6">
        <v>45174.470833333333</v>
      </c>
      <c r="D1418" s="5" t="s">
        <v>14</v>
      </c>
      <c r="E1418" s="5" t="s">
        <v>51</v>
      </c>
      <c r="F1418" s="5" t="s">
        <v>24</v>
      </c>
      <c r="G1418" s="5" t="s">
        <v>25</v>
      </c>
      <c r="H1418" s="5">
        <v>230</v>
      </c>
      <c r="I1418" s="5">
        <v>9</v>
      </c>
      <c r="J1418" s="5" t="s">
        <v>26</v>
      </c>
      <c r="K1418" s="5" t="s">
        <v>27</v>
      </c>
      <c r="L1418" s="5" t="s">
        <v>20</v>
      </c>
      <c r="M1418" s="7" t="s">
        <v>21</v>
      </c>
      <c r="N1418" s="26">
        <f t="shared" si="154"/>
        <v>1</v>
      </c>
      <c r="O1418" s="42">
        <f t="shared" si="155"/>
        <v>45174</v>
      </c>
      <c r="P1418" s="5" t="str">
        <f t="shared" si="156"/>
        <v>Tuesday</v>
      </c>
      <c r="Q1418" s="5">
        <f t="shared" si="157"/>
        <v>11</v>
      </c>
      <c r="R1418" s="28">
        <f t="shared" si="158"/>
        <v>0.96234309623430958</v>
      </c>
      <c r="S1418" s="29">
        <f t="shared" si="159"/>
        <v>96.23430962343096</v>
      </c>
      <c r="T1418" s="5" t="str">
        <f>IF(Delivery_Data3[[#This Row],[Delays (min)]]&gt;0,"No","Yes")</f>
        <v>No</v>
      </c>
      <c r="W1418" s="41">
        <f t="shared" si="160"/>
        <v>45174</v>
      </c>
      <c r="X1418" s="5">
        <v>230</v>
      </c>
    </row>
    <row r="1419" spans="1:24" ht="15.75" customHeight="1" x14ac:dyDescent="0.3">
      <c r="A1419" s="4">
        <v>2418</v>
      </c>
      <c r="B1419" s="5" t="s">
        <v>911</v>
      </c>
      <c r="C1419" s="6">
        <v>45171.604861111111</v>
      </c>
      <c r="D1419" s="5" t="s">
        <v>43</v>
      </c>
      <c r="E1419" s="5" t="s">
        <v>355</v>
      </c>
      <c r="F1419" s="5" t="s">
        <v>16</v>
      </c>
      <c r="G1419" s="5" t="s">
        <v>17</v>
      </c>
      <c r="H1419" s="5">
        <v>115</v>
      </c>
      <c r="I1419" s="5">
        <v>12</v>
      </c>
      <c r="J1419" s="5" t="s">
        <v>18</v>
      </c>
      <c r="K1419" s="5" t="s">
        <v>27</v>
      </c>
      <c r="L1419" s="5" t="s">
        <v>20</v>
      </c>
      <c r="M1419" s="7" t="s">
        <v>21</v>
      </c>
      <c r="N1419" s="26">
        <f t="shared" si="154"/>
        <v>0</v>
      </c>
      <c r="O1419" s="42">
        <f t="shared" si="155"/>
        <v>45171</v>
      </c>
      <c r="P1419" s="5" t="str">
        <f t="shared" si="156"/>
        <v>Saturday</v>
      </c>
      <c r="Q1419" s="5">
        <f t="shared" si="157"/>
        <v>14</v>
      </c>
      <c r="R1419" s="28">
        <f t="shared" si="158"/>
        <v>0.90551181102362199</v>
      </c>
      <c r="S1419" s="29">
        <f t="shared" si="159"/>
        <v>90.551181102362193</v>
      </c>
      <c r="T1419" s="5" t="str">
        <f>IF(Delivery_Data3[[#This Row],[Delays (min)]]&gt;0,"No","Yes")</f>
        <v>No</v>
      </c>
      <c r="W1419" s="41">
        <f t="shared" si="160"/>
        <v>45171</v>
      </c>
      <c r="X1419" s="5">
        <v>115</v>
      </c>
    </row>
    <row r="1420" spans="1:24" ht="15.75" customHeight="1" x14ac:dyDescent="0.3">
      <c r="A1420" s="4">
        <v>2419</v>
      </c>
      <c r="B1420" s="5" t="s">
        <v>1116</v>
      </c>
      <c r="C1420" s="6">
        <v>45176.644444444442</v>
      </c>
      <c r="D1420" s="5" t="s">
        <v>14</v>
      </c>
      <c r="E1420" s="5" t="s">
        <v>103</v>
      </c>
      <c r="F1420" s="5" t="s">
        <v>38</v>
      </c>
      <c r="G1420" s="5" t="s">
        <v>39</v>
      </c>
      <c r="H1420" s="5">
        <v>108</v>
      </c>
      <c r="I1420" s="5">
        <v>9</v>
      </c>
      <c r="J1420" s="5" t="s">
        <v>18</v>
      </c>
      <c r="K1420" s="5" t="s">
        <v>49</v>
      </c>
      <c r="L1420" s="5" t="s">
        <v>40</v>
      </c>
      <c r="M1420" s="7" t="s">
        <v>21</v>
      </c>
      <c r="N1420" s="26">
        <f t="shared" si="154"/>
        <v>0</v>
      </c>
      <c r="O1420" s="42">
        <f t="shared" si="155"/>
        <v>45176</v>
      </c>
      <c r="P1420" s="5" t="str">
        <f t="shared" si="156"/>
        <v>Thursday</v>
      </c>
      <c r="Q1420" s="5">
        <f t="shared" si="157"/>
        <v>15</v>
      </c>
      <c r="R1420" s="28">
        <f t="shared" si="158"/>
        <v>0.92307692307692313</v>
      </c>
      <c r="S1420" s="29">
        <f t="shared" si="159"/>
        <v>92.307692307692307</v>
      </c>
      <c r="T1420" s="5" t="str">
        <f>IF(Delivery_Data3[[#This Row],[Delays (min)]]&gt;0,"No","Yes")</f>
        <v>No</v>
      </c>
      <c r="W1420" s="41">
        <f t="shared" si="160"/>
        <v>45176</v>
      </c>
      <c r="X1420" s="5">
        <v>108</v>
      </c>
    </row>
    <row r="1421" spans="1:24" ht="15.75" customHeight="1" x14ac:dyDescent="0.3">
      <c r="A1421" s="4">
        <v>2420</v>
      </c>
      <c r="B1421" s="5" t="s">
        <v>1515</v>
      </c>
      <c r="C1421" s="6">
        <v>45176.442361111112</v>
      </c>
      <c r="D1421" s="5" t="s">
        <v>43</v>
      </c>
      <c r="E1421" s="5" t="s">
        <v>231</v>
      </c>
      <c r="F1421" s="5" t="s">
        <v>24</v>
      </c>
      <c r="G1421" s="5" t="s">
        <v>25</v>
      </c>
      <c r="H1421" s="5">
        <v>65</v>
      </c>
      <c r="I1421" s="5">
        <v>7</v>
      </c>
      <c r="J1421" s="5" t="s">
        <v>32</v>
      </c>
      <c r="K1421" s="5" t="s">
        <v>27</v>
      </c>
      <c r="L1421" s="5" t="s">
        <v>20</v>
      </c>
      <c r="M1421" s="7" t="s">
        <v>21</v>
      </c>
      <c r="N1421" s="26">
        <f t="shared" si="154"/>
        <v>-1</v>
      </c>
      <c r="O1421" s="42">
        <f t="shared" si="155"/>
        <v>45176</v>
      </c>
      <c r="P1421" s="5" t="str">
        <f t="shared" si="156"/>
        <v>Thursday</v>
      </c>
      <c r="Q1421" s="5">
        <f t="shared" si="157"/>
        <v>10</v>
      </c>
      <c r="R1421" s="28">
        <f t="shared" si="158"/>
        <v>0.90277777777777779</v>
      </c>
      <c r="S1421" s="29">
        <f t="shared" si="159"/>
        <v>90.277777777777786</v>
      </c>
      <c r="T1421" s="5" t="str">
        <f>IF(Delivery_Data3[[#This Row],[Delays (min)]]&gt;0,"No","Yes")</f>
        <v>No</v>
      </c>
      <c r="W1421" s="41">
        <f t="shared" si="160"/>
        <v>45176</v>
      </c>
      <c r="X1421" s="5">
        <v>65</v>
      </c>
    </row>
    <row r="1422" spans="1:24" ht="15.75" customHeight="1" x14ac:dyDescent="0.3">
      <c r="A1422" s="4">
        <v>2421</v>
      </c>
      <c r="B1422" s="5" t="s">
        <v>1516</v>
      </c>
      <c r="C1422" s="6">
        <v>45173.388194444444</v>
      </c>
      <c r="D1422" s="5" t="s">
        <v>43</v>
      </c>
      <c r="E1422" s="5" t="s">
        <v>158</v>
      </c>
      <c r="F1422" s="5" t="s">
        <v>38</v>
      </c>
      <c r="G1422" s="5" t="s">
        <v>31</v>
      </c>
      <c r="H1422" s="5">
        <v>115</v>
      </c>
      <c r="I1422" s="5">
        <v>17</v>
      </c>
      <c r="J1422" s="5" t="s">
        <v>26</v>
      </c>
      <c r="K1422" s="5" t="s">
        <v>35</v>
      </c>
      <c r="L1422" s="5" t="s">
        <v>40</v>
      </c>
      <c r="M1422" s="7" t="s">
        <v>46</v>
      </c>
      <c r="N1422" s="26">
        <f t="shared" si="154"/>
        <v>1</v>
      </c>
      <c r="O1422" s="42">
        <f t="shared" si="155"/>
        <v>45173</v>
      </c>
      <c r="P1422" s="5" t="str">
        <f t="shared" si="156"/>
        <v>Monday</v>
      </c>
      <c r="Q1422" s="5">
        <f t="shared" si="157"/>
        <v>9</v>
      </c>
      <c r="R1422" s="28">
        <f t="shared" si="158"/>
        <v>0.87121212121212122</v>
      </c>
      <c r="S1422" s="29">
        <f t="shared" si="159"/>
        <v>87.121212121212125</v>
      </c>
      <c r="T1422" s="5" t="str">
        <f>IF(Delivery_Data3[[#This Row],[Delays (min)]]&gt;0,"No","Yes")</f>
        <v>No</v>
      </c>
      <c r="W1422" s="41">
        <f t="shared" si="160"/>
        <v>45173</v>
      </c>
      <c r="X1422" s="5">
        <v>115</v>
      </c>
    </row>
    <row r="1423" spans="1:24" ht="15.75" customHeight="1" x14ac:dyDescent="0.3">
      <c r="A1423" s="4">
        <v>2422</v>
      </c>
      <c r="B1423" s="5" t="s">
        <v>1517</v>
      </c>
      <c r="C1423" s="6">
        <v>45176.494444444441</v>
      </c>
      <c r="D1423" s="5" t="s">
        <v>14</v>
      </c>
      <c r="E1423" s="5" t="s">
        <v>162</v>
      </c>
      <c r="F1423" s="5" t="s">
        <v>38</v>
      </c>
      <c r="G1423" s="5" t="s">
        <v>56</v>
      </c>
      <c r="H1423" s="5">
        <v>97</v>
      </c>
      <c r="I1423" s="5">
        <v>0</v>
      </c>
      <c r="J1423" s="5" t="s">
        <v>18</v>
      </c>
      <c r="K1423" s="5" t="s">
        <v>19</v>
      </c>
      <c r="L1423" s="5" t="s">
        <v>40</v>
      </c>
      <c r="M1423" s="7" t="s">
        <v>46</v>
      </c>
      <c r="N1423" s="26">
        <f t="shared" si="154"/>
        <v>0</v>
      </c>
      <c r="O1423" s="42">
        <f t="shared" si="155"/>
        <v>45176</v>
      </c>
      <c r="P1423" s="5" t="str">
        <f t="shared" si="156"/>
        <v>Thursday</v>
      </c>
      <c r="Q1423" s="5">
        <f t="shared" si="157"/>
        <v>11</v>
      </c>
      <c r="R1423" s="28">
        <f t="shared" si="158"/>
        <v>1</v>
      </c>
      <c r="S1423" s="29">
        <f t="shared" si="159"/>
        <v>100</v>
      </c>
      <c r="T1423" s="5" t="str">
        <f>IF(Delivery_Data3[[#This Row],[Delays (min)]]&gt;0,"No","Yes")</f>
        <v>Yes</v>
      </c>
      <c r="W1423" s="41">
        <f t="shared" si="160"/>
        <v>45176</v>
      </c>
      <c r="X1423" s="5">
        <v>97</v>
      </c>
    </row>
    <row r="1424" spans="1:24" ht="15.75" customHeight="1" x14ac:dyDescent="0.3">
      <c r="A1424" s="4">
        <v>2423</v>
      </c>
      <c r="B1424" s="5" t="s">
        <v>1518</v>
      </c>
      <c r="C1424" s="6">
        <v>45174.442361111112</v>
      </c>
      <c r="D1424" s="5" t="s">
        <v>14</v>
      </c>
      <c r="E1424" s="5" t="s">
        <v>355</v>
      </c>
      <c r="F1424" s="5" t="s">
        <v>24</v>
      </c>
      <c r="G1424" s="5" t="s">
        <v>56</v>
      </c>
      <c r="H1424" s="5">
        <v>80</v>
      </c>
      <c r="I1424" s="5">
        <v>22</v>
      </c>
      <c r="J1424" s="5" t="s">
        <v>26</v>
      </c>
      <c r="K1424" s="5" t="s">
        <v>35</v>
      </c>
      <c r="L1424" s="5" t="s">
        <v>28</v>
      </c>
      <c r="M1424" s="7" t="s">
        <v>41</v>
      </c>
      <c r="N1424" s="26">
        <f t="shared" si="154"/>
        <v>1</v>
      </c>
      <c r="O1424" s="42">
        <f t="shared" si="155"/>
        <v>45174</v>
      </c>
      <c r="P1424" s="5" t="str">
        <f t="shared" si="156"/>
        <v>Tuesday</v>
      </c>
      <c r="Q1424" s="5">
        <f t="shared" si="157"/>
        <v>10</v>
      </c>
      <c r="R1424" s="28">
        <f t="shared" si="158"/>
        <v>0.78431372549019607</v>
      </c>
      <c r="S1424" s="29">
        <f t="shared" si="159"/>
        <v>78.431372549019613</v>
      </c>
      <c r="T1424" s="5" t="str">
        <f>IF(Delivery_Data3[[#This Row],[Delays (min)]]&gt;0,"No","Yes")</f>
        <v>No</v>
      </c>
      <c r="W1424" s="41">
        <f t="shared" si="160"/>
        <v>45174</v>
      </c>
      <c r="X1424" s="5">
        <v>80</v>
      </c>
    </row>
    <row r="1425" spans="1:24" ht="15.75" customHeight="1" x14ac:dyDescent="0.3">
      <c r="A1425" s="4">
        <v>2424</v>
      </c>
      <c r="B1425" s="5" t="s">
        <v>1519</v>
      </c>
      <c r="C1425" s="6">
        <v>45176.611111111109</v>
      </c>
      <c r="D1425" s="5" t="s">
        <v>14</v>
      </c>
      <c r="E1425" s="5" t="s">
        <v>120</v>
      </c>
      <c r="F1425" s="5" t="s">
        <v>38</v>
      </c>
      <c r="G1425" s="5" t="s">
        <v>17</v>
      </c>
      <c r="H1425" s="5">
        <v>231</v>
      </c>
      <c r="I1425" s="5">
        <v>24</v>
      </c>
      <c r="J1425" s="5" t="s">
        <v>18</v>
      </c>
      <c r="K1425" s="5" t="s">
        <v>19</v>
      </c>
      <c r="L1425" s="5" t="s">
        <v>40</v>
      </c>
      <c r="M1425" s="7" t="s">
        <v>41</v>
      </c>
      <c r="N1425" s="26">
        <f t="shared" si="154"/>
        <v>0</v>
      </c>
      <c r="O1425" s="42">
        <f t="shared" si="155"/>
        <v>45176</v>
      </c>
      <c r="P1425" s="5" t="str">
        <f t="shared" si="156"/>
        <v>Thursday</v>
      </c>
      <c r="Q1425" s="5">
        <f t="shared" si="157"/>
        <v>14</v>
      </c>
      <c r="R1425" s="28">
        <f t="shared" si="158"/>
        <v>0.90588235294117647</v>
      </c>
      <c r="S1425" s="29">
        <f t="shared" si="159"/>
        <v>90.588235294117652</v>
      </c>
      <c r="T1425" s="5" t="str">
        <f>IF(Delivery_Data3[[#This Row],[Delays (min)]]&gt;0,"No","Yes")</f>
        <v>No</v>
      </c>
      <c r="W1425" s="41">
        <f t="shared" si="160"/>
        <v>45176</v>
      </c>
      <c r="X1425" s="5">
        <v>231</v>
      </c>
    </row>
    <row r="1426" spans="1:24" ht="15.75" customHeight="1" x14ac:dyDescent="0.3">
      <c r="A1426" s="4">
        <v>2425</v>
      </c>
      <c r="B1426" s="5" t="s">
        <v>1520</v>
      </c>
      <c r="C1426" s="6">
        <v>45175.539583333331</v>
      </c>
      <c r="D1426" s="5" t="s">
        <v>43</v>
      </c>
      <c r="E1426" s="5" t="s">
        <v>245</v>
      </c>
      <c r="F1426" s="5" t="s">
        <v>24</v>
      </c>
      <c r="G1426" s="5" t="s">
        <v>17</v>
      </c>
      <c r="H1426" s="5">
        <v>99</v>
      </c>
      <c r="I1426" s="5">
        <v>17</v>
      </c>
      <c r="J1426" s="5" t="s">
        <v>18</v>
      </c>
      <c r="K1426" s="5" t="s">
        <v>45</v>
      </c>
      <c r="L1426" s="5" t="s">
        <v>40</v>
      </c>
      <c r="M1426" s="7" t="s">
        <v>41</v>
      </c>
      <c r="N1426" s="26">
        <f t="shared" si="154"/>
        <v>0</v>
      </c>
      <c r="O1426" s="42">
        <f t="shared" si="155"/>
        <v>45175</v>
      </c>
      <c r="P1426" s="5" t="str">
        <f t="shared" si="156"/>
        <v>Wednesday</v>
      </c>
      <c r="Q1426" s="5">
        <f t="shared" si="157"/>
        <v>12</v>
      </c>
      <c r="R1426" s="28">
        <f t="shared" si="158"/>
        <v>0.85344827586206895</v>
      </c>
      <c r="S1426" s="29">
        <f t="shared" si="159"/>
        <v>85.34482758620689</v>
      </c>
      <c r="T1426" s="5" t="str">
        <f>IF(Delivery_Data3[[#This Row],[Delays (min)]]&gt;0,"No","Yes")</f>
        <v>No</v>
      </c>
      <c r="W1426" s="41">
        <f t="shared" si="160"/>
        <v>45175</v>
      </c>
      <c r="X1426" s="5">
        <v>99</v>
      </c>
    </row>
    <row r="1427" spans="1:24" ht="15.75" customHeight="1" x14ac:dyDescent="0.3">
      <c r="A1427" s="4">
        <v>2426</v>
      </c>
      <c r="B1427" s="5" t="s">
        <v>1521</v>
      </c>
      <c r="C1427" s="6">
        <v>45170.36041666667</v>
      </c>
      <c r="D1427" s="5" t="s">
        <v>43</v>
      </c>
      <c r="E1427" s="5" t="s">
        <v>333</v>
      </c>
      <c r="F1427" s="5" t="s">
        <v>16</v>
      </c>
      <c r="G1427" s="5" t="s">
        <v>39</v>
      </c>
      <c r="H1427" s="5">
        <v>194</v>
      </c>
      <c r="I1427" s="5">
        <v>23</v>
      </c>
      <c r="J1427" s="5" t="s">
        <v>26</v>
      </c>
      <c r="K1427" s="5" t="s">
        <v>35</v>
      </c>
      <c r="L1427" s="5" t="s">
        <v>40</v>
      </c>
      <c r="M1427" s="7" t="s">
        <v>46</v>
      </c>
      <c r="N1427" s="26">
        <f t="shared" si="154"/>
        <v>1</v>
      </c>
      <c r="O1427" s="42">
        <f t="shared" si="155"/>
        <v>45170</v>
      </c>
      <c r="P1427" s="5" t="str">
        <f t="shared" si="156"/>
        <v>Friday</v>
      </c>
      <c r="Q1427" s="5">
        <f t="shared" si="157"/>
        <v>8</v>
      </c>
      <c r="R1427" s="28">
        <f t="shared" si="158"/>
        <v>0.89400921658986177</v>
      </c>
      <c r="S1427" s="29">
        <f t="shared" si="159"/>
        <v>89.400921658986178</v>
      </c>
      <c r="T1427" s="5" t="str">
        <f>IF(Delivery_Data3[[#This Row],[Delays (min)]]&gt;0,"No","Yes")</f>
        <v>No</v>
      </c>
      <c r="W1427" s="41">
        <f t="shared" si="160"/>
        <v>45170</v>
      </c>
      <c r="X1427" s="5">
        <v>194</v>
      </c>
    </row>
    <row r="1428" spans="1:24" ht="15.75" customHeight="1" x14ac:dyDescent="0.3">
      <c r="A1428" s="4">
        <v>2427</v>
      </c>
      <c r="B1428" s="5" t="s">
        <v>1522</v>
      </c>
      <c r="C1428" s="6">
        <v>45170.338194444441</v>
      </c>
      <c r="D1428" s="5" t="s">
        <v>14</v>
      </c>
      <c r="E1428" s="5" t="s">
        <v>130</v>
      </c>
      <c r="F1428" s="5" t="s">
        <v>16</v>
      </c>
      <c r="G1428" s="5" t="s">
        <v>25</v>
      </c>
      <c r="H1428" s="5">
        <v>166</v>
      </c>
      <c r="I1428" s="5">
        <v>26</v>
      </c>
      <c r="J1428" s="5" t="s">
        <v>18</v>
      </c>
      <c r="K1428" s="5" t="s">
        <v>35</v>
      </c>
      <c r="L1428" s="5" t="s">
        <v>20</v>
      </c>
      <c r="M1428" s="7" t="s">
        <v>41</v>
      </c>
      <c r="N1428" s="26">
        <f t="shared" si="154"/>
        <v>0</v>
      </c>
      <c r="O1428" s="42">
        <f t="shared" si="155"/>
        <v>45170</v>
      </c>
      <c r="P1428" s="5" t="str">
        <f t="shared" si="156"/>
        <v>Friday</v>
      </c>
      <c r="Q1428" s="5">
        <f t="shared" si="157"/>
        <v>8</v>
      </c>
      <c r="R1428" s="28">
        <f t="shared" si="158"/>
        <v>0.86458333333333337</v>
      </c>
      <c r="S1428" s="29">
        <f t="shared" si="159"/>
        <v>86.458333333333343</v>
      </c>
      <c r="T1428" s="5" t="str">
        <f>IF(Delivery_Data3[[#This Row],[Delays (min)]]&gt;0,"No","Yes")</f>
        <v>No</v>
      </c>
      <c r="W1428" s="41">
        <f t="shared" si="160"/>
        <v>45170</v>
      </c>
      <c r="X1428" s="5">
        <v>166</v>
      </c>
    </row>
    <row r="1429" spans="1:24" ht="15.75" customHeight="1" x14ac:dyDescent="0.3">
      <c r="A1429" s="4">
        <v>2428</v>
      </c>
      <c r="B1429" s="5" t="s">
        <v>1523</v>
      </c>
      <c r="C1429" s="6">
        <v>45175.693055555559</v>
      </c>
      <c r="D1429" s="5" t="s">
        <v>43</v>
      </c>
      <c r="E1429" s="5" t="s">
        <v>285</v>
      </c>
      <c r="F1429" s="5" t="s">
        <v>38</v>
      </c>
      <c r="G1429" s="5" t="s">
        <v>39</v>
      </c>
      <c r="H1429" s="5">
        <v>109</v>
      </c>
      <c r="I1429" s="5">
        <v>27</v>
      </c>
      <c r="J1429" s="5" t="s">
        <v>18</v>
      </c>
      <c r="K1429" s="5" t="s">
        <v>19</v>
      </c>
      <c r="L1429" s="5" t="s">
        <v>28</v>
      </c>
      <c r="M1429" s="7" t="s">
        <v>46</v>
      </c>
      <c r="N1429" s="26">
        <f t="shared" si="154"/>
        <v>0</v>
      </c>
      <c r="O1429" s="42">
        <f t="shared" si="155"/>
        <v>45175</v>
      </c>
      <c r="P1429" s="5" t="str">
        <f t="shared" si="156"/>
        <v>Wednesday</v>
      </c>
      <c r="Q1429" s="5">
        <f t="shared" si="157"/>
        <v>16</v>
      </c>
      <c r="R1429" s="28">
        <f t="shared" si="158"/>
        <v>0.80147058823529416</v>
      </c>
      <c r="S1429" s="29">
        <f t="shared" si="159"/>
        <v>80.14705882352942</v>
      </c>
      <c r="T1429" s="5" t="str">
        <f>IF(Delivery_Data3[[#This Row],[Delays (min)]]&gt;0,"No","Yes")</f>
        <v>No</v>
      </c>
      <c r="W1429" s="41">
        <f t="shared" si="160"/>
        <v>45175</v>
      </c>
      <c r="X1429" s="5">
        <v>109</v>
      </c>
    </row>
    <row r="1430" spans="1:24" ht="15.75" customHeight="1" x14ac:dyDescent="0.3">
      <c r="A1430" s="4">
        <v>2429</v>
      </c>
      <c r="B1430" s="5" t="s">
        <v>1524</v>
      </c>
      <c r="C1430" s="6">
        <v>45170.634722222225</v>
      </c>
      <c r="D1430" s="5" t="s">
        <v>43</v>
      </c>
      <c r="E1430" s="5" t="s">
        <v>128</v>
      </c>
      <c r="F1430" s="5" t="s">
        <v>38</v>
      </c>
      <c r="G1430" s="5" t="s">
        <v>39</v>
      </c>
      <c r="H1430" s="5">
        <v>63</v>
      </c>
      <c r="I1430" s="5">
        <v>17</v>
      </c>
      <c r="J1430" s="5" t="s">
        <v>18</v>
      </c>
      <c r="K1430" s="5" t="s">
        <v>45</v>
      </c>
      <c r="L1430" s="5" t="s">
        <v>28</v>
      </c>
      <c r="M1430" s="7" t="s">
        <v>21</v>
      </c>
      <c r="N1430" s="26">
        <f t="shared" si="154"/>
        <v>0</v>
      </c>
      <c r="O1430" s="42">
        <f t="shared" si="155"/>
        <v>45170</v>
      </c>
      <c r="P1430" s="5" t="str">
        <f t="shared" si="156"/>
        <v>Friday</v>
      </c>
      <c r="Q1430" s="5">
        <f t="shared" si="157"/>
        <v>15</v>
      </c>
      <c r="R1430" s="28">
        <f t="shared" si="158"/>
        <v>0.78749999999999998</v>
      </c>
      <c r="S1430" s="29">
        <f t="shared" si="159"/>
        <v>78.75</v>
      </c>
      <c r="T1430" s="5" t="str">
        <f>IF(Delivery_Data3[[#This Row],[Delays (min)]]&gt;0,"No","Yes")</f>
        <v>No</v>
      </c>
      <c r="W1430" s="41">
        <f t="shared" si="160"/>
        <v>45170</v>
      </c>
      <c r="X1430" s="5">
        <v>63</v>
      </c>
    </row>
    <row r="1431" spans="1:24" ht="15.75" customHeight="1" x14ac:dyDescent="0.3">
      <c r="A1431" s="4">
        <v>2430</v>
      </c>
      <c r="B1431" s="5" t="s">
        <v>1525</v>
      </c>
      <c r="C1431" s="6">
        <v>45173.706250000003</v>
      </c>
      <c r="D1431" s="5" t="s">
        <v>43</v>
      </c>
      <c r="E1431" s="5" t="s">
        <v>166</v>
      </c>
      <c r="F1431" s="5" t="s">
        <v>38</v>
      </c>
      <c r="G1431" s="5" t="s">
        <v>31</v>
      </c>
      <c r="H1431" s="5">
        <v>149</v>
      </c>
      <c r="I1431" s="5">
        <v>28</v>
      </c>
      <c r="J1431" s="5" t="s">
        <v>18</v>
      </c>
      <c r="K1431" s="5" t="s">
        <v>49</v>
      </c>
      <c r="L1431" s="5" t="s">
        <v>28</v>
      </c>
      <c r="M1431" s="7" t="s">
        <v>46</v>
      </c>
      <c r="N1431" s="26">
        <f t="shared" si="154"/>
        <v>0</v>
      </c>
      <c r="O1431" s="42">
        <f t="shared" si="155"/>
        <v>45173</v>
      </c>
      <c r="P1431" s="5" t="str">
        <f t="shared" si="156"/>
        <v>Monday</v>
      </c>
      <c r="Q1431" s="5">
        <f t="shared" si="157"/>
        <v>16</v>
      </c>
      <c r="R1431" s="28">
        <f t="shared" si="158"/>
        <v>0.84180790960451979</v>
      </c>
      <c r="S1431" s="29">
        <f t="shared" si="159"/>
        <v>84.180790960451972</v>
      </c>
      <c r="T1431" s="5" t="str">
        <f>IF(Delivery_Data3[[#This Row],[Delays (min)]]&gt;0,"No","Yes")</f>
        <v>No</v>
      </c>
      <c r="W1431" s="41">
        <f t="shared" si="160"/>
        <v>45173</v>
      </c>
      <c r="X1431" s="5">
        <v>149</v>
      </c>
    </row>
    <row r="1432" spans="1:24" ht="15.75" customHeight="1" x14ac:dyDescent="0.3">
      <c r="A1432" s="4">
        <v>2431</v>
      </c>
      <c r="B1432" s="5" t="s">
        <v>1526</v>
      </c>
      <c r="C1432" s="6">
        <v>45171.548611111109</v>
      </c>
      <c r="D1432" s="5" t="s">
        <v>43</v>
      </c>
      <c r="E1432" s="5" t="s">
        <v>249</v>
      </c>
      <c r="F1432" s="5" t="s">
        <v>16</v>
      </c>
      <c r="G1432" s="5" t="s">
        <v>56</v>
      </c>
      <c r="H1432" s="5">
        <v>137</v>
      </c>
      <c r="I1432" s="5">
        <v>8</v>
      </c>
      <c r="J1432" s="5" t="s">
        <v>32</v>
      </c>
      <c r="K1432" s="5" t="s">
        <v>49</v>
      </c>
      <c r="L1432" s="5" t="s">
        <v>20</v>
      </c>
      <c r="M1432" s="7" t="s">
        <v>46</v>
      </c>
      <c r="N1432" s="26">
        <f t="shared" si="154"/>
        <v>-1</v>
      </c>
      <c r="O1432" s="42">
        <f t="shared" si="155"/>
        <v>45171</v>
      </c>
      <c r="P1432" s="5" t="str">
        <f t="shared" si="156"/>
        <v>Saturday</v>
      </c>
      <c r="Q1432" s="5">
        <f t="shared" si="157"/>
        <v>13</v>
      </c>
      <c r="R1432" s="28">
        <f t="shared" si="158"/>
        <v>0.94482758620689655</v>
      </c>
      <c r="S1432" s="29">
        <f t="shared" si="159"/>
        <v>94.482758620689651</v>
      </c>
      <c r="T1432" s="5" t="str">
        <f>IF(Delivery_Data3[[#This Row],[Delays (min)]]&gt;0,"No","Yes")</f>
        <v>No</v>
      </c>
      <c r="W1432" s="41">
        <f t="shared" si="160"/>
        <v>45171</v>
      </c>
      <c r="X1432" s="5">
        <v>137</v>
      </c>
    </row>
    <row r="1433" spans="1:24" ht="15.75" customHeight="1" x14ac:dyDescent="0.3">
      <c r="A1433" s="4">
        <v>2432</v>
      </c>
      <c r="B1433" s="5" t="s">
        <v>1527</v>
      </c>
      <c r="C1433" s="6">
        <v>45176.398611111108</v>
      </c>
      <c r="D1433" s="5" t="s">
        <v>14</v>
      </c>
      <c r="E1433" s="5" t="s">
        <v>162</v>
      </c>
      <c r="F1433" s="5" t="s">
        <v>24</v>
      </c>
      <c r="G1433" s="5" t="s">
        <v>39</v>
      </c>
      <c r="H1433" s="5">
        <v>151</v>
      </c>
      <c r="I1433" s="5">
        <v>3</v>
      </c>
      <c r="J1433" s="5" t="s">
        <v>18</v>
      </c>
      <c r="K1433" s="5" t="s">
        <v>35</v>
      </c>
      <c r="L1433" s="5" t="s">
        <v>28</v>
      </c>
      <c r="M1433" s="7" t="s">
        <v>41</v>
      </c>
      <c r="N1433" s="26">
        <f t="shared" si="154"/>
        <v>0</v>
      </c>
      <c r="O1433" s="42">
        <f t="shared" si="155"/>
        <v>45176</v>
      </c>
      <c r="P1433" s="5" t="str">
        <f t="shared" si="156"/>
        <v>Thursday</v>
      </c>
      <c r="Q1433" s="5">
        <f t="shared" si="157"/>
        <v>9</v>
      </c>
      <c r="R1433" s="28">
        <f t="shared" si="158"/>
        <v>0.98051948051948057</v>
      </c>
      <c r="S1433" s="29">
        <f t="shared" si="159"/>
        <v>98.05194805194806</v>
      </c>
      <c r="T1433" s="5" t="str">
        <f>IF(Delivery_Data3[[#This Row],[Delays (min)]]&gt;0,"No","Yes")</f>
        <v>No</v>
      </c>
      <c r="W1433" s="41">
        <f t="shared" si="160"/>
        <v>45176</v>
      </c>
      <c r="X1433" s="5">
        <v>151</v>
      </c>
    </row>
    <row r="1434" spans="1:24" ht="15.75" customHeight="1" x14ac:dyDescent="0.3">
      <c r="A1434" s="4">
        <v>2433</v>
      </c>
      <c r="B1434" s="5" t="s">
        <v>1528</v>
      </c>
      <c r="C1434" s="6">
        <v>45174.679166666669</v>
      </c>
      <c r="D1434" s="5" t="s">
        <v>14</v>
      </c>
      <c r="E1434" s="5" t="s">
        <v>156</v>
      </c>
      <c r="F1434" s="5" t="s">
        <v>38</v>
      </c>
      <c r="G1434" s="5" t="s">
        <v>25</v>
      </c>
      <c r="H1434" s="5">
        <v>195</v>
      </c>
      <c r="I1434" s="5">
        <v>25</v>
      </c>
      <c r="J1434" s="5" t="s">
        <v>26</v>
      </c>
      <c r="K1434" s="5" t="s">
        <v>27</v>
      </c>
      <c r="L1434" s="5" t="s">
        <v>28</v>
      </c>
      <c r="M1434" s="7" t="s">
        <v>41</v>
      </c>
      <c r="N1434" s="26">
        <f t="shared" si="154"/>
        <v>1</v>
      </c>
      <c r="O1434" s="42">
        <f t="shared" si="155"/>
        <v>45174</v>
      </c>
      <c r="P1434" s="5" t="str">
        <f t="shared" si="156"/>
        <v>Tuesday</v>
      </c>
      <c r="Q1434" s="5">
        <f t="shared" si="157"/>
        <v>16</v>
      </c>
      <c r="R1434" s="28">
        <f t="shared" si="158"/>
        <v>0.88636363636363635</v>
      </c>
      <c r="S1434" s="29">
        <f t="shared" si="159"/>
        <v>88.63636363636364</v>
      </c>
      <c r="T1434" s="5" t="str">
        <f>IF(Delivery_Data3[[#This Row],[Delays (min)]]&gt;0,"No","Yes")</f>
        <v>No</v>
      </c>
      <c r="W1434" s="41">
        <f t="shared" si="160"/>
        <v>45174</v>
      </c>
      <c r="X1434" s="5">
        <v>195</v>
      </c>
    </row>
    <row r="1435" spans="1:24" ht="15.75" customHeight="1" x14ac:dyDescent="0.3">
      <c r="A1435" s="4">
        <v>2434</v>
      </c>
      <c r="B1435" s="5" t="s">
        <v>1529</v>
      </c>
      <c r="C1435" s="6">
        <v>45174.445138888892</v>
      </c>
      <c r="D1435" s="5" t="s">
        <v>14</v>
      </c>
      <c r="E1435" s="5" t="s">
        <v>169</v>
      </c>
      <c r="F1435" s="5" t="s">
        <v>16</v>
      </c>
      <c r="G1435" s="5" t="s">
        <v>17</v>
      </c>
      <c r="H1435" s="5">
        <v>171</v>
      </c>
      <c r="I1435" s="5">
        <v>12</v>
      </c>
      <c r="J1435" s="5" t="s">
        <v>32</v>
      </c>
      <c r="K1435" s="5" t="s">
        <v>45</v>
      </c>
      <c r="L1435" s="5" t="s">
        <v>28</v>
      </c>
      <c r="M1435" s="7" t="s">
        <v>41</v>
      </c>
      <c r="N1435" s="26">
        <f t="shared" si="154"/>
        <v>-1</v>
      </c>
      <c r="O1435" s="42">
        <f t="shared" si="155"/>
        <v>45174</v>
      </c>
      <c r="P1435" s="5" t="str">
        <f t="shared" si="156"/>
        <v>Tuesday</v>
      </c>
      <c r="Q1435" s="5">
        <f t="shared" si="157"/>
        <v>10</v>
      </c>
      <c r="R1435" s="28">
        <f t="shared" si="158"/>
        <v>0.93442622950819676</v>
      </c>
      <c r="S1435" s="29">
        <f t="shared" si="159"/>
        <v>93.442622950819683</v>
      </c>
      <c r="T1435" s="5" t="str">
        <f>IF(Delivery_Data3[[#This Row],[Delays (min)]]&gt;0,"No","Yes")</f>
        <v>No</v>
      </c>
      <c r="W1435" s="41">
        <f t="shared" si="160"/>
        <v>45174</v>
      </c>
      <c r="X1435" s="5">
        <v>171</v>
      </c>
    </row>
    <row r="1436" spans="1:24" ht="15.75" customHeight="1" x14ac:dyDescent="0.3">
      <c r="A1436" s="4">
        <v>2435</v>
      </c>
      <c r="B1436" s="5" t="s">
        <v>1530</v>
      </c>
      <c r="C1436" s="6">
        <v>45174.595138888886</v>
      </c>
      <c r="D1436" s="5" t="s">
        <v>14</v>
      </c>
      <c r="E1436" s="5" t="s">
        <v>243</v>
      </c>
      <c r="F1436" s="5" t="s">
        <v>38</v>
      </c>
      <c r="G1436" s="5" t="s">
        <v>25</v>
      </c>
      <c r="H1436" s="5">
        <v>107</v>
      </c>
      <c r="I1436" s="5">
        <v>11</v>
      </c>
      <c r="J1436" s="5" t="s">
        <v>26</v>
      </c>
      <c r="K1436" s="5" t="s">
        <v>49</v>
      </c>
      <c r="L1436" s="5" t="s">
        <v>20</v>
      </c>
      <c r="M1436" s="7" t="s">
        <v>21</v>
      </c>
      <c r="N1436" s="26">
        <f t="shared" si="154"/>
        <v>1</v>
      </c>
      <c r="O1436" s="42">
        <f t="shared" si="155"/>
        <v>45174</v>
      </c>
      <c r="P1436" s="5" t="str">
        <f t="shared" si="156"/>
        <v>Tuesday</v>
      </c>
      <c r="Q1436" s="5">
        <f t="shared" si="157"/>
        <v>14</v>
      </c>
      <c r="R1436" s="28">
        <f t="shared" si="158"/>
        <v>0.90677966101694918</v>
      </c>
      <c r="S1436" s="29">
        <f t="shared" si="159"/>
        <v>90.677966101694921</v>
      </c>
      <c r="T1436" s="5" t="str">
        <f>IF(Delivery_Data3[[#This Row],[Delays (min)]]&gt;0,"No","Yes")</f>
        <v>No</v>
      </c>
      <c r="W1436" s="41">
        <f t="shared" si="160"/>
        <v>45174</v>
      </c>
      <c r="X1436" s="5">
        <v>107</v>
      </c>
    </row>
    <row r="1437" spans="1:24" ht="15.75" customHeight="1" x14ac:dyDescent="0.3">
      <c r="A1437" s="4">
        <v>2436</v>
      </c>
      <c r="B1437" s="5" t="s">
        <v>1531</v>
      </c>
      <c r="C1437" s="6">
        <v>45175.650694444441</v>
      </c>
      <c r="D1437" s="5" t="s">
        <v>43</v>
      </c>
      <c r="E1437" s="5" t="s">
        <v>301</v>
      </c>
      <c r="F1437" s="5" t="s">
        <v>16</v>
      </c>
      <c r="G1437" s="5" t="s">
        <v>17</v>
      </c>
      <c r="H1437" s="5">
        <v>185</v>
      </c>
      <c r="I1437" s="5">
        <v>7</v>
      </c>
      <c r="J1437" s="5" t="s">
        <v>18</v>
      </c>
      <c r="K1437" s="5" t="s">
        <v>35</v>
      </c>
      <c r="L1437" s="5" t="s">
        <v>28</v>
      </c>
      <c r="M1437" s="7" t="s">
        <v>21</v>
      </c>
      <c r="N1437" s="26">
        <f t="shared" si="154"/>
        <v>0</v>
      </c>
      <c r="O1437" s="42">
        <f t="shared" si="155"/>
        <v>45175</v>
      </c>
      <c r="P1437" s="5" t="str">
        <f t="shared" si="156"/>
        <v>Wednesday</v>
      </c>
      <c r="Q1437" s="5">
        <f t="shared" si="157"/>
        <v>15</v>
      </c>
      <c r="R1437" s="28">
        <f t="shared" si="158"/>
        <v>0.96354166666666663</v>
      </c>
      <c r="S1437" s="29">
        <f t="shared" si="159"/>
        <v>96.354166666666657</v>
      </c>
      <c r="T1437" s="5" t="str">
        <f>IF(Delivery_Data3[[#This Row],[Delays (min)]]&gt;0,"No","Yes")</f>
        <v>No</v>
      </c>
      <c r="W1437" s="41">
        <f t="shared" si="160"/>
        <v>45175</v>
      </c>
      <c r="X1437" s="5">
        <v>185</v>
      </c>
    </row>
    <row r="1438" spans="1:24" ht="15.75" customHeight="1" x14ac:dyDescent="0.3">
      <c r="A1438" s="4">
        <v>2437</v>
      </c>
      <c r="B1438" s="5" t="s">
        <v>1532</v>
      </c>
      <c r="C1438" s="6">
        <v>45175.631944444445</v>
      </c>
      <c r="D1438" s="5" t="s">
        <v>14</v>
      </c>
      <c r="E1438" s="5" t="s">
        <v>263</v>
      </c>
      <c r="F1438" s="5" t="s">
        <v>16</v>
      </c>
      <c r="G1438" s="5" t="s">
        <v>39</v>
      </c>
      <c r="H1438" s="5">
        <v>101</v>
      </c>
      <c r="I1438" s="5">
        <v>17</v>
      </c>
      <c r="J1438" s="5" t="s">
        <v>18</v>
      </c>
      <c r="K1438" s="5" t="s">
        <v>19</v>
      </c>
      <c r="L1438" s="5" t="s">
        <v>20</v>
      </c>
      <c r="M1438" s="7" t="s">
        <v>46</v>
      </c>
      <c r="N1438" s="26">
        <f t="shared" si="154"/>
        <v>0</v>
      </c>
      <c r="O1438" s="42">
        <f t="shared" si="155"/>
        <v>45175</v>
      </c>
      <c r="P1438" s="5" t="str">
        <f t="shared" si="156"/>
        <v>Wednesday</v>
      </c>
      <c r="Q1438" s="5">
        <f t="shared" si="157"/>
        <v>15</v>
      </c>
      <c r="R1438" s="28">
        <f t="shared" si="158"/>
        <v>0.85593220338983056</v>
      </c>
      <c r="S1438" s="29">
        <f t="shared" si="159"/>
        <v>85.593220338983059</v>
      </c>
      <c r="T1438" s="5" t="str">
        <f>IF(Delivery_Data3[[#This Row],[Delays (min)]]&gt;0,"No","Yes")</f>
        <v>No</v>
      </c>
      <c r="W1438" s="41">
        <f t="shared" si="160"/>
        <v>45175</v>
      </c>
      <c r="X1438" s="5">
        <v>101</v>
      </c>
    </row>
    <row r="1439" spans="1:24" ht="15.75" customHeight="1" x14ac:dyDescent="0.3">
      <c r="A1439" s="4">
        <v>2438</v>
      </c>
      <c r="B1439" s="5" t="s">
        <v>1533</v>
      </c>
      <c r="C1439" s="6">
        <v>45175.63958333333</v>
      </c>
      <c r="D1439" s="5" t="s">
        <v>14</v>
      </c>
      <c r="E1439" s="5" t="s">
        <v>64</v>
      </c>
      <c r="F1439" s="5" t="s">
        <v>24</v>
      </c>
      <c r="G1439" s="5" t="s">
        <v>17</v>
      </c>
      <c r="H1439" s="5">
        <v>72</v>
      </c>
      <c r="I1439" s="5">
        <v>17</v>
      </c>
      <c r="J1439" s="5" t="s">
        <v>26</v>
      </c>
      <c r="K1439" s="5" t="s">
        <v>35</v>
      </c>
      <c r="L1439" s="5" t="s">
        <v>28</v>
      </c>
      <c r="M1439" s="7" t="s">
        <v>46</v>
      </c>
      <c r="N1439" s="26">
        <f t="shared" si="154"/>
        <v>1</v>
      </c>
      <c r="O1439" s="42">
        <f t="shared" si="155"/>
        <v>45175</v>
      </c>
      <c r="P1439" s="5" t="str">
        <f t="shared" si="156"/>
        <v>Wednesday</v>
      </c>
      <c r="Q1439" s="5">
        <f t="shared" si="157"/>
        <v>15</v>
      </c>
      <c r="R1439" s="28">
        <f t="shared" si="158"/>
        <v>0.8089887640449438</v>
      </c>
      <c r="S1439" s="29">
        <f t="shared" si="159"/>
        <v>80.898876404494374</v>
      </c>
      <c r="T1439" s="5" t="str">
        <f>IF(Delivery_Data3[[#This Row],[Delays (min)]]&gt;0,"No","Yes")</f>
        <v>No</v>
      </c>
      <c r="W1439" s="41">
        <f t="shared" si="160"/>
        <v>45175</v>
      </c>
      <c r="X1439" s="5">
        <v>72</v>
      </c>
    </row>
    <row r="1440" spans="1:24" ht="15.75" customHeight="1" x14ac:dyDescent="0.3">
      <c r="A1440" s="4">
        <v>2439</v>
      </c>
      <c r="B1440" s="5" t="s">
        <v>1534</v>
      </c>
      <c r="C1440" s="6">
        <v>45171.672222222223</v>
      </c>
      <c r="D1440" s="5" t="s">
        <v>14</v>
      </c>
      <c r="E1440" s="5" t="s">
        <v>83</v>
      </c>
      <c r="F1440" s="5" t="s">
        <v>24</v>
      </c>
      <c r="G1440" s="5" t="s">
        <v>25</v>
      </c>
      <c r="H1440" s="5">
        <v>217</v>
      </c>
      <c r="I1440" s="5">
        <v>4</v>
      </c>
      <c r="J1440" s="5" t="s">
        <v>18</v>
      </c>
      <c r="K1440" s="5" t="s">
        <v>19</v>
      </c>
      <c r="L1440" s="5" t="s">
        <v>28</v>
      </c>
      <c r="M1440" s="7" t="s">
        <v>21</v>
      </c>
      <c r="N1440" s="26">
        <f t="shared" si="154"/>
        <v>0</v>
      </c>
      <c r="O1440" s="42">
        <f t="shared" si="155"/>
        <v>45171</v>
      </c>
      <c r="P1440" s="5" t="str">
        <f t="shared" si="156"/>
        <v>Saturday</v>
      </c>
      <c r="Q1440" s="5">
        <f t="shared" si="157"/>
        <v>16</v>
      </c>
      <c r="R1440" s="28">
        <f t="shared" si="158"/>
        <v>0.98190045248868774</v>
      </c>
      <c r="S1440" s="29">
        <f t="shared" si="159"/>
        <v>98.19004524886877</v>
      </c>
      <c r="T1440" s="5" t="str">
        <f>IF(Delivery_Data3[[#This Row],[Delays (min)]]&gt;0,"No","Yes")</f>
        <v>No</v>
      </c>
      <c r="W1440" s="41">
        <f t="shared" si="160"/>
        <v>45171</v>
      </c>
      <c r="X1440" s="5">
        <v>217</v>
      </c>
    </row>
    <row r="1441" spans="1:24" ht="15.75" customHeight="1" x14ac:dyDescent="0.3">
      <c r="A1441" s="4">
        <v>2440</v>
      </c>
      <c r="B1441" s="5" t="s">
        <v>1535</v>
      </c>
      <c r="C1441" s="6">
        <v>45172.34097222222</v>
      </c>
      <c r="D1441" s="5" t="s">
        <v>43</v>
      </c>
      <c r="E1441" s="5" t="s">
        <v>106</v>
      </c>
      <c r="F1441" s="5" t="s">
        <v>24</v>
      </c>
      <c r="G1441" s="5" t="s">
        <v>39</v>
      </c>
      <c r="H1441" s="5">
        <v>233</v>
      </c>
      <c r="I1441" s="5">
        <v>18</v>
      </c>
      <c r="J1441" s="5" t="s">
        <v>26</v>
      </c>
      <c r="K1441" s="5" t="s">
        <v>45</v>
      </c>
      <c r="L1441" s="5" t="s">
        <v>20</v>
      </c>
      <c r="M1441" s="7" t="s">
        <v>41</v>
      </c>
      <c r="N1441" s="26">
        <f t="shared" si="154"/>
        <v>1</v>
      </c>
      <c r="O1441" s="42">
        <f t="shared" si="155"/>
        <v>45172</v>
      </c>
      <c r="P1441" s="5" t="str">
        <f t="shared" si="156"/>
        <v>Sunday</v>
      </c>
      <c r="Q1441" s="5">
        <f t="shared" si="157"/>
        <v>8</v>
      </c>
      <c r="R1441" s="28">
        <f t="shared" si="158"/>
        <v>0.92828685258964139</v>
      </c>
      <c r="S1441" s="29">
        <f t="shared" si="159"/>
        <v>92.828685258964143</v>
      </c>
      <c r="T1441" s="5" t="str">
        <f>IF(Delivery_Data3[[#This Row],[Delays (min)]]&gt;0,"No","Yes")</f>
        <v>No</v>
      </c>
      <c r="W1441" s="41">
        <f t="shared" si="160"/>
        <v>45172</v>
      </c>
      <c r="X1441" s="5">
        <v>233</v>
      </c>
    </row>
    <row r="1442" spans="1:24" ht="15.75" customHeight="1" x14ac:dyDescent="0.3">
      <c r="A1442" s="4">
        <v>2441</v>
      </c>
      <c r="B1442" s="5" t="s">
        <v>1536</v>
      </c>
      <c r="C1442" s="6">
        <v>45177.394444444442</v>
      </c>
      <c r="D1442" s="5" t="s">
        <v>14</v>
      </c>
      <c r="E1442" s="5" t="s">
        <v>197</v>
      </c>
      <c r="F1442" s="5" t="s">
        <v>38</v>
      </c>
      <c r="G1442" s="5" t="s">
        <v>39</v>
      </c>
      <c r="H1442" s="5">
        <v>90</v>
      </c>
      <c r="I1442" s="5">
        <v>10</v>
      </c>
      <c r="J1442" s="5" t="s">
        <v>26</v>
      </c>
      <c r="K1442" s="5" t="s">
        <v>49</v>
      </c>
      <c r="L1442" s="5" t="s">
        <v>28</v>
      </c>
      <c r="M1442" s="7" t="s">
        <v>21</v>
      </c>
      <c r="N1442" s="26">
        <f t="shared" si="154"/>
        <v>1</v>
      </c>
      <c r="O1442" s="42">
        <f t="shared" si="155"/>
        <v>45177</v>
      </c>
      <c r="P1442" s="5" t="str">
        <f t="shared" si="156"/>
        <v>Friday</v>
      </c>
      <c r="Q1442" s="5">
        <f t="shared" si="157"/>
        <v>9</v>
      </c>
      <c r="R1442" s="28">
        <f t="shared" si="158"/>
        <v>0.9</v>
      </c>
      <c r="S1442" s="29">
        <f t="shared" si="159"/>
        <v>90</v>
      </c>
      <c r="T1442" s="5" t="str">
        <f>IF(Delivery_Data3[[#This Row],[Delays (min)]]&gt;0,"No","Yes")</f>
        <v>No</v>
      </c>
      <c r="W1442" s="41">
        <f t="shared" si="160"/>
        <v>45177</v>
      </c>
      <c r="X1442" s="5">
        <v>90</v>
      </c>
    </row>
    <row r="1443" spans="1:24" ht="15.75" customHeight="1" x14ac:dyDescent="0.3">
      <c r="A1443" s="4">
        <v>2442</v>
      </c>
      <c r="B1443" s="5" t="s">
        <v>1537</v>
      </c>
      <c r="C1443" s="6">
        <v>45171.693055555559</v>
      </c>
      <c r="D1443" s="5" t="s">
        <v>43</v>
      </c>
      <c r="E1443" s="5" t="s">
        <v>95</v>
      </c>
      <c r="F1443" s="5" t="s">
        <v>16</v>
      </c>
      <c r="G1443" s="5" t="s">
        <v>17</v>
      </c>
      <c r="H1443" s="5">
        <v>79</v>
      </c>
      <c r="I1443" s="5">
        <v>6</v>
      </c>
      <c r="J1443" s="5" t="s">
        <v>32</v>
      </c>
      <c r="K1443" s="5" t="s">
        <v>35</v>
      </c>
      <c r="L1443" s="5" t="s">
        <v>40</v>
      </c>
      <c r="M1443" s="7" t="s">
        <v>21</v>
      </c>
      <c r="N1443" s="26">
        <f t="shared" si="154"/>
        <v>-1</v>
      </c>
      <c r="O1443" s="42">
        <f t="shared" si="155"/>
        <v>45171</v>
      </c>
      <c r="P1443" s="5" t="str">
        <f t="shared" si="156"/>
        <v>Saturday</v>
      </c>
      <c r="Q1443" s="5">
        <f t="shared" si="157"/>
        <v>16</v>
      </c>
      <c r="R1443" s="28">
        <f t="shared" si="158"/>
        <v>0.92941176470588238</v>
      </c>
      <c r="S1443" s="29">
        <f t="shared" si="159"/>
        <v>92.941176470588232</v>
      </c>
      <c r="T1443" s="5" t="str">
        <f>IF(Delivery_Data3[[#This Row],[Delays (min)]]&gt;0,"No","Yes")</f>
        <v>No</v>
      </c>
      <c r="W1443" s="41">
        <f t="shared" si="160"/>
        <v>45171</v>
      </c>
      <c r="X1443" s="5">
        <v>79</v>
      </c>
    </row>
    <row r="1444" spans="1:24" ht="15.75" customHeight="1" x14ac:dyDescent="0.3">
      <c r="A1444" s="4">
        <v>2443</v>
      </c>
      <c r="B1444" s="5" t="s">
        <v>1538</v>
      </c>
      <c r="C1444" s="6">
        <v>45173.429861111108</v>
      </c>
      <c r="D1444" s="5" t="s">
        <v>43</v>
      </c>
      <c r="E1444" s="5" t="s">
        <v>78</v>
      </c>
      <c r="F1444" s="5" t="s">
        <v>16</v>
      </c>
      <c r="G1444" s="5" t="s">
        <v>25</v>
      </c>
      <c r="H1444" s="5">
        <v>80</v>
      </c>
      <c r="I1444" s="5">
        <v>7</v>
      </c>
      <c r="J1444" s="5" t="s">
        <v>18</v>
      </c>
      <c r="K1444" s="5" t="s">
        <v>35</v>
      </c>
      <c r="L1444" s="5" t="s">
        <v>20</v>
      </c>
      <c r="M1444" s="7" t="s">
        <v>21</v>
      </c>
      <c r="N1444" s="26">
        <f t="shared" si="154"/>
        <v>0</v>
      </c>
      <c r="O1444" s="42">
        <f t="shared" si="155"/>
        <v>45173</v>
      </c>
      <c r="P1444" s="5" t="str">
        <f t="shared" si="156"/>
        <v>Monday</v>
      </c>
      <c r="Q1444" s="5">
        <f t="shared" si="157"/>
        <v>10</v>
      </c>
      <c r="R1444" s="28">
        <f t="shared" si="158"/>
        <v>0.91954022988505746</v>
      </c>
      <c r="S1444" s="29">
        <f t="shared" si="159"/>
        <v>91.954022988505741</v>
      </c>
      <c r="T1444" s="5" t="str">
        <f>IF(Delivery_Data3[[#This Row],[Delays (min)]]&gt;0,"No","Yes")</f>
        <v>No</v>
      </c>
      <c r="W1444" s="41">
        <f t="shared" si="160"/>
        <v>45173</v>
      </c>
      <c r="X1444" s="5">
        <v>80</v>
      </c>
    </row>
    <row r="1445" spans="1:24" ht="15.75" customHeight="1" x14ac:dyDescent="0.3">
      <c r="A1445" s="4">
        <v>2444</v>
      </c>
      <c r="B1445" s="5" t="s">
        <v>219</v>
      </c>
      <c r="C1445" s="6">
        <v>45171.664583333331</v>
      </c>
      <c r="D1445" s="5" t="s">
        <v>43</v>
      </c>
      <c r="E1445" s="5" t="s">
        <v>15</v>
      </c>
      <c r="F1445" s="5" t="s">
        <v>16</v>
      </c>
      <c r="G1445" s="5" t="s">
        <v>25</v>
      </c>
      <c r="H1445" s="5">
        <v>133</v>
      </c>
      <c r="I1445" s="5">
        <v>15</v>
      </c>
      <c r="J1445" s="5" t="s">
        <v>18</v>
      </c>
      <c r="K1445" s="5" t="s">
        <v>35</v>
      </c>
      <c r="L1445" s="5" t="s">
        <v>40</v>
      </c>
      <c r="M1445" s="7" t="s">
        <v>41</v>
      </c>
      <c r="N1445" s="26">
        <f t="shared" si="154"/>
        <v>0</v>
      </c>
      <c r="O1445" s="42">
        <f t="shared" si="155"/>
        <v>45171</v>
      </c>
      <c r="P1445" s="5" t="str">
        <f t="shared" si="156"/>
        <v>Saturday</v>
      </c>
      <c r="Q1445" s="5">
        <f t="shared" si="157"/>
        <v>15</v>
      </c>
      <c r="R1445" s="28">
        <f t="shared" si="158"/>
        <v>0.89864864864864868</v>
      </c>
      <c r="S1445" s="29">
        <f t="shared" si="159"/>
        <v>89.86486486486487</v>
      </c>
      <c r="T1445" s="5" t="str">
        <f>IF(Delivery_Data3[[#This Row],[Delays (min)]]&gt;0,"No","Yes")</f>
        <v>No</v>
      </c>
      <c r="W1445" s="41">
        <f t="shared" si="160"/>
        <v>45171</v>
      </c>
      <c r="X1445" s="5">
        <v>133</v>
      </c>
    </row>
    <row r="1446" spans="1:24" ht="15.75" customHeight="1" x14ac:dyDescent="0.3">
      <c r="A1446" s="4">
        <v>2445</v>
      </c>
      <c r="B1446" s="5" t="s">
        <v>1539</v>
      </c>
      <c r="C1446" s="6">
        <v>45175.625</v>
      </c>
      <c r="D1446" s="5" t="s">
        <v>43</v>
      </c>
      <c r="E1446" s="5" t="s">
        <v>120</v>
      </c>
      <c r="F1446" s="5" t="s">
        <v>24</v>
      </c>
      <c r="G1446" s="5" t="s">
        <v>39</v>
      </c>
      <c r="H1446" s="5">
        <v>62</v>
      </c>
      <c r="I1446" s="5">
        <v>28</v>
      </c>
      <c r="J1446" s="5" t="s">
        <v>26</v>
      </c>
      <c r="K1446" s="5" t="s">
        <v>45</v>
      </c>
      <c r="L1446" s="5" t="s">
        <v>20</v>
      </c>
      <c r="M1446" s="7" t="s">
        <v>46</v>
      </c>
      <c r="N1446" s="26">
        <f t="shared" si="154"/>
        <v>1</v>
      </c>
      <c r="O1446" s="42">
        <f t="shared" si="155"/>
        <v>45175</v>
      </c>
      <c r="P1446" s="5" t="str">
        <f t="shared" si="156"/>
        <v>Wednesday</v>
      </c>
      <c r="Q1446" s="5">
        <f t="shared" si="157"/>
        <v>15</v>
      </c>
      <c r="R1446" s="28">
        <f t="shared" si="158"/>
        <v>0.68888888888888888</v>
      </c>
      <c r="S1446" s="29">
        <f t="shared" si="159"/>
        <v>68.888888888888886</v>
      </c>
      <c r="T1446" s="5" t="str">
        <f>IF(Delivery_Data3[[#This Row],[Delays (min)]]&gt;0,"No","Yes")</f>
        <v>No</v>
      </c>
      <c r="W1446" s="41">
        <f t="shared" si="160"/>
        <v>45175</v>
      </c>
      <c r="X1446" s="5">
        <v>62</v>
      </c>
    </row>
    <row r="1447" spans="1:24" ht="15.75" customHeight="1" x14ac:dyDescent="0.3">
      <c r="A1447" s="4">
        <v>2446</v>
      </c>
      <c r="B1447" s="5" t="s">
        <v>1540</v>
      </c>
      <c r="C1447" s="6">
        <v>45174.679861111108</v>
      </c>
      <c r="D1447" s="5" t="s">
        <v>43</v>
      </c>
      <c r="E1447" s="5" t="s">
        <v>301</v>
      </c>
      <c r="F1447" s="5" t="s">
        <v>16</v>
      </c>
      <c r="G1447" s="5" t="s">
        <v>31</v>
      </c>
      <c r="H1447" s="5">
        <v>215</v>
      </c>
      <c r="I1447" s="5">
        <v>23</v>
      </c>
      <c r="J1447" s="5" t="s">
        <v>26</v>
      </c>
      <c r="K1447" s="5" t="s">
        <v>45</v>
      </c>
      <c r="L1447" s="5" t="s">
        <v>40</v>
      </c>
      <c r="M1447" s="7" t="s">
        <v>21</v>
      </c>
      <c r="N1447" s="26">
        <f t="shared" si="154"/>
        <v>1</v>
      </c>
      <c r="O1447" s="42">
        <f t="shared" si="155"/>
        <v>45174</v>
      </c>
      <c r="P1447" s="5" t="str">
        <f t="shared" si="156"/>
        <v>Tuesday</v>
      </c>
      <c r="Q1447" s="5">
        <f t="shared" si="157"/>
        <v>16</v>
      </c>
      <c r="R1447" s="28">
        <f t="shared" si="158"/>
        <v>0.90336134453781514</v>
      </c>
      <c r="S1447" s="29">
        <f t="shared" si="159"/>
        <v>90.336134453781511</v>
      </c>
      <c r="T1447" s="5" t="str">
        <f>IF(Delivery_Data3[[#This Row],[Delays (min)]]&gt;0,"No","Yes")</f>
        <v>No</v>
      </c>
      <c r="W1447" s="41">
        <f t="shared" si="160"/>
        <v>45174</v>
      </c>
      <c r="X1447" s="5">
        <v>215</v>
      </c>
    </row>
    <row r="1448" spans="1:24" ht="15.75" customHeight="1" x14ac:dyDescent="0.3">
      <c r="A1448" s="4">
        <v>2447</v>
      </c>
      <c r="B1448" s="5" t="s">
        <v>1541</v>
      </c>
      <c r="C1448" s="6">
        <v>45171.57708333333</v>
      </c>
      <c r="D1448" s="5" t="s">
        <v>14</v>
      </c>
      <c r="E1448" s="5" t="s">
        <v>240</v>
      </c>
      <c r="F1448" s="5" t="s">
        <v>24</v>
      </c>
      <c r="G1448" s="5" t="s">
        <v>39</v>
      </c>
      <c r="H1448" s="5">
        <v>228</v>
      </c>
      <c r="I1448" s="5">
        <v>19</v>
      </c>
      <c r="J1448" s="5" t="s">
        <v>32</v>
      </c>
      <c r="K1448" s="5" t="s">
        <v>45</v>
      </c>
      <c r="L1448" s="5" t="s">
        <v>40</v>
      </c>
      <c r="M1448" s="7" t="s">
        <v>41</v>
      </c>
      <c r="N1448" s="26">
        <f t="shared" si="154"/>
        <v>-1</v>
      </c>
      <c r="O1448" s="42">
        <f t="shared" si="155"/>
        <v>45171</v>
      </c>
      <c r="P1448" s="5" t="str">
        <f t="shared" si="156"/>
        <v>Saturday</v>
      </c>
      <c r="Q1448" s="5">
        <f t="shared" si="157"/>
        <v>13</v>
      </c>
      <c r="R1448" s="28">
        <f t="shared" si="158"/>
        <v>0.92307692307692313</v>
      </c>
      <c r="S1448" s="29">
        <f t="shared" si="159"/>
        <v>92.307692307692307</v>
      </c>
      <c r="T1448" s="5" t="str">
        <f>IF(Delivery_Data3[[#This Row],[Delays (min)]]&gt;0,"No","Yes")</f>
        <v>No</v>
      </c>
      <c r="W1448" s="41">
        <f t="shared" si="160"/>
        <v>45171</v>
      </c>
      <c r="X1448" s="5">
        <v>228</v>
      </c>
    </row>
    <row r="1449" spans="1:24" ht="15.75" customHeight="1" x14ac:dyDescent="0.3">
      <c r="A1449" s="4">
        <v>2448</v>
      </c>
      <c r="B1449" s="5" t="s">
        <v>1193</v>
      </c>
      <c r="C1449" s="6">
        <v>45173.534722222219</v>
      </c>
      <c r="D1449" s="5" t="s">
        <v>43</v>
      </c>
      <c r="E1449" s="5" t="s">
        <v>403</v>
      </c>
      <c r="F1449" s="5" t="s">
        <v>16</v>
      </c>
      <c r="G1449" s="5" t="s">
        <v>39</v>
      </c>
      <c r="H1449" s="5">
        <v>232</v>
      </c>
      <c r="I1449" s="5">
        <v>5</v>
      </c>
      <c r="J1449" s="5" t="s">
        <v>18</v>
      </c>
      <c r="K1449" s="5" t="s">
        <v>45</v>
      </c>
      <c r="L1449" s="5" t="s">
        <v>20</v>
      </c>
      <c r="M1449" s="7" t="s">
        <v>46</v>
      </c>
      <c r="N1449" s="26">
        <f t="shared" si="154"/>
        <v>0</v>
      </c>
      <c r="O1449" s="42">
        <f t="shared" si="155"/>
        <v>45173</v>
      </c>
      <c r="P1449" s="5" t="str">
        <f t="shared" si="156"/>
        <v>Monday</v>
      </c>
      <c r="Q1449" s="5">
        <f t="shared" si="157"/>
        <v>12</v>
      </c>
      <c r="R1449" s="28">
        <f t="shared" si="158"/>
        <v>0.97890295358649793</v>
      </c>
      <c r="S1449" s="29">
        <f t="shared" si="159"/>
        <v>97.890295358649794</v>
      </c>
      <c r="T1449" s="5" t="str">
        <f>IF(Delivery_Data3[[#This Row],[Delays (min)]]&gt;0,"No","Yes")</f>
        <v>No</v>
      </c>
      <c r="W1449" s="41">
        <f t="shared" si="160"/>
        <v>45173</v>
      </c>
      <c r="X1449" s="5">
        <v>232</v>
      </c>
    </row>
    <row r="1450" spans="1:24" ht="15.75" customHeight="1" x14ac:dyDescent="0.3">
      <c r="A1450" s="4">
        <v>2449</v>
      </c>
      <c r="B1450" s="5" t="s">
        <v>1542</v>
      </c>
      <c r="C1450" s="6">
        <v>45172.604861111111</v>
      </c>
      <c r="D1450" s="5" t="s">
        <v>14</v>
      </c>
      <c r="E1450" s="5" t="s">
        <v>30</v>
      </c>
      <c r="F1450" s="5" t="s">
        <v>38</v>
      </c>
      <c r="G1450" s="5" t="s">
        <v>17</v>
      </c>
      <c r="H1450" s="5">
        <v>73</v>
      </c>
      <c r="I1450" s="5">
        <v>5</v>
      </c>
      <c r="J1450" s="5" t="s">
        <v>26</v>
      </c>
      <c r="K1450" s="5" t="s">
        <v>49</v>
      </c>
      <c r="L1450" s="5" t="s">
        <v>40</v>
      </c>
      <c r="M1450" s="7" t="s">
        <v>46</v>
      </c>
      <c r="N1450" s="26">
        <f t="shared" si="154"/>
        <v>1</v>
      </c>
      <c r="O1450" s="42">
        <f t="shared" si="155"/>
        <v>45172</v>
      </c>
      <c r="P1450" s="5" t="str">
        <f t="shared" si="156"/>
        <v>Sunday</v>
      </c>
      <c r="Q1450" s="5">
        <f t="shared" si="157"/>
        <v>14</v>
      </c>
      <c r="R1450" s="28">
        <f t="shared" si="158"/>
        <v>0.9358974358974359</v>
      </c>
      <c r="S1450" s="29">
        <f t="shared" si="159"/>
        <v>93.589743589743591</v>
      </c>
      <c r="T1450" s="5" t="str">
        <f>IF(Delivery_Data3[[#This Row],[Delays (min)]]&gt;0,"No","Yes")</f>
        <v>No</v>
      </c>
      <c r="W1450" s="41">
        <f t="shared" si="160"/>
        <v>45172</v>
      </c>
      <c r="X1450" s="5">
        <v>73</v>
      </c>
    </row>
    <row r="1451" spans="1:24" ht="15.75" customHeight="1" x14ac:dyDescent="0.3">
      <c r="A1451" s="4">
        <v>2450</v>
      </c>
      <c r="B1451" s="5" t="s">
        <v>1543</v>
      </c>
      <c r="C1451" s="6">
        <v>45171.684027777781</v>
      </c>
      <c r="D1451" s="5" t="s">
        <v>43</v>
      </c>
      <c r="E1451" s="5" t="s">
        <v>193</v>
      </c>
      <c r="F1451" s="5" t="s">
        <v>16</v>
      </c>
      <c r="G1451" s="5" t="s">
        <v>31</v>
      </c>
      <c r="H1451" s="5">
        <v>199</v>
      </c>
      <c r="I1451" s="5">
        <v>5</v>
      </c>
      <c r="J1451" s="5" t="s">
        <v>26</v>
      </c>
      <c r="K1451" s="5" t="s">
        <v>35</v>
      </c>
      <c r="L1451" s="5" t="s">
        <v>20</v>
      </c>
      <c r="M1451" s="7" t="s">
        <v>46</v>
      </c>
      <c r="N1451" s="26">
        <f t="shared" si="154"/>
        <v>1</v>
      </c>
      <c r="O1451" s="42">
        <f t="shared" si="155"/>
        <v>45171</v>
      </c>
      <c r="P1451" s="5" t="str">
        <f t="shared" si="156"/>
        <v>Saturday</v>
      </c>
      <c r="Q1451" s="5">
        <f t="shared" si="157"/>
        <v>16</v>
      </c>
      <c r="R1451" s="28">
        <f t="shared" si="158"/>
        <v>0.97549019607843135</v>
      </c>
      <c r="S1451" s="29">
        <f t="shared" si="159"/>
        <v>97.549019607843135</v>
      </c>
      <c r="T1451" s="5" t="str">
        <f>IF(Delivery_Data3[[#This Row],[Delays (min)]]&gt;0,"No","Yes")</f>
        <v>No</v>
      </c>
      <c r="W1451" s="41">
        <f t="shared" si="160"/>
        <v>45171</v>
      </c>
      <c r="X1451" s="5">
        <v>199</v>
      </c>
    </row>
    <row r="1452" spans="1:24" ht="15.75" customHeight="1" x14ac:dyDescent="0.3">
      <c r="A1452" s="4">
        <v>2451</v>
      </c>
      <c r="B1452" s="5" t="s">
        <v>1544</v>
      </c>
      <c r="C1452" s="6">
        <v>45173.382638888892</v>
      </c>
      <c r="D1452" s="5" t="s">
        <v>43</v>
      </c>
      <c r="E1452" s="5" t="s">
        <v>66</v>
      </c>
      <c r="F1452" s="5" t="s">
        <v>24</v>
      </c>
      <c r="G1452" s="5" t="s">
        <v>39</v>
      </c>
      <c r="H1452" s="5">
        <v>236</v>
      </c>
      <c r="I1452" s="5">
        <v>25</v>
      </c>
      <c r="J1452" s="5" t="s">
        <v>26</v>
      </c>
      <c r="K1452" s="5" t="s">
        <v>19</v>
      </c>
      <c r="L1452" s="5" t="s">
        <v>28</v>
      </c>
      <c r="M1452" s="7" t="s">
        <v>46</v>
      </c>
      <c r="N1452" s="26">
        <f t="shared" si="154"/>
        <v>1</v>
      </c>
      <c r="O1452" s="42">
        <f t="shared" si="155"/>
        <v>45173</v>
      </c>
      <c r="P1452" s="5" t="str">
        <f t="shared" si="156"/>
        <v>Monday</v>
      </c>
      <c r="Q1452" s="5">
        <f t="shared" si="157"/>
        <v>9</v>
      </c>
      <c r="R1452" s="28">
        <f t="shared" si="158"/>
        <v>0.90421455938697315</v>
      </c>
      <c r="S1452" s="29">
        <f t="shared" si="159"/>
        <v>90.421455938697321</v>
      </c>
      <c r="T1452" s="5" t="str">
        <f>IF(Delivery_Data3[[#This Row],[Delays (min)]]&gt;0,"No","Yes")</f>
        <v>No</v>
      </c>
      <c r="W1452" s="41">
        <f t="shared" si="160"/>
        <v>45173</v>
      </c>
      <c r="X1452" s="5">
        <v>236</v>
      </c>
    </row>
    <row r="1453" spans="1:24" ht="15.75" customHeight="1" x14ac:dyDescent="0.3">
      <c r="A1453" s="4">
        <v>2452</v>
      </c>
      <c r="B1453" s="5" t="s">
        <v>1545</v>
      </c>
      <c r="C1453" s="6">
        <v>45175.342361111114</v>
      </c>
      <c r="D1453" s="5" t="s">
        <v>43</v>
      </c>
      <c r="E1453" s="5" t="s">
        <v>101</v>
      </c>
      <c r="F1453" s="5" t="s">
        <v>16</v>
      </c>
      <c r="G1453" s="5" t="s">
        <v>56</v>
      </c>
      <c r="H1453" s="5">
        <v>204</v>
      </c>
      <c r="I1453" s="5">
        <v>24</v>
      </c>
      <c r="J1453" s="5" t="s">
        <v>18</v>
      </c>
      <c r="K1453" s="5" t="s">
        <v>19</v>
      </c>
      <c r="L1453" s="5" t="s">
        <v>40</v>
      </c>
      <c r="M1453" s="7" t="s">
        <v>21</v>
      </c>
      <c r="N1453" s="26">
        <f t="shared" si="154"/>
        <v>0</v>
      </c>
      <c r="O1453" s="42">
        <f t="shared" si="155"/>
        <v>45175</v>
      </c>
      <c r="P1453" s="5" t="str">
        <f t="shared" si="156"/>
        <v>Wednesday</v>
      </c>
      <c r="Q1453" s="5">
        <f t="shared" si="157"/>
        <v>8</v>
      </c>
      <c r="R1453" s="28">
        <f t="shared" si="158"/>
        <v>0.89473684210526316</v>
      </c>
      <c r="S1453" s="29">
        <f t="shared" si="159"/>
        <v>89.473684210526315</v>
      </c>
      <c r="T1453" s="5" t="str">
        <f>IF(Delivery_Data3[[#This Row],[Delays (min)]]&gt;0,"No","Yes")</f>
        <v>No</v>
      </c>
      <c r="W1453" s="41">
        <f t="shared" si="160"/>
        <v>45175</v>
      </c>
      <c r="X1453" s="5">
        <v>204</v>
      </c>
    </row>
    <row r="1454" spans="1:24" ht="15.75" customHeight="1" x14ac:dyDescent="0.3">
      <c r="A1454" s="4">
        <v>2453</v>
      </c>
      <c r="B1454" s="5" t="s">
        <v>1546</v>
      </c>
      <c r="C1454" s="6">
        <v>45171.620833333334</v>
      </c>
      <c r="D1454" s="5" t="s">
        <v>43</v>
      </c>
      <c r="E1454" s="5" t="s">
        <v>109</v>
      </c>
      <c r="F1454" s="5" t="s">
        <v>38</v>
      </c>
      <c r="G1454" s="5" t="s">
        <v>17</v>
      </c>
      <c r="H1454" s="5">
        <v>77</v>
      </c>
      <c r="I1454" s="5">
        <v>12</v>
      </c>
      <c r="J1454" s="5" t="s">
        <v>32</v>
      </c>
      <c r="K1454" s="5" t="s">
        <v>35</v>
      </c>
      <c r="L1454" s="5" t="s">
        <v>28</v>
      </c>
      <c r="M1454" s="7" t="s">
        <v>21</v>
      </c>
      <c r="N1454" s="26">
        <f t="shared" si="154"/>
        <v>-1</v>
      </c>
      <c r="O1454" s="42">
        <f t="shared" si="155"/>
        <v>45171</v>
      </c>
      <c r="P1454" s="5" t="str">
        <f t="shared" si="156"/>
        <v>Saturday</v>
      </c>
      <c r="Q1454" s="5">
        <f t="shared" si="157"/>
        <v>14</v>
      </c>
      <c r="R1454" s="28">
        <f t="shared" si="158"/>
        <v>0.8651685393258427</v>
      </c>
      <c r="S1454" s="29">
        <f t="shared" si="159"/>
        <v>86.516853932584269</v>
      </c>
      <c r="T1454" s="5" t="str">
        <f>IF(Delivery_Data3[[#This Row],[Delays (min)]]&gt;0,"No","Yes")</f>
        <v>No</v>
      </c>
      <c r="W1454" s="41">
        <f t="shared" si="160"/>
        <v>45171</v>
      </c>
      <c r="X1454" s="5">
        <v>77</v>
      </c>
    </row>
    <row r="1455" spans="1:24" ht="15.75" customHeight="1" x14ac:dyDescent="0.3">
      <c r="A1455" s="4">
        <v>2454</v>
      </c>
      <c r="B1455" s="5" t="s">
        <v>1547</v>
      </c>
      <c r="C1455" s="6">
        <v>45173.4</v>
      </c>
      <c r="D1455" s="5" t="s">
        <v>43</v>
      </c>
      <c r="E1455" s="5" t="s">
        <v>48</v>
      </c>
      <c r="F1455" s="5" t="s">
        <v>24</v>
      </c>
      <c r="G1455" s="5" t="s">
        <v>25</v>
      </c>
      <c r="H1455" s="5">
        <v>183</v>
      </c>
      <c r="I1455" s="5">
        <v>8</v>
      </c>
      <c r="J1455" s="5" t="s">
        <v>26</v>
      </c>
      <c r="K1455" s="5" t="s">
        <v>19</v>
      </c>
      <c r="L1455" s="5" t="s">
        <v>28</v>
      </c>
      <c r="M1455" s="7" t="s">
        <v>46</v>
      </c>
      <c r="N1455" s="26">
        <f t="shared" si="154"/>
        <v>1</v>
      </c>
      <c r="O1455" s="42">
        <f t="shared" si="155"/>
        <v>45173</v>
      </c>
      <c r="P1455" s="5" t="str">
        <f t="shared" si="156"/>
        <v>Monday</v>
      </c>
      <c r="Q1455" s="5">
        <f t="shared" si="157"/>
        <v>9</v>
      </c>
      <c r="R1455" s="28">
        <f t="shared" si="158"/>
        <v>0.95811518324607325</v>
      </c>
      <c r="S1455" s="29">
        <f t="shared" si="159"/>
        <v>95.81151832460732</v>
      </c>
      <c r="T1455" s="5" t="str">
        <f>IF(Delivery_Data3[[#This Row],[Delays (min)]]&gt;0,"No","Yes")</f>
        <v>No</v>
      </c>
      <c r="W1455" s="41">
        <f t="shared" si="160"/>
        <v>45173</v>
      </c>
      <c r="X1455" s="5">
        <v>183</v>
      </c>
    </row>
    <row r="1456" spans="1:24" ht="15.75" customHeight="1" x14ac:dyDescent="0.3">
      <c r="A1456" s="4">
        <v>2455</v>
      </c>
      <c r="B1456" s="5" t="s">
        <v>1548</v>
      </c>
      <c r="C1456" s="6">
        <v>45171.661805555559</v>
      </c>
      <c r="D1456" s="5" t="s">
        <v>43</v>
      </c>
      <c r="E1456" s="5" t="s">
        <v>158</v>
      </c>
      <c r="F1456" s="5" t="s">
        <v>38</v>
      </c>
      <c r="G1456" s="5" t="s">
        <v>31</v>
      </c>
      <c r="H1456" s="5">
        <v>190</v>
      </c>
      <c r="I1456" s="5">
        <v>11</v>
      </c>
      <c r="J1456" s="5" t="s">
        <v>32</v>
      </c>
      <c r="K1456" s="5" t="s">
        <v>27</v>
      </c>
      <c r="L1456" s="5" t="s">
        <v>20</v>
      </c>
      <c r="M1456" s="7" t="s">
        <v>21</v>
      </c>
      <c r="N1456" s="26">
        <f t="shared" si="154"/>
        <v>-1</v>
      </c>
      <c r="O1456" s="42">
        <f t="shared" si="155"/>
        <v>45171</v>
      </c>
      <c r="P1456" s="5" t="str">
        <f t="shared" si="156"/>
        <v>Saturday</v>
      </c>
      <c r="Q1456" s="5">
        <f t="shared" si="157"/>
        <v>15</v>
      </c>
      <c r="R1456" s="28">
        <f t="shared" si="158"/>
        <v>0.94527363184079605</v>
      </c>
      <c r="S1456" s="29">
        <f t="shared" si="159"/>
        <v>94.527363184079604</v>
      </c>
      <c r="T1456" s="5" t="str">
        <f>IF(Delivery_Data3[[#This Row],[Delays (min)]]&gt;0,"No","Yes")</f>
        <v>No</v>
      </c>
      <c r="W1456" s="41">
        <f t="shared" si="160"/>
        <v>45171</v>
      </c>
      <c r="X1456" s="5">
        <v>190</v>
      </c>
    </row>
    <row r="1457" spans="1:24" ht="15.75" customHeight="1" x14ac:dyDescent="0.3">
      <c r="A1457" s="4">
        <v>2456</v>
      </c>
      <c r="B1457" s="5" t="s">
        <v>1549</v>
      </c>
      <c r="C1457" s="6">
        <v>45175.540277777778</v>
      </c>
      <c r="D1457" s="5" t="s">
        <v>14</v>
      </c>
      <c r="E1457" s="5" t="s">
        <v>306</v>
      </c>
      <c r="F1457" s="5" t="s">
        <v>16</v>
      </c>
      <c r="G1457" s="5" t="s">
        <v>25</v>
      </c>
      <c r="H1457" s="5">
        <v>147</v>
      </c>
      <c r="I1457" s="5">
        <v>5</v>
      </c>
      <c r="J1457" s="5" t="s">
        <v>18</v>
      </c>
      <c r="K1457" s="5" t="s">
        <v>49</v>
      </c>
      <c r="L1457" s="5" t="s">
        <v>40</v>
      </c>
      <c r="M1457" s="7" t="s">
        <v>21</v>
      </c>
      <c r="N1457" s="26">
        <f t="shared" si="154"/>
        <v>0</v>
      </c>
      <c r="O1457" s="42">
        <f t="shared" si="155"/>
        <v>45175</v>
      </c>
      <c r="P1457" s="5" t="str">
        <f t="shared" si="156"/>
        <v>Wednesday</v>
      </c>
      <c r="Q1457" s="5">
        <f t="shared" si="157"/>
        <v>12</v>
      </c>
      <c r="R1457" s="28">
        <f t="shared" si="158"/>
        <v>0.96710526315789469</v>
      </c>
      <c r="S1457" s="29">
        <f t="shared" si="159"/>
        <v>96.710526315789465</v>
      </c>
      <c r="T1457" s="5" t="str">
        <f>IF(Delivery_Data3[[#This Row],[Delays (min)]]&gt;0,"No","Yes")</f>
        <v>No</v>
      </c>
      <c r="W1457" s="41">
        <f t="shared" si="160"/>
        <v>45175</v>
      </c>
      <c r="X1457" s="5">
        <v>147</v>
      </c>
    </row>
    <row r="1458" spans="1:24" ht="15.75" customHeight="1" x14ac:dyDescent="0.3">
      <c r="A1458" s="4">
        <v>2457</v>
      </c>
      <c r="B1458" s="5" t="s">
        <v>1550</v>
      </c>
      <c r="C1458" s="6">
        <v>45170.37222222222</v>
      </c>
      <c r="D1458" s="5" t="s">
        <v>43</v>
      </c>
      <c r="E1458" s="5" t="s">
        <v>80</v>
      </c>
      <c r="F1458" s="5" t="s">
        <v>16</v>
      </c>
      <c r="G1458" s="5" t="s">
        <v>31</v>
      </c>
      <c r="H1458" s="5">
        <v>189</v>
      </c>
      <c r="I1458" s="5">
        <v>24</v>
      </c>
      <c r="J1458" s="5" t="s">
        <v>26</v>
      </c>
      <c r="K1458" s="5" t="s">
        <v>35</v>
      </c>
      <c r="L1458" s="5" t="s">
        <v>40</v>
      </c>
      <c r="M1458" s="7" t="s">
        <v>21</v>
      </c>
      <c r="N1458" s="26">
        <f t="shared" si="154"/>
        <v>1</v>
      </c>
      <c r="O1458" s="42">
        <f t="shared" si="155"/>
        <v>45170</v>
      </c>
      <c r="P1458" s="5" t="str">
        <f t="shared" si="156"/>
        <v>Friday</v>
      </c>
      <c r="Q1458" s="5">
        <f t="shared" si="157"/>
        <v>8</v>
      </c>
      <c r="R1458" s="28">
        <f t="shared" si="158"/>
        <v>0.88732394366197187</v>
      </c>
      <c r="S1458" s="29">
        <f t="shared" si="159"/>
        <v>88.732394366197184</v>
      </c>
      <c r="T1458" s="5" t="str">
        <f>IF(Delivery_Data3[[#This Row],[Delays (min)]]&gt;0,"No","Yes")</f>
        <v>No</v>
      </c>
      <c r="W1458" s="41">
        <f t="shared" si="160"/>
        <v>45170</v>
      </c>
      <c r="X1458" s="5">
        <v>189</v>
      </c>
    </row>
    <row r="1459" spans="1:24" ht="15.75" customHeight="1" x14ac:dyDescent="0.3">
      <c r="A1459" s="4">
        <v>2458</v>
      </c>
      <c r="B1459" s="5" t="s">
        <v>1551</v>
      </c>
      <c r="C1459" s="6">
        <v>45171.453472222223</v>
      </c>
      <c r="D1459" s="5" t="s">
        <v>14</v>
      </c>
      <c r="E1459" s="5" t="s">
        <v>156</v>
      </c>
      <c r="F1459" s="5" t="s">
        <v>24</v>
      </c>
      <c r="G1459" s="5" t="s">
        <v>31</v>
      </c>
      <c r="H1459" s="5">
        <v>221</v>
      </c>
      <c r="I1459" s="5">
        <v>0</v>
      </c>
      <c r="J1459" s="5" t="s">
        <v>26</v>
      </c>
      <c r="K1459" s="5" t="s">
        <v>45</v>
      </c>
      <c r="L1459" s="5" t="s">
        <v>40</v>
      </c>
      <c r="M1459" s="7" t="s">
        <v>21</v>
      </c>
      <c r="N1459" s="26">
        <f t="shared" si="154"/>
        <v>1</v>
      </c>
      <c r="O1459" s="42">
        <f t="shared" si="155"/>
        <v>45171</v>
      </c>
      <c r="P1459" s="5" t="str">
        <f t="shared" si="156"/>
        <v>Saturday</v>
      </c>
      <c r="Q1459" s="5">
        <f t="shared" si="157"/>
        <v>10</v>
      </c>
      <c r="R1459" s="28">
        <f t="shared" si="158"/>
        <v>1</v>
      </c>
      <c r="S1459" s="29">
        <f t="shared" si="159"/>
        <v>100</v>
      </c>
      <c r="T1459" s="5" t="str">
        <f>IF(Delivery_Data3[[#This Row],[Delays (min)]]&gt;0,"No","Yes")</f>
        <v>Yes</v>
      </c>
      <c r="W1459" s="41">
        <f t="shared" si="160"/>
        <v>45171</v>
      </c>
      <c r="X1459" s="5">
        <v>221</v>
      </c>
    </row>
    <row r="1460" spans="1:24" ht="15.75" customHeight="1" x14ac:dyDescent="0.3">
      <c r="A1460" s="4">
        <v>2459</v>
      </c>
      <c r="B1460" s="5" t="s">
        <v>1552</v>
      </c>
      <c r="C1460" s="6">
        <v>45170.645138888889</v>
      </c>
      <c r="D1460" s="5" t="s">
        <v>43</v>
      </c>
      <c r="E1460" s="5" t="s">
        <v>179</v>
      </c>
      <c r="F1460" s="5" t="s">
        <v>24</v>
      </c>
      <c r="G1460" s="5" t="s">
        <v>25</v>
      </c>
      <c r="H1460" s="5">
        <v>194</v>
      </c>
      <c r="I1460" s="5">
        <v>24</v>
      </c>
      <c r="J1460" s="5" t="s">
        <v>26</v>
      </c>
      <c r="K1460" s="5" t="s">
        <v>45</v>
      </c>
      <c r="L1460" s="5" t="s">
        <v>28</v>
      </c>
      <c r="M1460" s="7" t="s">
        <v>21</v>
      </c>
      <c r="N1460" s="26">
        <f t="shared" si="154"/>
        <v>1</v>
      </c>
      <c r="O1460" s="42">
        <f t="shared" si="155"/>
        <v>45170</v>
      </c>
      <c r="P1460" s="5" t="str">
        <f t="shared" si="156"/>
        <v>Friday</v>
      </c>
      <c r="Q1460" s="5">
        <f t="shared" si="157"/>
        <v>15</v>
      </c>
      <c r="R1460" s="28">
        <f t="shared" si="158"/>
        <v>0.88990825688073394</v>
      </c>
      <c r="S1460" s="29">
        <f t="shared" si="159"/>
        <v>88.9908256880734</v>
      </c>
      <c r="T1460" s="5" t="str">
        <f>IF(Delivery_Data3[[#This Row],[Delays (min)]]&gt;0,"No","Yes")</f>
        <v>No</v>
      </c>
      <c r="W1460" s="41">
        <f t="shared" si="160"/>
        <v>45170</v>
      </c>
      <c r="X1460" s="5">
        <v>194</v>
      </c>
    </row>
    <row r="1461" spans="1:24" ht="15.75" customHeight="1" x14ac:dyDescent="0.3">
      <c r="A1461" s="4">
        <v>2460</v>
      </c>
      <c r="B1461" s="5" t="s">
        <v>1553</v>
      </c>
      <c r="C1461" s="6">
        <v>45172.555555555555</v>
      </c>
      <c r="D1461" s="5" t="s">
        <v>43</v>
      </c>
      <c r="E1461" s="5" t="s">
        <v>135</v>
      </c>
      <c r="F1461" s="5" t="s">
        <v>24</v>
      </c>
      <c r="G1461" s="5" t="s">
        <v>25</v>
      </c>
      <c r="H1461" s="5">
        <v>122</v>
      </c>
      <c r="I1461" s="5">
        <v>13</v>
      </c>
      <c r="J1461" s="5" t="s">
        <v>26</v>
      </c>
      <c r="K1461" s="5" t="s">
        <v>49</v>
      </c>
      <c r="L1461" s="5" t="s">
        <v>28</v>
      </c>
      <c r="M1461" s="7" t="s">
        <v>21</v>
      </c>
      <c r="N1461" s="26">
        <f t="shared" si="154"/>
        <v>1</v>
      </c>
      <c r="O1461" s="42">
        <f t="shared" si="155"/>
        <v>45172</v>
      </c>
      <c r="P1461" s="5" t="str">
        <f t="shared" si="156"/>
        <v>Sunday</v>
      </c>
      <c r="Q1461" s="5">
        <f t="shared" si="157"/>
        <v>13</v>
      </c>
      <c r="R1461" s="28">
        <f t="shared" si="158"/>
        <v>0.90370370370370368</v>
      </c>
      <c r="S1461" s="29">
        <f t="shared" si="159"/>
        <v>90.370370370370367</v>
      </c>
      <c r="T1461" s="5" t="str">
        <f>IF(Delivery_Data3[[#This Row],[Delays (min)]]&gt;0,"No","Yes")</f>
        <v>No</v>
      </c>
      <c r="W1461" s="41">
        <f t="shared" si="160"/>
        <v>45172</v>
      </c>
      <c r="X1461" s="5">
        <v>122</v>
      </c>
    </row>
    <row r="1462" spans="1:24" ht="15.75" customHeight="1" x14ac:dyDescent="0.3">
      <c r="A1462" s="4">
        <v>2461</v>
      </c>
      <c r="B1462" s="5" t="s">
        <v>1554</v>
      </c>
      <c r="C1462" s="6">
        <v>45176.704861111109</v>
      </c>
      <c r="D1462" s="5" t="s">
        <v>43</v>
      </c>
      <c r="E1462" s="5" t="s">
        <v>281</v>
      </c>
      <c r="F1462" s="5" t="s">
        <v>16</v>
      </c>
      <c r="G1462" s="5" t="s">
        <v>39</v>
      </c>
      <c r="H1462" s="5">
        <v>136</v>
      </c>
      <c r="I1462" s="5">
        <v>18</v>
      </c>
      <c r="J1462" s="5" t="s">
        <v>18</v>
      </c>
      <c r="K1462" s="5" t="s">
        <v>35</v>
      </c>
      <c r="L1462" s="5" t="s">
        <v>20</v>
      </c>
      <c r="M1462" s="7" t="s">
        <v>41</v>
      </c>
      <c r="N1462" s="26">
        <f t="shared" si="154"/>
        <v>0</v>
      </c>
      <c r="O1462" s="42">
        <f t="shared" si="155"/>
        <v>45176</v>
      </c>
      <c r="P1462" s="5" t="str">
        <f t="shared" si="156"/>
        <v>Thursday</v>
      </c>
      <c r="Q1462" s="5">
        <f t="shared" si="157"/>
        <v>16</v>
      </c>
      <c r="R1462" s="28">
        <f t="shared" si="158"/>
        <v>0.88311688311688308</v>
      </c>
      <c r="S1462" s="29">
        <f t="shared" si="159"/>
        <v>88.311688311688314</v>
      </c>
      <c r="T1462" s="5" t="str">
        <f>IF(Delivery_Data3[[#This Row],[Delays (min)]]&gt;0,"No","Yes")</f>
        <v>No</v>
      </c>
      <c r="W1462" s="41">
        <f t="shared" si="160"/>
        <v>45176</v>
      </c>
      <c r="X1462" s="5">
        <v>136</v>
      </c>
    </row>
    <row r="1463" spans="1:24" ht="15.75" customHeight="1" x14ac:dyDescent="0.3">
      <c r="A1463" s="4">
        <v>2462</v>
      </c>
      <c r="B1463" s="5" t="s">
        <v>1555</v>
      </c>
      <c r="C1463" s="6">
        <v>45173.609027777777</v>
      </c>
      <c r="D1463" s="5" t="s">
        <v>43</v>
      </c>
      <c r="E1463" s="5" t="s">
        <v>301</v>
      </c>
      <c r="F1463" s="5" t="s">
        <v>16</v>
      </c>
      <c r="G1463" s="5" t="s">
        <v>25</v>
      </c>
      <c r="H1463" s="5">
        <v>72</v>
      </c>
      <c r="I1463" s="5">
        <v>17</v>
      </c>
      <c r="J1463" s="5" t="s">
        <v>32</v>
      </c>
      <c r="K1463" s="5" t="s">
        <v>49</v>
      </c>
      <c r="L1463" s="5" t="s">
        <v>28</v>
      </c>
      <c r="M1463" s="7" t="s">
        <v>46</v>
      </c>
      <c r="N1463" s="26">
        <f t="shared" si="154"/>
        <v>-1</v>
      </c>
      <c r="O1463" s="42">
        <f t="shared" si="155"/>
        <v>45173</v>
      </c>
      <c r="P1463" s="5" t="str">
        <f t="shared" si="156"/>
        <v>Monday</v>
      </c>
      <c r="Q1463" s="5">
        <f t="shared" si="157"/>
        <v>14</v>
      </c>
      <c r="R1463" s="28">
        <f t="shared" si="158"/>
        <v>0.8089887640449438</v>
      </c>
      <c r="S1463" s="29">
        <f t="shared" si="159"/>
        <v>80.898876404494374</v>
      </c>
      <c r="T1463" s="5" t="str">
        <f>IF(Delivery_Data3[[#This Row],[Delays (min)]]&gt;0,"No","Yes")</f>
        <v>No</v>
      </c>
      <c r="W1463" s="41">
        <f t="shared" si="160"/>
        <v>45173</v>
      </c>
      <c r="X1463" s="5">
        <v>72</v>
      </c>
    </row>
    <row r="1464" spans="1:24" ht="15.75" customHeight="1" x14ac:dyDescent="0.3">
      <c r="A1464" s="4">
        <v>2463</v>
      </c>
      <c r="B1464" s="5" t="s">
        <v>1556</v>
      </c>
      <c r="C1464" s="6">
        <v>45175.494444444441</v>
      </c>
      <c r="D1464" s="5" t="s">
        <v>43</v>
      </c>
      <c r="E1464" s="5" t="s">
        <v>122</v>
      </c>
      <c r="F1464" s="5" t="s">
        <v>16</v>
      </c>
      <c r="G1464" s="5" t="s">
        <v>17</v>
      </c>
      <c r="H1464" s="5">
        <v>189</v>
      </c>
      <c r="I1464" s="5">
        <v>27</v>
      </c>
      <c r="J1464" s="5" t="s">
        <v>18</v>
      </c>
      <c r="K1464" s="5" t="s">
        <v>45</v>
      </c>
      <c r="L1464" s="5" t="s">
        <v>40</v>
      </c>
      <c r="M1464" s="7" t="s">
        <v>21</v>
      </c>
      <c r="N1464" s="26">
        <f t="shared" si="154"/>
        <v>0</v>
      </c>
      <c r="O1464" s="42">
        <f t="shared" si="155"/>
        <v>45175</v>
      </c>
      <c r="P1464" s="5" t="str">
        <f t="shared" si="156"/>
        <v>Wednesday</v>
      </c>
      <c r="Q1464" s="5">
        <f t="shared" si="157"/>
        <v>11</v>
      </c>
      <c r="R1464" s="28">
        <f t="shared" si="158"/>
        <v>0.875</v>
      </c>
      <c r="S1464" s="29">
        <f t="shared" si="159"/>
        <v>87.5</v>
      </c>
      <c r="T1464" s="5" t="str">
        <f>IF(Delivery_Data3[[#This Row],[Delays (min)]]&gt;0,"No","Yes")</f>
        <v>No</v>
      </c>
      <c r="W1464" s="41">
        <f t="shared" si="160"/>
        <v>45175</v>
      </c>
      <c r="X1464" s="5">
        <v>189</v>
      </c>
    </row>
    <row r="1465" spans="1:24" ht="15.75" customHeight="1" x14ac:dyDescent="0.3">
      <c r="A1465" s="4">
        <v>2464</v>
      </c>
      <c r="B1465" s="5" t="s">
        <v>1557</v>
      </c>
      <c r="C1465" s="6">
        <v>45175.402777777781</v>
      </c>
      <c r="D1465" s="5" t="s">
        <v>43</v>
      </c>
      <c r="E1465" s="5" t="s">
        <v>68</v>
      </c>
      <c r="F1465" s="5" t="s">
        <v>38</v>
      </c>
      <c r="G1465" s="5" t="s">
        <v>56</v>
      </c>
      <c r="H1465" s="5">
        <v>227</v>
      </c>
      <c r="I1465" s="5">
        <v>0</v>
      </c>
      <c r="J1465" s="5" t="s">
        <v>32</v>
      </c>
      <c r="K1465" s="5" t="s">
        <v>49</v>
      </c>
      <c r="L1465" s="5" t="s">
        <v>28</v>
      </c>
      <c r="M1465" s="7" t="s">
        <v>41</v>
      </c>
      <c r="N1465" s="26">
        <f t="shared" si="154"/>
        <v>-1</v>
      </c>
      <c r="O1465" s="42">
        <f t="shared" si="155"/>
        <v>45175</v>
      </c>
      <c r="P1465" s="5" t="str">
        <f t="shared" si="156"/>
        <v>Wednesday</v>
      </c>
      <c r="Q1465" s="5">
        <f t="shared" si="157"/>
        <v>9</v>
      </c>
      <c r="R1465" s="28">
        <f t="shared" si="158"/>
        <v>1</v>
      </c>
      <c r="S1465" s="29">
        <f t="shared" si="159"/>
        <v>100</v>
      </c>
      <c r="T1465" s="5" t="str">
        <f>IF(Delivery_Data3[[#This Row],[Delays (min)]]&gt;0,"No","Yes")</f>
        <v>Yes</v>
      </c>
      <c r="W1465" s="41">
        <f t="shared" si="160"/>
        <v>45175</v>
      </c>
      <c r="X1465" s="5">
        <v>227</v>
      </c>
    </row>
    <row r="1466" spans="1:24" ht="15.75" customHeight="1" x14ac:dyDescent="0.3">
      <c r="A1466" s="4">
        <v>2465</v>
      </c>
      <c r="B1466" s="5" t="s">
        <v>1558</v>
      </c>
      <c r="C1466" s="6">
        <v>45170.69027777778</v>
      </c>
      <c r="D1466" s="5" t="s">
        <v>43</v>
      </c>
      <c r="E1466" s="5" t="s">
        <v>106</v>
      </c>
      <c r="F1466" s="5" t="s">
        <v>24</v>
      </c>
      <c r="G1466" s="5" t="s">
        <v>25</v>
      </c>
      <c r="H1466" s="5">
        <v>152</v>
      </c>
      <c r="I1466" s="5">
        <v>23</v>
      </c>
      <c r="J1466" s="5" t="s">
        <v>18</v>
      </c>
      <c r="K1466" s="5" t="s">
        <v>27</v>
      </c>
      <c r="L1466" s="5" t="s">
        <v>20</v>
      </c>
      <c r="M1466" s="7" t="s">
        <v>46</v>
      </c>
      <c r="N1466" s="26">
        <f t="shared" si="154"/>
        <v>0</v>
      </c>
      <c r="O1466" s="42">
        <f t="shared" si="155"/>
        <v>45170</v>
      </c>
      <c r="P1466" s="5" t="str">
        <f t="shared" si="156"/>
        <v>Friday</v>
      </c>
      <c r="Q1466" s="5">
        <f t="shared" si="157"/>
        <v>16</v>
      </c>
      <c r="R1466" s="28">
        <f t="shared" si="158"/>
        <v>0.86857142857142855</v>
      </c>
      <c r="S1466" s="29">
        <f t="shared" si="159"/>
        <v>86.857142857142861</v>
      </c>
      <c r="T1466" s="5" t="str">
        <f>IF(Delivery_Data3[[#This Row],[Delays (min)]]&gt;0,"No","Yes")</f>
        <v>No</v>
      </c>
      <c r="W1466" s="41">
        <f t="shared" si="160"/>
        <v>45170</v>
      </c>
      <c r="X1466" s="5">
        <v>152</v>
      </c>
    </row>
    <row r="1467" spans="1:24" ht="15.75" customHeight="1" x14ac:dyDescent="0.3">
      <c r="A1467" s="4">
        <v>2466</v>
      </c>
      <c r="B1467" s="5" t="s">
        <v>1559</v>
      </c>
      <c r="C1467" s="6">
        <v>45170.657638888886</v>
      </c>
      <c r="D1467" s="5" t="s">
        <v>14</v>
      </c>
      <c r="E1467" s="5" t="s">
        <v>111</v>
      </c>
      <c r="F1467" s="5" t="s">
        <v>38</v>
      </c>
      <c r="G1467" s="5" t="s">
        <v>39</v>
      </c>
      <c r="H1467" s="5">
        <v>170</v>
      </c>
      <c r="I1467" s="5">
        <v>21</v>
      </c>
      <c r="J1467" s="5" t="s">
        <v>18</v>
      </c>
      <c r="K1467" s="5" t="s">
        <v>49</v>
      </c>
      <c r="L1467" s="5" t="s">
        <v>28</v>
      </c>
      <c r="M1467" s="7" t="s">
        <v>21</v>
      </c>
      <c r="N1467" s="26">
        <f t="shared" si="154"/>
        <v>0</v>
      </c>
      <c r="O1467" s="42">
        <f t="shared" si="155"/>
        <v>45170</v>
      </c>
      <c r="P1467" s="5" t="str">
        <f t="shared" si="156"/>
        <v>Friday</v>
      </c>
      <c r="Q1467" s="5">
        <f t="shared" si="157"/>
        <v>15</v>
      </c>
      <c r="R1467" s="28">
        <f t="shared" si="158"/>
        <v>0.89005235602094246</v>
      </c>
      <c r="S1467" s="29">
        <f t="shared" si="159"/>
        <v>89.005235602094245</v>
      </c>
      <c r="T1467" s="5" t="str">
        <f>IF(Delivery_Data3[[#This Row],[Delays (min)]]&gt;0,"No","Yes")</f>
        <v>No</v>
      </c>
      <c r="W1467" s="41">
        <f t="shared" si="160"/>
        <v>45170</v>
      </c>
      <c r="X1467" s="5">
        <v>170</v>
      </c>
    </row>
    <row r="1468" spans="1:24" ht="15.75" customHeight="1" x14ac:dyDescent="0.3">
      <c r="A1468" s="4">
        <v>2467</v>
      </c>
      <c r="B1468" s="5" t="s">
        <v>1560</v>
      </c>
      <c r="C1468" s="6">
        <v>45172.55</v>
      </c>
      <c r="D1468" s="5" t="s">
        <v>14</v>
      </c>
      <c r="E1468" s="5" t="s">
        <v>281</v>
      </c>
      <c r="F1468" s="5" t="s">
        <v>16</v>
      </c>
      <c r="G1468" s="5" t="s">
        <v>39</v>
      </c>
      <c r="H1468" s="5">
        <v>162</v>
      </c>
      <c r="I1468" s="5">
        <v>16</v>
      </c>
      <c r="J1468" s="5" t="s">
        <v>32</v>
      </c>
      <c r="K1468" s="5" t="s">
        <v>19</v>
      </c>
      <c r="L1468" s="5" t="s">
        <v>20</v>
      </c>
      <c r="M1468" s="7" t="s">
        <v>21</v>
      </c>
      <c r="N1468" s="26">
        <f t="shared" si="154"/>
        <v>-1</v>
      </c>
      <c r="O1468" s="42">
        <f t="shared" si="155"/>
        <v>45172</v>
      </c>
      <c r="P1468" s="5" t="str">
        <f t="shared" si="156"/>
        <v>Sunday</v>
      </c>
      <c r="Q1468" s="5">
        <f t="shared" si="157"/>
        <v>13</v>
      </c>
      <c r="R1468" s="28">
        <f t="shared" si="158"/>
        <v>0.9101123595505618</v>
      </c>
      <c r="S1468" s="29">
        <f t="shared" si="159"/>
        <v>91.011235955056179</v>
      </c>
      <c r="T1468" s="5" t="str">
        <f>IF(Delivery_Data3[[#This Row],[Delays (min)]]&gt;0,"No","Yes")</f>
        <v>No</v>
      </c>
      <c r="W1468" s="41">
        <f t="shared" si="160"/>
        <v>45172</v>
      </c>
      <c r="X1468" s="5">
        <v>162</v>
      </c>
    </row>
    <row r="1469" spans="1:24" ht="15.75" customHeight="1" x14ac:dyDescent="0.3">
      <c r="A1469" s="4">
        <v>2468</v>
      </c>
      <c r="B1469" s="5" t="s">
        <v>1561</v>
      </c>
      <c r="C1469" s="6">
        <v>45171.584027777775</v>
      </c>
      <c r="D1469" s="5" t="s">
        <v>43</v>
      </c>
      <c r="E1469" s="5" t="s">
        <v>44</v>
      </c>
      <c r="F1469" s="5" t="s">
        <v>38</v>
      </c>
      <c r="G1469" s="5" t="s">
        <v>39</v>
      </c>
      <c r="H1469" s="5">
        <v>144</v>
      </c>
      <c r="I1469" s="5">
        <v>0</v>
      </c>
      <c r="J1469" s="5" t="s">
        <v>32</v>
      </c>
      <c r="K1469" s="5" t="s">
        <v>19</v>
      </c>
      <c r="L1469" s="5" t="s">
        <v>20</v>
      </c>
      <c r="M1469" s="7" t="s">
        <v>46</v>
      </c>
      <c r="N1469" s="26">
        <f t="shared" si="154"/>
        <v>-1</v>
      </c>
      <c r="O1469" s="42">
        <f t="shared" si="155"/>
        <v>45171</v>
      </c>
      <c r="P1469" s="5" t="str">
        <f t="shared" si="156"/>
        <v>Saturday</v>
      </c>
      <c r="Q1469" s="5">
        <f t="shared" si="157"/>
        <v>14</v>
      </c>
      <c r="R1469" s="28">
        <f t="shared" si="158"/>
        <v>1</v>
      </c>
      <c r="S1469" s="29">
        <f t="shared" si="159"/>
        <v>100</v>
      </c>
      <c r="T1469" s="5" t="str">
        <f>IF(Delivery_Data3[[#This Row],[Delays (min)]]&gt;0,"No","Yes")</f>
        <v>Yes</v>
      </c>
      <c r="W1469" s="41">
        <f t="shared" si="160"/>
        <v>45171</v>
      </c>
      <c r="X1469" s="5">
        <v>144</v>
      </c>
    </row>
    <row r="1470" spans="1:24" ht="15.75" customHeight="1" x14ac:dyDescent="0.3">
      <c r="A1470" s="4">
        <v>2469</v>
      </c>
      <c r="B1470" s="5" t="s">
        <v>1562</v>
      </c>
      <c r="C1470" s="6">
        <v>45173.4</v>
      </c>
      <c r="D1470" s="5" t="s">
        <v>43</v>
      </c>
      <c r="E1470" s="5" t="s">
        <v>140</v>
      </c>
      <c r="F1470" s="5" t="s">
        <v>16</v>
      </c>
      <c r="G1470" s="5" t="s">
        <v>25</v>
      </c>
      <c r="H1470" s="5">
        <v>130</v>
      </c>
      <c r="I1470" s="5">
        <v>24</v>
      </c>
      <c r="J1470" s="5" t="s">
        <v>18</v>
      </c>
      <c r="K1470" s="5" t="s">
        <v>27</v>
      </c>
      <c r="L1470" s="5" t="s">
        <v>28</v>
      </c>
      <c r="M1470" s="7" t="s">
        <v>46</v>
      </c>
      <c r="N1470" s="26">
        <f t="shared" si="154"/>
        <v>0</v>
      </c>
      <c r="O1470" s="42">
        <f t="shared" si="155"/>
        <v>45173</v>
      </c>
      <c r="P1470" s="5" t="str">
        <f t="shared" si="156"/>
        <v>Monday</v>
      </c>
      <c r="Q1470" s="5">
        <f t="shared" si="157"/>
        <v>9</v>
      </c>
      <c r="R1470" s="28">
        <f t="shared" si="158"/>
        <v>0.8441558441558441</v>
      </c>
      <c r="S1470" s="29">
        <f t="shared" si="159"/>
        <v>84.415584415584405</v>
      </c>
      <c r="T1470" s="5" t="str">
        <f>IF(Delivery_Data3[[#This Row],[Delays (min)]]&gt;0,"No","Yes")</f>
        <v>No</v>
      </c>
      <c r="W1470" s="41">
        <f t="shared" si="160"/>
        <v>45173</v>
      </c>
      <c r="X1470" s="5">
        <v>130</v>
      </c>
    </row>
    <row r="1471" spans="1:24" ht="15.75" customHeight="1" x14ac:dyDescent="0.3">
      <c r="A1471" s="4">
        <v>2470</v>
      </c>
      <c r="B1471" s="5" t="s">
        <v>1563</v>
      </c>
      <c r="C1471" s="6">
        <v>45173.375</v>
      </c>
      <c r="D1471" s="5" t="s">
        <v>43</v>
      </c>
      <c r="E1471" s="5" t="s">
        <v>73</v>
      </c>
      <c r="F1471" s="5" t="s">
        <v>38</v>
      </c>
      <c r="G1471" s="5" t="s">
        <v>17</v>
      </c>
      <c r="H1471" s="5">
        <v>128</v>
      </c>
      <c r="I1471" s="5">
        <v>2</v>
      </c>
      <c r="J1471" s="5" t="s">
        <v>32</v>
      </c>
      <c r="K1471" s="5" t="s">
        <v>19</v>
      </c>
      <c r="L1471" s="5" t="s">
        <v>28</v>
      </c>
      <c r="M1471" s="7" t="s">
        <v>46</v>
      </c>
      <c r="N1471" s="26">
        <f t="shared" si="154"/>
        <v>-1</v>
      </c>
      <c r="O1471" s="42">
        <f t="shared" si="155"/>
        <v>45173</v>
      </c>
      <c r="P1471" s="5" t="str">
        <f t="shared" si="156"/>
        <v>Monday</v>
      </c>
      <c r="Q1471" s="5">
        <f t="shared" si="157"/>
        <v>9</v>
      </c>
      <c r="R1471" s="28">
        <f t="shared" si="158"/>
        <v>0.98461538461538467</v>
      </c>
      <c r="S1471" s="29">
        <f t="shared" si="159"/>
        <v>98.461538461538467</v>
      </c>
      <c r="T1471" s="5" t="str">
        <f>IF(Delivery_Data3[[#This Row],[Delays (min)]]&gt;0,"No","Yes")</f>
        <v>No</v>
      </c>
      <c r="W1471" s="41">
        <f t="shared" si="160"/>
        <v>45173</v>
      </c>
      <c r="X1471" s="5">
        <v>128</v>
      </c>
    </row>
    <row r="1472" spans="1:24" ht="15.75" customHeight="1" x14ac:dyDescent="0.3">
      <c r="A1472" s="4">
        <v>2471</v>
      </c>
      <c r="B1472" s="5" t="s">
        <v>1564</v>
      </c>
      <c r="C1472" s="6">
        <v>45177.672222222223</v>
      </c>
      <c r="D1472" s="5" t="s">
        <v>43</v>
      </c>
      <c r="E1472" s="5" t="s">
        <v>126</v>
      </c>
      <c r="F1472" s="5" t="s">
        <v>38</v>
      </c>
      <c r="G1472" s="5" t="s">
        <v>39</v>
      </c>
      <c r="H1472" s="5">
        <v>75</v>
      </c>
      <c r="I1472" s="5">
        <v>15</v>
      </c>
      <c r="J1472" s="5" t="s">
        <v>26</v>
      </c>
      <c r="K1472" s="5" t="s">
        <v>27</v>
      </c>
      <c r="L1472" s="5" t="s">
        <v>20</v>
      </c>
      <c r="M1472" s="7" t="s">
        <v>21</v>
      </c>
      <c r="N1472" s="26">
        <f t="shared" si="154"/>
        <v>1</v>
      </c>
      <c r="O1472" s="42">
        <f t="shared" si="155"/>
        <v>45177</v>
      </c>
      <c r="P1472" s="5" t="str">
        <f t="shared" si="156"/>
        <v>Friday</v>
      </c>
      <c r="Q1472" s="5">
        <f t="shared" si="157"/>
        <v>16</v>
      </c>
      <c r="R1472" s="28">
        <f t="shared" si="158"/>
        <v>0.83333333333333337</v>
      </c>
      <c r="S1472" s="29">
        <f t="shared" si="159"/>
        <v>83.333333333333343</v>
      </c>
      <c r="T1472" s="5" t="str">
        <f>IF(Delivery_Data3[[#This Row],[Delays (min)]]&gt;0,"No","Yes")</f>
        <v>No</v>
      </c>
      <c r="W1472" s="41">
        <f t="shared" si="160"/>
        <v>45177</v>
      </c>
      <c r="X1472" s="5">
        <v>75</v>
      </c>
    </row>
    <row r="1473" spans="1:24" ht="15.75" customHeight="1" x14ac:dyDescent="0.3">
      <c r="A1473" s="4">
        <v>2472</v>
      </c>
      <c r="B1473" s="5" t="s">
        <v>1565</v>
      </c>
      <c r="C1473" s="6">
        <v>45175.505555555559</v>
      </c>
      <c r="D1473" s="5" t="s">
        <v>14</v>
      </c>
      <c r="E1473" s="5" t="s">
        <v>132</v>
      </c>
      <c r="F1473" s="5" t="s">
        <v>16</v>
      </c>
      <c r="G1473" s="5" t="s">
        <v>25</v>
      </c>
      <c r="H1473" s="5">
        <v>169</v>
      </c>
      <c r="I1473" s="5">
        <v>26</v>
      </c>
      <c r="J1473" s="5" t="s">
        <v>18</v>
      </c>
      <c r="K1473" s="5" t="s">
        <v>35</v>
      </c>
      <c r="L1473" s="5" t="s">
        <v>20</v>
      </c>
      <c r="M1473" s="7" t="s">
        <v>41</v>
      </c>
      <c r="N1473" s="26">
        <f t="shared" si="154"/>
        <v>0</v>
      </c>
      <c r="O1473" s="42">
        <f t="shared" si="155"/>
        <v>45175</v>
      </c>
      <c r="P1473" s="5" t="str">
        <f t="shared" si="156"/>
        <v>Wednesday</v>
      </c>
      <c r="Q1473" s="5">
        <f t="shared" si="157"/>
        <v>12</v>
      </c>
      <c r="R1473" s="28">
        <f t="shared" si="158"/>
        <v>0.8666666666666667</v>
      </c>
      <c r="S1473" s="29">
        <f t="shared" si="159"/>
        <v>86.666666666666671</v>
      </c>
      <c r="T1473" s="5" t="str">
        <f>IF(Delivery_Data3[[#This Row],[Delays (min)]]&gt;0,"No","Yes")</f>
        <v>No</v>
      </c>
      <c r="W1473" s="41">
        <f t="shared" si="160"/>
        <v>45175</v>
      </c>
      <c r="X1473" s="5">
        <v>169</v>
      </c>
    </row>
    <row r="1474" spans="1:24" ht="15.75" customHeight="1" x14ac:dyDescent="0.3">
      <c r="A1474" s="4">
        <v>2473</v>
      </c>
      <c r="B1474" s="5" t="s">
        <v>1566</v>
      </c>
      <c r="C1474" s="6">
        <v>45173.546527777777</v>
      </c>
      <c r="D1474" s="5" t="s">
        <v>43</v>
      </c>
      <c r="E1474" s="5" t="s">
        <v>281</v>
      </c>
      <c r="F1474" s="5" t="s">
        <v>16</v>
      </c>
      <c r="G1474" s="5" t="s">
        <v>56</v>
      </c>
      <c r="H1474" s="5">
        <v>228</v>
      </c>
      <c r="I1474" s="5">
        <v>19</v>
      </c>
      <c r="J1474" s="5" t="s">
        <v>26</v>
      </c>
      <c r="K1474" s="5" t="s">
        <v>27</v>
      </c>
      <c r="L1474" s="5" t="s">
        <v>28</v>
      </c>
      <c r="M1474" s="7" t="s">
        <v>21</v>
      </c>
      <c r="N1474" s="26">
        <f t="shared" ref="N1474:N1501" si="161">IF(J1474="Positive",1,IF(J1474="Neutral",0,IF(J1474="Negative",-1,"")))</f>
        <v>1</v>
      </c>
      <c r="O1474" s="42">
        <f t="shared" ref="O1474:O1501" si="162">INT(C1474)</f>
        <v>45173</v>
      </c>
      <c r="P1474" s="5" t="str">
        <f t="shared" ref="P1474:P1501" si="163">TEXT(C1474,"dddd")</f>
        <v>Monday</v>
      </c>
      <c r="Q1474" s="5">
        <f t="shared" ref="Q1474:Q1501" si="164">HOUR(C1474)</f>
        <v>13</v>
      </c>
      <c r="R1474" s="28">
        <f t="shared" ref="R1474:R1501" si="165">H1474/(H1474+I1474)</f>
        <v>0.92307692307692313</v>
      </c>
      <c r="S1474" s="29">
        <f t="shared" si="159"/>
        <v>92.307692307692307</v>
      </c>
      <c r="T1474" s="5" t="str">
        <f>IF(Delivery_Data3[[#This Row],[Delays (min)]]&gt;0,"No","Yes")</f>
        <v>No</v>
      </c>
      <c r="W1474" s="41">
        <f t="shared" si="160"/>
        <v>45173</v>
      </c>
      <c r="X1474" s="5">
        <v>228</v>
      </c>
    </row>
    <row r="1475" spans="1:24" ht="15.75" customHeight="1" x14ac:dyDescent="0.3">
      <c r="A1475" s="4">
        <v>2474</v>
      </c>
      <c r="B1475" s="5" t="s">
        <v>1567</v>
      </c>
      <c r="C1475" s="6">
        <v>45170.584722222222</v>
      </c>
      <c r="D1475" s="5" t="s">
        <v>14</v>
      </c>
      <c r="E1475" s="5" t="s">
        <v>51</v>
      </c>
      <c r="F1475" s="5" t="s">
        <v>38</v>
      </c>
      <c r="G1475" s="5" t="s">
        <v>17</v>
      </c>
      <c r="H1475" s="5">
        <v>106</v>
      </c>
      <c r="I1475" s="5">
        <v>10</v>
      </c>
      <c r="J1475" s="5" t="s">
        <v>26</v>
      </c>
      <c r="K1475" s="5" t="s">
        <v>45</v>
      </c>
      <c r="L1475" s="5" t="s">
        <v>40</v>
      </c>
      <c r="M1475" s="7" t="s">
        <v>21</v>
      </c>
      <c r="N1475" s="26">
        <f t="shared" si="161"/>
        <v>1</v>
      </c>
      <c r="O1475" s="42">
        <f t="shared" si="162"/>
        <v>45170</v>
      </c>
      <c r="P1475" s="5" t="str">
        <f t="shared" si="163"/>
        <v>Friday</v>
      </c>
      <c r="Q1475" s="5">
        <f t="shared" si="164"/>
        <v>14</v>
      </c>
      <c r="R1475" s="28">
        <f t="shared" si="165"/>
        <v>0.91379310344827591</v>
      </c>
      <c r="S1475" s="29">
        <f t="shared" ref="S1475:S1501" si="166">IF(H1475+I1475=0,0,(H1475/(H1475+I1475))*100) + (IFERROR(--J1475,0)*10)</f>
        <v>91.379310344827587</v>
      </c>
      <c r="T1475" s="5" t="str">
        <f>IF(Delivery_Data3[[#This Row],[Delays (min)]]&gt;0,"No","Yes")</f>
        <v>No</v>
      </c>
      <c r="W1475" s="41">
        <f t="shared" ref="W1475:W1501" si="167">INT(C1475)</f>
        <v>45170</v>
      </c>
      <c r="X1475" s="5">
        <v>106</v>
      </c>
    </row>
    <row r="1476" spans="1:24" ht="15.75" customHeight="1" x14ac:dyDescent="0.3">
      <c r="A1476" s="4">
        <v>2475</v>
      </c>
      <c r="B1476" s="5" t="s">
        <v>1568</v>
      </c>
      <c r="C1476" s="6">
        <v>45171.680555555555</v>
      </c>
      <c r="D1476" s="5" t="s">
        <v>14</v>
      </c>
      <c r="E1476" s="5" t="s">
        <v>53</v>
      </c>
      <c r="F1476" s="5" t="s">
        <v>38</v>
      </c>
      <c r="G1476" s="5" t="s">
        <v>17</v>
      </c>
      <c r="H1476" s="5">
        <v>216</v>
      </c>
      <c r="I1476" s="5">
        <v>24</v>
      </c>
      <c r="J1476" s="5" t="s">
        <v>32</v>
      </c>
      <c r="K1476" s="5" t="s">
        <v>19</v>
      </c>
      <c r="L1476" s="5" t="s">
        <v>40</v>
      </c>
      <c r="M1476" s="7" t="s">
        <v>46</v>
      </c>
      <c r="N1476" s="26">
        <f t="shared" si="161"/>
        <v>-1</v>
      </c>
      <c r="O1476" s="42">
        <f t="shared" si="162"/>
        <v>45171</v>
      </c>
      <c r="P1476" s="5" t="str">
        <f t="shared" si="163"/>
        <v>Saturday</v>
      </c>
      <c r="Q1476" s="5">
        <f t="shared" si="164"/>
        <v>16</v>
      </c>
      <c r="R1476" s="28">
        <f t="shared" si="165"/>
        <v>0.9</v>
      </c>
      <c r="S1476" s="29">
        <f t="shared" si="166"/>
        <v>90</v>
      </c>
      <c r="T1476" s="5" t="str">
        <f>IF(Delivery_Data3[[#This Row],[Delays (min)]]&gt;0,"No","Yes")</f>
        <v>No</v>
      </c>
      <c r="W1476" s="41">
        <f t="shared" si="167"/>
        <v>45171</v>
      </c>
      <c r="X1476" s="5">
        <v>216</v>
      </c>
    </row>
    <row r="1477" spans="1:24" ht="15.75" customHeight="1" x14ac:dyDescent="0.3">
      <c r="A1477" s="4">
        <v>2476</v>
      </c>
      <c r="B1477" s="5" t="s">
        <v>1569</v>
      </c>
      <c r="C1477" s="6">
        <v>45171.697916666664</v>
      </c>
      <c r="D1477" s="5" t="s">
        <v>43</v>
      </c>
      <c r="E1477" s="5" t="s">
        <v>80</v>
      </c>
      <c r="F1477" s="5" t="s">
        <v>16</v>
      </c>
      <c r="G1477" s="5" t="s">
        <v>56</v>
      </c>
      <c r="H1477" s="5">
        <v>197</v>
      </c>
      <c r="I1477" s="5">
        <v>15</v>
      </c>
      <c r="J1477" s="5" t="s">
        <v>32</v>
      </c>
      <c r="K1477" s="5" t="s">
        <v>19</v>
      </c>
      <c r="L1477" s="5" t="s">
        <v>28</v>
      </c>
      <c r="M1477" s="7" t="s">
        <v>46</v>
      </c>
      <c r="N1477" s="26">
        <f t="shared" si="161"/>
        <v>-1</v>
      </c>
      <c r="O1477" s="42">
        <f t="shared" si="162"/>
        <v>45171</v>
      </c>
      <c r="P1477" s="5" t="str">
        <f t="shared" si="163"/>
        <v>Saturday</v>
      </c>
      <c r="Q1477" s="5">
        <f t="shared" si="164"/>
        <v>16</v>
      </c>
      <c r="R1477" s="28">
        <f t="shared" si="165"/>
        <v>0.92924528301886788</v>
      </c>
      <c r="S1477" s="29">
        <f t="shared" si="166"/>
        <v>92.924528301886795</v>
      </c>
      <c r="T1477" s="5" t="str">
        <f>IF(Delivery_Data3[[#This Row],[Delays (min)]]&gt;0,"No","Yes")</f>
        <v>No</v>
      </c>
      <c r="W1477" s="41">
        <f t="shared" si="167"/>
        <v>45171</v>
      </c>
      <c r="X1477" s="5">
        <v>197</v>
      </c>
    </row>
    <row r="1478" spans="1:24" ht="15.75" customHeight="1" x14ac:dyDescent="0.3">
      <c r="A1478" s="4">
        <v>2477</v>
      </c>
      <c r="B1478" s="5" t="s">
        <v>1570</v>
      </c>
      <c r="C1478" s="6">
        <v>45175.345833333333</v>
      </c>
      <c r="D1478" s="5" t="s">
        <v>43</v>
      </c>
      <c r="E1478" s="5" t="s">
        <v>99</v>
      </c>
      <c r="F1478" s="5" t="s">
        <v>24</v>
      </c>
      <c r="G1478" s="5" t="s">
        <v>56</v>
      </c>
      <c r="H1478" s="5">
        <v>235</v>
      </c>
      <c r="I1478" s="5">
        <v>13</v>
      </c>
      <c r="J1478" s="5" t="s">
        <v>32</v>
      </c>
      <c r="K1478" s="5" t="s">
        <v>49</v>
      </c>
      <c r="L1478" s="5" t="s">
        <v>40</v>
      </c>
      <c r="M1478" s="7" t="s">
        <v>46</v>
      </c>
      <c r="N1478" s="26">
        <f t="shared" si="161"/>
        <v>-1</v>
      </c>
      <c r="O1478" s="42">
        <f t="shared" si="162"/>
        <v>45175</v>
      </c>
      <c r="P1478" s="5" t="str">
        <f t="shared" si="163"/>
        <v>Wednesday</v>
      </c>
      <c r="Q1478" s="5">
        <f t="shared" si="164"/>
        <v>8</v>
      </c>
      <c r="R1478" s="28">
        <f t="shared" si="165"/>
        <v>0.94758064516129037</v>
      </c>
      <c r="S1478" s="29">
        <f t="shared" si="166"/>
        <v>94.758064516129039</v>
      </c>
      <c r="T1478" s="5" t="str">
        <f>IF(Delivery_Data3[[#This Row],[Delays (min)]]&gt;0,"No","Yes")</f>
        <v>No</v>
      </c>
      <c r="W1478" s="41">
        <f t="shared" si="167"/>
        <v>45175</v>
      </c>
      <c r="X1478" s="5">
        <v>235</v>
      </c>
    </row>
    <row r="1479" spans="1:24" ht="15.75" customHeight="1" x14ac:dyDescent="0.3">
      <c r="A1479" s="4">
        <v>2478</v>
      </c>
      <c r="B1479" s="5" t="s">
        <v>1571</v>
      </c>
      <c r="C1479" s="6">
        <v>45172.37222222222</v>
      </c>
      <c r="D1479" s="5" t="s">
        <v>14</v>
      </c>
      <c r="E1479" s="5" t="s">
        <v>135</v>
      </c>
      <c r="F1479" s="5" t="s">
        <v>38</v>
      </c>
      <c r="G1479" s="5" t="s">
        <v>25</v>
      </c>
      <c r="H1479" s="5">
        <v>158</v>
      </c>
      <c r="I1479" s="5">
        <v>23</v>
      </c>
      <c r="J1479" s="5" t="s">
        <v>32</v>
      </c>
      <c r="K1479" s="5" t="s">
        <v>45</v>
      </c>
      <c r="L1479" s="5" t="s">
        <v>28</v>
      </c>
      <c r="M1479" s="7" t="s">
        <v>41</v>
      </c>
      <c r="N1479" s="26">
        <f t="shared" si="161"/>
        <v>-1</v>
      </c>
      <c r="O1479" s="42">
        <f t="shared" si="162"/>
        <v>45172</v>
      </c>
      <c r="P1479" s="5" t="str">
        <f t="shared" si="163"/>
        <v>Sunday</v>
      </c>
      <c r="Q1479" s="5">
        <f t="shared" si="164"/>
        <v>8</v>
      </c>
      <c r="R1479" s="28">
        <f t="shared" si="165"/>
        <v>0.8729281767955801</v>
      </c>
      <c r="S1479" s="29">
        <f t="shared" si="166"/>
        <v>87.292817679558013</v>
      </c>
      <c r="T1479" s="5" t="str">
        <f>IF(Delivery_Data3[[#This Row],[Delays (min)]]&gt;0,"No","Yes")</f>
        <v>No</v>
      </c>
      <c r="W1479" s="41">
        <f t="shared" si="167"/>
        <v>45172</v>
      </c>
      <c r="X1479" s="5">
        <v>158</v>
      </c>
    </row>
    <row r="1480" spans="1:24" ht="15.75" customHeight="1" x14ac:dyDescent="0.3">
      <c r="A1480" s="4">
        <v>2479</v>
      </c>
      <c r="B1480" s="5" t="s">
        <v>1572</v>
      </c>
      <c r="C1480" s="6">
        <v>45177.509027777778</v>
      </c>
      <c r="D1480" s="5" t="s">
        <v>14</v>
      </c>
      <c r="E1480" s="5" t="s">
        <v>355</v>
      </c>
      <c r="F1480" s="5" t="s">
        <v>38</v>
      </c>
      <c r="G1480" s="5" t="s">
        <v>17</v>
      </c>
      <c r="H1480" s="5">
        <v>129</v>
      </c>
      <c r="I1480" s="5">
        <v>6</v>
      </c>
      <c r="J1480" s="5" t="s">
        <v>32</v>
      </c>
      <c r="K1480" s="5" t="s">
        <v>19</v>
      </c>
      <c r="L1480" s="5" t="s">
        <v>40</v>
      </c>
      <c r="M1480" s="7" t="s">
        <v>41</v>
      </c>
      <c r="N1480" s="26">
        <f t="shared" si="161"/>
        <v>-1</v>
      </c>
      <c r="O1480" s="42">
        <f t="shared" si="162"/>
        <v>45177</v>
      </c>
      <c r="P1480" s="5" t="str">
        <f t="shared" si="163"/>
        <v>Friday</v>
      </c>
      <c r="Q1480" s="5">
        <f t="shared" si="164"/>
        <v>12</v>
      </c>
      <c r="R1480" s="28">
        <f t="shared" si="165"/>
        <v>0.9555555555555556</v>
      </c>
      <c r="S1480" s="29">
        <f t="shared" si="166"/>
        <v>95.555555555555557</v>
      </c>
      <c r="T1480" s="5" t="str">
        <f>IF(Delivery_Data3[[#This Row],[Delays (min)]]&gt;0,"No","Yes")</f>
        <v>No</v>
      </c>
      <c r="W1480" s="41">
        <f t="shared" si="167"/>
        <v>45177</v>
      </c>
      <c r="X1480" s="5">
        <v>129</v>
      </c>
    </row>
    <row r="1481" spans="1:24" ht="15.75" customHeight="1" x14ac:dyDescent="0.3">
      <c r="A1481" s="4">
        <v>2480</v>
      </c>
      <c r="B1481" s="5" t="s">
        <v>1573</v>
      </c>
      <c r="C1481" s="6">
        <v>45171.475694444445</v>
      </c>
      <c r="D1481" s="5" t="s">
        <v>14</v>
      </c>
      <c r="E1481" s="5" t="s">
        <v>76</v>
      </c>
      <c r="F1481" s="5" t="s">
        <v>24</v>
      </c>
      <c r="G1481" s="5" t="s">
        <v>25</v>
      </c>
      <c r="H1481" s="5">
        <v>155</v>
      </c>
      <c r="I1481" s="5">
        <v>9</v>
      </c>
      <c r="J1481" s="5" t="s">
        <v>32</v>
      </c>
      <c r="K1481" s="5" t="s">
        <v>19</v>
      </c>
      <c r="L1481" s="5" t="s">
        <v>40</v>
      </c>
      <c r="M1481" s="7" t="s">
        <v>21</v>
      </c>
      <c r="N1481" s="26">
        <f t="shared" si="161"/>
        <v>-1</v>
      </c>
      <c r="O1481" s="42">
        <f t="shared" si="162"/>
        <v>45171</v>
      </c>
      <c r="P1481" s="5" t="str">
        <f t="shared" si="163"/>
        <v>Saturday</v>
      </c>
      <c r="Q1481" s="5">
        <f t="shared" si="164"/>
        <v>11</v>
      </c>
      <c r="R1481" s="28">
        <f t="shared" si="165"/>
        <v>0.94512195121951215</v>
      </c>
      <c r="S1481" s="29">
        <f t="shared" si="166"/>
        <v>94.512195121951208</v>
      </c>
      <c r="T1481" s="5" t="str">
        <f>IF(Delivery_Data3[[#This Row],[Delays (min)]]&gt;0,"No","Yes")</f>
        <v>No</v>
      </c>
      <c r="W1481" s="41">
        <f t="shared" si="167"/>
        <v>45171</v>
      </c>
      <c r="X1481" s="5">
        <v>155</v>
      </c>
    </row>
    <row r="1482" spans="1:24" ht="15.75" customHeight="1" x14ac:dyDescent="0.3">
      <c r="A1482" s="4">
        <v>2481</v>
      </c>
      <c r="B1482" s="5" t="s">
        <v>1574</v>
      </c>
      <c r="C1482" s="6">
        <v>45177.582638888889</v>
      </c>
      <c r="D1482" s="5" t="s">
        <v>43</v>
      </c>
      <c r="E1482" s="5" t="s">
        <v>78</v>
      </c>
      <c r="F1482" s="5" t="s">
        <v>24</v>
      </c>
      <c r="G1482" s="5" t="s">
        <v>56</v>
      </c>
      <c r="H1482" s="5">
        <v>224</v>
      </c>
      <c r="I1482" s="5">
        <v>14</v>
      </c>
      <c r="J1482" s="5" t="s">
        <v>18</v>
      </c>
      <c r="K1482" s="5" t="s">
        <v>45</v>
      </c>
      <c r="L1482" s="5" t="s">
        <v>20</v>
      </c>
      <c r="M1482" s="7" t="s">
        <v>46</v>
      </c>
      <c r="N1482" s="26">
        <f t="shared" si="161"/>
        <v>0</v>
      </c>
      <c r="O1482" s="42">
        <f t="shared" si="162"/>
        <v>45177</v>
      </c>
      <c r="P1482" s="5" t="str">
        <f t="shared" si="163"/>
        <v>Friday</v>
      </c>
      <c r="Q1482" s="5">
        <f t="shared" si="164"/>
        <v>13</v>
      </c>
      <c r="R1482" s="28">
        <f t="shared" si="165"/>
        <v>0.94117647058823528</v>
      </c>
      <c r="S1482" s="29">
        <f t="shared" si="166"/>
        <v>94.117647058823522</v>
      </c>
      <c r="T1482" s="5" t="str">
        <f>IF(Delivery_Data3[[#This Row],[Delays (min)]]&gt;0,"No","Yes")</f>
        <v>No</v>
      </c>
      <c r="W1482" s="41">
        <f t="shared" si="167"/>
        <v>45177</v>
      </c>
      <c r="X1482" s="5">
        <v>224</v>
      </c>
    </row>
    <row r="1483" spans="1:24" ht="15.75" customHeight="1" x14ac:dyDescent="0.3">
      <c r="A1483" s="4">
        <v>2482</v>
      </c>
      <c r="B1483" s="5" t="s">
        <v>1575</v>
      </c>
      <c r="C1483" s="6">
        <v>45176.474999999999</v>
      </c>
      <c r="D1483" s="5" t="s">
        <v>14</v>
      </c>
      <c r="E1483" s="5" t="s">
        <v>99</v>
      </c>
      <c r="F1483" s="5" t="s">
        <v>38</v>
      </c>
      <c r="G1483" s="5" t="s">
        <v>17</v>
      </c>
      <c r="H1483" s="5">
        <v>176</v>
      </c>
      <c r="I1483" s="5">
        <v>12</v>
      </c>
      <c r="J1483" s="5" t="s">
        <v>32</v>
      </c>
      <c r="K1483" s="5" t="s">
        <v>27</v>
      </c>
      <c r="L1483" s="5" t="s">
        <v>40</v>
      </c>
      <c r="M1483" s="7" t="s">
        <v>41</v>
      </c>
      <c r="N1483" s="26">
        <f t="shared" si="161"/>
        <v>-1</v>
      </c>
      <c r="O1483" s="42">
        <f t="shared" si="162"/>
        <v>45176</v>
      </c>
      <c r="P1483" s="5" t="str">
        <f t="shared" si="163"/>
        <v>Thursday</v>
      </c>
      <c r="Q1483" s="5">
        <f t="shared" si="164"/>
        <v>11</v>
      </c>
      <c r="R1483" s="28">
        <f t="shared" si="165"/>
        <v>0.93617021276595747</v>
      </c>
      <c r="S1483" s="29">
        <f t="shared" si="166"/>
        <v>93.61702127659575</v>
      </c>
      <c r="T1483" s="5" t="str">
        <f>IF(Delivery_Data3[[#This Row],[Delays (min)]]&gt;0,"No","Yes")</f>
        <v>No</v>
      </c>
      <c r="W1483" s="41">
        <f t="shared" si="167"/>
        <v>45176</v>
      </c>
      <c r="X1483" s="5">
        <v>176</v>
      </c>
    </row>
    <row r="1484" spans="1:24" ht="15.75" customHeight="1" x14ac:dyDescent="0.3">
      <c r="A1484" s="4">
        <v>2483</v>
      </c>
      <c r="B1484" s="5" t="s">
        <v>1576</v>
      </c>
      <c r="C1484" s="6">
        <v>45177.456944444442</v>
      </c>
      <c r="D1484" s="5" t="s">
        <v>43</v>
      </c>
      <c r="E1484" s="5" t="s">
        <v>60</v>
      </c>
      <c r="F1484" s="5" t="s">
        <v>38</v>
      </c>
      <c r="G1484" s="5" t="s">
        <v>31</v>
      </c>
      <c r="H1484" s="5">
        <v>122</v>
      </c>
      <c r="I1484" s="5">
        <v>7</v>
      </c>
      <c r="J1484" s="5" t="s">
        <v>32</v>
      </c>
      <c r="K1484" s="5" t="s">
        <v>49</v>
      </c>
      <c r="L1484" s="5" t="s">
        <v>28</v>
      </c>
      <c r="M1484" s="7" t="s">
        <v>46</v>
      </c>
      <c r="N1484" s="26">
        <f t="shared" si="161"/>
        <v>-1</v>
      </c>
      <c r="O1484" s="42">
        <f t="shared" si="162"/>
        <v>45177</v>
      </c>
      <c r="P1484" s="5" t="str">
        <f t="shared" si="163"/>
        <v>Friday</v>
      </c>
      <c r="Q1484" s="5">
        <f t="shared" si="164"/>
        <v>10</v>
      </c>
      <c r="R1484" s="28">
        <f t="shared" si="165"/>
        <v>0.94573643410852715</v>
      </c>
      <c r="S1484" s="29">
        <f t="shared" si="166"/>
        <v>94.573643410852711</v>
      </c>
      <c r="T1484" s="5" t="str">
        <f>IF(Delivery_Data3[[#This Row],[Delays (min)]]&gt;0,"No","Yes")</f>
        <v>No</v>
      </c>
      <c r="W1484" s="41">
        <f t="shared" si="167"/>
        <v>45177</v>
      </c>
      <c r="X1484" s="5">
        <v>122</v>
      </c>
    </row>
    <row r="1485" spans="1:24" ht="15.75" customHeight="1" x14ac:dyDescent="0.3">
      <c r="A1485" s="4">
        <v>2484</v>
      </c>
      <c r="B1485" s="5" t="s">
        <v>1577</v>
      </c>
      <c r="C1485" s="6">
        <v>45175.384027777778</v>
      </c>
      <c r="D1485" s="5" t="s">
        <v>14</v>
      </c>
      <c r="E1485" s="5" t="s">
        <v>99</v>
      </c>
      <c r="F1485" s="5" t="s">
        <v>16</v>
      </c>
      <c r="G1485" s="5" t="s">
        <v>31</v>
      </c>
      <c r="H1485" s="5">
        <v>115</v>
      </c>
      <c r="I1485" s="5">
        <v>1</v>
      </c>
      <c r="J1485" s="5" t="s">
        <v>26</v>
      </c>
      <c r="K1485" s="5" t="s">
        <v>35</v>
      </c>
      <c r="L1485" s="5" t="s">
        <v>20</v>
      </c>
      <c r="M1485" s="7" t="s">
        <v>41</v>
      </c>
      <c r="N1485" s="26">
        <f t="shared" si="161"/>
        <v>1</v>
      </c>
      <c r="O1485" s="42">
        <f t="shared" si="162"/>
        <v>45175</v>
      </c>
      <c r="P1485" s="5" t="str">
        <f t="shared" si="163"/>
        <v>Wednesday</v>
      </c>
      <c r="Q1485" s="5">
        <f t="shared" si="164"/>
        <v>9</v>
      </c>
      <c r="R1485" s="28">
        <f t="shared" si="165"/>
        <v>0.99137931034482762</v>
      </c>
      <c r="S1485" s="29">
        <f t="shared" si="166"/>
        <v>99.137931034482762</v>
      </c>
      <c r="T1485" s="5" t="str">
        <f>IF(Delivery_Data3[[#This Row],[Delays (min)]]&gt;0,"No","Yes")</f>
        <v>No</v>
      </c>
      <c r="W1485" s="41">
        <f t="shared" si="167"/>
        <v>45175</v>
      </c>
      <c r="X1485" s="5">
        <v>115</v>
      </c>
    </row>
    <row r="1486" spans="1:24" ht="15.75" customHeight="1" x14ac:dyDescent="0.3">
      <c r="A1486" s="4">
        <v>2485</v>
      </c>
      <c r="B1486" s="5" t="s">
        <v>1578</v>
      </c>
      <c r="C1486" s="6">
        <v>45176.698611111111</v>
      </c>
      <c r="D1486" s="5" t="s">
        <v>43</v>
      </c>
      <c r="E1486" s="5" t="s">
        <v>272</v>
      </c>
      <c r="F1486" s="5" t="s">
        <v>24</v>
      </c>
      <c r="G1486" s="5" t="s">
        <v>56</v>
      </c>
      <c r="H1486" s="5">
        <v>222</v>
      </c>
      <c r="I1486" s="5">
        <v>4</v>
      </c>
      <c r="J1486" s="5" t="s">
        <v>18</v>
      </c>
      <c r="K1486" s="5" t="s">
        <v>45</v>
      </c>
      <c r="L1486" s="5" t="s">
        <v>20</v>
      </c>
      <c r="M1486" s="7" t="s">
        <v>46</v>
      </c>
      <c r="N1486" s="26">
        <f t="shared" si="161"/>
        <v>0</v>
      </c>
      <c r="O1486" s="42">
        <f t="shared" si="162"/>
        <v>45176</v>
      </c>
      <c r="P1486" s="5" t="str">
        <f t="shared" si="163"/>
        <v>Thursday</v>
      </c>
      <c r="Q1486" s="5">
        <f t="shared" si="164"/>
        <v>16</v>
      </c>
      <c r="R1486" s="28">
        <f t="shared" si="165"/>
        <v>0.98230088495575218</v>
      </c>
      <c r="S1486" s="29">
        <f t="shared" si="166"/>
        <v>98.230088495575217</v>
      </c>
      <c r="T1486" s="5" t="str">
        <f>IF(Delivery_Data3[[#This Row],[Delays (min)]]&gt;0,"No","Yes")</f>
        <v>No</v>
      </c>
      <c r="W1486" s="41">
        <f t="shared" si="167"/>
        <v>45176</v>
      </c>
      <c r="X1486" s="5">
        <v>222</v>
      </c>
    </row>
    <row r="1487" spans="1:24" ht="15.75" customHeight="1" x14ac:dyDescent="0.3">
      <c r="A1487" s="4">
        <v>2486</v>
      </c>
      <c r="B1487" s="5" t="s">
        <v>1579</v>
      </c>
      <c r="C1487" s="6">
        <v>45175.467361111114</v>
      </c>
      <c r="D1487" s="5" t="s">
        <v>43</v>
      </c>
      <c r="E1487" s="5" t="s">
        <v>234</v>
      </c>
      <c r="F1487" s="5" t="s">
        <v>24</v>
      </c>
      <c r="G1487" s="5" t="s">
        <v>25</v>
      </c>
      <c r="H1487" s="5">
        <v>159</v>
      </c>
      <c r="I1487" s="5">
        <v>6</v>
      </c>
      <c r="J1487" s="5" t="s">
        <v>32</v>
      </c>
      <c r="K1487" s="5" t="s">
        <v>35</v>
      </c>
      <c r="L1487" s="5" t="s">
        <v>20</v>
      </c>
      <c r="M1487" s="7" t="s">
        <v>21</v>
      </c>
      <c r="N1487" s="26">
        <f t="shared" si="161"/>
        <v>-1</v>
      </c>
      <c r="O1487" s="42">
        <f t="shared" si="162"/>
        <v>45175</v>
      </c>
      <c r="P1487" s="5" t="str">
        <f t="shared" si="163"/>
        <v>Wednesday</v>
      </c>
      <c r="Q1487" s="5">
        <f t="shared" si="164"/>
        <v>11</v>
      </c>
      <c r="R1487" s="28">
        <f t="shared" si="165"/>
        <v>0.96363636363636362</v>
      </c>
      <c r="S1487" s="29">
        <f t="shared" si="166"/>
        <v>96.36363636363636</v>
      </c>
      <c r="T1487" s="5" t="str">
        <f>IF(Delivery_Data3[[#This Row],[Delays (min)]]&gt;0,"No","Yes")</f>
        <v>No</v>
      </c>
      <c r="W1487" s="41">
        <f t="shared" si="167"/>
        <v>45175</v>
      </c>
      <c r="X1487" s="5">
        <v>159</v>
      </c>
    </row>
    <row r="1488" spans="1:24" ht="15.75" customHeight="1" x14ac:dyDescent="0.3">
      <c r="A1488" s="4">
        <v>2487</v>
      </c>
      <c r="B1488" s="5" t="s">
        <v>1580</v>
      </c>
      <c r="C1488" s="6">
        <v>45170.493750000001</v>
      </c>
      <c r="D1488" s="5" t="s">
        <v>14</v>
      </c>
      <c r="E1488" s="5" t="s">
        <v>179</v>
      </c>
      <c r="F1488" s="5" t="s">
        <v>16</v>
      </c>
      <c r="G1488" s="5" t="s">
        <v>56</v>
      </c>
      <c r="H1488" s="5">
        <v>211</v>
      </c>
      <c r="I1488" s="5">
        <v>26</v>
      </c>
      <c r="J1488" s="5" t="s">
        <v>26</v>
      </c>
      <c r="K1488" s="5" t="s">
        <v>35</v>
      </c>
      <c r="L1488" s="5" t="s">
        <v>28</v>
      </c>
      <c r="M1488" s="7" t="s">
        <v>46</v>
      </c>
      <c r="N1488" s="26">
        <f t="shared" si="161"/>
        <v>1</v>
      </c>
      <c r="O1488" s="42">
        <f t="shared" si="162"/>
        <v>45170</v>
      </c>
      <c r="P1488" s="5" t="str">
        <f t="shared" si="163"/>
        <v>Friday</v>
      </c>
      <c r="Q1488" s="5">
        <f t="shared" si="164"/>
        <v>11</v>
      </c>
      <c r="R1488" s="28">
        <f t="shared" si="165"/>
        <v>0.89029535864978904</v>
      </c>
      <c r="S1488" s="29">
        <f t="shared" si="166"/>
        <v>89.029535864978897</v>
      </c>
      <c r="T1488" s="5" t="str">
        <f>IF(Delivery_Data3[[#This Row],[Delays (min)]]&gt;0,"No","Yes")</f>
        <v>No</v>
      </c>
      <c r="W1488" s="41">
        <f t="shared" si="167"/>
        <v>45170</v>
      </c>
      <c r="X1488" s="5">
        <v>211</v>
      </c>
    </row>
    <row r="1489" spans="1:24" ht="15.75" customHeight="1" x14ac:dyDescent="0.3">
      <c r="A1489" s="4">
        <v>2488</v>
      </c>
      <c r="B1489" s="5" t="s">
        <v>1581</v>
      </c>
      <c r="C1489" s="6">
        <v>45175.361111111109</v>
      </c>
      <c r="D1489" s="5" t="s">
        <v>43</v>
      </c>
      <c r="E1489" s="5" t="s">
        <v>261</v>
      </c>
      <c r="F1489" s="5" t="s">
        <v>24</v>
      </c>
      <c r="G1489" s="5" t="s">
        <v>17</v>
      </c>
      <c r="H1489" s="5">
        <v>172</v>
      </c>
      <c r="I1489" s="5">
        <v>11</v>
      </c>
      <c r="J1489" s="5" t="s">
        <v>18</v>
      </c>
      <c r="K1489" s="5" t="s">
        <v>35</v>
      </c>
      <c r="L1489" s="5" t="s">
        <v>28</v>
      </c>
      <c r="M1489" s="7" t="s">
        <v>21</v>
      </c>
      <c r="N1489" s="26">
        <f t="shared" si="161"/>
        <v>0</v>
      </c>
      <c r="O1489" s="42">
        <f t="shared" si="162"/>
        <v>45175</v>
      </c>
      <c r="P1489" s="5" t="str">
        <f t="shared" si="163"/>
        <v>Wednesday</v>
      </c>
      <c r="Q1489" s="5">
        <f t="shared" si="164"/>
        <v>8</v>
      </c>
      <c r="R1489" s="28">
        <f t="shared" si="165"/>
        <v>0.93989071038251371</v>
      </c>
      <c r="S1489" s="29">
        <f t="shared" si="166"/>
        <v>93.989071038251367</v>
      </c>
      <c r="T1489" s="5" t="str">
        <f>IF(Delivery_Data3[[#This Row],[Delays (min)]]&gt;0,"No","Yes")</f>
        <v>No</v>
      </c>
      <c r="W1489" s="41">
        <f t="shared" si="167"/>
        <v>45175</v>
      </c>
      <c r="X1489" s="5">
        <v>172</v>
      </c>
    </row>
    <row r="1490" spans="1:24" ht="15.75" customHeight="1" x14ac:dyDescent="0.3">
      <c r="A1490" s="4">
        <v>2489</v>
      </c>
      <c r="B1490" s="5" t="s">
        <v>438</v>
      </c>
      <c r="C1490" s="6">
        <v>45176.680555555555</v>
      </c>
      <c r="D1490" s="5" t="s">
        <v>14</v>
      </c>
      <c r="E1490" s="5" t="s">
        <v>44</v>
      </c>
      <c r="F1490" s="5" t="s">
        <v>24</v>
      </c>
      <c r="G1490" s="5" t="s">
        <v>39</v>
      </c>
      <c r="H1490" s="5">
        <v>92</v>
      </c>
      <c r="I1490" s="5">
        <v>29</v>
      </c>
      <c r="J1490" s="5" t="s">
        <v>26</v>
      </c>
      <c r="K1490" s="5" t="s">
        <v>19</v>
      </c>
      <c r="L1490" s="5" t="s">
        <v>40</v>
      </c>
      <c r="M1490" s="7" t="s">
        <v>41</v>
      </c>
      <c r="N1490" s="26">
        <f t="shared" si="161"/>
        <v>1</v>
      </c>
      <c r="O1490" s="42">
        <f t="shared" si="162"/>
        <v>45176</v>
      </c>
      <c r="P1490" s="5" t="str">
        <f t="shared" si="163"/>
        <v>Thursday</v>
      </c>
      <c r="Q1490" s="5">
        <f t="shared" si="164"/>
        <v>16</v>
      </c>
      <c r="R1490" s="28">
        <f t="shared" si="165"/>
        <v>0.76033057851239672</v>
      </c>
      <c r="S1490" s="29">
        <f t="shared" si="166"/>
        <v>76.033057851239676</v>
      </c>
      <c r="T1490" s="5" t="str">
        <f>IF(Delivery_Data3[[#This Row],[Delays (min)]]&gt;0,"No","Yes")</f>
        <v>No</v>
      </c>
      <c r="W1490" s="41">
        <f t="shared" si="167"/>
        <v>45176</v>
      </c>
      <c r="X1490" s="5">
        <v>92</v>
      </c>
    </row>
    <row r="1491" spans="1:24" ht="15.75" customHeight="1" x14ac:dyDescent="0.3">
      <c r="A1491" s="4">
        <v>2490</v>
      </c>
      <c r="B1491" s="5" t="s">
        <v>1582</v>
      </c>
      <c r="C1491" s="6">
        <v>45174.390972222223</v>
      </c>
      <c r="D1491" s="5" t="s">
        <v>14</v>
      </c>
      <c r="E1491" s="5" t="s">
        <v>182</v>
      </c>
      <c r="F1491" s="5" t="s">
        <v>16</v>
      </c>
      <c r="G1491" s="5" t="s">
        <v>17</v>
      </c>
      <c r="H1491" s="5">
        <v>103</v>
      </c>
      <c r="I1491" s="5">
        <v>4</v>
      </c>
      <c r="J1491" s="5" t="s">
        <v>32</v>
      </c>
      <c r="K1491" s="5" t="s">
        <v>27</v>
      </c>
      <c r="L1491" s="5" t="s">
        <v>40</v>
      </c>
      <c r="M1491" s="7" t="s">
        <v>41</v>
      </c>
      <c r="N1491" s="26">
        <f t="shared" si="161"/>
        <v>-1</v>
      </c>
      <c r="O1491" s="42">
        <f t="shared" si="162"/>
        <v>45174</v>
      </c>
      <c r="P1491" s="5" t="str">
        <f t="shared" si="163"/>
        <v>Tuesday</v>
      </c>
      <c r="Q1491" s="5">
        <f t="shared" si="164"/>
        <v>9</v>
      </c>
      <c r="R1491" s="28">
        <f t="shared" si="165"/>
        <v>0.96261682242990654</v>
      </c>
      <c r="S1491" s="29">
        <f t="shared" si="166"/>
        <v>96.261682242990659</v>
      </c>
      <c r="T1491" s="5" t="str">
        <f>IF(Delivery_Data3[[#This Row],[Delays (min)]]&gt;0,"No","Yes")</f>
        <v>No</v>
      </c>
      <c r="W1491" s="41">
        <f t="shared" si="167"/>
        <v>45174</v>
      </c>
      <c r="X1491" s="5">
        <v>103</v>
      </c>
    </row>
    <row r="1492" spans="1:24" ht="15.75" customHeight="1" x14ac:dyDescent="0.3">
      <c r="A1492" s="4">
        <v>2491</v>
      </c>
      <c r="B1492" s="5" t="s">
        <v>1583</v>
      </c>
      <c r="C1492" s="6">
        <v>45173.654166666667</v>
      </c>
      <c r="D1492" s="5" t="s">
        <v>14</v>
      </c>
      <c r="E1492" s="5" t="s">
        <v>126</v>
      </c>
      <c r="F1492" s="5" t="s">
        <v>38</v>
      </c>
      <c r="G1492" s="5" t="s">
        <v>17</v>
      </c>
      <c r="H1492" s="5">
        <v>119</v>
      </c>
      <c r="I1492" s="5">
        <v>17</v>
      </c>
      <c r="J1492" s="5" t="s">
        <v>26</v>
      </c>
      <c r="K1492" s="5" t="s">
        <v>27</v>
      </c>
      <c r="L1492" s="5" t="s">
        <v>28</v>
      </c>
      <c r="M1492" s="7" t="s">
        <v>21</v>
      </c>
      <c r="N1492" s="26">
        <f t="shared" si="161"/>
        <v>1</v>
      </c>
      <c r="O1492" s="42">
        <f t="shared" si="162"/>
        <v>45173</v>
      </c>
      <c r="P1492" s="5" t="str">
        <f t="shared" si="163"/>
        <v>Monday</v>
      </c>
      <c r="Q1492" s="5">
        <f t="shared" si="164"/>
        <v>15</v>
      </c>
      <c r="R1492" s="28">
        <f t="shared" si="165"/>
        <v>0.875</v>
      </c>
      <c r="S1492" s="29">
        <f t="shared" si="166"/>
        <v>87.5</v>
      </c>
      <c r="T1492" s="5" t="str">
        <f>IF(Delivery_Data3[[#This Row],[Delays (min)]]&gt;0,"No","Yes")</f>
        <v>No</v>
      </c>
      <c r="W1492" s="41">
        <f t="shared" si="167"/>
        <v>45173</v>
      </c>
      <c r="X1492" s="5">
        <v>119</v>
      </c>
    </row>
    <row r="1493" spans="1:24" ht="15.75" customHeight="1" x14ac:dyDescent="0.3">
      <c r="A1493" s="4">
        <v>2492</v>
      </c>
      <c r="B1493" s="5" t="s">
        <v>1584</v>
      </c>
      <c r="C1493" s="6">
        <v>45175.40347222222</v>
      </c>
      <c r="D1493" s="5" t="s">
        <v>43</v>
      </c>
      <c r="E1493" s="5" t="s">
        <v>267</v>
      </c>
      <c r="F1493" s="5" t="s">
        <v>16</v>
      </c>
      <c r="G1493" s="5" t="s">
        <v>31</v>
      </c>
      <c r="H1493" s="5">
        <v>202</v>
      </c>
      <c r="I1493" s="5">
        <v>0</v>
      </c>
      <c r="J1493" s="5" t="s">
        <v>26</v>
      </c>
      <c r="K1493" s="5" t="s">
        <v>35</v>
      </c>
      <c r="L1493" s="5" t="s">
        <v>40</v>
      </c>
      <c r="M1493" s="7" t="s">
        <v>46</v>
      </c>
      <c r="N1493" s="26">
        <f t="shared" si="161"/>
        <v>1</v>
      </c>
      <c r="O1493" s="42">
        <f t="shared" si="162"/>
        <v>45175</v>
      </c>
      <c r="P1493" s="5" t="str">
        <f t="shared" si="163"/>
        <v>Wednesday</v>
      </c>
      <c r="Q1493" s="5">
        <f t="shared" si="164"/>
        <v>9</v>
      </c>
      <c r="R1493" s="28">
        <f t="shared" si="165"/>
        <v>1</v>
      </c>
      <c r="S1493" s="29">
        <f t="shared" si="166"/>
        <v>100</v>
      </c>
      <c r="T1493" s="5" t="str">
        <f>IF(Delivery_Data3[[#This Row],[Delays (min)]]&gt;0,"No","Yes")</f>
        <v>Yes</v>
      </c>
      <c r="W1493" s="41">
        <f t="shared" si="167"/>
        <v>45175</v>
      </c>
      <c r="X1493" s="5">
        <v>202</v>
      </c>
    </row>
    <row r="1494" spans="1:24" ht="15.75" customHeight="1" x14ac:dyDescent="0.3">
      <c r="A1494" s="4">
        <v>2493</v>
      </c>
      <c r="B1494" s="5" t="s">
        <v>1585</v>
      </c>
      <c r="C1494" s="6">
        <v>45176.619444444441</v>
      </c>
      <c r="D1494" s="5" t="s">
        <v>43</v>
      </c>
      <c r="E1494" s="5" t="s">
        <v>187</v>
      </c>
      <c r="F1494" s="5" t="s">
        <v>38</v>
      </c>
      <c r="G1494" s="5" t="s">
        <v>39</v>
      </c>
      <c r="H1494" s="5">
        <v>104</v>
      </c>
      <c r="I1494" s="5">
        <v>2</v>
      </c>
      <c r="J1494" s="5" t="s">
        <v>26</v>
      </c>
      <c r="K1494" s="5" t="s">
        <v>49</v>
      </c>
      <c r="L1494" s="5" t="s">
        <v>40</v>
      </c>
      <c r="M1494" s="7" t="s">
        <v>21</v>
      </c>
      <c r="N1494" s="26">
        <f t="shared" si="161"/>
        <v>1</v>
      </c>
      <c r="O1494" s="42">
        <f t="shared" si="162"/>
        <v>45176</v>
      </c>
      <c r="P1494" s="5" t="str">
        <f t="shared" si="163"/>
        <v>Thursday</v>
      </c>
      <c r="Q1494" s="5">
        <f t="shared" si="164"/>
        <v>14</v>
      </c>
      <c r="R1494" s="28">
        <f t="shared" si="165"/>
        <v>0.98113207547169812</v>
      </c>
      <c r="S1494" s="29">
        <f t="shared" si="166"/>
        <v>98.113207547169807</v>
      </c>
      <c r="T1494" s="5" t="str">
        <f>IF(Delivery_Data3[[#This Row],[Delays (min)]]&gt;0,"No","Yes")</f>
        <v>No</v>
      </c>
      <c r="W1494" s="41">
        <f t="shared" si="167"/>
        <v>45176</v>
      </c>
      <c r="X1494" s="5">
        <v>104</v>
      </c>
    </row>
    <row r="1495" spans="1:24" ht="15.75" customHeight="1" x14ac:dyDescent="0.3">
      <c r="A1495" s="4">
        <v>2494</v>
      </c>
      <c r="B1495" s="5" t="s">
        <v>81</v>
      </c>
      <c r="C1495" s="6">
        <v>45177.484027777777</v>
      </c>
      <c r="D1495" s="5" t="s">
        <v>14</v>
      </c>
      <c r="E1495" s="5" t="s">
        <v>304</v>
      </c>
      <c r="F1495" s="5" t="s">
        <v>24</v>
      </c>
      <c r="G1495" s="5" t="s">
        <v>25</v>
      </c>
      <c r="H1495" s="5">
        <v>71</v>
      </c>
      <c r="I1495" s="5">
        <v>3</v>
      </c>
      <c r="J1495" s="5" t="s">
        <v>18</v>
      </c>
      <c r="K1495" s="5" t="s">
        <v>49</v>
      </c>
      <c r="L1495" s="5" t="s">
        <v>40</v>
      </c>
      <c r="M1495" s="7" t="s">
        <v>46</v>
      </c>
      <c r="N1495" s="26">
        <f t="shared" si="161"/>
        <v>0</v>
      </c>
      <c r="O1495" s="42">
        <f t="shared" si="162"/>
        <v>45177</v>
      </c>
      <c r="P1495" s="5" t="str">
        <f t="shared" si="163"/>
        <v>Friday</v>
      </c>
      <c r="Q1495" s="5">
        <f t="shared" si="164"/>
        <v>11</v>
      </c>
      <c r="R1495" s="28">
        <f t="shared" si="165"/>
        <v>0.95945945945945943</v>
      </c>
      <c r="S1495" s="29">
        <f t="shared" si="166"/>
        <v>95.945945945945937</v>
      </c>
      <c r="T1495" s="5" t="str">
        <f>IF(Delivery_Data3[[#This Row],[Delays (min)]]&gt;0,"No","Yes")</f>
        <v>No</v>
      </c>
      <c r="W1495" s="41">
        <f t="shared" si="167"/>
        <v>45177</v>
      </c>
      <c r="X1495" s="5">
        <v>71</v>
      </c>
    </row>
    <row r="1496" spans="1:24" ht="15.75" customHeight="1" x14ac:dyDescent="0.3">
      <c r="A1496" s="4">
        <v>2495</v>
      </c>
      <c r="B1496" s="5" t="s">
        <v>1545</v>
      </c>
      <c r="C1496" s="6">
        <v>45175.431944444441</v>
      </c>
      <c r="D1496" s="5" t="s">
        <v>14</v>
      </c>
      <c r="E1496" s="5" t="s">
        <v>130</v>
      </c>
      <c r="F1496" s="5" t="s">
        <v>16</v>
      </c>
      <c r="G1496" s="5" t="s">
        <v>31</v>
      </c>
      <c r="H1496" s="5">
        <v>226</v>
      </c>
      <c r="I1496" s="5">
        <v>8</v>
      </c>
      <c r="J1496" s="5" t="s">
        <v>26</v>
      </c>
      <c r="K1496" s="5" t="s">
        <v>49</v>
      </c>
      <c r="L1496" s="5" t="s">
        <v>28</v>
      </c>
      <c r="M1496" s="7" t="s">
        <v>21</v>
      </c>
      <c r="N1496" s="26">
        <f t="shared" si="161"/>
        <v>1</v>
      </c>
      <c r="O1496" s="42">
        <f t="shared" si="162"/>
        <v>45175</v>
      </c>
      <c r="P1496" s="5" t="str">
        <f t="shared" si="163"/>
        <v>Wednesday</v>
      </c>
      <c r="Q1496" s="5">
        <f t="shared" si="164"/>
        <v>10</v>
      </c>
      <c r="R1496" s="28">
        <f t="shared" si="165"/>
        <v>0.96581196581196582</v>
      </c>
      <c r="S1496" s="29">
        <f t="shared" si="166"/>
        <v>96.581196581196579</v>
      </c>
      <c r="T1496" s="5" t="str">
        <f>IF(Delivery_Data3[[#This Row],[Delays (min)]]&gt;0,"No","Yes")</f>
        <v>No</v>
      </c>
      <c r="W1496" s="41">
        <f t="shared" si="167"/>
        <v>45175</v>
      </c>
      <c r="X1496" s="5">
        <v>226</v>
      </c>
    </row>
    <row r="1497" spans="1:24" ht="15.75" customHeight="1" x14ac:dyDescent="0.3">
      <c r="A1497" s="4">
        <v>2496</v>
      </c>
      <c r="B1497" s="5" t="s">
        <v>1586</v>
      </c>
      <c r="C1497" s="6">
        <v>45176.379166666666</v>
      </c>
      <c r="D1497" s="5" t="s">
        <v>43</v>
      </c>
      <c r="E1497" s="5" t="s">
        <v>156</v>
      </c>
      <c r="F1497" s="5" t="s">
        <v>24</v>
      </c>
      <c r="G1497" s="5" t="s">
        <v>17</v>
      </c>
      <c r="H1497" s="5">
        <v>213</v>
      </c>
      <c r="I1497" s="5">
        <v>18</v>
      </c>
      <c r="J1497" s="5" t="s">
        <v>26</v>
      </c>
      <c r="K1497" s="5" t="s">
        <v>19</v>
      </c>
      <c r="L1497" s="5" t="s">
        <v>40</v>
      </c>
      <c r="M1497" s="7" t="s">
        <v>41</v>
      </c>
      <c r="N1497" s="26">
        <f t="shared" si="161"/>
        <v>1</v>
      </c>
      <c r="O1497" s="42">
        <f t="shared" si="162"/>
        <v>45176</v>
      </c>
      <c r="P1497" s="5" t="str">
        <f t="shared" si="163"/>
        <v>Thursday</v>
      </c>
      <c r="Q1497" s="5">
        <f t="shared" si="164"/>
        <v>9</v>
      </c>
      <c r="R1497" s="28">
        <f t="shared" si="165"/>
        <v>0.92207792207792205</v>
      </c>
      <c r="S1497" s="29">
        <f t="shared" si="166"/>
        <v>92.20779220779221</v>
      </c>
      <c r="T1497" s="5" t="str">
        <f>IF(Delivery_Data3[[#This Row],[Delays (min)]]&gt;0,"No","Yes")</f>
        <v>No</v>
      </c>
      <c r="W1497" s="41">
        <f t="shared" si="167"/>
        <v>45176</v>
      </c>
      <c r="X1497" s="5">
        <v>213</v>
      </c>
    </row>
    <row r="1498" spans="1:24" ht="15.75" customHeight="1" x14ac:dyDescent="0.3">
      <c r="A1498" s="4">
        <v>2497</v>
      </c>
      <c r="B1498" s="5" t="s">
        <v>1587</v>
      </c>
      <c r="C1498" s="6">
        <v>45176.510416666664</v>
      </c>
      <c r="D1498" s="5" t="s">
        <v>43</v>
      </c>
      <c r="E1498" s="5" t="s">
        <v>410</v>
      </c>
      <c r="F1498" s="5" t="s">
        <v>16</v>
      </c>
      <c r="G1498" s="5" t="s">
        <v>17</v>
      </c>
      <c r="H1498" s="5">
        <v>142</v>
      </c>
      <c r="I1498" s="5">
        <v>21</v>
      </c>
      <c r="J1498" s="5" t="s">
        <v>32</v>
      </c>
      <c r="K1498" s="5" t="s">
        <v>19</v>
      </c>
      <c r="L1498" s="5" t="s">
        <v>40</v>
      </c>
      <c r="M1498" s="7" t="s">
        <v>21</v>
      </c>
      <c r="N1498" s="26">
        <f t="shared" si="161"/>
        <v>-1</v>
      </c>
      <c r="O1498" s="42">
        <f t="shared" si="162"/>
        <v>45176</v>
      </c>
      <c r="P1498" s="5" t="str">
        <f t="shared" si="163"/>
        <v>Thursday</v>
      </c>
      <c r="Q1498" s="5">
        <f t="shared" si="164"/>
        <v>12</v>
      </c>
      <c r="R1498" s="28">
        <f t="shared" si="165"/>
        <v>0.87116564417177911</v>
      </c>
      <c r="S1498" s="29">
        <f t="shared" si="166"/>
        <v>87.116564417177912</v>
      </c>
      <c r="T1498" s="5" t="str">
        <f>IF(Delivery_Data3[[#This Row],[Delays (min)]]&gt;0,"No","Yes")</f>
        <v>No</v>
      </c>
      <c r="W1498" s="41">
        <f t="shared" si="167"/>
        <v>45176</v>
      </c>
      <c r="X1498" s="5">
        <v>142</v>
      </c>
    </row>
    <row r="1499" spans="1:24" ht="15.75" customHeight="1" x14ac:dyDescent="0.3">
      <c r="A1499" s="4">
        <v>2498</v>
      </c>
      <c r="B1499" s="5" t="s">
        <v>1588</v>
      </c>
      <c r="C1499" s="6">
        <v>45172.362500000003</v>
      </c>
      <c r="D1499" s="5" t="s">
        <v>43</v>
      </c>
      <c r="E1499" s="5" t="s">
        <v>245</v>
      </c>
      <c r="F1499" s="5" t="s">
        <v>38</v>
      </c>
      <c r="G1499" s="5" t="s">
        <v>25</v>
      </c>
      <c r="H1499" s="5">
        <v>82</v>
      </c>
      <c r="I1499" s="5">
        <v>16</v>
      </c>
      <c r="J1499" s="5" t="s">
        <v>26</v>
      </c>
      <c r="K1499" s="5" t="s">
        <v>27</v>
      </c>
      <c r="L1499" s="5" t="s">
        <v>28</v>
      </c>
      <c r="M1499" s="7" t="s">
        <v>46</v>
      </c>
      <c r="N1499" s="26">
        <f t="shared" si="161"/>
        <v>1</v>
      </c>
      <c r="O1499" s="42">
        <f t="shared" si="162"/>
        <v>45172</v>
      </c>
      <c r="P1499" s="5" t="str">
        <f t="shared" si="163"/>
        <v>Sunday</v>
      </c>
      <c r="Q1499" s="5">
        <f t="shared" si="164"/>
        <v>8</v>
      </c>
      <c r="R1499" s="28">
        <f t="shared" si="165"/>
        <v>0.83673469387755106</v>
      </c>
      <c r="S1499" s="29">
        <f t="shared" si="166"/>
        <v>83.673469387755105</v>
      </c>
      <c r="T1499" s="5" t="str">
        <f>IF(Delivery_Data3[[#This Row],[Delays (min)]]&gt;0,"No","Yes")</f>
        <v>No</v>
      </c>
      <c r="W1499" s="41">
        <f t="shared" si="167"/>
        <v>45172</v>
      </c>
      <c r="X1499" s="5">
        <v>82</v>
      </c>
    </row>
    <row r="1500" spans="1:24" ht="15.75" customHeight="1" x14ac:dyDescent="0.3">
      <c r="A1500" s="4">
        <v>2499</v>
      </c>
      <c r="B1500" s="5" t="s">
        <v>1589</v>
      </c>
      <c r="C1500" s="6">
        <v>45173.706944444442</v>
      </c>
      <c r="D1500" s="5" t="s">
        <v>43</v>
      </c>
      <c r="E1500" s="5" t="s">
        <v>197</v>
      </c>
      <c r="F1500" s="5" t="s">
        <v>24</v>
      </c>
      <c r="G1500" s="5" t="s">
        <v>56</v>
      </c>
      <c r="H1500" s="5">
        <v>141</v>
      </c>
      <c r="I1500" s="5">
        <v>7</v>
      </c>
      <c r="J1500" s="5" t="s">
        <v>32</v>
      </c>
      <c r="K1500" s="5" t="s">
        <v>19</v>
      </c>
      <c r="L1500" s="5" t="s">
        <v>28</v>
      </c>
      <c r="M1500" s="7" t="s">
        <v>46</v>
      </c>
      <c r="N1500" s="26">
        <f t="shared" si="161"/>
        <v>-1</v>
      </c>
      <c r="O1500" s="42">
        <f t="shared" si="162"/>
        <v>45173</v>
      </c>
      <c r="P1500" s="5" t="str">
        <f t="shared" si="163"/>
        <v>Monday</v>
      </c>
      <c r="Q1500" s="5">
        <f t="shared" si="164"/>
        <v>16</v>
      </c>
      <c r="R1500" s="28">
        <f t="shared" si="165"/>
        <v>0.95270270270270274</v>
      </c>
      <c r="S1500" s="29">
        <f t="shared" si="166"/>
        <v>95.270270270270274</v>
      </c>
      <c r="T1500" s="5" t="str">
        <f>IF(Delivery_Data3[[#This Row],[Delays (min)]]&gt;0,"No","Yes")</f>
        <v>No</v>
      </c>
      <c r="W1500" s="41">
        <f t="shared" si="167"/>
        <v>45173</v>
      </c>
      <c r="X1500" s="5">
        <v>141</v>
      </c>
    </row>
    <row r="1501" spans="1:24" ht="15.75" customHeight="1" x14ac:dyDescent="0.3">
      <c r="A1501" s="8">
        <v>2500</v>
      </c>
      <c r="B1501" s="9" t="s">
        <v>1590</v>
      </c>
      <c r="C1501" s="10">
        <v>45172.646527777775</v>
      </c>
      <c r="D1501" s="9" t="s">
        <v>14</v>
      </c>
      <c r="E1501" s="9" t="s">
        <v>261</v>
      </c>
      <c r="F1501" s="9" t="s">
        <v>24</v>
      </c>
      <c r="G1501" s="9" t="s">
        <v>31</v>
      </c>
      <c r="H1501" s="9">
        <v>134</v>
      </c>
      <c r="I1501" s="9">
        <v>23</v>
      </c>
      <c r="J1501" s="9" t="s">
        <v>32</v>
      </c>
      <c r="K1501" s="9" t="s">
        <v>45</v>
      </c>
      <c r="L1501" s="9" t="s">
        <v>20</v>
      </c>
      <c r="M1501" s="11" t="s">
        <v>46</v>
      </c>
      <c r="N1501" s="27">
        <f t="shared" si="161"/>
        <v>-1</v>
      </c>
      <c r="O1501" s="43">
        <f t="shared" si="162"/>
        <v>45172</v>
      </c>
      <c r="P1501" s="9" t="str">
        <f t="shared" si="163"/>
        <v>Sunday</v>
      </c>
      <c r="Q1501" s="9">
        <f t="shared" si="164"/>
        <v>15</v>
      </c>
      <c r="R1501" s="32">
        <f t="shared" si="165"/>
        <v>0.85350318471337583</v>
      </c>
      <c r="S1501" s="33">
        <f t="shared" si="166"/>
        <v>85.350318471337587</v>
      </c>
      <c r="T1501" s="9" t="str">
        <f>IF(Delivery_Data3[[#This Row],[Delays (min)]]&gt;0,"No","Yes")</f>
        <v>No</v>
      </c>
      <c r="W1501" s="41">
        <f t="shared" si="167"/>
        <v>45172</v>
      </c>
      <c r="X1501" s="9">
        <v>134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L6" sqref="L6"/>
    </sheetView>
  </sheetViews>
  <sheetFormatPr defaultColWidth="14.44140625" defaultRowHeight="15" customHeight="1" x14ac:dyDescent="0.3"/>
  <cols>
    <col min="1" max="1" width="16.33203125" customWidth="1"/>
    <col min="2" max="2" width="87.109375" customWidth="1"/>
    <col min="3" max="26" width="8.6640625" customWidth="1"/>
  </cols>
  <sheetData>
    <row r="1" spans="1:2" ht="14.4" x14ac:dyDescent="0.3">
      <c r="A1" s="1" t="s">
        <v>1591</v>
      </c>
      <c r="B1" s="1" t="s">
        <v>1592</v>
      </c>
    </row>
    <row r="2" spans="1:2" ht="43.2" x14ac:dyDescent="0.3">
      <c r="A2" s="1" t="s">
        <v>1593</v>
      </c>
      <c r="B2" s="2" t="s">
        <v>1594</v>
      </c>
    </row>
    <row r="3" spans="1:2" ht="28.8" x14ac:dyDescent="0.3">
      <c r="A3" s="1" t="s">
        <v>1595</v>
      </c>
      <c r="B3" s="2" t="s">
        <v>1596</v>
      </c>
    </row>
    <row r="4" spans="1:2" ht="28.8" x14ac:dyDescent="0.3">
      <c r="A4" s="1" t="s">
        <v>1597</v>
      </c>
      <c r="B4" s="2" t="s">
        <v>1598</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ACF4C-82CB-41EF-9CD7-4DF610556E67}">
  <dimension ref="A1:Y36"/>
  <sheetViews>
    <sheetView zoomScaleNormal="100" workbookViewId="0">
      <selection activeCell="S1" sqref="S1:S2"/>
    </sheetView>
  </sheetViews>
  <sheetFormatPr defaultRowHeight="14.4" x14ac:dyDescent="0.3"/>
  <cols>
    <col min="1" max="1" width="16.5546875" bestFit="1" customWidth="1"/>
    <col min="2" max="2" width="10.6640625" bestFit="1" customWidth="1"/>
    <col min="3" max="3" width="18.6640625" bestFit="1" customWidth="1"/>
    <col min="4" max="4" width="13.109375" bestFit="1" customWidth="1"/>
    <col min="5" max="5" width="10.6640625" bestFit="1" customWidth="1"/>
    <col min="6" max="6" width="13.109375" bestFit="1" customWidth="1"/>
    <col min="7" max="7" width="31.33203125" bestFit="1" customWidth="1"/>
    <col min="8" max="8" width="15.109375" bestFit="1" customWidth="1"/>
  </cols>
  <sheetData>
    <row r="1" spans="1:19" x14ac:dyDescent="0.3">
      <c r="A1" t="s">
        <v>1599</v>
      </c>
      <c r="D1" t="s">
        <v>1600</v>
      </c>
      <c r="G1" t="s">
        <v>1622</v>
      </c>
      <c r="L1" s="21" t="s">
        <v>1602</v>
      </c>
      <c r="M1" t="s">
        <v>1624</v>
      </c>
      <c r="P1" s="21" t="s">
        <v>1602</v>
      </c>
      <c r="Q1" t="s">
        <v>1624</v>
      </c>
      <c r="S1" t="s">
        <v>1601</v>
      </c>
    </row>
    <row r="2" spans="1:19" x14ac:dyDescent="0.3">
      <c r="A2" s="22">
        <v>151.77000000000001</v>
      </c>
      <c r="D2" s="22">
        <v>14.507333333333333</v>
      </c>
      <c r="G2" s="46">
        <v>0.90503524481534048</v>
      </c>
      <c r="I2" t="s">
        <v>1621</v>
      </c>
      <c r="L2" s="23" t="s">
        <v>1619</v>
      </c>
      <c r="M2" s="39">
        <v>0.96943578025326094</v>
      </c>
      <c r="P2" s="23" t="s">
        <v>1619</v>
      </c>
      <c r="Q2" s="39">
        <v>0.96943578025326094</v>
      </c>
      <c r="S2" s="22">
        <v>1500</v>
      </c>
    </row>
    <row r="3" spans="1:19" x14ac:dyDescent="0.3">
      <c r="I3" s="45">
        <v>1500</v>
      </c>
      <c r="L3" s="23" t="s">
        <v>1620</v>
      </c>
      <c r="M3" s="39">
        <v>3.0564219746739028E-2</v>
      </c>
      <c r="P3" s="23" t="s">
        <v>1620</v>
      </c>
      <c r="Q3" s="39">
        <v>3.0564219746739028E-2</v>
      </c>
    </row>
    <row r="4" spans="1:19" x14ac:dyDescent="0.3">
      <c r="L4" s="23" t="s">
        <v>1603</v>
      </c>
      <c r="M4" s="38">
        <v>1</v>
      </c>
      <c r="P4" s="23" t="s">
        <v>1603</v>
      </c>
      <c r="Q4" s="39">
        <v>1</v>
      </c>
    </row>
    <row r="19" spans="1:25" x14ac:dyDescent="0.3">
      <c r="W19" s="12"/>
      <c r="X19" s="13"/>
      <c r="Y19" s="14"/>
    </row>
    <row r="20" spans="1:25" x14ac:dyDescent="0.3">
      <c r="W20" s="15"/>
      <c r="X20" s="16"/>
      <c r="Y20" s="17"/>
    </row>
    <row r="21" spans="1:25" x14ac:dyDescent="0.3">
      <c r="W21" s="15"/>
      <c r="X21" s="16"/>
      <c r="Y21" s="17"/>
    </row>
    <row r="22" spans="1:25" x14ac:dyDescent="0.3">
      <c r="W22" s="15"/>
      <c r="X22" s="16"/>
      <c r="Y22" s="17"/>
    </row>
    <row r="23" spans="1:25" x14ac:dyDescent="0.3">
      <c r="W23" s="15"/>
      <c r="X23" s="16"/>
      <c r="Y23" s="17"/>
    </row>
    <row r="24" spans="1:25" x14ac:dyDescent="0.3">
      <c r="W24" s="15"/>
      <c r="X24" s="16"/>
      <c r="Y24" s="17"/>
    </row>
    <row r="25" spans="1:25" x14ac:dyDescent="0.3">
      <c r="W25" s="15"/>
      <c r="X25" s="16"/>
      <c r="Y25" s="17"/>
    </row>
    <row r="26" spans="1:25" x14ac:dyDescent="0.3">
      <c r="W26" s="15"/>
      <c r="X26" s="16"/>
      <c r="Y26" s="17"/>
    </row>
    <row r="27" spans="1:25" x14ac:dyDescent="0.3">
      <c r="W27" s="15"/>
      <c r="X27" s="16"/>
      <c r="Y27" s="17"/>
    </row>
    <row r="28" spans="1:25" x14ac:dyDescent="0.3">
      <c r="W28" s="15"/>
      <c r="X28" s="16"/>
      <c r="Y28" s="17"/>
    </row>
    <row r="29" spans="1:25" x14ac:dyDescent="0.3">
      <c r="W29" s="15"/>
      <c r="X29" s="16"/>
      <c r="Y29" s="17"/>
    </row>
    <row r="30" spans="1:25" x14ac:dyDescent="0.3">
      <c r="W30" s="15"/>
      <c r="X30" s="16"/>
      <c r="Y30" s="17"/>
    </row>
    <row r="31" spans="1:25" x14ac:dyDescent="0.3">
      <c r="B31" t="s">
        <v>1625</v>
      </c>
      <c r="W31" s="15"/>
      <c r="X31" s="16"/>
      <c r="Y31" s="17"/>
    </row>
    <row r="32" spans="1:25" x14ac:dyDescent="0.3">
      <c r="A32" s="23" t="s">
        <v>32</v>
      </c>
      <c r="B32" s="39">
        <v>0.35266666666666668</v>
      </c>
      <c r="W32" s="15"/>
      <c r="X32" s="16"/>
      <c r="Y32" s="17"/>
    </row>
    <row r="33" spans="1:25" x14ac:dyDescent="0.3">
      <c r="A33" s="23" t="s">
        <v>18</v>
      </c>
      <c r="B33" s="39">
        <v>0.32666666666666666</v>
      </c>
      <c r="W33" s="15"/>
      <c r="X33" s="16"/>
      <c r="Y33" s="17"/>
    </row>
    <row r="34" spans="1:25" x14ac:dyDescent="0.3">
      <c r="A34" s="23" t="s">
        <v>26</v>
      </c>
      <c r="B34" s="39">
        <v>0.32066666666666666</v>
      </c>
      <c r="W34" s="15"/>
      <c r="X34" s="16"/>
      <c r="Y34" s="17"/>
    </row>
    <row r="35" spans="1:25" x14ac:dyDescent="0.3">
      <c r="A35" s="23" t="s">
        <v>1603</v>
      </c>
      <c r="B35" s="38">
        <v>1</v>
      </c>
      <c r="W35" s="15"/>
      <c r="X35" s="16"/>
      <c r="Y35" s="17"/>
    </row>
    <row r="36" spans="1:25" x14ac:dyDescent="0.3">
      <c r="W36" s="18"/>
      <c r="X36" s="19"/>
      <c r="Y36" s="20"/>
    </row>
  </sheetData>
  <pageMargins left="0.7" right="0.7" top="0.75" bottom="0.75" header="0.3" footer="0.3"/>
  <pageSetup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C668-0332-4514-8DE7-E075826D2D90}">
  <dimension ref="A1:X37"/>
  <sheetViews>
    <sheetView workbookViewId="0">
      <selection activeCell="A3" sqref="A3:B12"/>
    </sheetView>
  </sheetViews>
  <sheetFormatPr defaultRowHeight="14.4" x14ac:dyDescent="0.3"/>
  <cols>
    <col min="1" max="1" width="13.109375" bestFit="1" customWidth="1"/>
    <col min="2" max="2" width="20.33203125" bestFit="1" customWidth="1"/>
    <col min="3" max="3" width="29.109375" bestFit="1" customWidth="1"/>
    <col min="5" max="5" width="22.6640625" customWidth="1"/>
    <col min="6" max="6" width="13.109375" bestFit="1" customWidth="1"/>
    <col min="7" max="7" width="15.44140625" bestFit="1" customWidth="1"/>
    <col min="8" max="8" width="27" bestFit="1" customWidth="1"/>
    <col min="12" max="12" width="13.109375" bestFit="1" customWidth="1"/>
    <col min="13" max="13" width="29.109375" bestFit="1" customWidth="1"/>
    <col min="14" max="14" width="22.5546875" bestFit="1" customWidth="1"/>
    <col min="16" max="16" width="21.109375" customWidth="1"/>
    <col min="17" max="17" width="9.109375" customWidth="1"/>
    <col min="18" max="18" width="23.5546875" customWidth="1"/>
    <col min="19" max="19" width="19.44140625" customWidth="1"/>
    <col min="20" max="20" width="33.33203125" customWidth="1"/>
    <col min="21" max="21" width="18.44140625" customWidth="1"/>
    <col min="23" max="23" width="9.109375" customWidth="1"/>
  </cols>
  <sheetData>
    <row r="1" spans="1:24" x14ac:dyDescent="0.3">
      <c r="A1" s="21" t="s">
        <v>3</v>
      </c>
      <c r="B1" t="s">
        <v>43</v>
      </c>
      <c r="D1" s="21" t="s">
        <v>1602</v>
      </c>
      <c r="E1" t="s">
        <v>1621</v>
      </c>
      <c r="H1" s="21" t="s">
        <v>1602</v>
      </c>
      <c r="I1" t="s">
        <v>1623</v>
      </c>
      <c r="L1" s="21" t="s">
        <v>1602</v>
      </c>
      <c r="M1" t="s">
        <v>1600</v>
      </c>
      <c r="O1" s="21" t="s">
        <v>1602</v>
      </c>
      <c r="P1" t="s">
        <v>1626</v>
      </c>
      <c r="R1" s="21" t="s">
        <v>9</v>
      </c>
      <c r="S1" t="s">
        <v>32</v>
      </c>
      <c r="V1" s="21" t="s">
        <v>1602</v>
      </c>
      <c r="W1" t="s">
        <v>1600</v>
      </c>
      <c r="X1" t="s">
        <v>1599</v>
      </c>
    </row>
    <row r="2" spans="1:24" x14ac:dyDescent="0.3">
      <c r="D2" s="23" t="s">
        <v>1619</v>
      </c>
      <c r="E2">
        <v>1454</v>
      </c>
      <c r="H2" s="23" t="s">
        <v>14</v>
      </c>
      <c r="I2">
        <v>733</v>
      </c>
      <c r="L2" s="23" t="s">
        <v>38</v>
      </c>
      <c r="M2">
        <v>14.806772908366534</v>
      </c>
      <c r="O2" s="23" t="s">
        <v>32</v>
      </c>
      <c r="P2">
        <v>529</v>
      </c>
      <c r="V2" s="23" t="s">
        <v>38</v>
      </c>
      <c r="W2" s="45">
        <v>14.806772908366534</v>
      </c>
      <c r="X2" s="45">
        <v>151.51593625498009</v>
      </c>
    </row>
    <row r="3" spans="1:24" x14ac:dyDescent="0.3">
      <c r="A3" s="21" t="s">
        <v>1602</v>
      </c>
      <c r="B3" t="s">
        <v>1635</v>
      </c>
      <c r="D3" s="23" t="s">
        <v>1620</v>
      </c>
      <c r="E3">
        <v>46</v>
      </c>
      <c r="H3" s="23" t="s">
        <v>43</v>
      </c>
      <c r="I3">
        <v>767</v>
      </c>
      <c r="L3" s="23" t="s">
        <v>24</v>
      </c>
      <c r="M3">
        <v>14.596153846153847</v>
      </c>
      <c r="O3" s="23" t="s">
        <v>18</v>
      </c>
      <c r="P3">
        <v>490</v>
      </c>
      <c r="R3" s="21" t="s">
        <v>1602</v>
      </c>
      <c r="S3" t="s">
        <v>1600</v>
      </c>
      <c r="T3" t="s">
        <v>1627</v>
      </c>
      <c r="V3" s="23" t="s">
        <v>24</v>
      </c>
      <c r="W3" s="45">
        <v>14.596153846153847</v>
      </c>
      <c r="X3" s="45">
        <v>155.41025641025641</v>
      </c>
    </row>
    <row r="4" spans="1:24" x14ac:dyDescent="0.3">
      <c r="A4" s="23" t="s">
        <v>1604</v>
      </c>
      <c r="B4" s="22">
        <v>105</v>
      </c>
      <c r="D4" s="23" t="s">
        <v>1603</v>
      </c>
      <c r="E4">
        <v>1500</v>
      </c>
      <c r="H4" s="23" t="s">
        <v>1603</v>
      </c>
      <c r="I4">
        <v>1500</v>
      </c>
      <c r="L4" s="23" t="s">
        <v>16</v>
      </c>
      <c r="M4">
        <v>14.145283018867925</v>
      </c>
      <c r="O4" s="23" t="s">
        <v>26</v>
      </c>
      <c r="P4">
        <v>481</v>
      </c>
      <c r="R4" s="24">
        <v>45170</v>
      </c>
      <c r="S4" s="45">
        <v>13.784313725490197</v>
      </c>
      <c r="T4" s="45">
        <v>51</v>
      </c>
      <c r="V4" s="23" t="s">
        <v>16</v>
      </c>
      <c r="W4" s="45">
        <v>14.145283018867925</v>
      </c>
      <c r="X4" s="45">
        <v>148.79622641509434</v>
      </c>
    </row>
    <row r="5" spans="1:24" x14ac:dyDescent="0.3">
      <c r="A5" s="23" t="s">
        <v>1605</v>
      </c>
      <c r="B5" s="22">
        <v>106</v>
      </c>
      <c r="L5" s="23" t="s">
        <v>1603</v>
      </c>
      <c r="M5">
        <v>14.507333333333333</v>
      </c>
      <c r="O5" s="23" t="s">
        <v>1603</v>
      </c>
      <c r="P5">
        <v>1500</v>
      </c>
      <c r="R5" s="24">
        <v>45171</v>
      </c>
      <c r="S5" s="45">
        <v>13.450704225352112</v>
      </c>
      <c r="T5" s="45">
        <v>71</v>
      </c>
      <c r="V5" s="23" t="s">
        <v>1603</v>
      </c>
      <c r="W5" s="45">
        <v>14.507333333333333</v>
      </c>
      <c r="X5" s="45">
        <v>151.77000000000001</v>
      </c>
    </row>
    <row r="6" spans="1:24" x14ac:dyDescent="0.3">
      <c r="A6" s="23" t="s">
        <v>1606</v>
      </c>
      <c r="B6" s="22">
        <v>98</v>
      </c>
      <c r="R6" s="24">
        <v>45172</v>
      </c>
      <c r="S6" s="45">
        <v>14.848101265822784</v>
      </c>
      <c r="T6" s="45">
        <v>79</v>
      </c>
    </row>
    <row r="7" spans="1:24" x14ac:dyDescent="0.3">
      <c r="A7" s="23" t="s">
        <v>1607</v>
      </c>
      <c r="B7" s="22">
        <v>96</v>
      </c>
      <c r="R7" s="24">
        <v>45173</v>
      </c>
      <c r="S7" s="45">
        <v>14.614285714285714</v>
      </c>
      <c r="T7" s="45">
        <v>70</v>
      </c>
    </row>
    <row r="8" spans="1:24" x14ac:dyDescent="0.3">
      <c r="A8" s="23" t="s">
        <v>1608</v>
      </c>
      <c r="B8" s="22">
        <v>86</v>
      </c>
      <c r="R8" s="24">
        <v>45174</v>
      </c>
      <c r="S8" s="45">
        <v>13.473684210526315</v>
      </c>
      <c r="T8" s="45">
        <v>57</v>
      </c>
    </row>
    <row r="9" spans="1:24" x14ac:dyDescent="0.3">
      <c r="A9" s="23" t="s">
        <v>1609</v>
      </c>
      <c r="B9" s="22">
        <v>95</v>
      </c>
      <c r="R9" s="24">
        <v>45175</v>
      </c>
      <c r="S9" s="45">
        <v>16.281690140845072</v>
      </c>
      <c r="T9" s="45">
        <v>71</v>
      </c>
    </row>
    <row r="10" spans="1:24" x14ac:dyDescent="0.3">
      <c r="A10" s="23" t="s">
        <v>1610</v>
      </c>
      <c r="B10" s="22">
        <v>94</v>
      </c>
      <c r="R10" s="24">
        <v>45176</v>
      </c>
      <c r="S10" s="45">
        <v>16.333333333333332</v>
      </c>
      <c r="T10" s="45">
        <v>66</v>
      </c>
    </row>
    <row r="11" spans="1:24" x14ac:dyDescent="0.3">
      <c r="A11" s="23" t="s">
        <v>1611</v>
      </c>
      <c r="B11" s="22">
        <v>87</v>
      </c>
      <c r="R11" s="24">
        <v>45177</v>
      </c>
      <c r="S11" s="45">
        <v>13.484375</v>
      </c>
      <c r="T11" s="45">
        <v>64</v>
      </c>
    </row>
    <row r="12" spans="1:24" x14ac:dyDescent="0.3">
      <c r="A12" s="23" t="s">
        <v>1603</v>
      </c>
      <c r="B12" s="22">
        <v>767</v>
      </c>
      <c r="R12" s="24" t="s">
        <v>1603</v>
      </c>
      <c r="S12" s="45">
        <v>14.591682419659735</v>
      </c>
      <c r="T12" s="45">
        <v>529</v>
      </c>
    </row>
    <row r="20" spans="13:15" x14ac:dyDescent="0.3">
      <c r="M20" s="12"/>
      <c r="N20" s="13"/>
      <c r="O20" s="14"/>
    </row>
    <row r="21" spans="13:15" x14ac:dyDescent="0.3">
      <c r="M21" s="15"/>
      <c r="N21" s="16"/>
      <c r="O21" s="17"/>
    </row>
    <row r="22" spans="13:15" x14ac:dyDescent="0.3">
      <c r="M22" s="15"/>
      <c r="N22" s="16"/>
      <c r="O22" s="17"/>
    </row>
    <row r="23" spans="13:15" x14ac:dyDescent="0.3">
      <c r="M23" s="15"/>
      <c r="N23" s="16"/>
      <c r="O23" s="17"/>
    </row>
    <row r="24" spans="13:15" x14ac:dyDescent="0.3">
      <c r="M24" s="15"/>
      <c r="N24" s="16"/>
      <c r="O24" s="17"/>
    </row>
    <row r="25" spans="13:15" x14ac:dyDescent="0.3">
      <c r="M25" s="15"/>
      <c r="N25" s="16"/>
      <c r="O25" s="17"/>
    </row>
    <row r="26" spans="13:15" x14ac:dyDescent="0.3">
      <c r="M26" s="15"/>
      <c r="N26" s="16"/>
      <c r="O26" s="17"/>
    </row>
    <row r="27" spans="13:15" x14ac:dyDescent="0.3">
      <c r="M27" s="15"/>
      <c r="N27" s="16"/>
      <c r="O27" s="17"/>
    </row>
    <row r="28" spans="13:15" x14ac:dyDescent="0.3">
      <c r="M28" s="15"/>
      <c r="N28" s="16"/>
      <c r="O28" s="17"/>
    </row>
    <row r="29" spans="13:15" x14ac:dyDescent="0.3">
      <c r="M29" s="15"/>
      <c r="N29" s="16"/>
      <c r="O29" s="17"/>
    </row>
    <row r="30" spans="13:15" x14ac:dyDescent="0.3">
      <c r="M30" s="15"/>
      <c r="N30" s="16"/>
      <c r="O30" s="17"/>
    </row>
    <row r="31" spans="13:15" x14ac:dyDescent="0.3">
      <c r="M31" s="15"/>
      <c r="N31" s="16"/>
      <c r="O31" s="17"/>
    </row>
    <row r="32" spans="13:15" x14ac:dyDescent="0.3">
      <c r="M32" s="15"/>
      <c r="N32" s="16"/>
      <c r="O32" s="17"/>
    </row>
    <row r="33" spans="13:15" x14ac:dyDescent="0.3">
      <c r="M33" s="15"/>
      <c r="N33" s="16"/>
      <c r="O33" s="17"/>
    </row>
    <row r="34" spans="13:15" x14ac:dyDescent="0.3">
      <c r="M34" s="15"/>
      <c r="N34" s="16"/>
      <c r="O34" s="17"/>
    </row>
    <row r="35" spans="13:15" x14ac:dyDescent="0.3">
      <c r="M35" s="15"/>
      <c r="N35" s="16"/>
      <c r="O35" s="17"/>
    </row>
    <row r="36" spans="13:15" x14ac:dyDescent="0.3">
      <c r="M36" s="15"/>
      <c r="N36" s="16"/>
      <c r="O36" s="17"/>
    </row>
    <row r="37" spans="13:15" x14ac:dyDescent="0.3">
      <c r="M37" s="18"/>
      <c r="N37" s="19"/>
      <c r="O37" s="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060B-7710-46CC-8598-392C8A2E7C8F}">
  <dimension ref="A1"/>
  <sheetViews>
    <sheetView tabSelected="1" zoomScaleNormal="100" workbookViewId="0">
      <selection activeCell="W4" sqref="W4"/>
    </sheetView>
  </sheetViews>
  <sheetFormatPr defaultColWidth="9.109375" defaultRowHeight="14.4" x14ac:dyDescent="0.3"/>
  <cols>
    <col min="1" max="16384" width="9.109375" style="4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Delivery data</vt:lpstr>
      <vt:lpstr>FORCASTSHEET</vt:lpstr>
      <vt:lpstr>FORCAST</vt:lpstr>
      <vt:lpstr>Allocation Rule explained</vt:lpstr>
      <vt:lpstr>Pivot Table KPI</vt:lpstr>
      <vt:lpstr>PIVOT TABLE</vt:lpstr>
      <vt:lpstr>PERFORMANCE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dc:creator>
  <cp:lastModifiedBy>Adelanwa Ogunlolu</cp:lastModifiedBy>
  <dcterms:created xsi:type="dcterms:W3CDTF">2023-09-13T17:24:25Z</dcterms:created>
  <dcterms:modified xsi:type="dcterms:W3CDTF">2025-12-04T22:08:39Z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2023-09-13T17:24:50Z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cb0ba7b2-5f05-466b-b357-6e7c91a253f5</vt:lpwstr>
  </property>
  <property fmtid="{D5CDD505-2E9C-101B-9397-08002B2CF9AE}" pid="7" name="MSIP_Label_defa4170-0d19-0005-0004-bc88714345d2_ActionId">
    <vt:lpwstr>af367bd6-fbbe-4fae-9e96-329a1724d779</vt:lpwstr>
  </property>
  <property fmtid="{D5CDD505-2E9C-101B-9397-08002B2CF9AE}" pid="8" name="MSIP_Label_defa4170-0d19-0005-0004-bc88714345d2_ContentBits">
    <vt:lpwstr>0</vt:lpwstr>
  </property>
</Properties>
</file>